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drawings/drawing2.xml" ContentType="application/vnd.openxmlformats-officedocument.drawing+xml"/>
  <Override PartName="/xl/worksheets/sheet67.xml" ContentType="application/vnd.openxmlformats-officedocument.spreadsheetml.worksheet+xml"/>
  <Override PartName="/xl/drawings/drawing3.xml" ContentType="application/vnd.openxmlformats-officedocument.drawing+xml"/>
  <Override PartName="/xl/worksheets/sheet68.xml" ContentType="application/vnd.openxmlformats-officedocument.spreadsheetml.worksheet+xml"/>
  <Override PartName="/xl/drawings/drawing4.xml" ContentType="application/vnd.openxmlformats-officedocument.drawing+xml"/>
  <Override PartName="/xl/worksheets/sheet69.xml" ContentType="application/vnd.openxmlformats-officedocument.spreadsheetml.worksheet+xml"/>
  <Override PartName="/xl/drawings/drawing5.xml" ContentType="application/vnd.openxmlformats-officedocument.drawing+xml"/>
  <Override PartName="/xl/worksheets/sheet70.xml" ContentType="application/vnd.openxmlformats-officedocument.spreadsheetml.worksheet+xml"/>
  <Override PartName="/xl/drawings/drawing6.xml" ContentType="application/vnd.openxmlformats-officedocument.drawing+xml"/>
  <Override PartName="/xl/worksheets/sheet71.xml" ContentType="application/vnd.openxmlformats-officedocument.spreadsheetml.worksheet+xml"/>
  <Override PartName="/xl/drawings/drawing7.xml" ContentType="application/vnd.openxmlformats-officedocument.drawing+xml"/>
  <Override PartName="/xl/worksheets/sheet72.xml" ContentType="application/vnd.openxmlformats-officedocument.spreadsheetml.worksheet+xml"/>
  <Override PartName="/xl/drawings/drawing8.xml" ContentType="application/vnd.openxmlformats-officedocument.drawing+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031beecb1b4010" /></Relationships>
</file>

<file path=xl/workbook.xml><?xml version="1.0" encoding="utf-8"?>
<x:workbook xmlns:x="http://schemas.openxmlformats.org/spreadsheetml/2006/main">
  <x:sheets>
    <x:sheet xmlns:r="http://schemas.openxmlformats.org/officeDocument/2006/relationships" name="DASHBOARD" sheetId="1" r:id="R5dd5814e713745bf"/>
    <x:sheet xmlns:r="http://schemas.openxmlformats.org/officeDocument/2006/relationships" name="THI_TRUONG" sheetId="2" r:id="Rc51ca88d32f24115"/>
    <x:sheet xmlns:r="http://schemas.openxmlformats.org/officeDocument/2006/relationships" name="PROGRESS_34" sheetId="3" r:id="R85b2b71012514c44"/>
    <x:sheet xmlns:r="http://schemas.openxmlformats.org/officeDocument/2006/relationships" name="MASTER_ALL" sheetId="4" r:id="R7135d539289b45a5"/>
    <x:sheet xmlns:r="http://schemas.openxmlformats.org/officeDocument/2006/relationships" name="PROVINCE_INDEX" sheetId="5" r:id="Re772db5457f943c6"/>
    <x:sheet xmlns:r="http://schemas.openxmlformats.org/officeDocument/2006/relationships" name="CHANGELOG" sheetId="6" r:id="R554aa9358c37408f"/>
    <x:sheet xmlns:r="http://schemas.openxmlformats.org/officeDocument/2006/relationships" name="HUONG_DAN" sheetId="7" r:id="R212f0304c69349ee"/>
    <x:sheet xmlns:r="http://schemas.openxmlformats.org/officeDocument/2006/relationships" name="01_TPHCM" sheetId="8" r:id="Rb436cc98bea74bcc"/>
    <x:sheet xmlns:r="http://schemas.openxmlformats.org/officeDocument/2006/relationships" name="02_HaNoi" sheetId="9" r:id="R58740494139947f9"/>
    <x:sheet xmlns:r="http://schemas.openxmlformats.org/officeDocument/2006/relationships" name="03_HaiPhong" sheetId="10" r:id="R284fc7c97bb74757"/>
    <x:sheet xmlns:r="http://schemas.openxmlformats.org/officeDocument/2006/relationships" name="04_DaNang" sheetId="11" r:id="R3f10d5d5e4384c96"/>
    <x:sheet xmlns:r="http://schemas.openxmlformats.org/officeDocument/2006/relationships" name="05_CanTho" sheetId="12" r:id="Rc5740f02f5444d49"/>
    <x:sheet xmlns:r="http://schemas.openxmlformats.org/officeDocument/2006/relationships" name="06_Hue" sheetId="13" r:id="R3f8ce1f86fe34056"/>
    <x:sheet xmlns:r="http://schemas.openxmlformats.org/officeDocument/2006/relationships" name="07_DongNai" sheetId="14" r:id="R19773b35d12e4f0d"/>
    <x:sheet xmlns:r="http://schemas.openxmlformats.org/officeDocument/2006/relationships" name="08_TayNinh" sheetId="15" r:id="Rfd6b8d96090f4d77"/>
    <x:sheet xmlns:r="http://schemas.openxmlformats.org/officeDocument/2006/relationships" name="09_BacNinh" sheetId="16" r:id="R29aadf2b4a6a463c"/>
    <x:sheet xmlns:r="http://schemas.openxmlformats.org/officeDocument/2006/relationships" name="10_HungYen" sheetId="17" r:id="R123fcb8b93cd4e52"/>
    <x:sheet xmlns:r="http://schemas.openxmlformats.org/officeDocument/2006/relationships" name="11_ThaiNguyen" sheetId="18" r:id="R97b530c56c6740e8"/>
    <x:sheet xmlns:r="http://schemas.openxmlformats.org/officeDocument/2006/relationships" name="12_PhuTho" sheetId="19" r:id="Rceb7832436354e60"/>
    <x:sheet xmlns:r="http://schemas.openxmlformats.org/officeDocument/2006/relationships" name="13_NinhBinh" sheetId="20" r:id="R759cb43cb61342bb"/>
    <x:sheet xmlns:r="http://schemas.openxmlformats.org/officeDocument/2006/relationships" name="14_QuangNinh" sheetId="21" r:id="R9ba811bae35b4521"/>
    <x:sheet xmlns:r="http://schemas.openxmlformats.org/officeDocument/2006/relationships" name="15_VinhLong" sheetId="22" r:id="R2ee7b2ef65f2496e"/>
    <x:sheet xmlns:r="http://schemas.openxmlformats.org/officeDocument/2006/relationships" name="16_DongThap" sheetId="23" r:id="R1512acf6218246d0"/>
    <x:sheet xmlns:r="http://schemas.openxmlformats.org/officeDocument/2006/relationships" name="17_AnGiang" sheetId="24" r:id="Rb14e1d00430b4ad6"/>
    <x:sheet xmlns:r="http://schemas.openxmlformats.org/officeDocument/2006/relationships" name="18_CaMau" sheetId="25" r:id="R75bb261207b547c9"/>
    <x:sheet xmlns:r="http://schemas.openxmlformats.org/officeDocument/2006/relationships" name="19_QuangTri" sheetId="26" r:id="Redaad71cf0a74808"/>
    <x:sheet xmlns:r="http://schemas.openxmlformats.org/officeDocument/2006/relationships" name="20_QuangNgai" sheetId="27" r:id="R91f4fdc751784321"/>
    <x:sheet xmlns:r="http://schemas.openxmlformats.org/officeDocument/2006/relationships" name="21_ThanhHoa" sheetId="28" r:id="R20c8292320bc4e3b"/>
    <x:sheet xmlns:r="http://schemas.openxmlformats.org/officeDocument/2006/relationships" name="22_NgheAn" sheetId="29" r:id="R97cd530595264f1e"/>
    <x:sheet xmlns:r="http://schemas.openxmlformats.org/officeDocument/2006/relationships" name="23_HaTinh" sheetId="30" r:id="Re0b55a0de4dc44a7"/>
    <x:sheet xmlns:r="http://schemas.openxmlformats.org/officeDocument/2006/relationships" name="24_KhanhHoa" sheetId="31" r:id="Rcf8ecad125764571"/>
    <x:sheet xmlns:r="http://schemas.openxmlformats.org/officeDocument/2006/relationships" name="25_LamDong" sheetId="32" r:id="R51e8d7d4382e4c00"/>
    <x:sheet xmlns:r="http://schemas.openxmlformats.org/officeDocument/2006/relationships" name="26_DakLak" sheetId="33" r:id="R9fff83f10ee044d6"/>
    <x:sheet xmlns:r="http://schemas.openxmlformats.org/officeDocument/2006/relationships" name="27_GiaLai" sheetId="34" r:id="Rfc370903358347f0"/>
    <x:sheet xmlns:r="http://schemas.openxmlformats.org/officeDocument/2006/relationships" name="28_TuyenQuang" sheetId="35" r:id="Rd8b44c3a6d76404e"/>
    <x:sheet xmlns:r="http://schemas.openxmlformats.org/officeDocument/2006/relationships" name="29_LangSon" sheetId="36" r:id="R56a6d424f89e4f90"/>
    <x:sheet xmlns:r="http://schemas.openxmlformats.org/officeDocument/2006/relationships" name="30_CaoBang" sheetId="37" r:id="R6865e22100024368"/>
    <x:sheet xmlns:r="http://schemas.openxmlformats.org/officeDocument/2006/relationships" name="31_LaoCai" sheetId="38" r:id="R19263bf31ba84a16"/>
    <x:sheet xmlns:r="http://schemas.openxmlformats.org/officeDocument/2006/relationships" name="32_SonLa" sheetId="39" r:id="R6068d98c80864ba8"/>
    <x:sheet xmlns:r="http://schemas.openxmlformats.org/officeDocument/2006/relationships" name="33_DienBien" sheetId="40" r:id="R58cda408477847ec"/>
    <x:sheet xmlns:r="http://schemas.openxmlformats.org/officeDocument/2006/relationships" name="34_LaiChau" sheetId="41" r:id="Rbe3c1680b1b44d18"/>
    <x:sheet xmlns:r="http://schemas.openxmlformats.org/officeDocument/2006/relationships" name="SOURCE_CATALOG" sheetId="42" r:id="Rddc2ceddbd904eaf"/>
    <x:sheet xmlns:r="http://schemas.openxmlformats.org/officeDocument/2006/relationships" name="LEGAL_EVENTS" sheetId="43" r:id="R1b7930e3fe40453e"/>
    <x:sheet xmlns:r="http://schemas.openxmlformats.org/officeDocument/2006/relationships" name="SOURCE_COVERAGE" sheetId="44" r:id="R888040ddedbd453f"/>
    <x:sheet xmlns:r="http://schemas.openxmlformats.org/officeDocument/2006/relationships" name="03_HP_AUDIT" sheetId="45" r:id="R01c4c98706584aa1"/>
    <x:sheet xmlns:r="http://schemas.openxmlformats.org/officeDocument/2006/relationships" name="01_HCM_AUDIT" sheetId="46" r:id="R40352d04e7834613"/>
    <x:sheet xmlns:r="http://schemas.openxmlformats.org/officeDocument/2006/relationships" name="BIG_CITY_SOURCE_MAP" sheetId="47" r:id="R051de20f1b6a4efe"/>
    <x:sheet xmlns:r="http://schemas.openxmlformats.org/officeDocument/2006/relationships" name="04_DN_AUDIT" sheetId="48" r:id="R87389a8d13e64251"/>
    <x:sheet xmlns:r="http://schemas.openxmlformats.org/officeDocument/2006/relationships" name="FACTORY_REGISTRY" sheetId="49" r:id="Rcd48c5c62565433b"/>
    <x:sheet xmlns:r="http://schemas.openxmlformats.org/officeDocument/2006/relationships" name="RETAIL_ECOM_SIGNAL" sheetId="50" r:id="R73504d57856f487d"/>
    <x:sheet xmlns:r="http://schemas.openxmlformats.org/officeDocument/2006/relationships" name="LEGAL_ROUTE_MAP" sheetId="51" r:id="R715a4ddbb01646c1"/>
    <x:sheet xmlns:r="http://schemas.openxmlformats.org/officeDocument/2006/relationships" name="IMPORT_DECLARATIONS" sheetId="52" r:id="R53817fdc20034ff8"/>
    <x:sheet xmlns:r="http://schemas.openxmlformats.org/officeDocument/2006/relationships" name="CATEGORY_MAP" sheetId="53" r:id="R5a242837c3114a69"/>
    <x:sheet xmlns:r="http://schemas.openxmlformats.org/officeDocument/2006/relationships" name="DUOC_PHAM_TPCN" sheetId="54" r:id="R6aa19b3a33174f3d"/>
    <x:sheet xmlns:r="http://schemas.openxmlformats.org/officeDocument/2006/relationships" name="MOTHER_BABY_QUEUE" sheetId="55" r:id="R9bac1bfc527f4883"/>
    <x:sheet xmlns:r="http://schemas.openxmlformats.org/officeDocument/2006/relationships" name="DEDUPE_RULES" sheetId="56" r:id="Rfe0aa1a65ce1478a"/>
    <x:sheet xmlns:r="http://schemas.openxmlformats.org/officeDocument/2006/relationships" name="ENTITY_INDEX" sheetId="57" r:id="Ra417e8c21a7749da"/>
    <x:sheet xmlns:r="http://schemas.openxmlformats.org/officeDocument/2006/relationships" name="OFFLINE_CHANNEL" sheetId="58" r:id="R7679773d94384c4f"/>
    <x:sheet xmlns:r="http://schemas.openxmlformats.org/officeDocument/2006/relationships" name="ONLINE_CHANNEL" sheetId="59" r:id="R1e09fb0b07b44400"/>
    <x:sheet xmlns:r="http://schemas.openxmlformats.org/officeDocument/2006/relationships" name="MISSING_DECLARATION_QUEUE" sheetId="60" r:id="R8f89e3dc04c1415e"/>
    <x:sheet xmlns:r="http://schemas.openxmlformats.org/officeDocument/2006/relationships" name="FACTORY_BRAND_MAP" sheetId="61" r:id="R60cbf0ade9294da8"/>
    <x:sheet xmlns:r="http://schemas.openxmlformats.org/officeDocument/2006/relationships" name="PRODUCT_VARIANTS" sheetId="62" r:id="R476ea79f2af947b1"/>
    <x:sheet xmlns:r="http://schemas.openxmlformats.org/officeDocument/2006/relationships" name="ENTITY_ALIAS_REVIEW" sheetId="63" r:id="Rd2a37287a1204158"/>
    <x:sheet xmlns:r="http://schemas.openxmlformats.org/officeDocument/2006/relationships" name="HCM_FACTORY_CLUSTER" sheetId="64" r:id="Re34940577f8d4c86"/>
    <x:sheet xmlns:r="http://schemas.openxmlformats.org/officeDocument/2006/relationships" name="ACTIVE_2022_PLUS" sheetId="65" r:id="Rf0ad3156829147d2"/>
    <x:sheet xmlns:r="http://schemas.openxmlformats.org/officeDocument/2006/relationships" name="MARKET_DIRECTION" sheetId="66" r:id="Ra2b54f65864349de"/>
    <x:sheet xmlns:r="http://schemas.openxmlformats.org/officeDocument/2006/relationships" name="CBMP_SEQUENCE_SWEEP" sheetId="67" r:id="R481fca00a86d4055"/>
    <x:sheet xmlns:r="http://schemas.openxmlformats.org/officeDocument/2006/relationships" name="CHO_XAC_MINH" sheetId="68" r:id="Rea6026f5e4d2492e"/>
    <x:sheet xmlns:r="http://schemas.openxmlformats.org/officeDocument/2006/relationships" name="MEDINET_LEGACY_ARCHIVE" sheetId="69" r:id="R190efccc415a46a9"/>
    <x:sheet xmlns:r="http://schemas.openxmlformats.org/officeDocument/2006/relationships" name="GOV_SOURCE_HIERARCHY" sheetId="70" r:id="R4e3519bbc2eb4d13"/>
    <x:sheet xmlns:r="http://schemas.openxmlformats.org/officeDocument/2006/relationships" name="BD_LEGACY_SOURCE_MAP" sheetId="71" r:id="Rc6a714d1438d4b0e"/>
    <x:sheet xmlns:r="http://schemas.openxmlformats.org/officeDocument/2006/relationships" name="02_HN_AUDIT" sheetId="72" r:id="R1c201f7137e14ea3"/>
    <x:sheet xmlns:r="http://schemas.openxmlformats.org/officeDocument/2006/relationships" name="BULK_LEGAL_QUEUE" sheetId="73" r:id="Rec36be5b14fc4b9e"/>
    <x:sheet xmlns:r="http://schemas.openxmlformats.org/officeDocument/2006/relationships" name="CONSOLIDATION_LOG" sheetId="74" r:id="Raaef8fd535c843ac"/>
    <x:sheet xmlns:r="http://schemas.openxmlformats.org/officeDocument/2006/relationships" name="MARKET_CANDIDATES" sheetId="75" r:id="R15dfadccd053453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164" formatCode="dd/mm/yyyy"/>
    <x:numFmt numFmtId="165" formatCode="0.0000%"/>
    <x:numFmt numFmtId="166" formatCode="0.0%"/>
    <x:numFmt numFmtId="167" formatCode="yyyy-mm-dd h:mm:ss"/>
    <x:numFmt numFmtId="200" formatCode="0.00%"/>
  </x:numFmts>
  <x:fonts count="19">
    <x:font>
      <x:sz val="11"/>
      <x:name val="Carlito"/>
    </x:font>
    <x:font>
      <x:b/>
      <x:sz val="16"/>
      <x:color rgb="FFFFFFFF"/>
      <x:name val="Carlito"/>
    </x:font>
    <x:font>
      <x:b/>
      <x:sz val="11"/>
      <x:color rgb="FFFFFFFF"/>
      <x:name val="Carlito"/>
    </x:font>
    <x:font>
      <x:b/>
      <x:sz val="15"/>
      <x:color rgb="FFFFFFFF"/>
      <x:name val="Carlito"/>
    </x:font>
    <x:font>
      <x:b/>
      <x:sz val="11"/>
      <x:name val="Carlito"/>
    </x:font>
    <x:font>
      <x:b/>
      <x:sz val="11"/>
      <x:color rgb="FF7A5B00"/>
      <x:name val="Carlito"/>
    </x:font>
    <x:font>
      <x:b/>
      <x:sz val="13"/>
      <x:color rgb="FFFFFFFF"/>
    </x:font>
    <x:font>
      <x:b/>
      <x:sz val="11"/>
    </x:font>
    <x:font>
      <x:b/>
      <x:color rgb="FFFFFFFF"/>
    </x:font>
    <x:font>
      <x:b/>
      <x:color rgb="FFFFFFFF"/>
    </x:font>
    <x:font>
      <x:b/>
    </x:font>
    <x:font>
      <x:b/>
      <x:sz val="12"/>
      <x:color rgb="FFFFFFFF"/>
      <x:name val="Carlito"/>
    </x:font>
    <x:font>
      <x:sz val="11"/>
      <x:color rgb="FF7A5B00"/>
      <x:name val="Carlito"/>
    </x:font>
    <x:font>
      <x:b/>
      <x:sz val="11"/>
      <x:color rgb="FF17365D"/>
      <x:name val="Carlito"/>
    </x:font>
    <x:font>
      <x:b/>
      <x:sz val="13"/>
      <x:name val="Carlito"/>
    </x:font>
    <x:font>
      <x:b/>
      <x:sz val="11"/>
      <x:color rgb="FF274E13"/>
      <x:name val="Carlito"/>
    </x:font>
    <x:font>
      <x:b/>
      <x:sz val="11"/>
      <x:color rgb="FF783F04"/>
      <x:name val="Carlito"/>
    </x:font>
    <x:font>
      <x:b/>
      <x:sz val="11"/>
      <x:color rgb="FF7F6000"/>
      <x:name val="Carlito"/>
    </x:font>
    <x:font>
      <x:b/>
      <x:sz val="11"/>
      <x:color rgb="FF4C1130"/>
      <x:name val="Carlito"/>
    </x:font>
  </x:fonts>
  <x:fills count="115">
    <x:fill>
      <x:patternFill patternType="none"/>
    </x:fill>
    <x:fill>
      <x:patternFill patternType="gray125"/>
    </x:fill>
    <x:fill>
      <x:patternFill patternType="solid">
        <x:fgColor rgb="FF16324F"/>
      </x:patternFill>
    </x:fill>
    <x:fill>
      <x:patternFill patternType="solid">
        <x:fgColor rgb="FF2E5B88"/>
      </x:patternFill>
    </x:fill>
    <x:fill>
      <x:patternFill patternType="solid">
        <x:fgColor rgb="FF1F7A8C"/>
      </x:patternFill>
    </x:fill>
    <x:fill>
      <x:patternFill patternType="solid">
        <x:fgColor rgb="FFEAF2F8"/>
      </x:patternFill>
    </x:fill>
    <x:fill>
      <x:patternFill patternType="solid">
        <x:fgColor rgb="FF16324F"/>
      </x:patternFill>
    </x:fill>
    <x:fill>
      <x:patternFill patternType="solid">
        <x:fgColor rgb="FFEAF2F8"/>
      </x:patternFill>
    </x:fill>
    <x:fill>
      <x:patternFill patternType="solid">
        <x:fgColor rgb="FF7F1D1D"/>
      </x:patternFill>
    </x:fill>
    <x:fill>
      <x:patternFill patternType="solid">
        <x:fgColor rgb="FF16324F"/>
      </x:patternFill>
    </x:fill>
    <x:fill>
      <x:patternFill patternType="solid">
        <x:fgColor rgb="FF2E5B88"/>
      </x:patternFill>
    </x:fill>
    <x:fill>
      <x:patternFill patternType="solid">
        <x:fgColor rgb="FFFFF4CC"/>
      </x:patternFill>
    </x:fill>
    <x:fill>
      <x:patternFill patternType="solid">
        <x:fgColor rgb="FFEAF2F8"/>
      </x:patternFill>
    </x:fill>
    <x:fill>
      <x:patternFill patternType="solid">
        <x:fgColor rgb="FF16324F"/>
      </x:patternFill>
    </x:fill>
    <x:fill>
      <x:patternFill patternType="solid">
        <x:fgColor rgb="FF2E5B88"/>
      </x:patternFill>
    </x:fill>
    <x:fill>
      <x:patternFill patternType="solid">
        <x:fgColor rgb="FF1F7A8C"/>
      </x:patternFill>
    </x:fill>
    <x:fill>
      <x:patternFill patternType="solid">
        <x:fgColor rgb="FF7C3AED"/>
      </x:patternFill>
    </x:fill>
    <x:fill>
      <x:patternFill patternType="solid">
        <x:fgColor rgb="FFD97706"/>
      </x:patternFill>
    </x:fill>
    <x:fill>
      <x:patternFill patternType="solid">
        <x:fgColor rgb="FF374151"/>
      </x:patternFill>
    </x:fill>
    <x:fill>
      <x:patternFill patternType="solid">
        <x:fgColor rgb="FFFFF4CC"/>
      </x:patternFill>
    </x:fill>
    <x:fill>
      <x:patternFill patternType="solid">
        <x:fgColor rgb="FFEAF2F8"/>
      </x:patternFill>
    </x:fill>
    <x:fill>
      <x:patternFill patternType="solid">
        <x:fgColor rgb="FF1F4E78"/>
      </x:patternFill>
    </x:fill>
    <x:fill>
      <x:patternFill patternType="solid">
        <x:fgColor rgb="FF2E75B6"/>
      </x:patternFill>
    </x:fill>
    <x:fill>
      <x:patternFill patternType="solid">
        <x:fgColor rgb="FFBF8F00"/>
      </x:patternFill>
    </x:fill>
    <x:fill>
      <x:patternFill patternType="solid">
        <x:fgColor rgb="FF548235"/>
      </x:patternFill>
    </x:fill>
    <x:fill>
      <x:patternFill patternType="solid">
        <x:fgColor rgb="FF16324F"/>
      </x:patternFill>
    </x:fill>
    <x:fill>
      <x:patternFill patternType="solid">
        <x:fgColor rgb="FFFFF4CC"/>
      </x:patternFill>
    </x:fill>
    <x:fill>
      <x:patternFill patternType="solid">
        <x:fgColor rgb="FF065F46"/>
      </x:patternFill>
    </x:fill>
    <x:fill>
      <x:patternFill patternType="solid">
        <x:fgColor rgb="FFEAF2F8"/>
      </x:patternFill>
    </x:fill>
    <x:fill>
      <x:patternFill patternType="solid">
        <x:fgColor rgb="FF16324F"/>
      </x:patternFill>
    </x:fill>
    <x:fill>
      <x:patternFill patternType="solid">
        <x:fgColor rgb="FF2E5B88"/>
      </x:patternFill>
    </x:fill>
    <x:fill>
      <x:patternFill patternType="solid">
        <x:fgColor rgb="FF1F7A8C"/>
      </x:patternFill>
    </x:fill>
    <x:fill>
      <x:patternFill patternType="solid">
        <x:fgColor rgb="FFFFF4CC"/>
      </x:patternFill>
    </x:fill>
    <x:fill>
      <x:patternFill patternType="solid">
        <x:fgColor rgb="FFEAF2F8"/>
      </x:patternFill>
    </x:fill>
    <x:fill>
      <x:patternFill patternType="solid">
        <x:fgColor rgb="FFFFF4CC"/>
      </x:patternFill>
    </x:fill>
    <x:fill>
      <x:patternFill patternType="solid">
        <x:fgColor rgb="FF16324F"/>
      </x:patternFill>
    </x:fill>
    <x:fill>
      <x:patternFill patternType="solid">
        <x:fgColor rgb="FF2E5B88"/>
      </x:patternFill>
    </x:fill>
    <x:fill>
      <x:patternFill patternType="solid">
        <x:fgColor rgb="FF1F7A8C"/>
      </x:patternFill>
    </x:fill>
    <x:fill>
      <x:patternFill patternType="solid">
        <x:fgColor rgb="FFEAF2F8"/>
      </x:patternFill>
    </x:fill>
    <x:fill>
      <x:patternFill patternType="solid">
        <x:fgColor rgb="FF16324F"/>
      </x:patternFill>
    </x:fill>
    <x:fill>
      <x:patternFill patternType="solid">
        <x:fgColor rgb="FF2E5B88"/>
      </x:patternFill>
    </x:fill>
    <x:fill>
      <x:patternFill patternType="solid">
        <x:fgColor rgb="FF1F7A8C"/>
      </x:patternFill>
    </x:fill>
    <x:fill>
      <x:patternFill patternType="solid">
        <x:fgColor rgb="FFFFF4CC"/>
      </x:patternFill>
    </x:fill>
    <x:fill>
      <x:patternFill patternType="solid">
        <x:fgColor rgb="FFEAF2F8"/>
      </x:patternFill>
    </x:fill>
    <x:fill>
      <x:patternFill patternType="solid">
        <x:fgColor rgb="FF16324F"/>
      </x:patternFill>
    </x:fill>
    <x:fill>
      <x:patternFill patternType="solid">
        <x:fgColor rgb="FF7C3AED"/>
      </x:patternFill>
    </x:fill>
    <x:fill>
      <x:patternFill patternType="solid">
        <x:fgColor rgb="FFEAF2F8"/>
      </x:patternFill>
    </x:fill>
    <x:fill>
      <x:patternFill patternType="solid">
        <x:fgColor rgb="FF16324F"/>
      </x:patternFill>
    </x:fill>
    <x:fill>
      <x:patternFill patternType="solid">
        <x:fgColor rgb="FF7F1D1D"/>
      </x:patternFill>
    </x:fill>
    <x:fill>
      <x:patternFill patternType="solid">
        <x:fgColor rgb="FFEAF2F8"/>
      </x:patternFill>
    </x:fill>
    <x:fill>
      <x:patternFill patternType="solid">
        <x:fgColor rgb="FF0F766E"/>
      </x:patternFill>
    </x:fill>
    <x:fill>
      <x:patternFill patternType="solid">
        <x:fgColor rgb="FFFFF4CC"/>
      </x:patternFill>
    </x:fill>
    <x:fill>
      <x:patternFill patternType="solid">
        <x:fgColor rgb="FF7C3AED"/>
      </x:patternFill>
    </x:fill>
    <x:fill>
      <x:patternFill patternType="solid">
        <x:fgColor rgb="FFEAF2F8"/>
      </x:patternFill>
    </x:fill>
    <x:fill>
      <x:patternFill patternType="solid">
        <x:fgColor rgb="FF16324F"/>
      </x:patternFill>
    </x:fill>
    <x:fill>
      <x:patternFill patternType="solid">
        <x:fgColor rgb="FF0F766E"/>
      </x:patternFill>
    </x:fill>
    <x:fill>
      <x:patternFill patternType="solid">
        <x:fgColor rgb="FF7C3AED"/>
      </x:patternFill>
    </x:fill>
    <x:fill>
      <x:patternFill patternType="solid">
        <x:fgColor rgb="FF065F46"/>
      </x:patternFill>
    </x:fill>
    <x:fill>
      <x:patternFill patternType="solid">
        <x:fgColor rgb="FF1D4ED8"/>
      </x:patternFill>
    </x:fill>
    <x:fill>
      <x:patternFill patternType="solid">
        <x:fgColor rgb="FFB45309"/>
      </x:patternFill>
    </x:fill>
    <x:fill>
      <x:patternFill patternType="solid">
        <x:fgColor rgb="FF374151"/>
      </x:patternFill>
    </x:fill>
    <x:fill>
      <x:patternFill patternType="solid">
        <x:fgColor rgb="FF111827"/>
      </x:patternFill>
    </x:fill>
    <x:fill>
      <x:patternFill patternType="solid">
        <x:fgColor rgb="FF6B21A8"/>
      </x:patternFill>
    </x:fill>
    <x:fill>
      <x:patternFill patternType="solid">
        <x:fgColor rgb="FFFFF4CC"/>
      </x:patternFill>
    </x:fill>
    <x:fill>
      <x:patternFill patternType="solid">
        <x:fgColor rgb="FFEAF2F8"/>
      </x:patternFill>
    </x:fill>
    <x:fill>
      <x:patternFill patternType="solid">
        <x:fgColor rgb="FF991B1B"/>
      </x:patternFill>
    </x:fill>
    <x:fill>
      <x:patternFill patternType="solid">
        <x:fgColor rgb="FFEAF2F8"/>
      </x:patternFill>
    </x:fill>
    <x:fill>
      <x:patternFill patternType="solid">
        <x:fgColor rgb="FF0F766E"/>
      </x:patternFill>
    </x:fill>
    <x:fill>
      <x:patternFill patternType="solid">
        <x:fgColor rgb="FFEAF2F8"/>
      </x:patternFill>
    </x:fill>
    <x:fill>
      <x:patternFill patternType="solid">
        <x:fgColor rgb="FF0F766E"/>
      </x:patternFill>
    </x:fill>
    <x:fill>
      <x:patternFill patternType="solid">
        <x:fgColor rgb="FF16324F"/>
      </x:patternFill>
    </x:fill>
    <x:fill>
      <x:patternFill patternType="solid">
        <x:fgColor rgb="FFFFF4CC"/>
      </x:patternFill>
    </x:fill>
    <x:fill>
      <x:patternFill patternType="solid">
        <x:fgColor rgb="FFEAF2F8"/>
      </x:patternFill>
    </x:fill>
    <x:fill>
      <x:patternFill patternType="solid">
        <x:fgColor rgb="FF16324F"/>
      </x:patternFill>
    </x:fill>
    <x:fill>
      <x:patternFill patternType="solid">
        <x:fgColor rgb="FF0F766E"/>
      </x:patternFill>
    </x:fill>
    <x:fill>
      <x:patternFill patternType="solid">
        <x:fgColor rgb="FFDCEAF7"/>
      </x:patternFill>
    </x:fill>
    <x:fill>
      <x:patternFill patternType="solid">
        <x:fgColor rgb="FF16324F"/>
      </x:patternFill>
    </x:fill>
    <x:fill>
      <x:patternFill patternType="solid">
        <x:fgColor rgb="FF0F766E"/>
      </x:patternFill>
    </x:fill>
    <x:fill>
      <x:patternFill patternType="solid">
        <x:fgColor rgb="FF7C3AED"/>
      </x:patternFill>
    </x:fill>
    <x:fill>
      <x:patternFill patternType="solid">
        <x:fgColor rgb="FF1D4ED8"/>
      </x:patternFill>
    </x:fill>
    <x:fill>
      <x:patternFill patternType="solid">
        <x:fgColor rgb="FFFFF4CC"/>
      </x:patternFill>
    </x:fill>
    <x:fill>
      <x:patternFill patternType="solid">
        <x:fgColor rgb="FFDCEAF7"/>
      </x:patternFill>
    </x:fill>
    <x:fill>
      <x:patternFill patternType="solid">
        <x:fgColor rgb="FFEAF2F8"/>
      </x:patternFill>
    </x:fill>
    <x:fill>
      <x:patternFill patternType="solid">
        <x:fgColor rgb="FF111827"/>
      </x:patternFill>
    </x:fill>
    <x:fill>
      <x:patternFill patternType="solid">
        <x:fgColor rgb="FF16324F"/>
      </x:patternFill>
    </x:fill>
    <x:fill>
      <x:patternFill patternType="solid">
        <x:fgColor rgb="FFEAF2F8"/>
      </x:patternFill>
    </x:fill>
    <x:fill>
      <x:patternFill patternType="solid">
        <x:fgColor rgb="FF7C3AED"/>
      </x:patternFill>
    </x:fill>
    <x:fill>
      <x:patternFill patternType="solid">
        <x:fgColor rgb="FF16324F"/>
      </x:patternFill>
    </x:fill>
    <x:fill>
      <x:patternFill patternType="solid">
        <x:fgColor rgb="FFEAF2F8"/>
      </x:patternFill>
    </x:fill>
    <x:fill>
      <x:patternFill patternType="solid">
        <x:fgColor rgb="FF991B1B"/>
      </x:patternFill>
    </x:fill>
    <x:fill>
      <x:patternFill patternType="solid">
        <x:fgColor rgb="FF7C3AED"/>
      </x:patternFill>
    </x:fill>
    <x:fill>
      <x:patternFill patternType="solid">
        <x:fgColor rgb="FF16324F"/>
      </x:patternFill>
    </x:fill>
    <x:fill>
      <x:patternFill patternType="solid">
        <x:fgColor rgb="FFEAF2F8"/>
      </x:patternFill>
    </x:fill>
    <x:fill>
      <x:patternFill patternType="solid">
        <x:fgColor rgb="FF0F766E"/>
      </x:patternFill>
    </x:fill>
    <x:fill>
      <x:patternFill patternType="solid">
        <x:fgColor rgb="FFEAF2F8"/>
      </x:patternFill>
    </x:fill>
    <x:fill>
      <x:patternFill patternType="solid">
        <x:fgColor rgb="FF6B21A8"/>
      </x:patternFill>
    </x:fill>
    <x:fill>
      <x:patternFill patternType="solid">
        <x:fgColor rgb="FFEAF2F8"/>
      </x:patternFill>
    </x:fill>
    <x:fill>
      <x:patternFill patternType="solid">
        <x:fgColor rgb="FF16324F"/>
      </x:patternFill>
    </x:fill>
    <x:fill>
      <x:patternFill patternType="solid">
        <x:fgColor rgb="FF0F766E"/>
      </x:patternFill>
    </x:fill>
    <x:fill>
      <x:patternFill patternType="solid">
        <x:fgColor rgb="FFEAF2F8"/>
      </x:patternFill>
    </x:fill>
    <x:fill>
      <x:patternFill patternType="solid">
        <x:fgColor rgb="FFEAF2F8"/>
      </x:patternFill>
    </x:fill>
    <x:fill>
      <x:patternFill patternType="solid">
        <x:fgColor rgb="FF1D4ED8"/>
      </x:patternFill>
    </x:fill>
    <x:fill>
      <x:patternFill patternType="solid">
        <x:fgColor rgb="FFB45309"/>
      </x:patternFill>
    </x:fill>
    <x:fill>
      <x:patternFill patternType="solid">
        <x:fgColor rgb="FF92400E"/>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D9EAD3"/>
      </x:patternFill>
    </x:fill>
    <x:fill>
      <x:patternFill patternType="solid">
        <x:fgColor rgb="FFFCE5CD"/>
      </x:patternFill>
    </x:fill>
    <x:fill>
      <x:patternFill patternType="solid">
        <x:fgColor rgb="FFFFF2CC"/>
      </x:patternFill>
    </x:fill>
    <x:fill>
      <x:patternFill patternType="solid">
        <x:fgColor rgb="FFEADCF8"/>
      </x:patternFill>
    </x:fill>
    <x:fill>
      <x:patternFill patternType="solid">
        <x:fgColor rgb="FF17365D"/>
      </x:patternFill>
    </x:fill>
    <x:fill>
      <x:patternFill patternType="solid">
        <x:fgColor rgb="FF17365D"/>
      </x:patternFill>
    </x:fill>
    <x:fill>
      <x:patternFill patternType="solid">
        <x:fgColor rgb="FF5B9BD5"/>
      </x:patternFill>
    </x:fill>
  </x:fills>
  <x:borders count="8">
    <x:border/>
    <x:border/>
    <x:border/>
    <x:border/>
    <x:border/>
    <x:border/>
    <x:border/>
    <x:border/>
  </x:borders>
  <x:cellStyleXfs count="1">
    <x:xf numFmtId="0" fontId="0" fillId="0" borderId="1"/>
  </x:cellStyleXfs>
  <x:cellXfs count="598">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0" fillId="2" borderId="1" xfId="0"/>
    <x:xf numFmtId="0" fontId="1" fillId="2" borderId="1" xfId="0"/>
    <x:xf numFmtId="0" fontId="1" fillId="2" borderId="1" xfId="0" applyAlignment="1">
      <x:alignment horizontal="center"/>
    </x:xf>
    <x:xf numFmtId="0" fontId="0" fillId="3" borderId="0" xfId="0"/>
    <x:xf numFmtId="0" fontId="2" fillId="3" borderId="0" xfId="0"/>
    <x:xf numFmtId="0" fontId="0" fillId="3" borderId="1" xfId="0"/>
    <x:xf numFmtId="0" fontId="2" fillId="3" borderId="1" xfId="0"/>
    <x:xf numFmtId="0" fontId="2" fillId="2" borderId="0" xfId="0"/>
    <x:xf numFmtId="0" fontId="2" fillId="2" borderId="0" xfId="0" applyAlignment="1">
      <x:alignment wrapText="1"/>
    </x:xf>
    <x:xf numFmtId="0" fontId="2" fillId="2" borderId="1" xfId="0"/>
    <x:xf numFmtId="0" fontId="2" fillId="2" borderId="1" xfId="0" applyAlignment="1">
      <x:alignment wrapText="1"/>
    </x:xf>
    <x:xf numFmtId="164" fontId="0" fillId="0" borderId="0" xfId="0"/>
    <x:xf numFmtId="164" fontId="0" fillId="0" borderId="1" xfId="0"/>
    <x:xf numFmtId="0" fontId="3" fillId="2" borderId="0" xfId="0"/>
    <x:xf numFmtId="0" fontId="3" fillId="2" borderId="0" xfId="0" applyAlignment="1">
      <x:alignment horizontal="center"/>
    </x:xf>
    <x:xf numFmtId="0" fontId="3" fillId="2" borderId="1" xfId="0"/>
    <x:xf numFmtId="0" fontId="3" fillId="2" borderId="1" xfId="0" applyAlignment="1">
      <x:alignment horizontal="center"/>
    </x:xf>
    <x:xf numFmtId="0" fontId="0" fillId="4" borderId="0" xfId="0"/>
    <x:xf numFmtId="0" fontId="2" fillId="4" borderId="0" xfId="0"/>
    <x:xf numFmtId="0" fontId="2" fillId="4" borderId="0" xfId="0" applyAlignment="1">
      <x:alignment wrapText="1"/>
    </x:xf>
    <x:xf numFmtId="0" fontId="0" fillId="4" borderId="1" xfId="0"/>
    <x:xf numFmtId="0" fontId="2" fillId="4" borderId="1" xfId="0"/>
    <x:xf numFmtId="0" fontId="2" fillId="4" borderId="1" xfId="0" applyAlignment="1">
      <x:alignment wrapText="1"/>
    </x:xf>
    <x:xf numFmtId="165" fontId="0" fillId="0" borderId="0" xfId="0"/>
    <x:xf numFmtId="165" fontId="0" fillId="0" borderId="1" xfId="0"/>
    <x:xf numFmtId="0" fontId="0" fillId="0" borderId="0" xfId="0"/>
    <x:xf numFmtId="0" fontId="0" fillId="5" borderId="0" xfId="0"/>
    <x:xf numFmtId="0" fontId="4" fillId="5" borderId="0" xfId="0"/>
    <x:xf numFmtId="0" fontId="4" fillId="5" borderId="0" xfId="0" applyAlignment="1">
      <x:alignment wrapText="1"/>
    </x:xf>
    <x:xf numFmtId="0" fontId="0" fillId="0" borderId="0" xfId="0" applyAlignment="1">
      <x:alignment wrapText="1"/>
    </x:xf>
    <x:xf numFmtId="0" fontId="0" fillId="6" borderId="0" xfId="0"/>
    <x:xf numFmtId="0" fontId="2" fillId="6" borderId="0" xfId="0"/>
    <x:xf numFmtId="0" fontId="2" fillId="6" borderId="0" xfId="0" applyAlignment="1">
      <x:alignment wrapText="1"/>
    </x:xf>
    <x:xf numFmtId="0" fontId="0" fillId="7" borderId="0" xfId="0"/>
    <x:xf numFmtId="0" fontId="4" fillId="7" borderId="0" xfId="0"/>
    <x:xf numFmtId="0" fontId="4" fillId="7" borderId="0" xfId="0" applyAlignment="1">
      <x:alignment wrapText="1"/>
    </x:xf>
    <x:xf numFmtId="0" fontId="0" fillId="8" borderId="0" xfId="0"/>
    <x:xf numFmtId="0" fontId="2" fillId="8" borderId="0" xfId="0"/>
    <x:xf numFmtId="0" fontId="2" fillId="8" borderId="0" xfId="0" applyAlignment="1">
      <x:alignment wrapText="1"/>
    </x:xf>
    <x:xf numFmtId="0" fontId="0" fillId="9" borderId="0" xfId="0"/>
    <x:xf numFmtId="0" fontId="2" fillId="9" borderId="0" xfId="0"/>
    <x:xf numFmtId="0" fontId="2" fillId="9" borderId="0" xfId="0" applyAlignment="1">
      <x:alignment wrapText="1"/>
    </x:xf>
    <x:xf numFmtId="166" fontId="0" fillId="0" borderId="0" xfId="0"/>
    <x:xf numFmtId="0" fontId="2" fillId="10" borderId="0" xfId="0"/>
    <x:xf numFmtId="0" fontId="0" fillId="11" borderId="0" xfId="0"/>
    <x:xf numFmtId="0" fontId="5" fillId="11" borderId="0" xfId="0"/>
    <x:xf numFmtId="0" fontId="5" fillId="11" borderId="0" xfId="0" applyAlignment="1">
      <x:alignment wrapText="1"/>
    </x:xf>
    <x:xf numFmtId="0" fontId="0" fillId="12" borderId="0" xfId="0"/>
    <x:xf numFmtId="0" fontId="4" fillId="12" borderId="0" xfId="0"/>
    <x:xf numFmtId="0" fontId="4" fillId="12" borderId="0" xfId="0" applyAlignment="1">
      <x:alignment wrapText="1"/>
    </x:xf>
    <x:xf numFmtId="0" fontId="0" fillId="13" borderId="0" xfId="0"/>
    <x:xf numFmtId="0" fontId="3" fillId="13" borderId="0" xfId="0"/>
    <x:xf numFmtId="0" fontId="3" fillId="13" borderId="0" xfId="0" applyAlignment="1">
      <x:alignment horizontal="center"/>
    </x:xf>
    <x:xf numFmtId="0" fontId="0" fillId="14" borderId="0" xfId="0"/>
    <x:xf numFmtId="0" fontId="2" fillId="14" borderId="0" xfId="0"/>
    <x:xf numFmtId="0" fontId="2" fillId="14" borderId="0" xfId="0" applyAlignment="1">
      <x:alignment wrapText="1"/>
    </x:xf>
    <x:xf numFmtId="0" fontId="0" fillId="15" borderId="0" xfId="0"/>
    <x:xf numFmtId="0" fontId="2" fillId="15" borderId="0" xfId="0"/>
    <x:xf numFmtId="0" fontId="0" fillId="16" borderId="0" xfId="0"/>
    <x:xf numFmtId="0" fontId="2" fillId="16" borderId="0" xfId="0"/>
    <x:xf numFmtId="0" fontId="0" fillId="17" borderId="0" xfId="0"/>
    <x:xf numFmtId="0" fontId="2" fillId="17" borderId="0" xfId="0"/>
    <x:xf numFmtId="0" fontId="2" fillId="17" borderId="0" xfId="0" applyAlignment="1">
      <x:alignment wrapText="1"/>
    </x:xf>
    <x:xf numFmtId="0" fontId="0" fillId="18" borderId="0" xfId="0"/>
    <x:xf numFmtId="166" fontId="0" fillId="18" borderId="0" xfId="0"/>
    <x:xf numFmtId="0" fontId="2" fillId="18" borderId="0" xfId="0"/>
    <x:xf numFmtId="166" fontId="2" fillId="18" borderId="0" xfId="0"/>
    <x:xf numFmtId="0" fontId="2" fillId="18" borderId="0" xfId="0" applyAlignment="1">
      <x:alignment wrapText="1"/>
    </x:xf>
    <x:xf numFmtId="166" fontId="2" fillId="18" borderId="0" xfId="0" applyAlignment="1">
      <x:alignment wrapText="1"/>
    </x:xf>
    <x:xf numFmtId="0" fontId="3" fillId="13" borderId="0" xfId="0" applyAlignment="1">
      <x:alignment horizontal="center" wrapText="1"/>
    </x:xf>
    <x:xf numFmtId="0" fontId="0" fillId="19" borderId="0" xfId="0"/>
    <x:xf numFmtId="0" fontId="5" fillId="19" borderId="0" xfId="0"/>
    <x:xf numFmtId="0" fontId="5" fillId="19" borderId="0" xfId="0" applyAlignment="1">
      <x:alignment wrapText="1"/>
    </x:xf>
    <x:xf numFmtId="0" fontId="0" fillId="20" borderId="0" xfId="0"/>
    <x:xf numFmtId="0" fontId="4" fillId="20" borderId="0" xfId="0"/>
    <x:xf numFmtId="0" fontId="4" fillId="20" borderId="0" xfId="0" applyAlignment="1">
      <x:alignment wrapText="1"/>
    </x:xf>
    <x:xf numFmtId="0" fontId="6" fillId="21" borderId="1" xfId="0"/>
    <x:xf numFmtId="0" fontId="7" fillId="0" borderId="0" xfId="0"/>
    <x:xf numFmtId="0" fontId="8" fillId="22" borderId="0" xfId="0"/>
    <x:xf numFmtId="166" fontId="0" fillId="0" borderId="0" xfId="0"/>
    <x:xf numFmtId="0" fontId="8" fillId="23" borderId="0" xfId="0"/>
    <x:xf numFmtId="0" fontId="8" fillId="24" borderId="0" xfId="0"/>
    <x:xf numFmtId="165" fontId="0" fillId="0" borderId="0" xfId="0"/>
    <x:xf numFmtId="164" fontId="0" fillId="0" borderId="0" xfId="0"/>
    <x:xf numFmtId="0" fontId="3" fillId="13" borderId="1" xfId="0" applyAlignment="1">
      <x:alignment horizontal="center" wrapText="1"/>
    </x:xf>
    <x:xf numFmtId="166" fontId="2" fillId="18" borderId="0" xfId="0" applyAlignment="1">
      <x:alignment wrapText="1"/>
    </x:xf>
    <x:xf numFmtId="0" fontId="0" fillId="0" borderId="0" xfId="0"/>
    <x:xf numFmtId="0" fontId="0" fillId="2" borderId="0" xfId="0"/>
    <x:xf numFmtId="0" fontId="1" fillId="2" borderId="0" xfId="0"/>
    <x:xf numFmtId="0" fontId="1" fillId="2" borderId="0" xfId="0" applyAlignment="1">
      <x:alignment horizontal="center"/>
    </x:xf>
    <x:xf numFmtId="0" fontId="0" fillId="3" borderId="0" xfId="0"/>
    <x:xf numFmtId="0" fontId="2" fillId="3" borderId="0" xfId="0"/>
    <x:xf numFmtId="0" fontId="2" fillId="2" borderId="0" xfId="0"/>
    <x:xf numFmtId="0" fontId="2" fillId="2" borderId="0" xfId="0" applyAlignment="1">
      <x:alignment wrapText="1"/>
    </x:xf>
    <x:xf numFmtId="164" fontId="0" fillId="0" borderId="0" xfId="0"/>
    <x:xf numFmtId="0" fontId="3" fillId="2" borderId="0" xfId="0"/>
    <x:xf numFmtId="0" fontId="3" fillId="2" borderId="0" xfId="0" applyAlignment="1">
      <x:alignment horizontal="center"/>
    </x:xf>
    <x:xf numFmtId="0" fontId="0" fillId="4" borderId="0" xfId="0"/>
    <x:xf numFmtId="0" fontId="2" fillId="4" borderId="0" xfId="0"/>
    <x:xf numFmtId="0" fontId="2" fillId="4" borderId="0" xfId="0" applyAlignment="1">
      <x:alignment wrapText="1"/>
    </x:xf>
    <x:xf numFmtId="165" fontId="0" fillId="0" borderId="0" xfId="0"/>
    <x:xf numFmtId="0" fontId="0" fillId="5" borderId="0" xfId="0"/>
    <x:xf numFmtId="0" fontId="4" fillId="5" borderId="0" xfId="0"/>
    <x:xf numFmtId="0" fontId="4" fillId="5" borderId="0" xfId="0" applyAlignment="1">
      <x:alignment wrapText="1"/>
    </x:xf>
    <x:xf numFmtId="0" fontId="0" fillId="0" borderId="0" xfId="0" applyAlignment="1">
      <x:alignment wrapText="1"/>
    </x:xf>
    <x:xf numFmtId="0" fontId="0" fillId="8" borderId="0" xfId="0"/>
    <x:xf numFmtId="0" fontId="2" fillId="8" borderId="0" xfId="0"/>
    <x:xf numFmtId="0" fontId="2" fillId="8" borderId="0" xfId="0" applyAlignment="1">
      <x:alignment wrapText="1"/>
    </x:xf>
    <x:xf numFmtId="166" fontId="0" fillId="0" borderId="0" xfId="0"/>
    <x:xf numFmtId="0" fontId="0" fillId="11" borderId="0" xfId="0"/>
    <x:xf numFmtId="0" fontId="5" fillId="11" borderId="0" xfId="0"/>
    <x:xf numFmtId="0" fontId="5" fillId="11" borderId="0" xfId="0" applyAlignment="1">
      <x:alignment wrapText="1"/>
    </x:xf>
    <x:xf numFmtId="0" fontId="2" fillId="3" borderId="0" xfId="0" applyAlignment="1">
      <x:alignment wrapText="1"/>
    </x:xf>
    <x:xf numFmtId="0" fontId="0" fillId="16" borderId="0" xfId="0"/>
    <x:xf numFmtId="0" fontId="2" fillId="16" borderId="0" xfId="0"/>
    <x:xf numFmtId="0" fontId="0" fillId="17" borderId="0" xfId="0"/>
    <x:xf numFmtId="0" fontId="2" fillId="17" borderId="0" xfId="0"/>
    <x:xf numFmtId="0" fontId="2" fillId="17" borderId="0" xfId="0" applyAlignment="1">
      <x:alignment wrapText="1"/>
    </x:xf>
    <x:xf numFmtId="0" fontId="0" fillId="18" borderId="0" xfId="0"/>
    <x:xf numFmtId="166" fontId="0" fillId="18" borderId="0" xfId="0"/>
    <x:xf numFmtId="0" fontId="2" fillId="18" borderId="0" xfId="0"/>
    <x:xf numFmtId="166" fontId="2" fillId="18" borderId="0" xfId="0"/>
    <x:xf numFmtId="0" fontId="2" fillId="18" borderId="0" xfId="0" applyAlignment="1">
      <x:alignment wrapText="1"/>
    </x:xf>
    <x:xf numFmtId="166" fontId="2" fillId="18" borderId="0" xfId="0" applyAlignment="1">
      <x:alignment wrapText="1"/>
    </x:xf>
    <x:xf numFmtId="0" fontId="3" fillId="2" borderId="0" xfId="0" applyAlignment="1">
      <x:alignment horizontal="center" wrapText="1"/>
    </x:xf>
    <x:xf numFmtId="0" fontId="6" fillId="21" borderId="0" xfId="0"/>
    <x:xf numFmtId="0" fontId="7" fillId="0" borderId="0" xfId="0"/>
    <x:xf numFmtId="0" fontId="8" fillId="22" borderId="0" xfId="0"/>
    <x:xf numFmtId="0" fontId="8" fillId="23" borderId="0" xfId="0"/>
    <x:xf numFmtId="0" fontId="8" fillId="24" borderId="0" xfId="0"/>
    <x:xf numFmtId="0" fontId="8" fillId="25" borderId="0" xfId="0"/>
    <x:xf numFmtId="0" fontId="0" fillId="25" borderId="0" xfId="0"/>
    <x:xf numFmtId="0" fontId="2" fillId="25" borderId="0" xfId="0"/>
    <x:xf numFmtId="0" fontId="0" fillId="26" borderId="0" xfId="0"/>
    <x:xf numFmtId="0" fontId="5" fillId="26" borderId="0" xfId="0"/>
    <x:xf numFmtId="0" fontId="6" fillId="21" borderId="0" xfId="0" applyAlignment="1">
      <x:alignment wrapText="1"/>
    </x:xf>
    <x:xf numFmtId="0" fontId="2" fillId="25" borderId="0" xfId="0" applyAlignment="1">
      <x:alignment wrapText="1"/>
    </x:xf>
    <x:xf numFmtId="0" fontId="0" fillId="27" borderId="0" xfId="0"/>
    <x:xf numFmtId="0" fontId="2" fillId="27" borderId="0" xfId="0"/>
    <x:xf numFmtId="0" fontId="2" fillId="27" borderId="0" xfId="0" applyAlignment="1">
      <x:alignment wrapText="1"/>
    </x:xf>
    <x:xf numFmtId="0" fontId="0" fillId="28" borderId="0" xfId="0"/>
    <x:xf numFmtId="0" fontId="4" fillId="28" borderId="0" xfId="0"/>
    <x:xf numFmtId="0" fontId="4" fillId="28" borderId="0" xfId="0" applyAlignment="1">
      <x:alignment wrapText="1"/>
    </x:xf>
    <x:xf numFmtId="0" fontId="8" fillId="2" borderId="0" xfId="0"/>
    <x:xf numFmtId="0" fontId="0" fillId="29" borderId="0" xfId="0"/>
    <x:xf numFmtId="0" fontId="3" fillId="29" borderId="0" xfId="0"/>
    <x:xf numFmtId="0" fontId="3" fillId="29" borderId="0" xfId="0" applyAlignment="1">
      <x:alignment horizontal="center"/>
    </x:xf>
    <x:xf numFmtId="0" fontId="0" fillId="30" borderId="0" xfId="0"/>
    <x:xf numFmtId="0" fontId="2" fillId="30" borderId="0" xfId="0"/>
    <x:xf numFmtId="0" fontId="3" fillId="29" borderId="0" xfId="0" applyAlignment="1">
      <x:alignment horizontal="center" wrapText="1"/>
    </x:xf>
    <x:xf numFmtId="0" fontId="0" fillId="31" borderId="0" xfId="0"/>
    <x:xf numFmtId="0" fontId="2" fillId="31" borderId="0" xfId="0"/>
    <x:xf numFmtId="0" fontId="2" fillId="29" borderId="0" xfId="0"/>
    <x:xf numFmtId="0" fontId="2" fillId="29" borderId="0" xfId="0" applyAlignment="1">
      <x:alignment wrapText="1"/>
    </x:xf>
    <x:xf numFmtId="0" fontId="5" fillId="32" borderId="0" xfId="0" applyAlignment="1">
      <x:alignment wrapText="1"/>
    </x:xf>
    <x:xf numFmtId="166" fontId="5" fillId="11" borderId="0" xfId="0"/>
    <x:xf numFmtId="166" fontId="2" fillId="2" borderId="0" xfId="0"/>
    <x:xf numFmtId="0" fontId="0" fillId="33" borderId="0" xfId="0"/>
    <x:xf numFmtId="0" fontId="4" fillId="33" borderId="0" xfId="0"/>
    <x:xf numFmtId="0" fontId="4" fillId="33" borderId="0" xfId="0" applyAlignment="1">
      <x:alignment wrapText="1"/>
    </x:xf>
    <x:xf numFmtId="0" fontId="0" fillId="34" borderId="0" xfId="0"/>
    <x:xf numFmtId="0" fontId="5" fillId="34" borderId="0" xfId="0"/>
    <x:xf numFmtId="0" fontId="5" fillId="34" borderId="0" xfId="0" applyAlignment="1">
      <x:alignment wrapText="1"/>
    </x:xf>
    <x:xf numFmtId="0" fontId="0" fillId="35" borderId="0" xfId="0"/>
    <x:xf numFmtId="166" fontId="0" fillId="35" borderId="0" xfId="0"/>
    <x:xf numFmtId="0" fontId="2" fillId="35" borderId="0" xfId="0"/>
    <x:xf numFmtId="166" fontId="2" fillId="35" borderId="0" xfId="0"/>
    <x:xf numFmtId="166" fontId="0" fillId="34" borderId="0" xfId="0"/>
    <x:xf numFmtId="166" fontId="5" fillId="34" borderId="0" xfId="0"/>
    <x:xf numFmtId="0" fontId="3" fillId="35" borderId="0" xfId="0"/>
    <x:xf numFmtId="0" fontId="3" fillId="35" borderId="0" xfId="0" applyAlignment="1">
      <x:alignment horizontal="center"/>
    </x:xf>
    <x:xf numFmtId="0" fontId="0" fillId="36" borderId="0" xfId="0"/>
    <x:xf numFmtId="0" fontId="2" fillId="36" borderId="0" xfId="0"/>
    <x:xf numFmtId="0" fontId="3" fillId="35" borderId="0" xfId="0" applyAlignment="1">
      <x:alignment horizontal="center" wrapText="1"/>
    </x:xf>
    <x:xf numFmtId="0" fontId="0" fillId="37" borderId="0" xfId="0"/>
    <x:xf numFmtId="0" fontId="2" fillId="37" borderId="0" xfId="0"/>
    <x:xf numFmtId="0" fontId="0" fillId="38" borderId="0" xfId="0"/>
    <x:xf numFmtId="0" fontId="4" fillId="38" borderId="0" xfId="0"/>
    <x:xf numFmtId="0" fontId="4" fillId="38" borderId="0" xfId="0" applyAlignment="1">
      <x:alignment wrapText="1"/>
    </x:xf>
    <x:xf numFmtId="166" fontId="0" fillId="2" borderId="0" xfId="0"/>
    <x:xf numFmtId="166" fontId="0" fillId="11" borderId="0" xfId="0"/>
    <x:xf numFmtId="0" fontId="0" fillId="39" borderId="0" xfId="0"/>
    <x:xf numFmtId="0" fontId="2" fillId="39" borderId="0" xfId="0"/>
    <x:xf numFmtId="0" fontId="2" fillId="39" borderId="0" xfId="0" applyAlignment="1">
      <x:alignment wrapText="1"/>
    </x:xf>
    <x:xf numFmtId="10" fontId="0" fillId="0" borderId="0" xfId="0"/>
    <x:xf numFmtId="0" fontId="2" fillId="40" borderId="0" xfId="0"/>
    <x:xf numFmtId="0" fontId="2" fillId="40" borderId="0" xfId="0" applyAlignment="1">
      <x:alignment wrapText="1"/>
    </x:xf>
    <x:xf numFmtId="0" fontId="2" fillId="41" borderId="0" xfId="0"/>
    <x:xf numFmtId="0" fontId="0" fillId="42" borderId="0" xfId="0"/>
    <x:xf numFmtId="0" fontId="5" fillId="42" borderId="0" xfId="0"/>
    <x:xf numFmtId="0" fontId="5" fillId="42" borderId="0" xfId="0" applyAlignment="1">
      <x:alignment wrapText="1"/>
    </x:xf>
    <x:xf numFmtId="0" fontId="8" fillId="39" borderId="0" xfId="0"/>
    <x:xf numFmtId="166" fontId="0" fillId="39" borderId="0" xfId="0"/>
    <x:xf numFmtId="166" fontId="2" fillId="39" borderId="0" xfId="0"/>
    <x:xf numFmtId="166" fontId="0" fillId="42" borderId="0" xfId="0"/>
    <x:xf numFmtId="166" fontId="5" fillId="42" borderId="0" xfId="0"/>
    <x:xf numFmtId="0" fontId="0" fillId="43" borderId="0" xfId="0"/>
    <x:xf numFmtId="0" fontId="4" fillId="43" borderId="0" xfId="0"/>
    <x:xf numFmtId="0" fontId="4" fillId="43" borderId="0" xfId="0" applyAlignment="1">
      <x:alignment wrapText="1"/>
    </x:xf>
    <x:xf numFmtId="0" fontId="0" fillId="44" borderId="0" xfId="0"/>
    <x:xf numFmtId="0" fontId="2" fillId="44" borderId="0" xfId="0"/>
    <x:xf numFmtId="0" fontId="2" fillId="44" borderId="0" xfId="0" applyAlignment="1">
      <x:alignment wrapText="1"/>
    </x:xf>
    <x:xf numFmtId="0" fontId="0" fillId="45" borderId="0" xfId="0"/>
    <x:xf numFmtId="0" fontId="2" fillId="45" borderId="0" xfId="0"/>
    <x:xf numFmtId="0" fontId="2" fillId="45" borderId="0" xfId="0" applyAlignment="1">
      <x:alignment wrapText="1"/>
    </x:xf>
    <x:xf numFmtId="0" fontId="0" fillId="46" borderId="0" xfId="0"/>
    <x:xf numFmtId="0" fontId="4" fillId="46" borderId="0" xfId="0"/>
    <x:xf numFmtId="0" fontId="4" fillId="46" borderId="0" xfId="0" applyAlignment="1">
      <x:alignment wrapText="1"/>
    </x:xf>
    <x:xf numFmtId="0" fontId="2" fillId="16" borderId="0" xfId="0" applyAlignment="1">
      <x:alignment wrapText="1"/>
    </x:xf>
    <x:xf numFmtId="0" fontId="0" fillId="47" borderId="0" xfId="0"/>
    <x:xf numFmtId="0" fontId="2" fillId="47" borderId="0" xfId="0"/>
    <x:xf numFmtId="0" fontId="2" fillId="47" borderId="0" xfId="0" applyAlignment="1">
      <x:alignment wrapText="1"/>
    </x:xf>
    <x:xf numFmtId="0" fontId="0" fillId="48" borderId="0" xfId="0"/>
    <x:xf numFmtId="0" fontId="2" fillId="48" borderId="0" xfId="0"/>
    <x:xf numFmtId="0" fontId="2" fillId="48" borderId="0" xfId="0" applyAlignment="1">
      <x:alignment wrapText="1"/>
    </x:xf>
    <x:xf numFmtId="0" fontId="0" fillId="49" borderId="0" xfId="0"/>
    <x:xf numFmtId="0" fontId="4" fillId="49" borderId="0" xfId="0"/>
    <x:xf numFmtId="0" fontId="4" fillId="49" borderId="0" xfId="0" applyAlignment="1">
      <x:alignment wrapText="1"/>
    </x:xf>
    <x:xf numFmtId="0" fontId="0" fillId="50" borderId="0" xfId="0"/>
    <x:xf numFmtId="0" fontId="2" fillId="50" borderId="0" xfId="0"/>
    <x:xf numFmtId="0" fontId="2" fillId="50" borderId="0" xfId="0" applyAlignment="1">
      <x:alignment wrapText="1"/>
    </x:xf>
    <x:xf numFmtId="0" fontId="0" fillId="51" borderId="0" xfId="0"/>
    <x:xf numFmtId="0" fontId="5" fillId="51" borderId="0" xfId="0"/>
    <x:xf numFmtId="0" fontId="5" fillId="51" borderId="0" xfId="0" applyAlignment="1">
      <x:alignment wrapText="1"/>
    </x:xf>
    <x:xf numFmtId="0" fontId="0" fillId="52" borderId="0" xfId="0"/>
    <x:xf numFmtId="0" fontId="2" fillId="52" borderId="0" xfId="0"/>
    <x:xf numFmtId="0" fontId="0" fillId="53" borderId="0" xfId="0"/>
    <x:xf numFmtId="0" fontId="4" fillId="53" borderId="0" xfId="0"/>
    <x:xf numFmtId="0" fontId="4" fillId="53" borderId="0" xfId="0" applyAlignment="1">
      <x:alignment wrapText="1"/>
    </x:xf>
    <x:xf numFmtId="0" fontId="0" fillId="54" borderId="0" xfId="0"/>
    <x:xf numFmtId="0" fontId="2" fillId="54" borderId="0" xfId="0"/>
    <x:xf numFmtId="0" fontId="2" fillId="54" borderId="0" xfId="0" applyAlignment="1">
      <x:alignment wrapText="1"/>
    </x:xf>
    <x:xf numFmtId="0" fontId="0" fillId="55" borderId="0" xfId="0"/>
    <x:xf numFmtId="0" fontId="2" fillId="55" borderId="0" xfId="0"/>
    <x:xf numFmtId="0" fontId="2" fillId="55" borderId="0" xfId="0" applyAlignment="1">
      <x:alignment wrapText="1"/>
    </x:xf>
    <x:xf numFmtId="0" fontId="0" fillId="56" borderId="0" xfId="0"/>
    <x:xf numFmtId="0" fontId="2" fillId="56" borderId="0" xfId="0"/>
    <x:xf numFmtId="0" fontId="2" fillId="56" borderId="0" xfId="0" applyAlignment="1">
      <x:alignment wrapText="1"/>
    </x:xf>
    <x:xf numFmtId="9" fontId="0" fillId="0" borderId="0" xfId="0"/>
    <x:xf numFmtId="0" fontId="0" fillId="57" borderId="0" xfId="0"/>
    <x:xf numFmtId="0" fontId="2" fillId="57" borderId="0" xfId="0"/>
    <x:xf numFmtId="0" fontId="2" fillId="57" borderId="0" xfId="0" applyAlignment="1">
      <x:alignment wrapText="1"/>
    </x:xf>
    <x:xf numFmtId="0" fontId="0" fillId="58" borderId="0" xfId="0"/>
    <x:xf numFmtId="0" fontId="2" fillId="58" borderId="0" xfId="0"/>
    <x:xf numFmtId="0" fontId="2" fillId="58" borderId="0" xfId="0" applyAlignment="1">
      <x:alignment wrapText="1"/>
    </x:xf>
    <x:xf numFmtId="0" fontId="0" fillId="59" borderId="0" xfId="0"/>
    <x:xf numFmtId="0" fontId="2" fillId="59" borderId="0" xfId="0"/>
    <x:xf numFmtId="0" fontId="2" fillId="59" borderId="0" xfId="0" applyAlignment="1">
      <x:alignment wrapText="1"/>
    </x:xf>
    <x:xf numFmtId="0" fontId="0" fillId="60" borderId="0" xfId="0"/>
    <x:xf numFmtId="0" fontId="2" fillId="60" borderId="0" xfId="0"/>
    <x:xf numFmtId="0" fontId="2" fillId="60" borderId="0" xfId="0" applyAlignment="1">
      <x:alignment wrapText="1"/>
    </x:xf>
    <x:xf numFmtId="0" fontId="0" fillId="61" borderId="0" xfId="0"/>
    <x:xf numFmtId="0" fontId="2" fillId="61" borderId="0" xfId="0"/>
    <x:xf numFmtId="0" fontId="2" fillId="61" borderId="0" xfId="0" applyAlignment="1">
      <x:alignment wrapText="1"/>
    </x:xf>
    <x:xf numFmtId="0" fontId="0" fillId="62" borderId="0" xfId="0"/>
    <x:xf numFmtId="0" fontId="2" fillId="62" borderId="0" xfId="0"/>
    <x:xf numFmtId="0" fontId="2" fillId="62" borderId="0" xfId="0" applyAlignment="1">
      <x:alignment wrapText="1"/>
    </x:xf>
    <x:xf numFmtId="0" fontId="0" fillId="63" borderId="0" xfId="0"/>
    <x:xf numFmtId="0" fontId="5" fillId="63" borderId="0" xfId="0"/>
    <x:xf numFmtId="0" fontId="5" fillId="63" borderId="0" xfId="0" applyAlignment="1">
      <x:alignment wrapText="1"/>
    </x:xf>
    <x:xf numFmtId="0" fontId="0" fillId="64" borderId="0" xfId="0"/>
    <x:xf numFmtId="0" fontId="4" fillId="64" borderId="0" xfId="0"/>
    <x:xf numFmtId="0" fontId="4" fillId="64" borderId="0" xfId="0" applyAlignment="1">
      <x:alignment wrapText="1"/>
    </x:xf>
    <x:xf numFmtId="0" fontId="0" fillId="65" borderId="0" xfId="0"/>
    <x:xf numFmtId="0" fontId="2" fillId="65" borderId="0" xfId="0"/>
    <x:xf numFmtId="0" fontId="2" fillId="65" borderId="0" xfId="0" applyAlignment="1">
      <x:alignment wrapText="1"/>
    </x:xf>
    <x:xf numFmtId="0" fontId="1" fillId="2" borderId="0" xfId="0" applyAlignment="1">
      <x:alignment horizontal="center" vertical="bottom"/>
    </x:xf>
    <x:xf numFmtId="0" fontId="0" fillId="0" borderId="0" xfId="0" applyAlignment="1">
      <x:alignment vertical="bottom"/>
    </x:xf>
    <x:xf numFmtId="0" fontId="6" fillId="21" borderId="0" xfId="0" applyAlignment="1">
      <x:alignment vertical="bottom" wrapText="1"/>
    </x:xf>
    <x:xf numFmtId="0" fontId="0" fillId="0" borderId="0" xfId="0" applyAlignment="1">
      <x:alignment vertical="bottom" wrapText="1"/>
    </x:xf>
    <x:xf numFmtId="0" fontId="3" fillId="2" borderId="0" xfId="0" applyAlignment="1">
      <x:alignment horizontal="center" vertical="bottom"/>
    </x:xf>
    <x:xf numFmtId="0" fontId="2" fillId="2" borderId="0" xfId="0" applyAlignment="1">
      <x:alignment vertical="bottom" wrapText="1"/>
    </x:xf>
    <x:xf numFmtId="0" fontId="2" fillId="2" borderId="0" xfId="0" applyAlignment="1">
      <x:alignment vertical="bottom"/>
    </x:xf>
    <x:xf numFmtId="0" fontId="2" fillId="8" borderId="0" xfId="0" applyAlignment="1">
      <x:alignment vertical="bottom" wrapText="1"/>
    </x:xf>
    <x:xf numFmtId="0" fontId="3" fillId="2" borderId="0" xfId="0" applyAlignment="1">
      <x:alignment horizontal="center" vertical="bottom" wrapText="1"/>
    </x:xf>
    <x:xf numFmtId="0" fontId="2" fillId="16" borderId="0" xfId="0" applyAlignment="1">
      <x:alignment vertical="bottom" wrapText="1"/>
    </x:xf>
    <x:xf numFmtId="0" fontId="2" fillId="50" borderId="0" xfId="0" applyAlignment="1">
      <x:alignment vertical="bottom" wrapText="1"/>
    </x:xf>
    <x:xf numFmtId="0" fontId="2" fillId="27" borderId="0" xfId="0" applyAlignment="1">
      <x:alignment vertical="bottom" wrapText="1"/>
    </x:xf>
    <x:xf numFmtId="0" fontId="2" fillId="58" borderId="0" xfId="0" applyAlignment="1">
      <x:alignment vertical="bottom" wrapText="1"/>
    </x:xf>
    <x:xf numFmtId="0" fontId="2" fillId="59" borderId="0" xfId="0" applyAlignment="1">
      <x:alignment vertical="bottom" wrapText="1"/>
    </x:xf>
    <x:xf numFmtId="0" fontId="2" fillId="18" borderId="0" xfId="0" applyAlignment="1">
      <x:alignment vertical="bottom" wrapText="1"/>
    </x:xf>
    <x:xf numFmtId="0" fontId="2" fillId="61" borderId="0" xfId="0" applyAlignment="1">
      <x:alignment vertical="bottom" wrapText="1"/>
    </x:xf>
    <x:xf numFmtId="0" fontId="2" fillId="62" borderId="0" xfId="0" applyAlignment="1">
      <x:alignment vertical="bottom" wrapText="1"/>
    </x:xf>
    <x:xf numFmtId="0" fontId="2" fillId="65" borderId="0" xfId="0" applyAlignment="1">
      <x:alignment vertical="bottom" wrapText="1"/>
    </x:xf>
    <x:xf numFmtId="0" fontId="0" fillId="66" borderId="0" xfId="0"/>
    <x:xf numFmtId="0" fontId="4" fillId="66" borderId="0" xfId="0"/>
    <x:xf numFmtId="0" fontId="4" fillId="66" borderId="0" xfId="0" applyAlignment="1">
      <x:alignment wrapText="1"/>
    </x:xf>
    <x:xf numFmtId="0" fontId="0" fillId="67" borderId="0" xfId="0"/>
    <x:xf numFmtId="0" fontId="2" fillId="67" borderId="0" xfId="0"/>
    <x:xf numFmtId="0" fontId="2" fillId="67" borderId="0" xfId="0" applyAlignment="1">
      <x:alignment wrapText="1"/>
    </x:xf>
    <x:xf numFmtId="0" fontId="2" fillId="67" borderId="0" xfId="0" applyAlignment="1">
      <x:alignment vertical="bottom" wrapText="1"/>
    </x:xf>
    <x:xf numFmtId="0" fontId="0" fillId="68" borderId="0" xfId="0"/>
    <x:xf numFmtId="0" fontId="4" fillId="68" borderId="0" xfId="0"/>
    <x:xf numFmtId="0" fontId="4" fillId="68" borderId="0" xfId="0" applyAlignment="1">
      <x:alignment wrapText="1"/>
    </x:xf>
    <x:xf numFmtId="0" fontId="0" fillId="69" borderId="0" xfId="0"/>
    <x:xf numFmtId="0" fontId="2" fillId="69" borderId="0" xfId="0"/>
    <x:xf numFmtId="0" fontId="2" fillId="69" borderId="0" xfId="0" applyAlignment="1">
      <x:alignment wrapText="1"/>
    </x:xf>
    <x:xf numFmtId="0" fontId="2" fillId="69" borderId="0" xfId="0" applyAlignment="1">
      <x:alignment vertical="bottom" wrapText="1"/>
    </x:xf>
    <x:xf numFmtId="0" fontId="0" fillId="70" borderId="0" xfId="0"/>
    <x:xf numFmtId="0" fontId="2" fillId="70" borderId="0" xfId="0"/>
    <x:xf numFmtId="0" fontId="2" fillId="70" borderId="0" xfId="0" applyAlignment="1">
      <x:alignment wrapText="1"/>
    </x:xf>
    <x:xf numFmtId="0" fontId="0" fillId="71" borderId="0" xfId="0"/>
    <x:xf numFmtId="0" fontId="5" fillId="71" borderId="0" xfId="0"/>
    <x:xf numFmtId="0" fontId="5" fillId="71" borderId="0" xfId="0" applyAlignment="1">
      <x:alignment wrapText="1"/>
    </x:xf>
    <x:xf numFmtId="0" fontId="0" fillId="72" borderId="0" xfId="0"/>
    <x:xf numFmtId="0" fontId="4" fillId="72" borderId="0" xfId="0"/>
    <x:xf numFmtId="0" fontId="4" fillId="72" borderId="0" xfId="0" applyAlignment="1">
      <x:alignment wrapText="1"/>
    </x:xf>
    <x:xf numFmtId="0" fontId="1" fillId="2" borderId="1" xfId="0" applyAlignment="1">
      <x:alignment horizontal="center" vertical="bottom"/>
    </x:xf>
    <x:xf numFmtId="0" fontId="9" fillId="73" borderId="0" xfId="0" applyAlignment="1">
      <x:alignment vertical="bottom"/>
    </x:xf>
    <x:xf numFmtId="0" fontId="9" fillId="74" borderId="0" xfId="0"/>
    <x:xf numFmtId="0" fontId="10" fillId="75" borderId="0" xfId="0"/>
    <x:xf numFmtId="0" fontId="6" fillId="21" borderId="1" xfId="0" applyAlignment="1">
      <x:alignment vertical="bottom" wrapText="1"/>
    </x:xf>
    <x:xf numFmtId="0" fontId="3" fillId="2" borderId="1" xfId="0" applyAlignment="1">
      <x:alignment horizontal="center" vertical="bottom"/>
    </x:xf>
    <x:xf numFmtId="167" fontId="0" fillId="0" borderId="0" xfId="0"/>
    <x:xf numFmtId="10" fontId="0" fillId="0" borderId="0" xfId="0"/>
    <x:xf numFmtId="0" fontId="3" fillId="2" borderId="1" xfId="0" applyAlignment="1">
      <x:alignment horizontal="center" vertical="bottom" wrapText="1"/>
    </x:xf>
    <x:xf numFmtId="9" fontId="0" fillId="0" borderId="0"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164" fontId="0" fillId="0"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165" fontId="0" fillId="0"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166" fontId="0" fillId="0" borderId="0" xfId="0" applyNumberFormat="1" applyFont="1" applyFill="1" applyBorder="1"/>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16" borderId="0" xfId="0" applyNumberFormat="1" applyFont="1" applyFill="1" applyBorder="1"/>
    <x:xf numFmtId="0" fontId="2" fillId="16" borderId="0" xfId="0" applyNumberFormat="1" applyFont="1" applyFill="1" applyBorder="1"/>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0" fillId="18" borderId="0" xfId="0" applyNumberFormat="1" applyFont="1" applyFill="1" applyBorder="1"/>
    <x:xf numFmtId="166" fontId="0" fillId="18" borderId="0" xfId="0" applyNumberFormat="1" applyFont="1" applyFill="1" applyBorder="1"/>
    <x:xf numFmtId="0" fontId="2" fillId="18" borderId="0" xfId="0" applyNumberFormat="1" applyFont="1" applyFill="1" applyBorder="1"/>
    <x:xf numFmtId="166" fontId="2" fillId="18" borderId="0" xfId="0" applyNumberFormat="1" applyFont="1" applyFill="1" applyBorder="1"/>
    <x:xf numFmtId="0" fontId="2" fillId="18" borderId="0" xfId="0" applyNumberFormat="1" applyFont="1" applyFill="1" applyBorder="1" applyAlignment="1">
      <x:alignment wrapText="1"/>
    </x:xf>
    <x:xf numFmtId="166" fontId="2" fillId="18"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6" fillId="21" borderId="0" xfId="0" applyNumberFormat="1" applyFont="1" applyFill="1" applyBorder="1"/>
    <x:xf numFmtId="0" fontId="7" fillId="0" borderId="0" xfId="0" applyNumberFormat="1" applyFont="1" applyFill="1" applyBorder="1"/>
    <x:xf numFmtId="0" fontId="8" fillId="22" borderId="0" xfId="0" applyNumberFormat="1" applyFont="1" applyFill="1" applyBorder="1"/>
    <x:xf numFmtId="0" fontId="8" fillId="23" borderId="0" xfId="0" applyNumberFormat="1" applyFont="1" applyFill="1" applyBorder="1"/>
    <x:xf numFmtId="0" fontId="8" fillId="24" borderId="0" xfId="0" applyNumberFormat="1" applyFont="1" applyFill="1" applyBorder="1"/>
    <x:xf numFmtId="0" fontId="8" fillId="2" borderId="0" xfId="0" applyNumberFormat="1" applyFont="1" applyFill="1" applyBorder="1"/>
    <x:xf numFmtId="0" fontId="6" fillId="21" borderId="0" xfId="0" applyNumberFormat="1" applyFont="1" applyFill="1" applyBorder="1" applyAlignment="1">
      <x:alignment wrapText="1"/>
    </x:xf>
    <x:xf numFmtId="0" fontId="0" fillId="27" borderId="0" xfId="0" applyNumberFormat="1" applyFont="1" applyFill="1" applyBorder="1"/>
    <x:xf numFmtId="0" fontId="2" fillId="27" borderId="0" xfId="0" applyNumberFormat="1" applyFont="1" applyFill="1" applyBorder="1"/>
    <x:xf numFmtId="0" fontId="2" fillId="27" borderId="0" xfId="0" applyNumberFormat="1" applyFont="1" applyFill="1" applyBorder="1" applyAlignment="1">
      <x:alignment wrapText="1"/>
    </x:xf>
    <x:xf numFmtId="166" fontId="5" fillId="11" borderId="0" xfId="0" applyNumberFormat="1" applyFont="1" applyFill="1" applyBorder="1"/>
    <x:xf numFmtId="166" fontId="2" fillId="2" borderId="0" xfId="0" applyNumberFormat="1" applyFont="1" applyFill="1" applyBorder="1"/>
    <x:xf numFmtId="166" fontId="0" fillId="2" borderId="0" xfId="0" applyNumberFormat="1" applyFont="1" applyFill="1" applyBorder="1"/>
    <x:xf numFmtId="166" fontId="0" fillId="11" borderId="0" xfId="0" applyNumberFormat="1" applyFont="1" applyFill="1" applyBorder="1"/>
    <x:xf numFmtId="10" fontId="0" fillId="0" borderId="0" xfId="0" applyNumberFormat="1" applyFont="1" applyFill="1" applyBorder="1"/>
    <x:xf numFmtId="0" fontId="2" fillId="16" borderId="0" xfId="0" applyNumberFormat="1" applyFont="1" applyFill="1" applyBorder="1" applyAlignment="1">
      <x:alignment wrapText="1"/>
    </x:xf>
    <x:xf numFmtId="0" fontId="0" fillId="50" borderId="0" xfId="0" applyNumberFormat="1" applyFont="1" applyFill="1" applyBorder="1"/>
    <x:xf numFmtId="0" fontId="2" fillId="50" borderId="0" xfId="0" applyNumberFormat="1" applyFont="1" applyFill="1" applyBorder="1"/>
    <x:xf numFmtId="0" fontId="2" fillId="50" borderId="0" xfId="0" applyNumberFormat="1" applyFont="1" applyFill="1" applyBorder="1" applyAlignment="1">
      <x:alignment wrapText="1"/>
    </x:xf>
    <x:xf numFmtId="9" fontId="0" fillId="0" borderId="0" xfId="0" applyNumberFormat="1" applyFont="1" applyFill="1" applyBorder="1"/>
    <x:xf numFmtId="0" fontId="0" fillId="58" borderId="0" xfId="0" applyNumberFormat="1" applyFont="1" applyFill="1" applyBorder="1"/>
    <x:xf numFmtId="0" fontId="2" fillId="58" borderId="0" xfId="0" applyNumberFormat="1" applyFont="1" applyFill="1" applyBorder="1"/>
    <x:xf numFmtId="0" fontId="2" fillId="58" borderId="0" xfId="0" applyNumberFormat="1" applyFont="1" applyFill="1" applyBorder="1" applyAlignment="1">
      <x:alignment wrapText="1"/>
    </x:xf>
    <x:xf numFmtId="0" fontId="0" fillId="59" borderId="0" xfId="0" applyNumberFormat="1" applyFont="1" applyFill="1" applyBorder="1"/>
    <x:xf numFmtId="0" fontId="2" fillId="59" borderId="0" xfId="0" applyNumberFormat="1" applyFont="1" applyFill="1" applyBorder="1"/>
    <x:xf numFmtId="0" fontId="2" fillId="59" borderId="0" xfId="0" applyNumberFormat="1" applyFont="1" applyFill="1" applyBorder="1" applyAlignment="1">
      <x:alignment wrapText="1"/>
    </x:xf>
    <x:xf numFmtId="0" fontId="0" fillId="61" borderId="0" xfId="0" applyNumberFormat="1" applyFont="1" applyFill="1" applyBorder="1"/>
    <x:xf numFmtId="0" fontId="2" fillId="61" borderId="0" xfId="0" applyNumberFormat="1" applyFont="1" applyFill="1" applyBorder="1"/>
    <x:xf numFmtId="0" fontId="2" fillId="61" borderId="0" xfId="0" applyNumberFormat="1" applyFont="1" applyFill="1" applyBorder="1" applyAlignment="1">
      <x:alignment wrapText="1"/>
    </x:xf>
    <x:xf numFmtId="0" fontId="0" fillId="62" borderId="0" xfId="0" applyNumberFormat="1" applyFont="1" applyFill="1" applyBorder="1"/>
    <x:xf numFmtId="0" fontId="2" fillId="62" borderId="0" xfId="0" applyNumberFormat="1" applyFont="1" applyFill="1" applyBorder="1"/>
    <x:xf numFmtId="0" fontId="2" fillId="62" borderId="0" xfId="0" applyNumberFormat="1" applyFont="1" applyFill="1" applyBorder="1" applyAlignment="1">
      <x:alignment wrapText="1"/>
    </x:xf>
    <x:xf numFmtId="0" fontId="0" fillId="65" borderId="0" xfId="0" applyNumberFormat="1" applyFont="1" applyFill="1" applyBorder="1"/>
    <x:xf numFmtId="0" fontId="2" fillId="65" borderId="0" xfId="0" applyNumberFormat="1" applyFont="1" applyFill="1" applyBorder="1"/>
    <x:xf numFmtId="0" fontId="2" fillId="65" borderId="0" xfId="0" applyNumberFormat="1" applyFont="1" applyFill="1" applyBorder="1" applyAlignment="1">
      <x:alignment wrapText="1"/>
    </x:xf>
    <x:xf numFmtId="0" fontId="1" fillId="2" borderId="0" xfId="0" applyNumberFormat="1" applyFont="1" applyFill="1" applyBorder="1" applyAlignment="1">
      <x:alignment horizontal="center" vertical="bottom"/>
    </x:xf>
    <x:xf numFmtId="0" fontId="0" fillId="0" borderId="0" xfId="0" applyNumberFormat="1" applyFont="1" applyFill="1" applyBorder="1" applyAlignment="1">
      <x:alignment vertical="bottom"/>
    </x:xf>
    <x:xf numFmtId="0" fontId="6" fillId="21"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3" fillId="2" borderId="0" xfId="0" applyNumberFormat="1" applyFont="1" applyFill="1" applyBorder="1" applyAlignment="1">
      <x:alignment horizontal="center" vertical="bottom"/>
    </x:xf>
    <x:xf numFmtId="0" fontId="2" fillId="2" borderId="0" xfId="0" applyNumberFormat="1" applyFont="1" applyFill="1" applyBorder="1" applyAlignment="1">
      <x:alignment vertical="bottom" wrapText="1"/>
    </x:xf>
    <x:xf numFmtId="0" fontId="2" fillId="2" borderId="0" xfId="0" applyNumberFormat="1" applyFont="1" applyFill="1" applyBorder="1" applyAlignment="1">
      <x:alignment vertical="bottom"/>
    </x:xf>
    <x:xf numFmtId="0" fontId="2" fillId="8" borderId="0" xfId="0" applyNumberFormat="1" applyFont="1" applyFill="1" applyBorder="1" applyAlignment="1">
      <x:alignment vertical="bottom" wrapText="1"/>
    </x:xf>
    <x:xf numFmtId="0" fontId="3" fillId="2" borderId="0" xfId="0" applyNumberFormat="1" applyFont="1" applyFill="1" applyBorder="1" applyAlignment="1">
      <x:alignment horizontal="center" vertical="bottom" wrapText="1"/>
    </x:xf>
    <x:xf numFmtId="0" fontId="2" fillId="16" borderId="0" xfId="0" applyNumberFormat="1" applyFont="1" applyFill="1" applyBorder="1" applyAlignment="1">
      <x:alignment vertical="bottom" wrapText="1"/>
    </x:xf>
    <x:xf numFmtId="0" fontId="2" fillId="50" borderId="0" xfId="0" applyNumberFormat="1" applyFont="1" applyFill="1" applyBorder="1" applyAlignment="1">
      <x:alignment vertical="bottom" wrapText="1"/>
    </x:xf>
    <x:xf numFmtId="0" fontId="2" fillId="27" borderId="0" xfId="0" applyNumberFormat="1" applyFont="1" applyFill="1" applyBorder="1" applyAlignment="1">
      <x:alignment vertical="bottom" wrapText="1"/>
    </x:xf>
    <x:xf numFmtId="0" fontId="2" fillId="58" borderId="0" xfId="0" applyNumberFormat="1" applyFont="1" applyFill="1" applyBorder="1" applyAlignment="1">
      <x:alignment vertical="bottom" wrapText="1"/>
    </x:xf>
    <x:xf numFmtId="0" fontId="2" fillId="59" borderId="0" xfId="0" applyNumberFormat="1" applyFont="1" applyFill="1" applyBorder="1" applyAlignment="1">
      <x:alignment vertical="bottom" wrapText="1"/>
    </x:xf>
    <x:xf numFmtId="0" fontId="2" fillId="18" borderId="0" xfId="0" applyNumberFormat="1" applyFont="1" applyFill="1" applyBorder="1" applyAlignment="1">
      <x:alignment vertical="bottom" wrapText="1"/>
    </x:xf>
    <x:xf numFmtId="0" fontId="2" fillId="61" borderId="0" xfId="0" applyNumberFormat="1" applyFont="1" applyFill="1" applyBorder="1" applyAlignment="1">
      <x:alignment vertical="bottom" wrapText="1"/>
    </x:xf>
    <x:xf numFmtId="0" fontId="2" fillId="62" borderId="0" xfId="0" applyNumberFormat="1" applyFont="1" applyFill="1" applyBorder="1" applyAlignment="1">
      <x:alignment vertical="bottom" wrapText="1"/>
    </x:xf>
    <x:xf numFmtId="0" fontId="2" fillId="65" borderId="0" xfId="0" applyNumberFormat="1" applyFont="1" applyFill="1" applyBorder="1" applyAlignment="1">
      <x:alignment vertical="bottom" wrapText="1"/>
    </x:xf>
    <x:xf numFmtId="0" fontId="8" fillId="2" borderId="0" xfId="0" applyNumberFormat="1" applyFont="1" applyFill="1" applyBorder="1" applyAlignment="1">
      <x:alignment vertical="bottom"/>
    </x:xf>
    <x:xf numFmtId="0" fontId="8" fillId="50" borderId="0" xfId="0" applyNumberFormat="1" applyFont="1" applyFill="1" applyBorder="1"/>
    <x:xf numFmtId="0" fontId="10" fillId="75" borderId="0" xfId="0" applyNumberFormat="1" applyFont="1" applyFill="1" applyBorder="1"/>
    <x:xf numFmtId="167" fontId="0" fillId="0" borderId="0" xfId="0" applyNumberFormat="1" applyFont="1" applyFill="1" applyBorder="1"/>
    <x:xf numFmtId="0" fontId="0" fillId="76" borderId="0" xfId="0" applyNumberFormat="1" applyFont="1" applyFill="1" applyBorder="1"/>
    <x:xf numFmtId="0" fontId="2" fillId="76" borderId="0" xfId="0" applyNumberFormat="1" applyFont="1" applyFill="1" applyBorder="1"/>
    <x:xf numFmtId="0" fontId="2" fillId="76" borderId="0" xfId="0" applyNumberFormat="1" applyFont="1" applyFill="1" applyBorder="1" applyAlignment="1">
      <x:alignment wrapText="1"/>
    </x:xf>
    <x:xf numFmtId="0" fontId="0" fillId="77" borderId="0" xfId="0" applyNumberFormat="1" applyFont="1" applyFill="1" applyBorder="1"/>
    <x:xf numFmtId="0" fontId="2" fillId="77" borderId="0" xfId="0" applyNumberFormat="1" applyFont="1" applyFill="1" applyBorder="1"/>
    <x:xf numFmtId="0" fontId="2" fillId="77" borderId="0" xfId="0" applyNumberFormat="1" applyFont="1" applyFill="1" applyBorder="1" applyAlignment="1">
      <x:alignment wrapText="1"/>
    </x:xf>
    <x:xf numFmtId="0" fontId="0" fillId="78" borderId="0" xfId="0" applyNumberFormat="1" applyFont="1" applyFill="1" applyBorder="1"/>
    <x:xf numFmtId="0" fontId="2" fillId="78" borderId="0" xfId="0" applyNumberFormat="1" applyFont="1" applyFill="1" applyBorder="1"/>
    <x:xf numFmtId="0" fontId="0" fillId="79" borderId="0" xfId="0" applyNumberFormat="1" applyFont="1" applyFill="1" applyBorder="1"/>
    <x:xf numFmtId="0" fontId="2" fillId="79" borderId="0" xfId="0" applyNumberFormat="1" applyFont="1" applyFill="1" applyBorder="1"/>
    <x:xf numFmtId="0" fontId="2" fillId="79" borderId="0" xfId="0" applyNumberFormat="1" applyFont="1" applyFill="1" applyBorder="1" applyAlignment="1">
      <x:alignment wrapText="1"/>
    </x:xf>
    <x:xf numFmtId="0" fontId="0" fillId="80" borderId="0" xfId="0" applyNumberFormat="1" applyFont="1" applyFill="1" applyBorder="1"/>
    <x:xf numFmtId="0" fontId="5" fillId="80" borderId="0" xfId="0" applyNumberFormat="1" applyFont="1" applyFill="1" applyBorder="1"/>
    <x:xf numFmtId="0" fontId="5" fillId="80" borderId="0" xfId="0" applyNumberFormat="1" applyFont="1" applyFill="1" applyBorder="1" applyAlignment="1">
      <x:alignment wrapText="1"/>
    </x:xf>
    <x:xf numFmtId="0" fontId="11" fillId="77" borderId="0" xfId="0" applyNumberFormat="1" applyFont="1" applyFill="1" applyBorder="1"/>
    <x:xf numFmtId="0" fontId="0" fillId="81" borderId="0" xfId="0" applyNumberFormat="1" applyFont="1" applyFill="1" applyBorder="1"/>
    <x:xf numFmtId="0" fontId="4" fillId="81" borderId="0" xfId="0" applyNumberFormat="1" applyFont="1" applyFill="1" applyBorder="1"/>
    <x:xf numFmtId="0" fontId="12" fillId="80" borderId="0" xfId="0" applyNumberFormat="1" applyFont="1" applyFill="1" applyBorder="1"/>
    <x:xf numFmtId="0" fontId="12" fillId="80" borderId="0" xfId="0" applyNumberFormat="1" applyFont="1" applyFill="1" applyBorder="1" applyAlignment="1">
      <x:alignment wrapText="1"/>
    </x:xf>
    <x:xf numFmtId="0" fontId="0" fillId="82" borderId="0" xfId="0" applyNumberFormat="1" applyFont="1" applyFill="1" applyBorder="1"/>
    <x:xf numFmtId="0" fontId="4" fillId="82" borderId="0" xfId="0" applyNumberFormat="1" applyFont="1" applyFill="1" applyBorder="1"/>
    <x:xf numFmtId="0" fontId="4" fillId="82" borderId="0" xfId="0" applyNumberFormat="1" applyFont="1" applyFill="1" applyBorder="1" applyAlignment="1">
      <x:alignment wrapText="1"/>
    </x:xf>
    <x:xf numFmtId="0" fontId="11" fillId="50" borderId="0" xfId="0" applyNumberFormat="1" applyFont="1" applyFill="1" applyBorder="1"/>
    <x:xf numFmtId="0" fontId="0" fillId="75" borderId="0" xfId="0" applyNumberFormat="1" applyFont="1" applyFill="1" applyBorder="1"/>
    <x:xf numFmtId="0" fontId="4" fillId="75" borderId="0" xfId="0" applyNumberFormat="1" applyFont="1" applyFill="1" applyBorder="1"/>
    <x:xf numFmtId="0" fontId="12" fillId="11" borderId="0" xfId="0" applyNumberFormat="1" applyFont="1" applyFill="1" applyBorder="1"/>
    <x:xf numFmtId="0" fontId="12" fillId="11" borderId="0" xfId="0" applyNumberFormat="1" applyFont="1" applyFill="1" applyBorder="1" applyAlignment="1">
      <x:alignment wrapText="1"/>
    </x:xf>
    <x:xf numFmtId="0" fontId="2" fillId="83" borderId="0" xfId="0" applyNumberFormat="1" applyFont="1" applyFill="1" applyBorder="1" applyAlignment="1">
      <x:alignment vertical="bottom" wrapText="1"/>
    </x:xf>
    <x:xf numFmtId="0" fontId="2" fillId="84" borderId="0" xfId="0" applyNumberFormat="1" applyFont="1" applyFill="1" applyBorder="1"/>
    <x:xf numFmtId="166" fontId="2" fillId="84" borderId="0" xfId="0" applyNumberFormat="1" applyFont="1" applyFill="1" applyBorder="1"/>
    <x:xf numFmtId="200" fontId="0" fillId="0" borderId="0" xfId="0" applyNumberFormat="1" applyFont="1" applyFill="1" applyBorder="1"/>
    <x:xf numFmtId="0" fontId="0" fillId="85" borderId="0" xfId="0" applyNumberFormat="1" applyFont="1" applyFill="1" applyBorder="1"/>
    <x:xf numFmtId="0" fontId="4" fillId="85" borderId="0" xfId="0" applyNumberFormat="1" applyFont="1" applyFill="1" applyBorder="1"/>
    <x:xf numFmtId="0" fontId="4" fillId="85" borderId="0" xfId="0" applyNumberFormat="1" applyFont="1" applyFill="1" applyBorder="1" applyAlignment="1">
      <x:alignment wrapText="1"/>
    </x:xf>
    <x:xf numFmtId="0" fontId="0" fillId="86" borderId="0" xfId="0" applyNumberFormat="1" applyFont="1" applyFill="1" applyBorder="1"/>
    <x:xf numFmtId="0" fontId="2" fillId="86" borderId="0" xfId="0" applyNumberFormat="1" applyFont="1" applyFill="1" applyBorder="1"/>
    <x:xf numFmtId="0" fontId="2" fillId="86" borderId="0" xfId="0" applyNumberFormat="1" applyFont="1" applyFill="1" applyBorder="1" applyAlignment="1">
      <x:alignment wrapText="1"/>
    </x:xf>
    <x:xf numFmtId="0" fontId="0" fillId="87" borderId="0" xfId="0" applyNumberFormat="1" applyFont="1" applyFill="1" applyBorder="1"/>
    <x:xf numFmtId="0" fontId="2" fillId="87" borderId="0" xfId="0" applyNumberFormat="1" applyFont="1" applyFill="1" applyBorder="1"/>
    <x:xf numFmtId="0" fontId="2" fillId="87" borderId="0" xfId="0" applyNumberFormat="1" applyFont="1" applyFill="1" applyBorder="1" applyAlignment="1">
      <x:alignment wrapText="1"/>
    </x:xf>
    <x:xf numFmtId="0" fontId="0" fillId="88" borderId="0" xfId="0" applyNumberFormat="1" applyFont="1" applyFill="1" applyBorder="1"/>
    <x:xf numFmtId="0" fontId="4" fillId="88" borderId="0" xfId="0" applyNumberFormat="1" applyFont="1" applyFill="1" applyBorder="1"/>
    <x:xf numFmtId="0" fontId="0" fillId="89" borderId="0" xfId="0" applyNumberFormat="1" applyFont="1" applyFill="1" applyBorder="1"/>
    <x:xf numFmtId="0" fontId="2" fillId="89" borderId="0" xfId="0" applyNumberFormat="1" applyFont="1" applyFill="1" applyBorder="1"/>
    <x:xf numFmtId="0" fontId="2"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0" fillId="91" borderId="0" xfId="0" applyNumberFormat="1" applyFont="1" applyFill="1" applyBorder="1"/>
    <x:xf numFmtId="0" fontId="2" fillId="91" borderId="0" xfId="0" applyNumberFormat="1" applyFont="1" applyFill="1" applyBorder="1"/>
    <x:xf numFmtId="0" fontId="2" fillId="91" borderId="0" xfId="0" applyNumberFormat="1" applyFont="1" applyFill="1" applyBorder="1" applyAlignment="1">
      <x:alignment wrapText="1"/>
    </x:xf>
    <x:xf numFmtId="0" fontId="5" fillId="89" borderId="0" xfId="0" applyNumberFormat="1" applyFont="1" applyFill="1" applyBorder="1" applyAlignment="1">
      <x:alignment wrapText="1"/>
    </x:xf>
    <x:xf numFmtId="0" fontId="2" fillId="90" borderId="0" xfId="0" applyNumberFormat="1" applyFont="1" applyFill="1" applyBorder="1"/>
    <x:xf numFmtId="0" fontId="0" fillId="92" borderId="0" xfId="0" applyNumberFormat="1" applyFont="1" applyFill="1" applyBorder="1"/>
    <x:xf numFmtId="0" fontId="4" fillId="92" borderId="0" xfId="0" applyNumberFormat="1" applyFont="1" applyFill="1" applyBorder="1"/>
    <x:xf numFmtId="0" fontId="4" fillId="92" borderId="0" xfId="0" applyNumberFormat="1" applyFont="1" applyFill="1" applyBorder="1" applyAlignment="1">
      <x:alignment wrapText="1"/>
    </x:xf>
    <x:xf numFmtId="0" fontId="5" fillId="65" borderId="0" xfId="0" applyNumberFormat="1" applyFont="1" applyFill="1" applyBorder="1" applyAlignment="1">
      <x:alignment wrapText="1"/>
    </x:xf>
    <x:xf numFmtId="0" fontId="2" fillId="93" borderId="0" xfId="0" applyNumberFormat="1" applyFont="1" applyFill="1" applyBorder="1" applyAlignment="1">
      <x:alignment wrapText="1"/>
    </x:xf>
    <x:xf numFmtId="0" fontId="0" fillId="94" borderId="0" xfId="0" applyNumberFormat="1" applyFont="1" applyFill="1" applyBorder="1"/>
    <x:xf numFmtId="0" fontId="4" fillId="94" borderId="0" xfId="0" applyNumberFormat="1" applyFont="1" applyFill="1" applyBorder="1"/>
    <x:xf numFmtId="0" fontId="4" fillId="94" borderId="0" xfId="0" applyNumberFormat="1" applyFont="1" applyFill="1" applyBorder="1" applyAlignment="1">
      <x:alignment wrapText="1"/>
    </x:xf>
    <x:xf numFmtId="0" fontId="0" fillId="95" borderId="0" xfId="0" applyNumberFormat="1" applyFont="1" applyFill="1" applyBorder="1"/>
    <x:xf numFmtId="0" fontId="2" fillId="95" borderId="0" xfId="0" applyNumberFormat="1" applyFont="1" applyFill="1" applyBorder="1"/>
    <x:xf numFmtId="0" fontId="2" fillId="95" borderId="0" xfId="0" applyNumberFormat="1" applyFont="1" applyFill="1" applyBorder="1" applyAlignment="1">
      <x:alignment wrapText="1"/>
    </x:xf>
    <x:xf numFmtId="0" fontId="0" fillId="96" borderId="0" xfId="0" applyNumberFormat="1" applyFont="1" applyFill="1" applyBorder="1"/>
    <x:xf numFmtId="0" fontId="4" fillId="96" borderId="0" xfId="0" applyNumberFormat="1" applyFont="1" applyFill="1" applyBorder="1"/>
    <x:xf numFmtId="0" fontId="4" fillId="96" borderId="0" xfId="0" applyNumberFormat="1" applyFont="1" applyFill="1" applyBorder="1" applyAlignment="1">
      <x:alignment wrapText="1"/>
    </x:xf>
    <x:xf numFmtId="0" fontId="0" fillId="97" borderId="0" xfId="0" applyNumberFormat="1" applyFont="1" applyFill="1" applyBorder="1"/>
    <x:xf numFmtId="0" fontId="2" fillId="97" borderId="0" xfId="0" applyNumberFormat="1" applyFont="1" applyFill="1" applyBorder="1"/>
    <x:xf numFmtId="0" fontId="2" fillId="97" borderId="0" xfId="0" applyNumberFormat="1" applyFont="1" applyFill="1" applyBorder="1" applyAlignment="1">
      <x:alignment wrapText="1"/>
    </x:xf>
    <x:xf numFmtId="0" fontId="0" fillId="98" borderId="0" xfId="0" applyNumberFormat="1" applyFont="1" applyFill="1" applyBorder="1"/>
    <x:xf numFmtId="0" fontId="2" fillId="98" borderId="0" xfId="0" applyNumberFormat="1" applyFont="1" applyFill="1" applyBorder="1"/>
    <x:xf numFmtId="0" fontId="2" fillId="98" borderId="0" xfId="0" applyNumberFormat="1" applyFont="1" applyFill="1" applyBorder="1" applyAlignment="1">
      <x:alignment wrapText="1"/>
    </x:xf>
    <x:xf numFmtId="0" fontId="0" fillId="99" borderId="0" xfId="0" applyNumberFormat="1" applyFont="1" applyFill="1" applyBorder="1"/>
    <x:xf numFmtId="0" fontId="4" fillId="99" borderId="0" xfId="0" applyNumberFormat="1" applyFont="1" applyFill="1" applyBorder="1"/>
    <x:xf numFmtId="0" fontId="4" fillId="99" borderId="0" xfId="0" applyNumberFormat="1" applyFont="1" applyFill="1" applyBorder="1" applyAlignment="1">
      <x:alignment wrapText="1"/>
    </x:xf>
    <x:xf numFmtId="0" fontId="4" fillId="97" borderId="0" xfId="0" applyNumberFormat="1" applyFont="1" applyFill="1" applyBorder="1" applyAlignment="1">
      <x:alignment wrapText="1"/>
    </x:xf>
    <x:xf numFmtId="0" fontId="4" fillId="2" borderId="0" xfId="0" applyNumberFormat="1" applyFont="1" applyFill="1" applyBorder="1" applyAlignment="1">
      <x:alignment wrapText="1"/>
    </x:xf>
    <x:xf numFmtId="0" fontId="0" fillId="100" borderId="0" xfId="0" applyNumberFormat="1" applyFont="1" applyFill="1" applyBorder="1"/>
    <x:xf numFmtId="0" fontId="4" fillId="100" borderId="0" xfId="0" applyNumberFormat="1" applyFont="1" applyFill="1" applyBorder="1"/>
    <x:xf numFmtId="0" fontId="4" fillId="100" borderId="0" xfId="0" applyNumberFormat="1" applyFont="1" applyFill="1" applyBorder="1" applyAlignment="1">
      <x:alignment wrapText="1"/>
    </x:xf>
    <x:xf numFmtId="0" fontId="0" fillId="101" borderId="0" xfId="0" applyNumberFormat="1" applyFont="1" applyFill="1" applyBorder="1"/>
    <x:xf numFmtId="0" fontId="2" fillId="101" borderId="0" xfId="0" applyNumberFormat="1" applyFont="1" applyFill="1" applyBorder="1"/>
    <x:xf numFmtId="0" fontId="2" fillId="101" borderId="0" xfId="0" applyNumberFormat="1" applyFont="1" applyFill="1" applyBorder="1" applyAlignment="1">
      <x:alignment wrapText="1"/>
    </x:xf>
    <x:xf numFmtId="0" fontId="0" fillId="102" borderId="0" xfId="0" applyNumberFormat="1" applyFont="1" applyFill="1" applyBorder="1"/>
    <x:xf numFmtId="0" fontId="2" fillId="102" borderId="0" xfId="0" applyNumberFormat="1" applyFont="1" applyFill="1" applyBorder="1"/>
    <x:xf numFmtId="164" fontId="5" fillId="11" borderId="0" xfId="0" applyNumberFormat="1" applyFont="1" applyFill="1" applyBorder="1" applyAlignment="1">
      <x:alignment wrapText="1"/>
    </x:xf>
    <x:xf numFmtId="0" fontId="0" fillId="103" borderId="0" xfId="0" applyNumberFormat="1" applyFont="1" applyFill="1" applyBorder="1"/>
    <x:xf numFmtId="0" fontId="2" fillId="103" borderId="0" xfId="0" applyNumberFormat="1" applyFont="1" applyFill="1" applyBorder="1"/>
    <x:xf numFmtId="0" fontId="2" fillId="103" borderId="0" xfId="0" applyNumberFormat="1" applyFont="1" applyFill="1" applyBorder="1" applyAlignment="1">
      <x:alignment wrapText="1"/>
    </x:xf>
    <x:xf numFmtId="164" fontId="0" fillId="0" borderId="0" xfId="0" applyNumberFormat="1" applyFont="1" applyFill="1" applyBorder="1" applyAlignment="1">
      <x:alignment wrapText="1"/>
    </x:xf>
    <x:xf numFmtId="0" fontId="0" fillId="104" borderId="0" xfId="0" applyNumberFormat="1" applyFont="1" applyFill="1" applyBorder="1"/>
    <x:xf numFmtId="0" fontId="2" fillId="104" borderId="0" xfId="0" applyNumberFormat="1" applyFont="1" applyFill="1" applyBorder="1"/>
    <x:xf numFmtId="0" fontId="8" fillId="2" borderId="0" xfId="0" applyNumberFormat="1" applyFont="1" applyFill="1" applyBorder="1" applyAlignment="1">
      <x:alignment vertical="bottom" wrapText="1"/>
    </x:xf>
    <x:xf numFmtId="0" fontId="0" fillId="21" borderId="0" xfId="0" applyNumberFormat="1" applyFont="1" applyFill="1" applyBorder="1"/>
    <x:xf numFmtId="0" fontId="2" fillId="21" borderId="0" xfId="0" applyNumberFormat="1" applyFont="1" applyFill="1" applyBorder="1"/>
    <x:xf numFmtId="0" fontId="1" fillId="105" borderId="0" xfId="0" applyNumberFormat="1" applyFont="1" applyFill="1" applyBorder="1" applyAlignment="1">
      <x:alignment horizontal="center" vertical="bottom"/>
    </x:xf>
    <x:xf numFmtId="0" fontId="0" fillId="105" borderId="0" xfId="0" applyNumberFormat="1" applyFont="1" applyFill="1" applyBorder="1"/>
    <x:xf numFmtId="0" fontId="0" fillId="105" borderId="0" xfId="0" applyNumberFormat="1" applyFont="1" applyFill="1" applyBorder="1" applyAlignment="1">
      <x:alignment vertical="bottom"/>
    </x:xf>
    <x:xf numFmtId="0" fontId="1" fillId="105" borderId="0" xfId="0" applyNumberFormat="1" applyFont="1" applyFill="1" applyBorder="1"/>
    <x:xf numFmtId="0" fontId="1" fillId="105" borderId="0" xfId="0" applyNumberFormat="1" applyFont="1" applyFill="1" applyBorder="1" applyAlignment="1">
      <x:alignment vertical="bottom"/>
    </x:xf>
    <x:xf numFmtId="0" fontId="1" fillId="105" borderId="0" xfId="0" applyNumberFormat="1" applyFont="1" applyFill="1" applyBorder="1" applyAlignment="1">
      <x:alignment horizontal="center"/>
    </x:xf>
    <x:xf numFmtId="0" fontId="1" fillId="105" borderId="0" xfId="0" applyNumberFormat="1" applyFont="1" applyFill="1" applyBorder="1" applyAlignment="1">
      <x:alignment horizontal="center" vertical="center"/>
    </x:xf>
    <x:xf numFmtId="0" fontId="2" fillId="106" borderId="0" xfId="0" applyNumberFormat="1" applyFont="1" applyFill="1" applyBorder="1"/>
    <x:xf numFmtId="0" fontId="13" fillId="106" borderId="0" xfId="0" applyNumberFormat="1" applyFont="1" applyFill="1" applyBorder="1"/>
    <x:xf numFmtId="0" fontId="13" fillId="106" borderId="0" xfId="0" applyNumberFormat="1" applyFont="1" applyFill="1" applyBorder="1" applyAlignment="1">
      <x:alignment horizontal="center"/>
    </x:xf>
    <x:xf numFmtId="0" fontId="0" fillId="107" borderId="0" xfId="0" applyNumberFormat="1" applyFont="1" applyFill="1" applyBorder="1"/>
    <x:xf numFmtId="0" fontId="14" fillId="107" borderId="0" xfId="0" applyNumberFormat="1" applyFont="1" applyFill="1" applyBorder="1"/>
    <x:xf numFmtId="0" fontId="13" fillId="106" borderId="2" xfId="0" applyNumberFormat="1" applyFont="1" applyFill="1" applyBorder="1" applyAlignment="1">
      <x:alignment horizontal="center"/>
    </x:xf>
    <x:xf numFmtId="0" fontId="13" fillId="106"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14" fillId="107" borderId="4" xfId="0" applyNumberFormat="1" applyFont="1" applyFill="1" applyBorder="1"/>
    <x:xf numFmtId="0" fontId="14" fillId="107" borderId="5" xfId="0" applyNumberFormat="1" applyFont="1" applyFill="1" applyBorder="1"/>
    <x:xf numFmtId="166" fontId="0" fillId="0" borderId="5" xfId="0" applyNumberFormat="1" applyFont="1" applyFill="1" applyBorder="1"/>
    <x:xf numFmtId="0" fontId="5" fillId="11" borderId="4" xfId="0" applyNumberFormat="1" applyFont="1" applyFill="1" applyBorder="1" applyAlignment="1">
      <x:alignment wrapText="1"/>
    </x:xf>
    <x:xf numFmtId="0" fontId="5" fillId="11" borderId="5" xfId="0" applyNumberFormat="1" applyFont="1" applyFill="1" applyBorder="1" applyAlignment="1">
      <x:alignment wrapText="1"/>
    </x:xf>
    <x:xf numFmtId="0" fontId="5" fillId="11" borderId="6" xfId="0" applyNumberFormat="1" applyFont="1" applyFill="1" applyBorder="1" applyAlignment="1">
      <x:alignment wrapText="1"/>
    </x:xf>
    <x:xf numFmtId="0" fontId="5" fillId="11" borderId="7" xfId="0" applyNumberFormat="1" applyFont="1" applyFill="1" applyBorder="1" applyAlignment="1">
      <x:alignment wrapText="1"/>
    </x:xf>
    <x:xf numFmtId="0" fontId="0" fillId="108" borderId="0" xfId="0" applyNumberFormat="1" applyFont="1" applyFill="1" applyBorder="1"/>
    <x:xf numFmtId="0" fontId="15" fillId="108" borderId="0" xfId="0" applyNumberFormat="1" applyFont="1" applyFill="1" applyBorder="1"/>
    <x:xf numFmtId="0" fontId="15" fillId="108" borderId="0" xfId="0" applyNumberFormat="1" applyFont="1" applyFill="1" applyBorder="1" applyAlignment="1">
      <x:alignment horizontal="center"/>
    </x:xf>
    <x:xf numFmtId="0" fontId="0" fillId="109" borderId="0" xfId="0" applyNumberFormat="1" applyFont="1" applyFill="1" applyBorder="1"/>
    <x:xf numFmtId="0" fontId="16" fillId="109" borderId="0" xfId="0" applyNumberFormat="1" applyFont="1" applyFill="1" applyBorder="1"/>
    <x:xf numFmtId="0" fontId="16" fillId="109" borderId="0" xfId="0" applyNumberFormat="1" applyFont="1" applyFill="1" applyBorder="1" applyAlignment="1">
      <x:alignment horizontal="center"/>
    </x:xf>
    <x:xf numFmtId="0" fontId="2" fillId="110" borderId="0" xfId="0" applyNumberFormat="1" applyFont="1" applyFill="1" applyBorder="1" applyAlignment="1">
      <x:alignment wrapText="1"/>
    </x:xf>
    <x:xf numFmtId="0" fontId="17" fillId="110" borderId="0" xfId="0" applyNumberFormat="1" applyFont="1" applyFill="1" applyBorder="1" applyAlignment="1">
      <x:alignment wrapText="1"/>
    </x:xf>
    <x:xf numFmtId="0" fontId="17" fillId="110" borderId="0" xfId="0" applyNumberFormat="1" applyFont="1" applyFill="1" applyBorder="1" applyAlignment="1">
      <x:alignment horizontal="center" wrapText="1"/>
    </x:xf>
    <x:xf numFmtId="0" fontId="0" fillId="111" borderId="0" xfId="0" applyNumberFormat="1" applyFont="1" applyFill="1" applyBorder="1"/>
    <x:xf numFmtId="0" fontId="18" fillId="111" borderId="0" xfId="0" applyNumberFormat="1" applyFont="1" applyFill="1" applyBorder="1"/>
    <x:xf numFmtId="0" fontId="18" fillId="111" borderId="0" xfId="0" applyNumberFormat="1" applyFont="1" applyFill="1" applyBorder="1" applyAlignment="1">
      <x:alignment horizontal="center"/>
    </x:xf>
    <x:xf numFmtId="0" fontId="18" fillId="111" borderId="0" xfId="0" applyNumberFormat="1" applyFont="1" applyFill="1" applyBorder="1" applyAlignment="1">
      <x:alignment horizontal="center" wrapText="1"/>
    </x:xf>
    <x:xf numFmtId="0" fontId="0" fillId="0"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8" fillId="2"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2" fillId="21" borderId="0" xfId="0" applyNumberFormat="1" applyFont="1" applyFill="1" applyBorder="1" applyAlignment="1">
      <x:alignment vertical="center"/>
    </x:xf>
    <x:xf numFmtId="0" fontId="13" fillId="106" borderId="2" xfId="0" applyNumberFormat="1" applyFont="1" applyFill="1" applyBorder="1" applyAlignment="1">
      <x:alignment horizontal="center" vertical="center"/>
    </x:xf>
    <x:xf numFmtId="0" fontId="13" fillId="106" borderId="3" xfId="0" applyNumberFormat="1" applyFont="1" applyFill="1" applyBorder="1" applyAlignment="1">
      <x:alignment horizontal="center" vertical="center"/>
    </x:xf>
    <x:xf numFmtId="0" fontId="15" fillId="108" borderId="0" xfId="0" applyNumberFormat="1" applyFont="1" applyFill="1" applyBorder="1" applyAlignment="1">
      <x:alignment horizontal="center" vertical="center"/>
    </x:xf>
    <x:xf numFmtId="0" fontId="16" fillId="109" borderId="0" xfId="0" applyNumberFormat="1" applyFont="1" applyFill="1" applyBorder="1" applyAlignment="1">
      <x:alignment horizontal="center" vertical="center"/>
    </x:xf>
    <x:xf numFmtId="166" fontId="0" fillId="0" borderId="0" xfId="0" applyNumberFormat="1" applyFont="1" applyFill="1" applyBorder="1" applyAlignment="1">
      <x:alignmen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14" fillId="107" borderId="4" xfId="0" applyNumberFormat="1" applyFont="1" applyFill="1" applyBorder="1" applyAlignment="1">
      <x:alignment vertical="center"/>
    </x:xf>
    <x:xf numFmtId="0" fontId="14" fillId="107" borderId="5" xfId="0" applyNumberFormat="1" applyFont="1" applyFill="1" applyBorder="1" applyAlignment="1">
      <x:alignment vertical="center"/>
    </x:xf>
    <x:xf numFmtId="166" fontId="0" fillId="0" borderId="5" xfId="0" applyNumberFormat="1" applyFont="1" applyFill="1" applyBorder="1" applyAlignment="1">
      <x:alignment vertical="center"/>
    </x:xf>
    <x:xf numFmtId="0" fontId="5" fillId="11" borderId="4" xfId="0" applyNumberFormat="1" applyFont="1" applyFill="1" applyBorder="1" applyAlignment="1">
      <x:alignment vertical="center" wrapText="1"/>
    </x:xf>
    <x:xf numFmtId="0" fontId="5" fillId="11" borderId="5" xfId="0" applyNumberFormat="1" applyFont="1" applyFill="1" applyBorder="1" applyAlignment="1">
      <x:alignment vertical="center" wrapText="1"/>
    </x:xf>
    <x:xf numFmtId="0" fontId="5" fillId="11" borderId="6" xfId="0" applyNumberFormat="1" applyFont="1" applyFill="1" applyBorder="1" applyAlignment="1">
      <x:alignment vertical="center" wrapText="1"/>
    </x:xf>
    <x:xf numFmtId="0" fontId="5" fillId="11" borderId="7" xfId="0" applyNumberFormat="1" applyFont="1" applyFill="1" applyBorder="1" applyAlignment="1">
      <x:alignment vertical="center" wrapText="1"/>
    </x:xf>
    <x:xf numFmtId="0" fontId="5" fillId="11" borderId="0" xfId="0" applyNumberFormat="1" applyFont="1" applyFill="1" applyBorder="1" applyAlignment="1">
      <x:alignment vertical="center" wrapText="1"/>
    </x:xf>
    <x:xf numFmtId="0" fontId="17" fillId="110" borderId="0" xfId="0" applyNumberFormat="1" applyFont="1" applyFill="1" applyBorder="1" applyAlignment="1">
      <x:alignment horizontal="center" vertical="center" wrapText="1"/>
    </x:xf>
    <x:xf numFmtId="0" fontId="2" fillId="2" borderId="0" xfId="0" applyNumberFormat="1" applyFont="1" applyFill="1" applyBorder="1" applyAlignment="1">
      <x:alignment vertical="center" wrapText="1"/>
    </x:xf>
    <x:xf numFmtId="0" fontId="2" fillId="59" borderId="0" xfId="0" applyNumberFormat="1" applyFont="1" applyFill="1" applyBorder="1" applyAlignment="1">
      <x:alignment vertical="center" wrapText="1"/>
    </x:xf>
    <x:xf numFmtId="0" fontId="18" fillId="111" borderId="0" xfId="0" applyNumberFormat="1" applyFont="1" applyFill="1" applyBorder="1" applyAlignment="1">
      <x:alignment horizontal="center" vertical="center" wrapText="1"/>
    </x:xf>
    <x:xf numFmtId="164" fontId="5" fillId="11" borderId="0" xfId="0" applyNumberFormat="1" applyFont="1" applyFill="1" applyBorder="1" applyAlignment="1">
      <x:alignment vertical="center" wrapText="1"/>
    </x:xf>
    <x:xf numFmtId="0" fontId="2" fillId="61" borderId="0" xfId="0" applyNumberFormat="1" applyFont="1" applyFill="1" applyBorder="1" applyAlignment="1">
      <x:alignment vertical="center"/>
    </x:xf>
    <x:xf numFmtId="0" fontId="8" fillId="50" borderId="0" xfId="0" applyNumberFormat="1" applyFont="1" applyFill="1" applyBorder="1" applyAlignment="1">
      <x:alignment vertical="center"/>
    </x:xf>
    <x:xf numFmtId="0" fontId="2" fillId="50" borderId="0" xfId="0" applyNumberFormat="1" applyFont="1" applyFill="1" applyBorder="1" applyAlignment="1">
      <x:alignment vertical="center"/>
    </x:xf>
    <x:xf numFmtId="0" fontId="13" fillId="106" borderId="0" xfId="0" applyNumberFormat="1" applyFont="1" applyFill="1" applyBorder="1" applyAlignment="1">
      <x:alignment horizontal="center" vertical="center"/>
    </x:xf>
    <x:xf numFmtId="0" fontId="14" fillId="107" borderId="0" xfId="0" applyNumberFormat="1" applyFont="1" applyFill="1" applyBorder="1" applyAlignment="1">
      <x:alignment vertical="center"/>
    </x:xf>
    <x:xf numFmtId="0" fontId="13" fillId="106" borderId="0" xfId="0" applyNumberFormat="1" applyFont="1" applyFill="1" applyBorder="1" applyAlignment="1">
      <x:alignment horizontal="center" vertical="center" wrapText="1"/>
    </x:xf>
    <x:xf numFmtId="0" fontId="14" fillId="107" borderId="0" xfId="0" applyNumberFormat="1" applyFont="1" applyFill="1" applyBorder="1" applyAlignment="1">
      <x:alignment vertical="center" wrapText="1"/>
    </x:xf>
    <x:xf numFmtId="166" fontId="0" fillId="0" borderId="0" xfId="0" applyNumberFormat="1" applyFont="1" applyFill="1" applyBorder="1" applyAlignment="1">
      <x:alignment vertical="center" wrapText="1"/>
    </x:xf>
    <x:xf numFmtId="0" fontId="0" fillId="112" borderId="0" xfId="0" applyNumberFormat="1" applyFont="1" applyFill="1" applyBorder="1"/>
    <x:xf numFmtId="0" fontId="2" fillId="112" borderId="0" xfId="0" applyNumberFormat="1" applyFont="1" applyFill="1" applyBorder="1"/>
    <x:xf numFmtId="0" fontId="2" fillId="112" borderId="0" xfId="0" applyNumberFormat="1" applyFont="1" applyFill="1" applyBorder="1" applyAlignment="1">
      <x:alignment wrapText="1"/>
    </x:xf>
    <x:xf numFmtId="0" fontId="2" fillId="105" borderId="0" xfId="0" applyNumberFormat="1" applyFont="1" applyFill="1" applyBorder="1"/>
    <x:xf numFmtId="0" fontId="2" fillId="105" borderId="0" xfId="0" applyNumberFormat="1" applyFont="1" applyFill="1" applyBorder="1" applyAlignment="1">
      <x:alignment wrapText="1"/>
    </x:xf>
    <x:xf numFmtId="0" fontId="0" fillId="113" borderId="0" xfId="0" applyNumberFormat="1" applyFont="1" applyFill="1" applyBorder="1"/>
    <x:xf numFmtId="0" fontId="2" fillId="113" borderId="0" xfId="0" applyNumberFormat="1" applyFont="1" applyFill="1" applyBorder="1"/>
    <x:xf numFmtId="0" fontId="2" fillId="113" borderId="0" xfId="0" applyNumberFormat="1" applyFont="1" applyFill="1" applyBorder="1" applyAlignment="1">
      <x:alignment horizontal="center"/>
    </x:xf>
    <x:xf numFmtId="0" fontId="2" fillId="113" borderId="0" xfId="0" applyNumberFormat="1" applyFont="1" applyFill="1" applyBorder="1" applyAlignment="1">
      <x:alignment horizontal="center" vertical="center"/>
    </x:xf>
    <x:xf numFmtId="0" fontId="2" fillId="113" borderId="0" xfId="0" applyNumberFormat="1" applyFont="1" applyFill="1" applyBorder="1" applyAlignment="1">
      <x:alignment horizontal="center" vertical="center" wrapText="1"/>
    </x:xf>
    <x:xf numFmtId="0" fontId="0" fillId="114" borderId="0" xfId="0" applyNumberFormat="1" applyFont="1" applyFill="1" applyBorder="1"/>
    <x:xf numFmtId="166" fontId="0" fillId="114" borderId="0" xfId="0" applyNumberFormat="1" applyFont="1" applyFill="1" applyBorder="1"/>
    <x:xf numFmtId="0" fontId="2" fillId="114" borderId="0" xfId="0" applyNumberFormat="1" applyFont="1" applyFill="1" applyBorder="1"/>
    <x:xf numFmtId="166" fontId="2" fillId="114" borderId="0" xfId="0" applyNumberFormat="1" applyFont="1" applyFill="1" applyBorder="1"/>
    <x:xf numFmtId="0" fontId="2" fillId="114" borderId="0" xfId="0" applyNumberFormat="1" applyFont="1" applyFill="1" applyBorder="1" applyAlignment="1">
      <x:alignment wrapText="1"/>
    </x:xf>
    <x:xf numFmtId="166" fontId="2" fillId="114" borderId="0" xfId="0" applyNumberFormat="1" applyFont="1" applyFill="1" applyBorder="1" applyAlignment="1">
      <x:alignment wrapText="1"/>
    </x:xf>
    <x:xf numFmtId="166" fontId="0" fillId="0" borderId="0" xfId="0" applyNumberFormat="1" applyFont="1" applyFill="1" applyBorder="1" applyAlignment="1">
      <x:alignment wrapText="1"/>
    </x:xf>
  </x:cellXfs>
  <x:cellStyles count="1">
    <x:cellStyle name="Normal" xfId="0"/>
  </x:cellStyles>
  <x:dxfs count="3">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eee86964e504ff7" /><Relationship Type="http://schemas.openxmlformats.org/officeDocument/2006/relationships/theme" Target="/xl/theme/theme1.xml" Id="R5084ffea332f4195" /><Relationship Type="http://schemas.openxmlformats.org/officeDocument/2006/relationships/sharedStrings" Target="/xl/sharedStrings.xml" Id="R6aedc9a07b2c42af" /><Relationship Type="http://schemas.openxmlformats.org/officeDocument/2006/relationships/worksheet" Target="/xl/worksheets/sheet1.xml" Id="R5dd5814e713745bf" /><Relationship Type="http://schemas.openxmlformats.org/officeDocument/2006/relationships/worksheet" Target="/xl/worksheets/sheet2.xml" Id="Rc51ca88d32f24115" /><Relationship Type="http://schemas.openxmlformats.org/officeDocument/2006/relationships/worksheet" Target="/xl/worksheets/sheet3.xml" Id="R85b2b71012514c44" /><Relationship Type="http://schemas.openxmlformats.org/officeDocument/2006/relationships/worksheet" Target="/xl/worksheets/sheet4.xml" Id="R7135d539289b45a5" /><Relationship Type="http://schemas.openxmlformats.org/officeDocument/2006/relationships/worksheet" Target="/xl/worksheets/sheet5.xml" Id="Re772db5457f943c6" /><Relationship Type="http://schemas.openxmlformats.org/officeDocument/2006/relationships/worksheet" Target="/xl/worksheets/sheet6.xml" Id="R554aa9358c37408f" /><Relationship Type="http://schemas.openxmlformats.org/officeDocument/2006/relationships/worksheet" Target="/xl/worksheets/sheet7.xml" Id="R212f0304c69349ee" /><Relationship Type="http://schemas.openxmlformats.org/officeDocument/2006/relationships/worksheet" Target="/xl/worksheets/sheet8.xml" Id="Rb436cc98bea74bcc" /><Relationship Type="http://schemas.openxmlformats.org/officeDocument/2006/relationships/worksheet" Target="/xl/worksheets/sheet9.xml" Id="R58740494139947f9" /><Relationship Type="http://schemas.openxmlformats.org/officeDocument/2006/relationships/worksheet" Target="/xl/worksheets/sheet10.xml" Id="R284fc7c97bb74757" /><Relationship Type="http://schemas.openxmlformats.org/officeDocument/2006/relationships/worksheet" Target="/xl/worksheets/sheet11.xml" Id="R3f10d5d5e4384c96" /><Relationship Type="http://schemas.openxmlformats.org/officeDocument/2006/relationships/worksheet" Target="/xl/worksheets/sheet12.xml" Id="Rc5740f02f5444d49" /><Relationship Type="http://schemas.openxmlformats.org/officeDocument/2006/relationships/worksheet" Target="/xl/worksheets/sheet13.xml" Id="R3f8ce1f86fe34056" /><Relationship Type="http://schemas.openxmlformats.org/officeDocument/2006/relationships/worksheet" Target="/xl/worksheets/sheet14.xml" Id="R19773b35d12e4f0d" /><Relationship Type="http://schemas.openxmlformats.org/officeDocument/2006/relationships/worksheet" Target="/xl/worksheets/sheet15.xml" Id="Rfd6b8d96090f4d77" /><Relationship Type="http://schemas.openxmlformats.org/officeDocument/2006/relationships/worksheet" Target="/xl/worksheets/sheet16.xml" Id="R29aadf2b4a6a463c" /><Relationship Type="http://schemas.openxmlformats.org/officeDocument/2006/relationships/worksheet" Target="/xl/worksheets/sheet17.xml" Id="R123fcb8b93cd4e52" /><Relationship Type="http://schemas.openxmlformats.org/officeDocument/2006/relationships/worksheet" Target="/xl/worksheets/sheet18.xml" Id="R97b530c56c6740e8" /><Relationship Type="http://schemas.openxmlformats.org/officeDocument/2006/relationships/worksheet" Target="/xl/worksheets/sheet19.xml" Id="Rceb7832436354e60" /><Relationship Type="http://schemas.openxmlformats.org/officeDocument/2006/relationships/worksheet" Target="/xl/worksheets/sheet20.xml" Id="R759cb43cb61342bb" /><Relationship Type="http://schemas.openxmlformats.org/officeDocument/2006/relationships/worksheet" Target="/xl/worksheets/sheet21.xml" Id="R9ba811bae35b4521" /><Relationship Type="http://schemas.openxmlformats.org/officeDocument/2006/relationships/worksheet" Target="/xl/worksheets/sheet22.xml" Id="R2ee7b2ef65f2496e" /><Relationship Type="http://schemas.openxmlformats.org/officeDocument/2006/relationships/worksheet" Target="/xl/worksheets/sheet23.xml" Id="R1512acf6218246d0" /><Relationship Type="http://schemas.openxmlformats.org/officeDocument/2006/relationships/worksheet" Target="/xl/worksheets/sheet24.xml" Id="Rb14e1d00430b4ad6" /><Relationship Type="http://schemas.openxmlformats.org/officeDocument/2006/relationships/worksheet" Target="/xl/worksheets/sheet25.xml" Id="R75bb261207b547c9" /><Relationship Type="http://schemas.openxmlformats.org/officeDocument/2006/relationships/worksheet" Target="/xl/worksheets/sheet26.xml" Id="Redaad71cf0a74808" /><Relationship Type="http://schemas.openxmlformats.org/officeDocument/2006/relationships/worksheet" Target="/xl/worksheets/sheet27.xml" Id="R91f4fdc751784321" /><Relationship Type="http://schemas.openxmlformats.org/officeDocument/2006/relationships/worksheet" Target="/xl/worksheets/sheet28.xml" Id="R20c8292320bc4e3b" /><Relationship Type="http://schemas.openxmlformats.org/officeDocument/2006/relationships/worksheet" Target="/xl/worksheets/sheet29.xml" Id="R97cd530595264f1e" /><Relationship Type="http://schemas.openxmlformats.org/officeDocument/2006/relationships/worksheet" Target="/xl/worksheets/sheet30.xml" Id="Re0b55a0de4dc44a7" /><Relationship Type="http://schemas.openxmlformats.org/officeDocument/2006/relationships/worksheet" Target="/xl/worksheets/sheet31.xml" Id="Rcf8ecad125764571" /><Relationship Type="http://schemas.openxmlformats.org/officeDocument/2006/relationships/worksheet" Target="/xl/worksheets/sheet32.xml" Id="R51e8d7d4382e4c00" /><Relationship Type="http://schemas.openxmlformats.org/officeDocument/2006/relationships/worksheet" Target="/xl/worksheets/sheet33.xml" Id="R9fff83f10ee044d6" /><Relationship Type="http://schemas.openxmlformats.org/officeDocument/2006/relationships/worksheet" Target="/xl/worksheets/sheet34.xml" Id="Rfc370903358347f0" /><Relationship Type="http://schemas.openxmlformats.org/officeDocument/2006/relationships/worksheet" Target="/xl/worksheets/sheet35.xml" Id="Rd8b44c3a6d76404e" /><Relationship Type="http://schemas.openxmlformats.org/officeDocument/2006/relationships/worksheet" Target="/xl/worksheets/sheet36.xml" Id="R56a6d424f89e4f90" /><Relationship Type="http://schemas.openxmlformats.org/officeDocument/2006/relationships/worksheet" Target="/xl/worksheets/sheet37.xml" Id="R6865e22100024368" /><Relationship Type="http://schemas.openxmlformats.org/officeDocument/2006/relationships/worksheet" Target="/xl/worksheets/sheet38.xml" Id="R19263bf31ba84a16" /><Relationship Type="http://schemas.openxmlformats.org/officeDocument/2006/relationships/worksheet" Target="/xl/worksheets/sheet39.xml" Id="R6068d98c80864ba8" /><Relationship Type="http://schemas.openxmlformats.org/officeDocument/2006/relationships/worksheet" Target="/xl/worksheets/sheet40.xml" Id="R58cda408477847ec" /><Relationship Type="http://schemas.openxmlformats.org/officeDocument/2006/relationships/worksheet" Target="/xl/worksheets/sheet41.xml" Id="Rbe3c1680b1b44d18" /><Relationship Type="http://schemas.openxmlformats.org/officeDocument/2006/relationships/worksheet" Target="/xl/worksheets/sheet42.xml" Id="Rddc2ceddbd904eaf" /><Relationship Type="http://schemas.openxmlformats.org/officeDocument/2006/relationships/worksheet" Target="/xl/worksheets/sheet43.xml" Id="R1b7930e3fe40453e" /><Relationship Type="http://schemas.openxmlformats.org/officeDocument/2006/relationships/worksheet" Target="/xl/worksheets/sheet44.xml" Id="R888040ddedbd453f" /><Relationship Type="http://schemas.openxmlformats.org/officeDocument/2006/relationships/worksheet" Target="/xl/worksheets/sheet45.xml" Id="R01c4c98706584aa1" /><Relationship Type="http://schemas.openxmlformats.org/officeDocument/2006/relationships/worksheet" Target="/xl/worksheets/sheet46.xml" Id="R40352d04e7834613" /><Relationship Type="http://schemas.openxmlformats.org/officeDocument/2006/relationships/worksheet" Target="/xl/worksheets/sheet47.xml" Id="R051de20f1b6a4efe" /><Relationship Type="http://schemas.openxmlformats.org/officeDocument/2006/relationships/worksheet" Target="/xl/worksheets/sheet48.xml" Id="R87389a8d13e64251" /><Relationship Type="http://schemas.openxmlformats.org/officeDocument/2006/relationships/worksheet" Target="/xl/worksheets/sheet49.xml" Id="Rcd48c5c62565433b" /><Relationship Type="http://schemas.openxmlformats.org/officeDocument/2006/relationships/worksheet" Target="/xl/worksheets/sheet50.xml" Id="R73504d57856f487d" /><Relationship Type="http://schemas.openxmlformats.org/officeDocument/2006/relationships/worksheet" Target="/xl/worksheets/sheet51.xml" Id="R715a4ddbb01646c1" /><Relationship Type="http://schemas.openxmlformats.org/officeDocument/2006/relationships/worksheet" Target="/xl/worksheets/sheet52.xml" Id="R53817fdc20034ff8" /><Relationship Type="http://schemas.openxmlformats.org/officeDocument/2006/relationships/worksheet" Target="/xl/worksheets/sheet53.xml" Id="R5a242837c3114a69" /><Relationship Type="http://schemas.openxmlformats.org/officeDocument/2006/relationships/worksheet" Target="/xl/worksheets/sheet54.xml" Id="R6aa19b3a33174f3d" /><Relationship Type="http://schemas.openxmlformats.org/officeDocument/2006/relationships/worksheet" Target="/xl/worksheets/sheet55.xml" Id="R9bac1bfc527f4883" /><Relationship Type="http://schemas.openxmlformats.org/officeDocument/2006/relationships/worksheet" Target="/xl/worksheets/sheet56.xml" Id="Rfe0aa1a65ce1478a" /><Relationship Type="http://schemas.openxmlformats.org/officeDocument/2006/relationships/worksheet" Target="/xl/worksheets/sheet57.xml" Id="Ra417e8c21a7749da" /><Relationship Type="http://schemas.openxmlformats.org/officeDocument/2006/relationships/worksheet" Target="/xl/worksheets/sheet58.xml" Id="R7679773d94384c4f" /><Relationship Type="http://schemas.openxmlformats.org/officeDocument/2006/relationships/worksheet" Target="/xl/worksheets/sheet59.xml" Id="R1e09fb0b07b44400" /><Relationship Type="http://schemas.openxmlformats.org/officeDocument/2006/relationships/worksheet" Target="/xl/worksheets/sheet60.xml" Id="R8f89e3dc04c1415e" /><Relationship Type="http://schemas.openxmlformats.org/officeDocument/2006/relationships/worksheet" Target="/xl/worksheets/sheet61.xml" Id="R60cbf0ade9294da8" /><Relationship Type="http://schemas.openxmlformats.org/officeDocument/2006/relationships/worksheet" Target="/xl/worksheets/sheet62.xml" Id="R476ea79f2af947b1" /><Relationship Type="http://schemas.openxmlformats.org/officeDocument/2006/relationships/worksheet" Target="/xl/worksheets/sheet63.xml" Id="Rd2a37287a1204158" /><Relationship Type="http://schemas.openxmlformats.org/officeDocument/2006/relationships/worksheet" Target="/xl/worksheets/sheet64.xml" Id="Re34940577f8d4c86" /><Relationship Type="http://schemas.openxmlformats.org/officeDocument/2006/relationships/worksheet" Target="/xl/worksheets/sheet65.xml" Id="Rf0ad3156829147d2" /><Relationship Type="http://schemas.openxmlformats.org/officeDocument/2006/relationships/worksheet" Target="/xl/worksheets/sheet66.xml" Id="Ra2b54f65864349de" /><Relationship Type="http://schemas.openxmlformats.org/officeDocument/2006/relationships/worksheet" Target="/xl/worksheets/sheet67.xml" Id="R481fca00a86d4055" /><Relationship Type="http://schemas.openxmlformats.org/officeDocument/2006/relationships/worksheet" Target="/xl/worksheets/sheet68.xml" Id="Rea6026f5e4d2492e" /><Relationship Type="http://schemas.openxmlformats.org/officeDocument/2006/relationships/worksheet" Target="/xl/worksheets/sheet69.xml" Id="R190efccc415a46a9" /><Relationship Type="http://schemas.openxmlformats.org/officeDocument/2006/relationships/worksheet" Target="/xl/worksheets/sheet70.xml" Id="R4e3519bbc2eb4d13" /><Relationship Type="http://schemas.openxmlformats.org/officeDocument/2006/relationships/worksheet" Target="/xl/worksheets/sheet71.xml" Id="Rc6a714d1438d4b0e" /><Relationship Type="http://schemas.openxmlformats.org/officeDocument/2006/relationships/worksheet" Target="/xl/worksheets/sheet72.xml" Id="R1c201f7137e14ea3" /><Relationship Type="http://schemas.openxmlformats.org/officeDocument/2006/relationships/worksheet" Target="/xl/worksheets/sheet73.xml" Id="Rec36be5b14fc4b9e" /><Relationship Type="http://schemas.openxmlformats.org/officeDocument/2006/relationships/worksheet" Target="/xl/worksheets/sheet74.xml" Id="Raaef8fd535c843ac" /><Relationship Type="http://schemas.openxmlformats.org/officeDocument/2006/relationships/worksheet" Target="/xl/worksheets/sheet75.xml" Id="R15dfadccd0534537" /></Relationships>
</file>

<file path=xl/drawings/_rels/drawing1.xml.rels>&#65279;<?xml version="1.0" encoding="utf-8"?><Relationships xmlns="http://schemas.openxmlformats.org/package/2006/relationships"><Relationship Type="http://schemas.openxmlformats.org/officeDocument/2006/relationships/chart" Target="/xl/drawings/charts/chart1.xml" Id="R085e952943224f99" /><Relationship Type="http://schemas.openxmlformats.org/officeDocument/2006/relationships/chart" Target="/xl/drawings/charts/chart2.xml" Id="Rf56286e489584b2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Hồ sơ theo tỉnh/thành – Top 8</a:t>
            </a:r>
          </a:p>
        </c:rich>
      </c:tx>
    </c:title>
    <c:plotArea>
      <c:barChart>
        <c:barDir val="col"/>
        <c:varyColors val="0"/>
        <c:ser>
          <c:idx val="0"/>
          <c:order val="0"/>
          <c:tx>
            <c:v>SỐ HỒ SƠ</c:v>
          </c:tx>
          <c:cat>
            <c:strRef>
              <c:f>'DASHBOARD'!$D$4:$D$11</c:f>
              <c:strCache>
                <c:ptCount val="0"/>
              </c:strCache>
            </c:strRef>
          </c:cat>
          <c:val>
            <c:numRef>
              <c:f>'DASHBOARD'!$E$4:$E$11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Cơ cấu nhóm sản phẩm – Top 8</a:t>
            </a:r>
          </a:p>
        </c:rich>
      </c:tx>
    </c:title>
    <c:plotArea>
      <c:pieChart>
        <c:ser>
          <c:idx val="0"/>
          <c:order val="0"/>
          <c:tx>
            <c:v>SỐ LƯỢNG</c:v>
          </c:tx>
          <c:cat>
            <c:strRef>
              <c:f>'DASHBOARD'!$G$4:$G$11</c:f>
              <c:strCache>
                <c:ptCount val="0"/>
              </c:strCache>
            </c:strRef>
          </c:cat>
          <c:val>
            <c:numRef>
              <c:f>'DASHBOARD'!$H$4:$H$11</c:f>
              <c:numCache>
                <c:formatCode>General</c:formatCode>
                <c:ptCount val="0"/>
              </c:numCache>
            </c:numRef>
          </c:val>
        </c:ser>
      </c:pieChart>
    </c:plotArea>
    <c:legend>
      <c:legendPos val="r"/>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2</xdr:row>
      <xdr:rowOff>0</xdr:rowOff>
    </xdr:from>
    <xdr:to>
      <xdr:col>16</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85e952943224f99"/>
        </a:graphicData>
      </a:graphic>
    </xdr:graphicFrame>
    <xdr:clientData/>
  </xdr:twoCellAnchor>
  <xdr:twoCellAnchor>
    <xdr:from>
      <xdr:col>10</xdr:col>
      <xdr:colOff>0</xdr:colOff>
      <xdr:row>16</xdr:row>
      <xdr:rowOff>0</xdr:rowOff>
    </xdr:from>
    <xdr:to>
      <xdr:col>16</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6286e489584b2d"/>
        </a:graphicData>
      </a:graphic>
    </xdr:graphicFrame>
    <xdr:clientData/>
  </xdr:twoCellAnchor>
</xdr:wsDr>
</file>

<file path=xl/drawings/drawing2.xml><?xml version="1.0" encoding="utf-8"?>
<xdr:wsDr xmlns:xdr="http://schemas.openxmlformats.org/drawingml/2006/spreadsheetDrawing">
  <xdr:oneCellAnchor>
    <xdr:from>
      <xdr:col>0</xdr:col>
      <xdr:colOff>0</xdr:colOff>
      <xdr:row>0</xdr:row>
      <xdr:rowOff>0</xdr:rowOff>
    </xdr:from>
    <xdr:ext cx="4953000" cy="209550"/>
    <xdr:sp>
      <xdr:nvSpPr>
        <xdr:cNvPr id="1" name="VN_TITLE_BANNER"/>
        <xdr:cNvSpPr>
          <a:spLocks xmlns:a="http://schemas.openxmlformats.org/drawingml/2006/main" noGrp="1"/>
        </xdr:cNvSpPr>
      </xdr:nvSpPr>
      <xdr:spPr>
        <a:xfrm xmlns:a="http://schemas.openxmlformats.org/drawingml/2006/main">
          <a:off x="0" y="0"/>
          <a:ext cx="4953000" cy="209550"/>
        </a:xfrm>
        <a:prstGeom xmlns:a="http://schemas.openxmlformats.org/drawingml/2006/main" prst="rect">
          <a:avLst/>
        </a:prstGeom>
        <a:solidFill xmlns:a="http://schemas.openxmlformats.org/drawingml/2006/main">
          <a:srgbClr val="DCEAF7"/>
        </a:solidFill>
        <a:ln xmlns:a="http://schemas.openxmlformats.org/drawingml/2006/main" w="9525">
          <a:solidFill>
            <a:srgbClr val="9FBAD0"/>
          </a:solidFill>
          <a:prstDash val="solid"/>
        </a:ln>
      </xdr:spPr>
      <xdr:txBody>
        <a:bodyPr xmlns:a="http://schemas.openxmlformats.org/drawingml/2006/main"/>
        <a:lstStyle xmlns:a="http://schemas.openxmlformats.org/drawingml/2006/main"/>
        <a:p xmlns:a="http://schemas.openxmlformats.org/drawingml/2006/main">
          <a:r>
            <a:t>THỊ TRƯỜNG ĐANG ĐI VỀ ĐÂU? – RADAR XU HƯỚNG 2022–2026</a:t>
          </a:r>
          <a:endParaRPr/>
        </a:p>
      </xdr:txBody>
    </xdr:sp>
    <xdr:clientData/>
  </xdr:oneCellAnchor>
</xdr:wsDr>
</file>

<file path=xl/drawings/drawing3.xml><?xml version="1.0" encoding="utf-8"?>
<xdr:wsDr xmlns:xdr="http://schemas.openxmlformats.org/drawingml/2006/spreadsheetDrawing">
  <xdr:oneCellAnchor>
    <xdr:from>
      <xdr:col>0</xdr:col>
      <xdr:colOff>0</xdr:colOff>
      <xdr:row>0</xdr:row>
      <xdr:rowOff>0</xdr:rowOff>
    </xdr:from>
    <xdr:ext cx="4953000" cy="209550"/>
    <xdr:sp>
      <xdr:nvSpPr>
        <xdr:cNvPr id="1" name="VN_TITLE_BANNER"/>
        <xdr:cNvSpPr>
          <a:spLocks xmlns:a="http://schemas.openxmlformats.org/drawingml/2006/main" noGrp="1"/>
        </xdr:cNvSpPr>
      </xdr:nvSpPr>
      <xdr:spPr>
        <a:xfrm xmlns:a="http://schemas.openxmlformats.org/drawingml/2006/main">
          <a:off x="0" y="0"/>
          <a:ext cx="4953000" cy="209550"/>
        </a:xfrm>
        <a:prstGeom xmlns:a="http://schemas.openxmlformats.org/drawingml/2006/main" prst="rect">
          <a:avLst/>
        </a:prstGeom>
        <a:solidFill xmlns:a="http://schemas.openxmlformats.org/drawingml/2006/main">
          <a:srgbClr val="DCEAF7"/>
        </a:solidFill>
        <a:ln xmlns:a="http://schemas.openxmlformats.org/drawingml/2006/main" w="9525">
          <a:solidFill>
            <a:srgbClr val="9FBAD0"/>
          </a:solidFill>
          <a:prstDash val="solid"/>
        </a:ln>
      </xdr:spPr>
      <xdr:txBody>
        <a:bodyPr xmlns:a="http://schemas.openxmlformats.org/drawingml/2006/main"/>
        <a:lstStyle xmlns:a="http://schemas.openxmlformats.org/drawingml/2006/main"/>
        <a:p xmlns:a="http://schemas.openxmlformats.org/drawingml/2006/main">
          <a:r>
            <a:t>QUÉT TUẦN TỰ SỐ CÔNG BỐ TP.HCM – CBMP SEQUENCE SWEEP</a:t>
          </a:r>
          <a:endParaRPr/>
        </a:p>
      </xdr:txBody>
    </xdr:sp>
    <xdr:clientData/>
  </xdr:oneCellAnchor>
</xdr:wsDr>
</file>

<file path=xl/drawings/drawing4.xml><?xml version="1.0" encoding="utf-8"?>
<xdr:wsDr xmlns:xdr="http://schemas.openxmlformats.org/drawingml/2006/spreadsheetDrawing">
  <xdr:oneCellAnchor>
    <xdr:from>
      <xdr:col>0</xdr:col>
      <xdr:colOff>0</xdr:colOff>
      <xdr:row>0</xdr:row>
      <xdr:rowOff>0</xdr:rowOff>
    </xdr:from>
    <xdr:ext cx="4953000" cy="209550"/>
    <xdr:sp>
      <xdr:nvSpPr>
        <xdr:cNvPr id="1" name="VN_TITLE_BANNER"/>
        <xdr:cNvSpPr>
          <a:spLocks xmlns:a="http://schemas.openxmlformats.org/drawingml/2006/main" noGrp="1"/>
        </xdr:cNvSpPr>
      </xdr:nvSpPr>
      <xdr:spPr>
        <a:xfrm xmlns:a="http://schemas.openxmlformats.org/drawingml/2006/main">
          <a:off x="0" y="0"/>
          <a:ext cx="4953000" cy="209550"/>
        </a:xfrm>
        <a:prstGeom xmlns:a="http://schemas.openxmlformats.org/drawingml/2006/main" prst="rect">
          <a:avLst/>
        </a:prstGeom>
        <a:solidFill xmlns:a="http://schemas.openxmlformats.org/drawingml/2006/main">
          <a:srgbClr val="FEE2E2"/>
        </a:solidFill>
        <a:ln xmlns:a="http://schemas.openxmlformats.org/drawingml/2006/main" w="9525">
          <a:solidFill>
            <a:srgbClr val="FCA5A5"/>
          </a:solidFill>
          <a:prstDash val="solid"/>
        </a:ln>
      </xdr:spPr>
      <xdr:txBody>
        <a:bodyPr xmlns:a="http://schemas.openxmlformats.org/drawingml/2006/main"/>
        <a:lstStyle xmlns:a="http://schemas.openxmlformats.org/drawingml/2006/main"/>
        <a:p xmlns:a="http://schemas.openxmlformats.org/drawingml/2006/main">
          <a:r>
            <a:t>CHỜ XÁC MINH – KHÔNG TÍNH VÀO DỮ LIỆU THỊ TRƯỜNG</a:t>
          </a:r>
          <a:endParaRPr/>
        </a:p>
      </xdr:txBody>
    </xdr:sp>
    <xdr:clientData/>
  </xdr:oneCellAnchor>
</xdr:wsDr>
</file>

<file path=xl/drawings/drawing5.xml><?xml version="1.0" encoding="utf-8"?>
<xdr:wsDr xmlns:xdr="http://schemas.openxmlformats.org/drawingml/2006/spreadsheetDrawing">
  <xdr:oneCellAnchor>
    <xdr:from>
      <xdr:col>0</xdr:col>
      <xdr:colOff>0</xdr:colOff>
      <xdr:row>0</xdr:row>
      <xdr:rowOff>0</xdr:rowOff>
    </xdr:from>
    <xdr:ext cx="5334000" cy="209550"/>
    <xdr:sp>
      <xdr:nvSpPr>
        <xdr:cNvPr id="1" name="VN_TITLE_BANNER"/>
        <xdr:cNvSpPr>
          <a:spLocks xmlns:a="http://schemas.openxmlformats.org/drawingml/2006/main" noGrp="1"/>
        </xdr:cNvSpPr>
      </xdr:nvSpPr>
      <xdr:spPr>
        <a:xfrm xmlns:a="http://schemas.openxmlformats.org/drawingml/2006/main">
          <a:off x="0" y="0"/>
          <a:ext cx="5334000" cy="209550"/>
        </a:xfrm>
        <a:prstGeom xmlns:a="http://schemas.openxmlformats.org/drawingml/2006/main" prst="rect">
          <a:avLst/>
        </a:prstGeom>
        <a:solidFill xmlns:a="http://schemas.openxmlformats.org/drawingml/2006/main">
          <a:srgbClr val="EDE9FE"/>
        </a:solidFill>
        <a:ln xmlns:a="http://schemas.openxmlformats.org/drawingml/2006/main" w="9525">
          <a:solidFill>
            <a:srgbClr val="C4B5FD"/>
          </a:solidFill>
          <a:prstDash val="solid"/>
        </a:ln>
      </xdr:spPr>
      <xdr:txBody>
        <a:bodyPr xmlns:a="http://schemas.openxmlformats.org/drawingml/2006/main"/>
        <a:lstStyle xmlns:a="http://schemas.openxmlformats.org/drawingml/2006/main"/>
        <a:p xmlns:a="http://schemas.openxmlformats.org/drawingml/2006/main">
          <a:r>
            <a:t>MEDINET CŨ – BẢN ĐỒ NGUỒN ARCHIVE CÔNG BỐ MỸ PHẨM</a:t>
          </a:r>
          <a:endParaRPr/>
        </a:p>
      </xdr:txBody>
    </xdr:sp>
    <xdr:clientData/>
  </xdr:oneCellAnchor>
</xdr:wsDr>
</file>

<file path=xl/drawings/drawing6.xml><?xml version="1.0" encoding="utf-8"?>
<xdr:wsDr xmlns:xdr="http://schemas.openxmlformats.org/drawingml/2006/spreadsheetDrawing">
  <xdr:oneCellAnchor>
    <xdr:from>
      <xdr:col>0</xdr:col>
      <xdr:colOff>0</xdr:colOff>
      <xdr:row>0</xdr:row>
      <xdr:rowOff>0</xdr:rowOff>
    </xdr:from>
    <xdr:ext cx="5429250" cy="209550"/>
    <xdr:sp>
      <xdr:nvSpPr>
        <xdr:cNvPr id="1" name="VN_TITLE_BANNER"/>
        <xdr:cNvSpPr>
          <a:spLocks xmlns:a="http://schemas.openxmlformats.org/drawingml/2006/main" noGrp="1"/>
        </xdr:cNvSpPr>
      </xdr:nvSpPr>
      <xdr:spPr>
        <a:xfrm xmlns:a="http://schemas.openxmlformats.org/drawingml/2006/main">
          <a:off x="0" y="0"/>
          <a:ext cx="5429250" cy="209550"/>
        </a:xfrm>
        <a:prstGeom xmlns:a="http://schemas.openxmlformats.org/drawingml/2006/main" prst="rect">
          <a:avLst/>
        </a:prstGeom>
        <a:solidFill xmlns:a="http://schemas.openxmlformats.org/drawingml/2006/main">
          <a:srgbClr val="DCEAF7"/>
        </a:solidFill>
        <a:ln xmlns:a="http://schemas.openxmlformats.org/drawingml/2006/main" w="9525">
          <a:solidFill>
            <a:srgbClr val="9FBAD0"/>
          </a:solidFill>
          <a:prstDash val="solid"/>
        </a:ln>
      </xdr:spPr>
      <xdr:txBody>
        <a:bodyPr xmlns:a="http://schemas.openxmlformats.org/drawingml/2006/main"/>
        <a:lstStyle xmlns:a="http://schemas.openxmlformats.org/drawingml/2006/main"/>
        <a:p xmlns:a="http://schemas.openxmlformats.org/drawingml/2006/main">
          <a:r>
            <a:t>BẢN ĐỒ NGUỒN NHÀ NƯỚC – BỘ Y TẾ → CỤC QLD → SỞ Y TẾ</a:t>
          </a:r>
          <a:endParaRPr/>
        </a:p>
      </xdr:txBody>
    </xdr:sp>
    <xdr:clientData/>
  </xdr:oneCellAnchor>
</xdr:wsDr>
</file>

<file path=xl/drawings/drawing7.xml><?xml version="1.0" encoding="utf-8"?>
<xdr:wsDr xmlns:xdr="http://schemas.openxmlformats.org/drawingml/2006/spreadsheetDrawing">
  <xdr:oneCellAnchor>
    <xdr:from>
      <xdr:col>0</xdr:col>
      <xdr:colOff>0</xdr:colOff>
      <xdr:row>0</xdr:row>
      <xdr:rowOff>0</xdr:rowOff>
    </xdr:from>
    <xdr:ext cx="5619750" cy="209550"/>
    <xdr:sp>
      <xdr:nvSpPr>
        <xdr:cNvPr id="1" name="VN_TITLE_BANNER"/>
        <xdr:cNvSpPr>
          <a:spLocks xmlns:a="http://schemas.openxmlformats.org/drawingml/2006/main" noGrp="1"/>
        </xdr:cNvSpPr>
      </xdr:nvSpPr>
      <xdr:spPr>
        <a:xfrm xmlns:a="http://schemas.openxmlformats.org/drawingml/2006/main">
          <a:off x="0" y="0"/>
          <a:ext cx="5619750" cy="209550"/>
        </a:xfrm>
        <a:prstGeom xmlns:a="http://schemas.openxmlformats.org/drawingml/2006/main" prst="rect">
          <a:avLst/>
        </a:prstGeom>
        <a:solidFill xmlns:a="http://schemas.openxmlformats.org/drawingml/2006/main">
          <a:srgbClr val="DCFCE7"/>
        </a:solidFill>
        <a:ln xmlns:a="http://schemas.openxmlformats.org/drawingml/2006/main" w="9525">
          <a:solidFill>
            <a:srgbClr val="86EFAC"/>
          </a:solidFill>
          <a:prstDash val="solid"/>
        </a:ln>
      </xdr:spPr>
      <xdr:txBody>
        <a:bodyPr xmlns:a="http://schemas.openxmlformats.org/drawingml/2006/main"/>
        <a:lstStyle xmlns:a="http://schemas.openxmlformats.org/drawingml/2006/main"/>
        <a:p xmlns:a="http://schemas.openxmlformats.org/drawingml/2006/main">
          <a:r>
            <a:t>BÌNH DƯƠNG CŨ – BẢN ĐỒ KHÔI PHỤC NGUỒN CÔNG BỐ MỸ PHẨM</a:t>
          </a:r>
          <a:endParaRPr/>
        </a:p>
      </xdr:txBody>
    </xdr:sp>
    <xdr:clientData/>
  </xdr:oneCellAnchor>
</xdr:wsDr>
</file>

<file path=xl/drawings/drawing8.xml><?xml version="1.0" encoding="utf-8"?>
<xdr:wsDr xmlns:xdr="http://schemas.openxmlformats.org/drawingml/2006/spreadsheetDrawing">
  <xdr:oneCellAnchor>
    <xdr:from>
      <xdr:col>0</xdr:col>
      <xdr:colOff>0</xdr:colOff>
      <xdr:row>0</xdr:row>
      <xdr:rowOff>0</xdr:rowOff>
    </xdr:from>
    <xdr:ext cx="4667250" cy="209550"/>
    <xdr:sp>
      <xdr:nvSpPr>
        <xdr:cNvPr id="1" name="VN_TITLE_BANNER"/>
        <xdr:cNvSpPr>
          <a:spLocks xmlns:a="http://schemas.openxmlformats.org/drawingml/2006/main" noGrp="1"/>
        </xdr:cNvSpPr>
      </xdr:nvSpPr>
      <xdr:spPr>
        <a:xfrm xmlns:a="http://schemas.openxmlformats.org/drawingml/2006/main">
          <a:off x="0" y="0"/>
          <a:ext cx="4667250" cy="209550"/>
        </a:xfrm>
        <a:prstGeom xmlns:a="http://schemas.openxmlformats.org/drawingml/2006/main" prst="rect">
          <a:avLst/>
        </a:prstGeom>
        <a:solidFill xmlns:a="http://schemas.openxmlformats.org/drawingml/2006/main">
          <a:srgbClr val="DBEAFE"/>
        </a:solidFill>
        <a:ln xmlns:a="http://schemas.openxmlformats.org/drawingml/2006/main" w="9525">
          <a:solidFill>
            <a:srgbClr val="93C5FD"/>
          </a:solidFill>
          <a:prstDash val="solid"/>
        </a:ln>
      </xdr:spPr>
      <xdr:txBody>
        <a:bodyPr xmlns:a="http://schemas.openxmlformats.org/drawingml/2006/main"/>
        <a:lstStyle xmlns:a="http://schemas.openxmlformats.org/drawingml/2006/main"/>
        <a:p xmlns:a="http://schemas.openxmlformats.org/drawingml/2006/main">
          <a:r>
            <a:t>HÀ NỘI – KIỂM TOÁN NGUỒN &amp; TIẾN ĐỘ THU THẬP</a:t>
          </a:r>
          <a:endParaRPr/>
        </a:p>
      </xdr:txBody>
    </xdr:sp>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6829414918d4f78" /></Relationships>
</file>

<file path=xl/worksheets/_rels/sheet66.xml.rels>&#65279;<?xml version="1.0" encoding="utf-8"?><Relationships xmlns="http://schemas.openxmlformats.org/package/2006/relationships"><Relationship Type="http://schemas.openxmlformats.org/officeDocument/2006/relationships/drawing" Target="/xl/drawings/drawing2.xml" Id="Rf82adb13c4eb45d4" /></Relationships>
</file>

<file path=xl/worksheets/_rels/sheet67.xml.rels>&#65279;<?xml version="1.0" encoding="utf-8"?><Relationships xmlns="http://schemas.openxmlformats.org/package/2006/relationships"><Relationship Type="http://schemas.openxmlformats.org/officeDocument/2006/relationships/drawing" Target="/xl/drawings/drawing3.xml" Id="R64191cab3a204ace" /></Relationships>
</file>

<file path=xl/worksheets/_rels/sheet68.xml.rels>&#65279;<?xml version="1.0" encoding="utf-8"?><Relationships xmlns="http://schemas.openxmlformats.org/package/2006/relationships"><Relationship Type="http://schemas.openxmlformats.org/officeDocument/2006/relationships/drawing" Target="/xl/drawings/drawing4.xml" Id="Ra1c2f43c1c684835" /></Relationships>
</file>

<file path=xl/worksheets/_rels/sheet69.xml.rels>&#65279;<?xml version="1.0" encoding="utf-8"?><Relationships xmlns="http://schemas.openxmlformats.org/package/2006/relationships"><Relationship Type="http://schemas.openxmlformats.org/officeDocument/2006/relationships/drawing" Target="/xl/drawings/drawing5.xml" Id="Reeb909077da9402b" /></Relationships>
</file>

<file path=xl/worksheets/_rels/sheet70.xml.rels>&#65279;<?xml version="1.0" encoding="utf-8"?><Relationships xmlns="http://schemas.openxmlformats.org/package/2006/relationships"><Relationship Type="http://schemas.openxmlformats.org/officeDocument/2006/relationships/drawing" Target="/xl/drawings/drawing6.xml" Id="Rd32614870f3b45d8" /></Relationships>
</file>

<file path=xl/worksheets/_rels/sheet71.xml.rels>&#65279;<?xml version="1.0" encoding="utf-8"?><Relationships xmlns="http://schemas.openxmlformats.org/package/2006/relationships"><Relationship Type="http://schemas.openxmlformats.org/officeDocument/2006/relationships/drawing" Target="/xl/drawings/drawing7.xml" Id="R747a25baa06542f8" /></Relationships>
</file>

<file path=xl/worksheets/_rels/sheet72.xml.rels>&#65279;<?xml version="1.0" encoding="utf-8"?><Relationships xmlns="http://schemas.openxmlformats.org/package/2006/relationships"><Relationship Type="http://schemas.openxmlformats.org/officeDocument/2006/relationships/drawing" Target="/xl/drawings/drawing8.xml" Id="Re8e8dbbcbfc24637" /></Relationships>
</file>

<file path=xl/worksheets/sheet1.xml><?xml version="1.0" encoding="utf-8"?>
<x:worksheet xmlns:x="http://schemas.openxmlformats.org/spreadsheetml/2006/main">
  <x:sheetFormatPr baseColWidth="8" defaultRowHeight="15"/>
  <x:cols>
    <x:col min="1" max="1" width="25" style="91" hidden="0" customWidth="1"/>
    <x:col min="2" max="2" width="55" style="91" hidden="0" customWidth="1"/>
    <x:col min="14" max="14" width="12" hidden="0" customWidth="1"/>
    <x:col min="15" max="15" width="28" hidden="0" customWidth="1"/>
    <x:col min="4" max="4" width="24" hidden="0" customWidth="1"/>
    <x:col min="5" max="5" width="14" hidden="0" customWidth="1"/>
    <x:col min="7" max="7" width="28" hidden="0" customWidth="1"/>
    <x:col min="8" max="8" width="14" hidden="0" customWidth="1"/>
    <x:col min="9" max="9" width="14" hidden="0" customWidth="1"/>
    <x:col min="11" max="11" width="25" hidden="0" customWidth="1"/>
    <x:col min="12" max="12" width="16" hidden="0" customWidth="1"/>
    <x:col min="13" max="13" width="38" hidden="0" customWidth="1"/>
  </x:cols>
  <x:sheetData>
    <x:row r="1" s="91" customFormat="1" ht="30" customHeight="1">
      <x:c r="A1" s="518" t="str">
        <x:v>KGL COSMETIC MARKET INTELLIGENCE – MASTER DUY NHẤT – 23/08/2026</x:v>
      </x:c>
      <x:c r="B1" s="518"/>
      <x:c r="C1" s="518"/>
      <x:c r="D1" s="518"/>
      <x:c r="E1" s="518"/>
      <x:c r="F1" s="518"/>
      <x:c r="G1" s="518"/>
      <x:c r="H1" s="518"/>
      <x:c r="I1" s="548"/>
      <x:c r="J1" s="549"/>
      <x:c r="K1" s="548"/>
      <x:c r="L1" s="548"/>
      <x:c r="M1" s="548"/>
      <x:c r="N1" s="550"/>
      <x:c r="O1" s="551"/>
      <x:c r="P1" s="548"/>
      <x:c r="Q1" s="272" t="n"/>
      <x:c r="R1" s="272" t="n"/>
      <x:c r="S1" s="272" t="n"/>
      <x:c r="T1" s="272" t="n"/>
      <x:c r="U1" s="272" t="n"/>
      <x:c r="V1" s="272" t="n"/>
      <x:c r="W1" s="272" t="n"/>
      <x:c r="X1" s="272" t="n"/>
      <x:c r="Y1" s="272" t="n"/>
      <x:c r="Z1" s="272" t="n"/>
    </x:row>
    <x:row r="2">
      <x:c r="A2" s="548"/>
      <x:c r="B2" s="548"/>
      <x:c r="C2" s="548"/>
      <x:c r="D2" s="548"/>
      <x:c r="E2" s="548"/>
      <x:c r="F2" s="548"/>
      <x:c r="G2" s="548"/>
      <x:c r="H2" s="548"/>
      <x:c r="I2" s="548"/>
      <x:c r="J2" s="548"/>
      <x:c r="K2" s="548"/>
      <x:c r="L2" s="548"/>
      <x:c r="M2" s="548"/>
      <x:c r="N2" s="552"/>
      <x:c r="O2" s="552"/>
      <x:c r="P2" s="548"/>
      <x:c r="Q2"/>
    </x:row>
    <x:row r="3">
      <x:c r="A3" s="578" t="str">
        <x:v>CHỈ SỐ CỐT LÕI</x:v>
      </x:c>
      <x:c r="B3" s="578" t="str">
        <x:v>GIÁ TRỊ</x:v>
      </x:c>
      <x:c r="C3" s="548"/>
      <x:c r="D3" s="555" t="str">
        <x:v>TỈNH/THÀNH</x:v>
      </x:c>
      <x:c r="E3" s="555" t="str">
        <x:v>SỐ HỒ SƠ</x:v>
      </x:c>
      <x:c r="F3" s="548"/>
      <x:c r="G3" s="556" t="str">
        <x:v>NHÓM SẢN PHẨM</x:v>
      </x:c>
      <x:c r="H3" s="556" t="str">
        <x:v>SỐ LƯỢNG</x:v>
      </x:c>
      <x:c r="I3" s="556" t="str">
        <x:v>% MASTER</x:v>
      </x:c>
      <x:c r="J3" s="548"/>
      <x:c r="K3" s="548"/>
      <x:c r="L3" s="557"/>
      <x:c r="M3" s="557"/>
      <x:c r="N3" s="548"/>
      <x:c r="O3" s="548"/>
      <x:c r="P3" s="557"/>
      <x:c r="Q3" s="344"/>
    </x:row>
    <x:row r="4">
      <x:c r="A4" s="551" t="str">
        <x:v>MASTER nội địa sạch</x:v>
      </x:c>
      <x:c r="B4" s="551" t="n">
        <x:v>965</x:v>
      </x:c>
      <x:c r="C4" s="548"/>
      <x:c r="D4" s="548" t="str">
        <x:v>Hà Nội</x:v>
      </x:c>
      <x:c r="E4" s="548" t="n">
        <x:v>629</x:v>
      </x:c>
      <x:c r="F4" s="548"/>
      <x:c r="G4" s="548" t="str">
        <x:v>Khác</x:v>
      </x:c>
      <x:c r="H4" s="548" t="n">
        <x:v>319</x:v>
      </x:c>
      <x:c r="I4" s="557" t="n">
        <x:v>0.34598698481561824</x:v>
      </x:c>
      <x:c r="J4" s="548"/>
      <x:c r="K4" s="548"/>
      <x:c r="L4" s="557"/>
      <x:c r="M4" s="557"/>
      <x:c r="N4" s="548"/>
      <x:c r="O4" s="548"/>
      <x:c r="P4" s="557"/>
      <x:c r="Q4" s="344"/>
    </x:row>
    <x:row r="5">
      <x:c r="A5" s="551" t="str">
        <x:v>IMPORT_DECLARATIONS</x:v>
      </x:c>
      <x:c r="B5" s="551" t="n">
        <x:v>316</x:v>
      </x:c>
      <x:c r="C5" s="548"/>
      <x:c r="D5" s="548" t="str">
        <x:v>TP. Hồ Chí Minh</x:v>
      </x:c>
      <x:c r="E5" s="548" t="n">
        <x:v>220</x:v>
      </x:c>
      <x:c r="F5" s="548"/>
      <x:c r="G5" s="548" t="str">
        <x:v>Kem dưỡng da</x:v>
      </x:c>
      <x:c r="H5" s="548" t="n">
        <x:v>105</x:v>
      </x:c>
      <x:c r="I5" s="557" t="n">
        <x:v>0.113882863340564</x:v>
      </x:c>
      <x:c r="J5" s="548"/>
      <x:c r="K5" s="548"/>
      <x:c r="L5" s="557"/>
      <x:c r="M5" s="557"/>
      <x:c r="N5" s="548"/>
      <x:c r="O5" s="548"/>
      <x:c r="P5" s="557"/>
      <x:c r="Q5" s="344"/>
    </x:row>
    <x:row r="6">
      <x:c r="A6" s="579" t="str">
        <x:v>TỔNG VERIFIED</x:v>
      </x:c>
      <x:c r="B6" s="579" t="n">
        <x:v>1281</x:v>
      </x:c>
      <x:c r="C6" s="548"/>
      <x:c r="D6" s="548" t="str">
        <x:v>Hải Phòng</x:v>
      </x:c>
      <x:c r="E6" s="548" t="n">
        <x:v>44</x:v>
      </x:c>
      <x:c r="F6" s="548"/>
      <x:c r="G6" s="548" t="str">
        <x:v>Serum/Essence da</x:v>
      </x:c>
      <x:c r="H6" s="548" t="n">
        <x:v>96</x:v>
      </x:c>
      <x:c r="I6" s="557" t="n">
        <x:v>0.10412147505422993</x:v>
      </x:c>
      <x:c r="J6" s="548"/>
      <x:c r="K6" s="548"/>
      <x:c r="L6" s="557"/>
      <x:c r="M6" s="557"/>
      <x:c r="N6" s="548"/>
      <x:c r="O6" s="548"/>
      <x:c r="P6" s="557"/>
      <x:c r="Q6" s="344"/>
    </x:row>
    <x:row r="7">
      <x:c r="A7" s="551" t="str">
        <x:v>Record mới hợp nhất</x:v>
      </x:c>
      <x:c r="B7" s="551" t="n">
        <x:v>17</x:v>
      </x:c>
      <x:c r="C7" s="548"/>
      <x:c r="D7" s="548" t="str">
        <x:v>Hải Phòng (Hải Dương lịch sử)</x:v>
      </x:c>
      <x:c r="E7" s="548" t="n">
        <x:v>28</x:v>
      </x:c>
      <x:c r="F7" s="548"/>
      <x:c r="G7" s="548" t="str">
        <x:v>Dầu xả</x:v>
      </x:c>
      <x:c r="H7" s="548" t="n">
        <x:v>60</x:v>
      </x:c>
      <x:c r="I7" s="557" t="n">
        <x:v>0.0650759219088937</x:v>
      </x:c>
      <x:c r="J7" s="548"/>
      <x:c r="K7" s="548"/>
      <x:c r="L7" s="557"/>
      <x:c r="M7" s="557"/>
      <x:c r="N7" s="548"/>
      <x:c r="O7" s="548"/>
      <x:c r="P7" s="557"/>
      <x:c r="Q7" s="344"/>
    </x:row>
    <x:row r="8">
      <x:c r="A8" s="551" t="str">
        <x:v>Exact overlap batch</x:v>
      </x:c>
      <x:c r="B8" s="580" t="n">
        <x:v>0</x:v>
      </x:c>
      <x:c r="C8" s="548"/>
      <x:c r="D8" s="548" t="str">
        <x:v>Bắc Ninh</x:v>
      </x:c>
      <x:c r="E8" s="548" t="n">
        <x:v>19</x:v>
      </x:c>
      <x:c r="F8" s="548"/>
      <x:c r="G8" s="548" t="str">
        <x:v>Dầu gội</x:v>
      </x:c>
      <x:c r="H8" s="548" t="n">
        <x:v>58</x:v>
      </x:c>
      <x:c r="I8" s="557" t="n">
        <x:v>0.06290672451193059</x:v>
      </x:c>
      <x:c r="J8" s="548"/>
      <x:c r="K8" s="548"/>
      <x:c r="L8" s="557"/>
      <x:c r="M8" s="557"/>
      <x:c r="N8" s="548"/>
      <x:c r="O8" s="548"/>
      <x:c r="P8" s="557"/>
      <x:c r="Q8" s="344"/>
    </x:row>
    <x:row r="9">
      <x:c r="A9" s="567" t="str">
        <x:v>Duplicate exact MASTER</x:v>
      </x:c>
      <x:c r="B9" s="567" t="n">
        <x:v>0</x:v>
      </x:c>
      <x:c r="C9" s="548"/>
      <x:c r="D9" s="548" t="str">
        <x:v>Đà Nẵng</x:v>
      </x:c>
      <x:c r="E9" s="548" t="n">
        <x:v>5</x:v>
      </x:c>
      <x:c r="F9" s="548"/>
      <x:c r="G9" s="548" t="str">
        <x:v>Mặt nạ</x:v>
      </x:c>
      <x:c r="H9" s="548" t="n">
        <x:v>52</x:v>
      </x:c>
      <x:c r="I9" s="557" t="n">
        <x:v>0.05639913232104121</x:v>
      </x:c>
      <x:c r="J9" s="548"/>
      <x:c r="K9" s="548"/>
      <x:c r="L9" s="557"/>
      <x:c r="M9" s="557"/>
      <x:c r="N9" s="548"/>
      <x:c r="O9" s="548"/>
      <x:c r="P9" s="557"/>
      <x:c r="Q9" s="344"/>
    </x:row>
    <x:row r="10">
      <x:c r="A10" s="567" t="str">
        <x:v>Chế độ</x:v>
      </x:c>
      <x:c r="B10" s="567" t="str">
        <x:v>BULK-FIRST</x:v>
      </x:c>
      <x:c r="C10" s="548"/>
      <x:c r="D10" s="548" t="str">
        <x:v>Phú Thọ</x:v>
      </x:c>
      <x:c r="E10" s="548" t="n">
        <x:v>2</x:v>
      </x:c>
      <x:c r="F10" s="548"/>
      <x:c r="G10" s="548" t="str">
        <x:v>Sữa rửa mặt</x:v>
      </x:c>
      <x:c r="H10" s="548" t="n">
        <x:v>45</x:v>
      </x:c>
      <x:c r="I10" s="557" t="n">
        <x:v>0.04880694143167028</x:v>
      </x:c>
      <x:c r="J10" s="548"/>
      <x:c r="K10" s="548"/>
      <x:c r="L10" s="557"/>
      <x:c r="M10" s="557"/>
      <x:c r="N10" s="548"/>
      <x:c r="O10" s="548"/>
      <x:c r="P10" s="557"/>
      <x:c r="Q10" s="344"/>
    </x:row>
    <x:row r="11">
      <x:c r="A11" s="551" t="str">
        <x:v>File chuẩn</x:v>
      </x:c>
      <x:c r="B11" s="551" t="str">
        <x:v>KGL_Cosmetic_Market_Intelligence_Master.xlsx</x:v>
      </x:c>
      <x:c r="C11" s="548"/>
      <x:c r="D11" s="548" t="str">
        <x:v>An Giang</x:v>
      </x:c>
      <x:c r="E11" s="548" t="n">
        <x:v>1</x:v>
      </x:c>
      <x:c r="F11" s="548"/>
      <x:c r="G11" s="548" t="str">
        <x:v>Kem chống nắng</x:v>
      </x:c>
      <x:c r="H11" s="548" t="n">
        <x:v>27</x:v>
      </x:c>
      <x:c r="I11" s="557" t="n">
        <x:v>0.02928416485900217</x:v>
      </x:c>
      <x:c r="J11" s="548"/>
      <x:c r="K11" s="548"/>
      <x:c r="L11" s="557"/>
      <x:c r="M11" s="557"/>
      <x:c r="N11" s="548"/>
      <x:c r="O11" s="548"/>
      <x:c r="P11" s="557"/>
      <x:c r="Q11" s="344"/>
    </x:row>
    <x:row r="12">
      <x:c r="A12" s="567" t="str">
        <x:v>Trạng thái</x:v>
      </x:c>
      <x:c r="B12" s="567" t="str">
        <x:v>MASTER DUY NHẤT</x:v>
      </x:c>
      <x:c r="C12" s="548"/>
      <x:c r="D12" s="548"/>
      <x:c r="E12" s="548"/>
      <x:c r="F12" s="548"/>
      <x:c r="G12" s="548" t="str">
        <x:v>Sữa tắm/Gel tắm</x:v>
      </x:c>
      <x:c r="H12" s="548" t="n">
        <x:v>26</x:v>
      </x:c>
      <x:c r="I12" s="557" t="n">
        <x:v>0.028199566160520606</x:v>
      </x:c>
      <x:c r="J12" s="548"/>
      <x:c r="K12" s="548"/>
      <x:c r="L12" s="557"/>
      <x:c r="M12" s="557"/>
      <x:c r="N12" s="548"/>
      <x:c r="O12" s="548"/>
      <x:c r="P12" s="557"/>
      <x:c r="Q12" s="344"/>
    </x:row>
    <x:row r="13">
      <x:c r="A13" s="568" t="str">
        <x:v>Nguồn vừa nhập</x:v>
      </x:c>
      <x:c r="B13" s="568" t="str">
        <x:v>Hà Nội QĐ4503/CV1764 – STT 153–169</x:v>
      </x:c>
      <x:c r="C13" s="548"/>
      <x:c r="D13" s="548"/>
      <x:c r="E13" s="548"/>
      <x:c r="F13" s="548"/>
      <x:c r="G13" s="548" t="str">
        <x:v>Sản phẩm môi</x:v>
      </x:c>
      <x:c r="H13" s="548" t="n">
        <x:v>23</x:v>
      </x:c>
      <x:c r="I13" s="557" t="n">
        <x:v>0.024945770065075923</x:v>
      </x:c>
      <x:c r="J13" s="548"/>
      <x:c r="K13" s="548"/>
      <x:c r="L13" s="557"/>
      <x:c r="M13" s="557"/>
      <x:c r="N13" s="548"/>
      <x:c r="O13" s="548"/>
      <x:c r="P13" s="557"/>
      <x:c r="Q13" s="344"/>
    </x:row>
    <x:row r="14">
      <x:c r="A14" s="551" t="str">
        <x:v>Clean gate</x:v>
      </x:c>
      <x:c r="B14" s="551" t="str">
        <x:v>17/17 PASS</x:v>
      </x:c>
      <x:c r="C14" s="548"/>
      <x:c r="D14" s="548"/>
      <x:c r="E14" s="548"/>
      <x:c r="F14" s="548"/>
      <x:c r="G14" s="548" t="str">
        <x:v>Tẩy trang</x:v>
      </x:c>
      <x:c r="H14" s="548" t="n">
        <x:v>18</x:v>
      </x:c>
      <x:c r="I14" s="557" t="n">
        <x:v>0.019522776572668113</x:v>
      </x:c>
      <x:c r="J14" s="548"/>
      <x:c r="K14" s="548"/>
      <x:c r="L14" s="557"/>
      <x:c r="M14" s="557"/>
      <x:c r="N14" s="548"/>
      <x:c r="O14" s="548"/>
      <x:c r="P14" s="557"/>
      <x:c r="Q14" s="344"/>
    </x:row>
    <x:row r="15">
      <x:c r="A15" s="551" t="str">
        <x:v>Dedupe key</x:v>
      </x:c>
      <x:c r="B15" s="551" t="str">
        <x:v>Số CBMP</x:v>
      </x:c>
      <x:c r="C15" s="548"/>
      <x:c r="D15" s="548"/>
      <x:c r="E15" s="548"/>
      <x:c r="F15" s="548"/>
      <x:c r="G15" s="548" t="str">
        <x:v>Uốn/duỗi/giữ nếp tóc</x:v>
      </x:c>
      <x:c r="H15" s="548" t="n">
        <x:v>17</x:v>
      </x:c>
      <x:c r="I15" s="557" t="n">
        <x:v>0.01843817787418655</x:v>
      </x:c>
      <x:c r="J15" s="548"/>
      <x:c r="K15" s="548"/>
      <x:c r="L15" s="557"/>
      <x:c r="M15" s="557"/>
      <x:c r="N15" s="548"/>
      <x:c r="O15" s="548"/>
      <x:c r="P15" s="557"/>
      <x:c r="Q15" s="344"/>
    </x:row>
    <x:row r="16">
      <x:c r="A16" s="569" t="str">
        <x:v>PIF</x:v>
      </x:c>
      <x:c r="B16" s="569" t="str">
        <x:v>OUT OF SCOPE</x:v>
      </x:c>
      <x:c r="C16" s="548"/>
      <x:c r="D16" s="548"/>
      <x:c r="E16" s="548"/>
      <x:c r="F16" s="548"/>
      <x:c r="G16" s="548"/>
      <x:c r="H16" s="548"/>
      <x:c r="I16" s="548"/>
      <x:c r="J16" s="548"/>
      <x:c r="K16" s="548"/>
      <x:c r="L16" s="557"/>
      <x:c r="M16" s="557"/>
      <x:c r="N16" s="548"/>
      <x:c r="O16" s="548"/>
      <x:c r="P16" s="557"/>
      <x:c r="Q16" s="344"/>
    </x:row>
    <x:row r="17">
      <x:c r="A17" s="570" t="str">
        <x:v>Lưu ý checkpoint</x:v>
      </x:c>
      <x:c r="B17" s="570" t="str">
        <x:v>Các file đang mount xác minh được 1.281 verified sau hợp nhất</x:v>
      </x:c>
      <x:c r="C17" s="548"/>
      <x:c r="D17" s="548"/>
      <x:c r="E17" s="548"/>
      <x:c r="F17" s="548"/>
      <x:c r="G17" s="548"/>
      <x:c r="H17" s="548"/>
      <x:c r="I17" s="548"/>
      <x:c r="J17" s="548"/>
      <x:c r="K17" s="548"/>
      <x:c r="L17" s="557"/>
      <x:c r="M17" s="557"/>
      <x:c r="N17" s="548"/>
      <x:c r="O17" s="548"/>
      <x:c r="P17" s="557"/>
      <x:c r="Q17" s="344"/>
    </x:row>
    <x:row r="18">
      <x:c r="A18" s="551" t="str">
        <x:v>Checkpoint từng báo cáo</x:v>
      </x:c>
      <x:c r="B18" s="551" t="str">
        <x:v>1.335 verified – chưa đủ file nguồn mount để tái dựng</x:v>
      </x:c>
      <x:c r="C18" s="548"/>
      <x:c r="D18" s="571" t="str">
        <x:v>CHẤT LƯỢNG DỮ LIỆU</x:v>
      </x:c>
      <x:c r="E18" s="571" t="str">
        <x:v>GIÁ TRỊ</x:v>
      </x:c>
      <x:c r="F18" s="548"/>
      <x:c r="G18" s="548"/>
      <x:c r="H18" s="548"/>
      <x:c r="I18" s="548"/>
      <x:c r="J18" s="548"/>
      <x:c r="K18" s="548"/>
      <x:c r="L18" s="557"/>
      <x:c r="M18" s="557"/>
      <x:c r="N18" s="548"/>
      <x:c r="O18" s="548"/>
      <x:c r="P18" s="557"/>
      <x:c r="Q18" s="344"/>
    </x:row>
    <x:row r="19">
      <x:c r="A19" s="551" t="str">
        <x:v>Bước tiếp</x:v>
      </x:c>
      <x:c r="B19" s="551" t="str">
        <x:v>Từ nay chỉ cập nhật file MASTER duy nhất này</x:v>
      </x:c>
      <x:c r="C19" s="548"/>
      <x:c r="D19" s="551" t="str">
        <x:v>Clean gate</x:v>
      </x:c>
      <x:c r="E19" s="551" t="str">
        <x:v>CBMP + tên sản phẩm + công ty chịu trách nhiệm + nguồn chính thống</x:v>
      </x:c>
      <x:c r="F19" s="548"/>
      <x:c r="G19" s="548"/>
      <x:c r="H19" s="548"/>
      <x:c r="I19" s="548"/>
      <x:c r="J19" s="548"/>
      <x:c r="K19" s="548"/>
      <x:c r="L19" s="557"/>
      <x:c r="M19" s="557"/>
      <x:c r="N19" s="548"/>
      <x:c r="O19" s="548"/>
      <x:c r="P19" s="557"/>
      <x:c r="Q19" s="344"/>
    </x:row>
    <x:row r="20">
      <x:c r="A20" s="567" t="str">
        <x:v>Ngày cập nhật</x:v>
      </x:c>
      <x:c r="B20" s="572" t="n">
        <x:v>46257</x:v>
      </x:c>
      <x:c r="C20" s="548"/>
      <x:c r="D20" s="551" t="str">
        <x:v>Dedupe key</x:v>
      </x:c>
      <x:c r="E20" s="551" t="str">
        <x:v>Số CBMP</x:v>
      </x:c>
      <x:c r="F20" s="548"/>
      <x:c r="G20" s="548"/>
      <x:c r="H20" s="548"/>
      <x:c r="I20" s="548"/>
      <x:c r="J20" s="548"/>
      <x:c r="K20" s="548"/>
      <x:c r="L20" s="557"/>
      <x:c r="M20" s="557"/>
      <x:c r="N20" s="548"/>
      <x:c r="O20" s="548"/>
      <x:c r="P20" s="557"/>
      <x:c r="Q20" s="344"/>
    </x:row>
    <x:row r="21">
      <x:c r="A21" s="573"/>
      <x:c r="B21" s="573"/>
      <x:c r="C21" s="548"/>
      <x:c r="D21" s="551" t="str">
        <x:v>Không filler/không đoán</x:v>
      </x:c>
      <x:c r="E21" s="551" t="str">
        <x:v>BẮT BUỘC</x:v>
      </x:c>
      <x:c r="F21" s="548"/>
      <x:c r="G21" s="548"/>
      <x:c r="H21" s="548"/>
      <x:c r="I21" s="548"/>
      <x:c r="J21" s="548"/>
      <x:c r="K21" s="548"/>
      <x:c r="L21" s="557"/>
      <x:c r="M21" s="557"/>
      <x:c r="N21" s="548"/>
      <x:c r="O21" s="548"/>
      <x:c r="P21" s="557"/>
      <x:c r="Q21" s="113"/>
    </x:row>
    <x:row r="22">
      <x:c r="A22" s="548"/>
      <x:c r="B22" s="548"/>
      <x:c r="C22" s="548"/>
      <x:c r="D22" s="551" t="str">
        <x:v>Nguồn ưu tiên</x:v>
      </x:c>
      <x:c r="E22" s="551" t="str">
        <x:v>XLSX / PDF / dataset / danh sách bulk nhà nước</x:v>
      </x:c>
      <x:c r="F22" s="548"/>
      <x:c r="G22" s="548"/>
      <x:c r="H22" s="548"/>
      <x:c r="I22" s="548"/>
      <x:c r="J22" s="548"/>
      <x:c r="K22" s="548"/>
      <x:c r="L22" s="557"/>
      <x:c r="M22" s="557"/>
      <x:c r="N22" s="548"/>
      <x:c r="O22" s="548"/>
      <x:c r="P22" s="557"/>
      <x:c r="Q22" s="113"/>
    </x:row>
    <x:row r="23">
      <x:c r="A23" s="548"/>
      <x:c r="B23" s="548"/>
      <x:c r="C23" s="548"/>
      <x:c r="D23" s="551" t="str">
        <x:v>Ngày dashboard</x:v>
      </x:c>
      <x:c r="E23" s="551" t="str">
        <x:v>22/08/2026</x:v>
      </x:c>
      <x:c r="F23" s="548"/>
      <x:c r="G23" s="548"/>
      <x:c r="H23" s="548"/>
      <x:c r="I23" s="548"/>
      <x:c r="J23" s="548"/>
      <x:c r="K23" s="548"/>
      <x:c r="L23" s="557"/>
      <x:c r="M23" s="557"/>
      <x:c r="N23" s="548"/>
      <x:c r="O23" s="548"/>
      <x:c r="P23" s="557"/>
      <x:c r="Q23" s="113"/>
    </x:row>
    <x:row r="24">
      <x:c r="A24" s="548"/>
      <x:c r="B24" s="548"/>
      <x:c r="C24" s="548"/>
      <x:c r="D24" s="548"/>
      <x:c r="E24" s="548"/>
      <x:c r="F24" s="548"/>
      <x:c r="G24" s="548"/>
      <x:c r="H24" s="548"/>
      <x:c r="I24" s="548"/>
      <x:c r="J24" s="548"/>
      <x:c r="K24" s="548"/>
      <x:c r="L24" s="557"/>
      <x:c r="M24" s="557"/>
      <x:c r="N24" s="548"/>
      <x:c r="O24" s="548"/>
      <x:c r="P24" s="557"/>
      <x:c r="Q24" s="113"/>
    </x:row>
    <x:row r="25">
      <x:c r="A25" s="548"/>
      <x:c r="B25" s="548"/>
      <x:c r="C25" s="548"/>
      <x:c r="D25" s="548"/>
      <x:c r="E25" s="548"/>
      <x:c r="F25" s="548"/>
      <x:c r="G25" s="548"/>
      <x:c r="H25" s="548"/>
      <x:c r="I25" s="548"/>
      <x:c r="J25" s="574"/>
      <x:c r="K25" s="548"/>
      <x:c r="L25" s="557"/>
      <x:c r="M25" s="557"/>
      <x:c r="N25" s="548"/>
      <x:c r="O25" s="548"/>
      <x:c r="P25" s="557"/>
      <x:c r="Q25" s="113"/>
    </x:row>
    <x:row r="26">
      <x:c r="A26" s="548"/>
      <x:c r="B26" s="548"/>
      <x:c r="C26" s="548"/>
      <x:c r="D26" s="548"/>
      <x:c r="E26" s="548"/>
      <x:c r="F26" s="548"/>
      <x:c r="G26" s="548"/>
      <x:c r="H26" s="548"/>
      <x:c r="I26" s="548"/>
      <x:c r="J26" s="548"/>
      <x:c r="K26" s="548"/>
      <x:c r="L26" s="557"/>
      <x:c r="M26" s="557"/>
      <x:c r="N26" s="548"/>
      <x:c r="O26" s="548"/>
      <x:c r="P26" s="557"/>
      <x:c r="Q26" s="113"/>
    </x:row>
    <x:row r="27">
      <x:c r="A27" s="548"/>
      <x:c r="B27" s="548"/>
      <x:c r="C27" s="548"/>
      <x:c r="D27" s="548"/>
      <x:c r="E27" s="548"/>
      <x:c r="F27" s="548"/>
      <x:c r="G27" s="548"/>
      <x:c r="H27" s="548"/>
      <x:c r="I27" s="548"/>
      <x:c r="J27" s="548"/>
      <x:c r="K27" s="548"/>
      <x:c r="L27" s="557"/>
      <x:c r="M27" s="557"/>
      <x:c r="N27" s="548"/>
      <x:c r="O27" s="548"/>
      <x:c r="P27" s="557"/>
      <x:c r="Q27" s="113"/>
    </x:row>
    <x:row r="28">
      <x:c r="A28" s="548"/>
      <x:c r="B28" s="548"/>
      <x:c r="C28" s="548"/>
      <x:c r="D28" s="548"/>
      <x:c r="E28" s="548"/>
      <x:c r="F28" s="548"/>
      <x:c r="G28" s="548"/>
      <x:c r="H28" s="548"/>
      <x:c r="I28" s="548"/>
      <x:c r="J28" s="548"/>
      <x:c r="K28" s="548"/>
      <x:c r="L28" s="557"/>
      <x:c r="M28" s="557"/>
      <x:c r="N28" s="548"/>
      <x:c r="O28" s="548"/>
      <x:c r="P28" s="557"/>
      <x:c r="Q28" s="113"/>
    </x:row>
    <x:row r="29">
      <x:c r="A29" s="567"/>
      <x:c r="B29" s="567"/>
      <x:c r="C29" s="548"/>
      <x:c r="D29" s="548"/>
      <x:c r="E29" s="548"/>
      <x:c r="F29" s="548"/>
      <x:c r="G29" s="548"/>
      <x:c r="H29" s="548"/>
      <x:c r="I29" s="548"/>
      <x:c r="J29" s="548"/>
      <x:c r="K29" s="548"/>
      <x:c r="L29" s="557"/>
      <x:c r="M29" s="557"/>
      <x:c r="N29" s="548"/>
      <x:c r="O29" s="548"/>
      <x:c r="P29" s="557"/>
      <x:c r="Q29" s="113"/>
    </x:row>
    <x:row r="30">
      <x:c r="A30" s="575"/>
      <x:c r="B30" s="575"/>
      <x:c r="C30" s="548"/>
      <x:c r="D30" s="548"/>
      <x:c r="E30" s="548"/>
      <x:c r="F30" s="548"/>
      <x:c r="G30" s="548"/>
      <x:c r="H30" s="548"/>
      <x:c r="I30" s="548"/>
      <x:c r="J30" s="548"/>
      <x:c r="K30" s="548"/>
      <x:c r="L30" s="557"/>
      <x:c r="M30" s="557"/>
      <x:c r="N30" s="548"/>
      <x:c r="O30" s="548"/>
      <x:c r="P30" s="557"/>
      <x:c r="Q30" s="113"/>
    </x:row>
    <x:row r="31">
      <x:c r="A31" s="548"/>
      <x:c r="B31" s="548"/>
      <x:c r="C31" s="548"/>
      <x:c r="D31" s="548"/>
      <x:c r="E31" s="548"/>
      <x:c r="F31" s="548"/>
      <x:c r="G31" s="548"/>
      <x:c r="H31" s="548"/>
      <x:c r="I31" s="548"/>
      <x:c r="J31" s="548"/>
      <x:c r="K31" s="548"/>
      <x:c r="L31" s="557"/>
      <x:c r="M31" s="557"/>
      <x:c r="N31" s="548"/>
      <x:c r="O31" s="548"/>
      <x:c r="P31" s="557"/>
      <x:c r="Q31" s="113" t="n"/>
    </x:row>
    <x:row r="32">
      <x:c r="A32" s="548"/>
      <x:c r="B32" s="548"/>
      <x:c r="C32" s="548"/>
      <x:c r="D32" s="548"/>
      <x:c r="E32" s="548"/>
      <x:c r="F32" s="548"/>
      <x:c r="G32" s="548"/>
      <x:c r="H32" s="548"/>
      <x:c r="I32" s="548"/>
      <x:c r="J32" s="548"/>
      <x:c r="K32" s="548"/>
      <x:c r="L32" s="557"/>
      <x:c r="M32" s="557"/>
      <x:c r="N32" s="548"/>
      <x:c r="O32" s="548"/>
      <x:c r="P32" s="557"/>
      <x:c r="Q32" s="113" t="n"/>
    </x:row>
    <x:row r="33">
      <x:c r="A33"/>
      <x:c r="B33"/>
      <x:c r="L33" s="113"/>
      <x:c r="M33" s="113"/>
      <x:c r="P33" s="113"/>
      <x:c r="Q33" s="113" t="n"/>
    </x:row>
    <x:row r="34">
      <x:c r="A34" s="308"/>
      <x:c r="B34" s="308"/>
      <x:c r="D34" s="315"/>
      <x:c r="K34" s="595" t="str">
        <x:v>MARKET CANDIDATES – LÔ 1</x:v>
      </x:c>
      <x:c r="L34" s="596" t="str">
        <x:v>Giá trị</x:v>
      </x:c>
      <x:c r="M34" s="596" t="str">
        <x:v>Ghi chú</x:v>
      </x:c>
      <x:c r="N34" s="595"/>
      <x:c r="P34" s="113"/>
      <x:c r="Q34" s="113" t="n"/>
    </x:row>
    <x:row r="35">
      <x:c r="D35" s="109"/>
      <x:c r="K35" s="340" t="str">
        <x:v>Candidates TMĐT</x:v>
      </x:c>
      <x:c r="L35" s="597" t="n">
        <x:v>20</x:v>
      </x:c>
      <x:c r="M35" s="597" t="str">
        <x:v>Chưa tính vào MASTER pháp lý</x:v>
      </x:c>
      <x:c r="N35" s="340"/>
      <x:c r="P35" s="113"/>
      <x:c r="Q35" s="113" t="n"/>
    </x:row>
    <x:row r="36">
      <x:c r="A36" s="432"/>
      <x:c r="B36" s="432"/>
      <x:c r="C36" s="432"/>
      <x:c r="K36" s="340" t="str">
        <x:v>Shopee</x:v>
      </x:c>
      <x:c r="L36" s="597" t="n">
        <x:v>20</x:v>
      </x:c>
      <x:c r="M36" s="597" t="str">
        <x:v>Ghi nhận 23/08/2026</x:v>
      </x:c>
      <x:c r="N36" s="340"/>
      <x:c r="P36" s="113"/>
      <x:c r="Q36" s="113" t="n"/>
    </x:row>
    <x:row r="37">
      <x:c r="A37" s="434"/>
      <x:c r="B37" s="434"/>
      <x:c r="C37" s="434"/>
      <x:c r="K37" s="340" t="str">
        <x:v>Brands</x:v>
      </x:c>
      <x:c r="L37" s="597" t="n">
        <x:v>3</x:v>
      </x:c>
      <x:c r="M37" s="597" t="str">
        <x:v>ANESSA / BEPLAIN / d'Alba</x:v>
      </x:c>
      <x:c r="N37" s="340"/>
      <x:c r="P37" s="113"/>
      <x:c r="Q37" s="113" t="n"/>
    </x:row>
    <x:row r="38">
      <x:c r="A38"/>
      <x:c r="B38" s="344"/>
      <x:c r="C38"/>
      <x:c r="K38" s="340" t="str">
        <x:v>Đã xác minh CBMP</x:v>
      </x:c>
      <x:c r="L38" s="597" t="n">
        <x:v>0</x:v>
      </x:c>
      <x:c r="M38" s="597" t="str">
        <x:v>Bước kế tiếp: truy ngược nguồn nhà nước</x:v>
      </x:c>
      <x:c r="N38" s="340"/>
      <x:c r="P38" s="113"/>
      <x:c r="Q38" s="113" t="n"/>
    </x:row>
    <x:row r="39">
      <x:c r="A39"/>
      <x:c r="B39" s="344"/>
      <x:c r="C39"/>
      <x:c r="K39" s="340" t="str">
        <x:v>Chưa xác minh CBMP</x:v>
      </x:c>
      <x:c r="L39" s="597" t="n">
        <x:v>20</x:v>
      </x:c>
      <x:c r="M39" s="597" t="str">
        <x:v>Giữ riêng MARKET_CANDIDATES</x:v>
      </x:c>
      <x:c r="N39" s="340"/>
      <x:c r="P39" s="113"/>
      <x:c r="Q39" s="113" t="n"/>
    </x:row>
    <x:row r="40">
      <x:c r="A40"/>
      <x:c r="B40" s="344"/>
      <x:c r="C40"/>
      <x:c r="K40" s="340" t="str">
        <x:v>Nguồn xu hướng</x:v>
      </x:c>
      <x:c r="L40" s="340" t="str">
        <x:v>Metric 2026</x:v>
      </x:c>
      <x:c r="M40" s="340" t="str">
        <x:v>KCN 447,8 tỷ / 30 ngày</x:v>
      </x:c>
      <x:c r="N40" s="340"/>
    </x:row>
    <x:row r="41"/>
    <x:row r="42">
      <x:c r="A42" s="434" t="str">
        <x:v>TOP TĂNG</x:v>
      </x:c>
      <x:c r="B42" s="434" t="str">
        <x:v>% 2025–26</x:v>
      </x:c>
      <x:c r="C42" s="434" t="str">
        <x:v>Δ điểm %</x:v>
      </x:c>
    </x:row>
    <x:row r="43">
      <x:c r="A43" t="str">
        <x:v>Nước hoa</x:v>
      </x:c>
      <x:c r="B43" s="344" t="n">
        <x:v>0.23404255319148937</x:v>
      </x:c>
      <x:c r="C43" s="344" t="n">
        <x:v>0.23404255319148937</x:v>
      </x:c>
    </x:row>
    <x:row r="44">
      <x:c r="A44" t="str">
        <x:v>Sữa tắm/Gel tắm</x:v>
      </x:c>
      <x:c r="B44" s="344" t="n">
        <x:v>0.1276595744680851</x:v>
      </x:c>
      <x:c r="C44" s="344" t="n">
        <x:v>0.10234311877188257</x:v>
      </x:c>
    </x:row>
    <x:row r="45">
      <x:c r="A45" t="str">
        <x:v>Chăm sóc răng miệng</x:v>
      </x:c>
      <x:c r="B45" s="344" t="n">
        <x:v>0.0851063829787234</x:v>
      </x:c>
      <x:c r="C45" s="344" t="n">
        <x:v>0.0851063829787234</x:v>
      </x:c>
    </x:row>
    <x:row r="46"/>
    <x:row r="47">
      <x:c r="A47" s="434" t="str">
        <x:v>TOP GIẢM</x:v>
      </x:c>
      <x:c r="B47" s="434" t="str">
        <x:v>% 2025–26</x:v>
      </x:c>
      <x:c r="C47" s="434" t="str">
        <x:v>Δ điểm %</x:v>
      </x:c>
    </x:row>
    <x:row r="48">
      <x:c r="A48" t="str">
        <x:v>Dầu gội</x:v>
      </x:c>
      <x:c r="B48" s="344" t="n">
        <x:v>0.02127659574468085</x:v>
      </x:c>
      <x:c r="C48" s="344" t="n">
        <x:v>-0.257204416913547</x:v>
      </x:c>
    </x:row>
    <x:row r="49">
      <x:c r="A49" t="str">
        <x:v>Dầu xả</x:v>
      </x:c>
      <x:c r="B49" s="344" t="n">
        <x:v>0</x:v>
      </x:c>
      <x:c r="C49" s="344" t="n">
        <x:v>-0.13924050632911392</x:v>
      </x:c>
    </x:row>
    <x:row r="50">
      <x:c r="A50" t="str">
        <x:v>Uốn/duỗi/giữ nếp tóc</x:v>
      </x:c>
      <x:c r="B50" s="344" t="n">
        <x:v>0.02127659574468085</x:v>
      </x:c>
      <x:c r="C50" s="344" t="n">
        <x:v>-0.06733099919202801</x:v>
      </x:c>
    </x:row>
    <x:row r="51"/>
    <x:row r="52">
      <x:c r="A52" s="427" t="str">
        <x:v>DẦU GỘI – ĐỌC NHANH</x:v>
      </x:c>
      <x:c r="B52" s="427" t="str"/>
      <x:c r="C52" s="427" t="str"/>
    </x:row>
    <x:row r="53">
      <x:c r="A53" t="str">
        <x:v>Tỷ trọng Dầu gội / 2022+</x:v>
      </x:c>
      <x:c r="B53" s="344" t="n">
        <x:v>0.17829457364341086</x:v>
      </x:c>
      <x:c r="C53" t="str"/>
    </x:row>
    <x:row r="54">
      <x:c r="A54" t="str">
        <x:v>Top brand hiện tại</x:v>
      </x:c>
      <x:c r="B54" t="str">
        <x:v>VNUA</x:v>
      </x:c>
      <x:c r="C54" s="344" t="n">
        <x:v>0.13043478260869565</x:v>
      </x:c>
    </x:row>
    <x:row r="55">
      <x:c r="A55" t="str">
        <x:v>Top brand / toàn 2022+</x:v>
      </x:c>
      <x:c r="B55" t="str">
        <x:v>VNUA</x:v>
      </x:c>
      <x:c r="C55" s="344" t="n">
        <x:v>0.023255813953488372</x:v>
      </x:c>
    </x:row>
    <x:row r="56">
      <x:c r="A56" s="436" t="str">
        <x:v>Ghi chú</x:v>
      </x:c>
      <x:c r="B56" s="436" t="str">
        <x:v>Ví dụ cách đọc: brand = % trong Dầu gội và % trên toàn bộ dữ liệu 2022+.</x:v>
      </x:c>
      <x:c r="C56" s="436" t="str"/>
    </x:row>
    <x:row r="57"/>
    <x:row r="58">
      <x:c r="A58" s="420" t="str">
        <x:v>KẾT LUẬN TẠM THỜI</x:v>
      </x:c>
      <x:c r="B58" s="420" t="str"/>
      <x:c r="C58" s="420" t="str"/>
      <x:c r="D58" s="420" t="str"/>
      <x:c r="E58" s="420" t="str"/>
      <x:c r="F58" s="420" t="str"/>
    </x:row>
    <x:row r="59">
      <x:c r="A59" s="340" t="str">
        <x:v>Xu hướng</x:v>
      </x:c>
      <x:c r="B59" s="340" t="str">
        <x:v>Dựa trên 2022+ hiện có; dùng để quyết định nhóm nào cần đào sâu dữ liệu và R&amp;D trước.</x:v>
      </x:c>
      <x:c r="C59" s="340" t="str"/>
      <x:c r="D59" s="340" t="str"/>
      <x:c r="E59" s="340" t="str"/>
      <x:c r="F59" s="340" t="str"/>
    </x:row>
    <x:row r="60">
      <x:c r="A60" s="340" t="str">
        <x:v>Cảnh báo</x:v>
      </x:c>
      <x:c r="B60" s="340" t="str">
        <x:v>Không gọi là thị phần doanh số cho đến khi retail/e-commerce/import và coverage địa phương đủ mạnh.</x:v>
      </x:c>
      <x:c r="C60" s="340" t="str"/>
      <x:c r="D60" s="340" t="str"/>
      <x:c r="E60" s="340" t="str"/>
      <x:c r="F60" s="340" t="str"/>
    </x:row>
    <x:row r="61"/>
    <x:row r="62">
      <x:c r="A62" s="468" t="str">
        <x:v>PHƯƠNG PHÁP QUÉT SỐ – CHỈ DÙNG ĐỂ TÌM</x:v>
      </x:c>
      <x:c r="B62" s="468" t="str"/>
      <x:c r="C62" s="468" t="str"/>
    </x:row>
    <x:row r="63">
      <x:c r="A63" t="str">
        <x:v>Mốc thật 1</x:v>
      </x:c>
      <x:c r="B63" t="str">
        <x:v>005915/26/CBMP-HCM</x:v>
      </x:c>
      <x:c r="C63" t="str">
        <x:v>CHỜ ĐỦ CÔNG TY</x:v>
      </x:c>
    </x:row>
    <x:row r="64">
      <x:c r="A64" t="str">
        <x:v>Mốc thật 2</x:v>
      </x:c>
      <x:c r="B64" t="str">
        <x:v>006016/26/CBMP-HCM</x:v>
      </x:c>
      <x:c r="C64" t="str">
        <x:v>CHỜ ĐỦ CÔNG TY</x:v>
      </x:c>
    </x:row>
    <x:row r="65">
      <x:c r="A65" t="str">
        <x:v>Quy tắc</x:v>
      </x:c>
      <x:c r="B65" t="str">
        <x:v>Không tạo record cho số chưa xác minh</x:v>
      </x:c>
      <x:c r="C65" t="str"/>
    </x:row>
    <x:row r="66">
      <x:c r="A66" t="str">
        <x:v>Pending</x:v>
      </x:c>
      <x:c r="B66" t="str">
        <x:v>Xem CHO_XAC_MINH</x:v>
      </x:c>
      <x:c r="C66" t="str">
        <x:v>Không tính Dashboard</x:v>
      </x:c>
    </x:row>
    <x:row r="67">
      <x:c r="A67"/>
      <x:c r="B67"/>
      <x:c r="C67"/>
    </x:row>
    <x:row r="68"/>
    <x:row r="69"/>
    <x:row r="70"/>
    <x:row r="71"/>
    <x:row r="72"/>
    <x:row r="73"/>
    <x:row r="74"/>
    <x:row r="75"/>
    <x:row r="76"/>
    <x:row r="77"/>
    <x:row r="78"/>
    <x:row r="79"/>
    <x:row r="80"/>
    <x:row r="81"/>
    <x:row r="82"/>
    <x:row r="83"/>
    <x:row r="84"/>
    <x:row r="85"/>
    <x:row r="86"/>
    <x:row r="87"/>
    <x:row r="88"/>
    <x:row r="89"/>
    <x:row r="90"/>
  </x:sheetData>
  <x:mergeCells>
    <x:mergeCell ref="A1:B1"/>
    <x:mergeCell ref="A1:H1"/>
  </x:mergeCells>
  <x:conditionalFormatting sqref="C43:C45">
    <x:cfRule type="dataBar" priority="1">
      <x:dataBar>
        <x:cfvo type="min"/>
        <x:cfvo type="max"/>
        <x:color rgb="FF4EA72E"/>
      </x:dataBar>
      <x:extLst>
        <x:ext xmlns:x14="http://schemas.microsoft.com/office/spreadsheetml/2009/9/main" uri="{B025F937-C7B1-47D3-B67F-A62EFF666E3E}">
          <x14:id>{73AC565A-CD0F-A125-1140-E257223D1650}</x14:id>
        </x:ext>
      </x:extLst>
    </x:cfRule>
  </x:conditionalFormatting>
  <x:conditionalFormatting sqref="C48:C50">
    <x:cfRule type="dataBar" priority="2">
      <x:dataBar>
        <x:cfvo type="min"/>
        <x:cfvo type="max"/>
        <x:color rgb="FFE97132"/>
      </x:dataBar>
      <x:extLst>
        <x:ext xmlns:x14="http://schemas.microsoft.com/office/spreadsheetml/2009/9/main" uri="{B025F937-C7B1-47D3-B67F-A62EFF666E3E}">
          <x14:id>{427FBFB4-E6E5-8C44-3070-0A9381FDC6F9}</x14:id>
        </x:ext>
      </x:extLst>
    </x:cfRule>
  </x:conditionalFormatting>
  <x:pageMargins left="0.7" right="0.7" top="0.75" bottom="0.75" header="0.3" footer="0.3"/>
  <x:drawing xmlns:r="http://schemas.openxmlformats.org/officeDocument/2006/relationships" r:id="R66829414918d4f78"/>
  <x:extLst>
    <x:ext xmlns:x14="http://schemas.microsoft.com/office/spreadsheetml/2009/9/main" xmlns:xm="http://schemas.microsoft.com/office/excel/2006/main" uri="{78C0D931-6437-407d-A8EE-F0AAD7539E65}">
      <x14:conditionalFormattings>
        <x14:conditionalFormatting>
          <x14:cfRule type="dataBar" priority="1" id="{73AC565A-CD0F-A125-1140-E257223D1650}">
            <x14:dataBar gradient="1">
              <x14:cfvo type="min"/>
              <x14:cfvo type="max"/>
              <x14:fillColor rgb="FF4EA72E"/>
            </x14:dataBar>
          </x14:cfRule>
          <xm:sqref>C43:C45</xm:sqref>
        </x14:conditionalFormatting>
        <x14:conditionalFormatting>
          <x14:cfRule type="dataBar" priority="2" id="{427FBFB4-E6E5-8C44-3070-0A9381FDC6F9}">
            <x14:dataBar gradient="1">
              <x14:cfvo type="min"/>
              <x14:cfvo type="max"/>
              <x14:fillColor rgb="FFE97132"/>
            </x14:dataBar>
          </x14:cfRule>
          <xm:sqref>C48:C50</xm:sqref>
        </x14:conditionalFormatting>
      </x14:conditionalFormattings>
    </x:ext>
  </x:extLst>
</x:worksheet>
</file>

<file path=xl/worksheets/sheet2.xml><?xml version="1.0" encoding="utf-8"?>
<x:worksheet xmlns:x="http://schemas.openxmlformats.org/spreadsheetml/2006/main">
  <x:sheetFormatPr baseColWidth="8" defaultRowHeight="15"/>
  <x:cols>
    <x:col min="1" max="1" width="60" style="91" customWidth="1"/>
    <x:col min="2" max="2" width="18" style="91" customWidth="1"/>
    <x:col min="3" max="3" width="18" style="91" customWidth="1"/>
  </x:cols>
  <x:sheetData>
    <x:row r="1" s="91" customFormat="1" ht="48" customHeight="1">
      <x:c r="A1" s="316" t="inlineStr">
        <x:is>
          <x:t xml:space="preserve">BỨC TRANH VI MÔ — tự động từ MASTER_ALL</x:t>
        </x:is>
      </x:c>
      <x:c r="B1" s="1" t="n"/>
      <x:c r="C1" s="1" t="n"/>
      <x:c r="D1" s="272" t="n"/>
      <x:c r="E1" s="272" t="n"/>
      <x:c r="F1" s="272" t="n"/>
      <x:c r="G1" s="272" t="n"/>
      <x:c r="H1" s="272" t="n"/>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3">
      <x:c r="A3" s="131" t="str">
        <x:v>Tổng record sạch</x:v>
      </x:c>
      <x:c r="B3" t="n">
        <x:v>173</x:v>
      </x:c>
      <x:c r="C3" t="str">
        <x:v>MASTER_ALL: public verified records</x:v>
      </x:c>
    </x:row>
    <x:row r="5">
      <x:c r="A5" s="196" t="str">
        <x:v>NHÓM SẢN PHẨM</x:v>
      </x:c>
      <x:c r="B5" s="196" t="str">
        <x:v>Số</x:v>
      </x:c>
      <x:c r="C5" s="187" t="str">
        <x:v>Tỷ trọng</x:v>
      </x:c>
    </x:row>
    <x:row r="6">
      <x:c r="A6" t="str">
        <x:v>Dầu gội</x:v>
      </x:c>
      <x:c r="B6" t="n">
        <x:v>20</x:v>
      </x:c>
      <x:c r="C6" s="344" t="n">
        <x:v>0.11560693641618497</x:v>
      </x:c>
    </x:row>
    <x:row r="7">
      <x:c r="A7" t="str">
        <x:v>Dầu xả</x:v>
      </x:c>
      <x:c r="B7" t="n">
        <x:v>11</x:v>
      </x:c>
      <x:c r="C7" s="344" t="n">
        <x:v>0.06358381502890173</x:v>
      </x:c>
    </x:row>
    <x:row r="8">
      <x:c r="A8" t="str">
        <x:v>Uốn/duỗi/giữ nếp tóc</x:v>
      </x:c>
      <x:c r="B8" t="n">
        <x:v>7</x:v>
      </x:c>
      <x:c r="C8" s="344" t="n">
        <x:v>0.04046242774566474</x:v>
      </x:c>
    </x:row>
    <x:row r="9">
      <x:c r="A9" t="str">
        <x:v>Sữa rửa mặt</x:v>
      </x:c>
      <x:c r="B9" t="n">
        <x:v>8</x:v>
      </x:c>
      <x:c r="C9" s="344" t="n">
        <x:v>0.046242774566473986</x:v>
      </x:c>
    </x:row>
    <x:row r="10">
      <x:c r="A10" t="str">
        <x:v>Kem body</x:v>
      </x:c>
      <x:c r="B10" t="n">
        <x:v>6</x:v>
      </x:c>
      <x:c r="C10" s="344" t="n">
        <x:v>0.03468208092485549</x:v>
      </x:c>
    </x:row>
    <x:row r="11">
      <x:c r="A11" t="str">
        <x:v>Dung dịch vệ sinh</x:v>
      </x:c>
      <x:c r="B11" t="n">
        <x:v>5</x:v>
      </x:c>
      <x:c r="C11" s="344" t="n">
        <x:v>0.028901734104046242</x:v>
      </x:c>
    </x:row>
    <x:row r="12">
      <x:c r="A12" t="str">
        <x:v>Kem dưỡng da</x:v>
      </x:c>
      <x:c r="B12" t="n">
        <x:v>27</x:v>
      </x:c>
      <x:c r="C12" s="344" t="n">
        <x:v>0.15606936416184972</x:v>
      </x:c>
    </x:row>
    <x:row r="13">
      <x:c r="A13" t="str">
        <x:v>Sữa tắm/Gel tắm</x:v>
      </x:c>
      <x:c r="B13" t="n">
        <x:v>10</x:v>
      </x:c>
      <x:c r="C13" s="344" t="n">
        <x:v>0.057803468208092484</x:v>
      </x:c>
    </x:row>
    <x:row r="14">
      <x:c r="A14" t="str">
        <x:v>Tạo kiểu tóc</x:v>
      </x:c>
      <x:c r="B14" t="n">
        <x:v>2</x:v>
      </x:c>
      <x:c r="C14" s="344" t="n">
        <x:v>0.011560693641618497</x:v>
      </x:c>
    </x:row>
    <x:row r="15">
      <x:c r="A15" t="str">
        <x:v>Khác</x:v>
      </x:c>
      <x:c r="B15" t="n">
        <x:v>9</x:v>
      </x:c>
      <x:c r="C15" s="344" t="n">
        <x:v>0.05202312138728324</x:v>
      </x:c>
    </x:row>
    <x:row r="16">
      <x:c r="A16" t="str">
        <x:v>Kem chống nắng</x:v>
      </x:c>
      <x:c r="B16" t="n">
        <x:v>4</x:v>
      </x:c>
      <x:c r="C16" s="344" t="n">
        <x:v>0.023121387283236993</x:v>
      </x:c>
    </x:row>
    <x:row r="17">
      <x:c r="A17" t="str">
        <x:v>Khử mùi</x:v>
      </x:c>
      <x:c r="B17" t="n">
        <x:v>5</x:v>
      </x:c>
      <x:c r="C17" s="344" t="n">
        <x:v>0.028901734104046242</x:v>
      </x:c>
    </x:row>
    <x:row r="18">
      <x:c r="A18" t="str">
        <x:v>Ủ tóc/Hair mask</x:v>
      </x:c>
      <x:c r="B18" t="n">
        <x:v>1</x:v>
      </x:c>
      <x:c r="C18" s="344" t="n">
        <x:v>0.005780346820809248</x:v>
      </x:c>
    </x:row>
    <x:row r="19">
      <x:c r="A19" t="str">
        <x:v>Nhuộm/tẩy màu tóc</x:v>
      </x:c>
      <x:c r="B19" t="n">
        <x:v>1</x:v>
      </x:c>
      <x:c r="C19" s="344" t="n">
        <x:v>0.005780346820809248</x:v>
      </x:c>
    </x:row>
    <x:row r="20">
      <x:c r="A20" t="str">
        <x:v>Dưỡng tóc/Serum tóc</x:v>
      </x:c>
      <x:c r="B20" t="n">
        <x:v>4</x:v>
      </x:c>
      <x:c r="C20" s="344" t="n">
        <x:v>0.023121387283236993</x:v>
      </x:c>
    </x:row>
    <x:row r="21">
      <x:c r="A21" s="139" t="str">
        <x:v>Nước hoa</x:v>
      </x:c>
      <x:c r="B21" s="139" t="n">
        <x:v>11</x:v>
      </x:c>
      <x:c r="C21" s="371" t="n">
        <x:v>0.06358381502890173</x:v>
      </x:c>
    </x:row>
    <x:row r="22">
      <x:c r="A22" s="135" t="str">
        <x:v>Tẩy trang</x:v>
      </x:c>
      <x:c r="B22" s="135" t="n">
        <x:v>2</x:v>
      </x:c>
      <x:c r="C22" s="372" t="n">
        <x:v>0.011560693641618497</x:v>
      </x:c>
    </x:row>
    <x:row r="23">
      <x:c r="A23" t="str">
        <x:v>Serum/Essence da</x:v>
      </x:c>
      <x:c r="B23" t="n">
        <x:v>7</x:v>
      </x:c>
      <x:c r="C23" s="344" t="n">
        <x:v>0.04046242774566474</x:v>
      </x:c>
    </x:row>
    <x:row r="24">
      <x:c r="A24" t="str">
        <x:v>Sản phẩm môi</x:v>
      </x:c>
      <x:c r="B24" t="n">
        <x:v>3</x:v>
      </x:c>
      <x:c r="C24" s="344" t="n">
        <x:v>0.017341040462427744</x:v>
      </x:c>
    </x:row>
    <x:row r="25">
      <x:c r="A25" s="139" t="str">
        <x:v>Chăm sóc răng miệng</x:v>
      </x:c>
      <x:c r="B25" s="139" t="n">
        <x:v>5</x:v>
      </x:c>
      <x:c r="C25" s="371" t="n">
        <x:v>0.028901734104046242</x:v>
      </x:c>
    </x:row>
    <x:row r="26">
      <x:c r="A26" s="135" t="str">
        <x:v>Mặt nạ</x:v>
      </x:c>
      <x:c r="B26" s="135" t="n">
        <x:v>25</x:v>
      </x:c>
      <x:c r="C26" s="372" t="n">
        <x:v>0.14450867052023122</x:v>
      </x:c>
    </x:row>
    <x:row r="27">
      <x:c r="A27" s="194" t="str">
        <x:v>KIỂM TRA NHÓM</x:v>
      </x:c>
      <x:c r="B27" s="194" t="n">
        <x:v>173</x:v>
      </x:c>
      <x:c r="C27" s="200" t="str">
        <x:v>OK</x:v>
      </x:c>
    </x:row>
    <x:row r="28">
      <x:c r="A28" s="170"/>
      <x:c r="B28" s="170"/>
      <x:c r="C28" s="171"/>
    </x:row>
    <x:row r="29">
      <x:c r="A29" s="187" t="str">
        <x:v>THEO TỈNH</x:v>
      </x:c>
      <x:c r="B29" s="187" t="str">
        <x:v>Số</x:v>
      </x:c>
      <x:c r="C29" s="198" t="str">
        <x:v>Tỷ trọng</x:v>
      </x:c>
    </x:row>
    <x:row r="30">
      <x:c r="A30" t="str">
        <x:v>TP. Hồ Chí Minh</x:v>
      </x:c>
      <x:c r="B30" t="n">
        <x:v>127</x:v>
      </x:c>
      <x:c r="C30" s="344" t="n">
        <x:v>0.7341040462427746</x:v>
      </x:c>
    </x:row>
    <x:row r="31">
      <x:c r="A31" t="str">
        <x:v>Hải Phòng</x:v>
      </x:c>
      <x:c r="B31" t="n">
        <x:v>42</x:v>
      </x:c>
      <x:c r="C31" s="344" t="n">
        <x:v>0.24277456647398843</x:v>
      </x:c>
    </x:row>
    <x:row r="32">
      <x:c r="A32" s="166" t="str">
        <x:v>Đà Nẵng</x:v>
      </x:c>
      <x:c r="B32" s="166" t="n">
        <x:v>4</x:v>
      </x:c>
      <x:c r="C32" s="371" t="n">
        <x:v>0.023121387283236993</x:v>
      </x:c>
    </x:row>
    <x:row r="33">
      <x:c r="A33" s="194" t="str">
        <x:v>KIỂM TRA TỈNH</x:v>
      </x:c>
      <x:c r="B33" s="194" t="n">
        <x:v>173</x:v>
      </x:c>
      <x:c r="C33" s="200" t="str">
        <x:v>OK</x:v>
      </x:c>
    </x:row>
    <x:row r="34">
      <x:c r="A34" s="170"/>
      <x:c r="B34" s="170"/>
      <x:c r="C34" s="171"/>
    </x:row>
    <x:row r="35">
      <x:c r="A35" s="446" t="str">
        <x:v>CÔNG TY (top 12 – dữ liệu sạch)</x:v>
      </x:c>
      <x:c r="B35" s="446" t="str">
        <x:v>Số SP</x:v>
      </x:c>
      <x:c r="C35" s="447" t="str">
        <x:v>Tỷ trọng</x:v>
      </x:c>
    </x:row>
    <x:row r="36">
      <x:c r="A36" t="str">
        <x:v>Công ty TNHH Sản xuất Thương mại Xuất Nhập khẩu Tạ Minh Quang</x:v>
      </x:c>
      <x:c r="B36" t="n">
        <x:v>38</x:v>
      </x:c>
      <x:c r="C36" s="344" t="n">
        <x:v>0.21965317919075145</x:v>
      </x:c>
    </x:row>
    <x:row r="37">
      <x:c r="A37" t="str">
        <x:v>CÔNG TY TNHH ROHTO-MENTHOLATUM (VIỆT NAM)</x:v>
      </x:c>
      <x:c r="B37" t="n">
        <x:v>25</x:v>
      </x:c>
      <x:c r="C37" s="344" t="n">
        <x:v>0.14450867052023122</x:v>
      </x:c>
    </x:row>
    <x:row r="38">
      <x:c r="A38" t="str">
        <x:v>CÔNG TY TNHH QUỐC TẾ UNILEVER VIỆT NAM</x:v>
      </x:c>
      <x:c r="B38" t="n">
        <x:v>10</x:v>
      </x:c>
      <x:c r="C38" s="344" t="n">
        <x:v>0.057803468208092484</x:v>
      </x:c>
    </x:row>
    <x:row r="39">
      <x:c r="A39" t="str">
        <x:v>Công ty TNHH Hoá Mỹ Phẩm Hồng Đạt</x:v>
      </x:c>
      <x:c r="B39" t="n">
        <x:v>7</x:v>
      </x:c>
      <x:c r="C39" s="344" t="n">
        <x:v>0.04046242774566474</x:v>
      </x:c>
    </x:row>
    <x:row r="40">
      <x:c r="A40" t="str">
        <x:v>Công ty Cổ phần Khoa học Sinh Dược Việt Nam</x:v>
      </x:c>
      <x:c r="B40" t="n">
        <x:v>7</x:v>
      </x:c>
      <x:c r="C40" s="344" t="n">
        <x:v>0.04046242774566474</x:v>
      </x:c>
    </x:row>
    <x:row r="41">
      <x:c r="A41" t="str">
        <x:v>CÔNG TY CỔ PHẦN MARICO SOUTH EAST ASIA</x:v>
      </x:c>
      <x:c r="B41" t="n">
        <x:v>6</x:v>
      </x:c>
      <x:c r="C41" s="344" t="n">
        <x:v>0.03468208092485549</x:v>
      </x:c>
    </x:row>
    <x:row r="42">
      <x:c r="A42" t="str">
        <x:v>CÔNG TY TNHH TOP 100</x:v>
      </x:c>
      <x:c r="B42" t="n">
        <x:v>6</x:v>
      </x:c>
      <x:c r="C42" s="344" t="n">
        <x:v>0.03468208092485549</x:v>
      </x:c>
    </x:row>
    <x:row r="43">
      <x:c r="A43" t="str">
        <x:v>Công ty TNHH sản xuất và thương mại mỹ phẩm Đăng Dương</x:v>
      </x:c>
      <x:c r="B43" t="n">
        <x:v>6</x:v>
      </x:c>
      <x:c r="C43" s="344" t="n">
        <x:v>0.03468208092485549</x:v>
      </x:c>
    </x:row>
    <x:row r="44">
      <x:c r="A44" t="str">
        <x:v>Công ty CP Dược Mỹ phẩm Thiên Phước</x:v>
      </x:c>
      <x:c r="B44" t="n">
        <x:v>5</x:v>
      </x:c>
      <x:c r="C44" s="344" t="n">
        <x:v>0.028901734104046242</x:v>
      </x:c>
    </x:row>
    <x:row r="45">
      <x:c r="A45" t="str">
        <x:v>Công ty TNHH Sản xuất và Thương mại Mỹ phẩm Việt Anh</x:v>
      </x:c>
      <x:c r="B45" t="n">
        <x:v>4</x:v>
      </x:c>
      <x:c r="C45" s="344" t="n">
        <x:v>0.023121387283236993</x:v>
      </x:c>
    </x:row>
    <x:row r="46">
      <x:c r="A46" t="str">
        <x:v>Công ty TNHH Thương mại dịch vụ VB Group</x:v>
      </x:c>
      <x:c r="B46" t="n">
        <x:v>4</x:v>
      </x:c>
      <x:c r="C46" s="344" t="n">
        <x:v>0.023121387283236993</x:v>
      </x:c>
    </x:row>
    <x:row r="47">
      <x:c r="A47" t="str">
        <x:v>Công ty TNHH Sản xuất và Thương mại Sâm Việt Nam</x:v>
      </x:c>
      <x:c r="B47" t="n">
        <x:v>3</x:v>
      </x:c>
      <x:c r="C47" s="344" t="n">
        <x:v>0.017341040462427744</x:v>
      </x:c>
    </x:row>
    <x:row r="50">
      <x:c r="A50" s="230" t="inlineStr">
        <x:is>
          <x:t xml:space="preserve">LỚP BỔ SUNG – KHÔNG CỘNG VÀO 132 MASTER</x:t>
        </x:is>
      </x:c>
      <x:c r="B50" s="230" t="inlineStr">
        <x:is>
          <x:t xml:space="preserve">Số</x:t>
        </x:is>
      </x:c>
      <x:c r="C50" s="230" t="inlineStr">
        <x:is>
          <x:t xml:space="preserve">Ghi chú</x:t>
        </x:is>
      </x:c>
    </x:row>
    <x:row r="51">
      <x:c r="A51" t="inlineStr">
        <x:is>
          <x:t xml:space="preserve">Import declarations cross-check</x:t>
        </x:is>
      </x:c>
      <x:c r="B51" t="n">
        <x:f>COUNTA(IMPORT_DECLARATIONS!$C$2:$C$11)</x:f>
        <x:v>10</x:v>
      </x:c>
      <x:c r="C51" t="inlineStr">
        <x:is>
          <x:t xml:space="preserve">CBMP-QLD; tách riêng</x:t>
        </x:is>
      </x:c>
    </x:row>
    <x:row r="52">
      <x:c r="A52" t="inlineStr">
        <x:is>
          <x:t xml:space="preserve">Retail/Ecom signals</x:t>
        </x:is>
      </x:c>
      <x:c r="B52" t="n">
        <x:f>COUNTA(RETAIL_ECOM_SIGNAL!$A$2:$A$5000)</x:f>
        <x:v>15</x:v>
      </x:c>
      <x:c r="C52" t="inlineStr">
        <x:is>
          <x:t xml:space="preserve">Market signal; chưa phải declaration</x:t>
        </x:is>
      </x:c>
    </x:row>
    <x:row r="53">
      <x:c r="A53" t="inlineStr">
        <x:is>
          <x:t xml:space="preserve">Mẹ &amp; Bé queue</x:t>
        </x:is>
      </x:c>
      <x:c r="B53" t="n">
        <x:v>15</x:v>
      </x:c>
      <x:c r="C53" t="inlineStr">
        <x:is>
          <x:t xml:space="preserve">SKU/nhóm ưu tiên reverse lookup</x:t>
        </x:is>
      </x:c>
    </x:row>
    <x:row r="54">
      <x:c r="A54" t="inlineStr">
        <x:is>
          <x:t xml:space="preserve">Factory registry</x:t>
        </x:is>
      </x:c>
      <x:c r="B54" t="n">
        <x:v>12</x:v>
      </x:c>
      <x:c r="C54" t="inlineStr">
        <x:is>
          <x:t xml:space="preserve">12/250 cơ sở đã nạp</x:t>
        </x:is>
      </x:c>
    </x:row>
    <x:row r="55">
      <x:c r="A55" t="inlineStr">
        <x:is>
          <x:t xml:space="preserve">Kho HCM direct portal</x:t>
        </x:is>
      </x:c>
      <x:c r="B55" t="n">
        <x:v>39614</x:v>
      </x:c>
      <x:c r="C55" t="inlineStr">
        <x:is>
          <x:t xml:space="preserve">Tổng nguồn lõi đã biết, không phải số đã nạp</x:t>
        </x:is>
      </x:c>
    </x:row>
    <x:row r="56">
      <x:c r="A56" s="228" t="inlineStr">
        <x:is>
          <x:t xml:space="preserve">Cảnh báo</x:t>
        </x:is>
      </x:c>
      <x:c r="B56" s="228" t="str"/>
      <x:c r="C56" s="228" t="inlineStr">
        <x:is>
          <x:t xml:space="preserve">Không cộng các lớp nguồn chồng lặp để suy ra quy mô thị trường</x:t>
        </x:is>
      </x:c>
    </x:row>
  </x:sheetData>
  <x:mergeCells>
    <x:mergeCell ref="A1:C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9" style="91" customWidth="1"/>
    <x:col min="2" max="2" width="10" style="91" customWidth="1"/>
    <x:col min="3" max="3" width="24" style="91" customWidth="1"/>
    <x:col min="4" max="4" width="22" style="91" customWidth="1"/>
    <x:col min="6" max="6" width="18" style="91" customWidth="1"/>
    <x:col min="7" max="7" width="18" style="91" customWidth="1"/>
    <x:col min="8" max="8" width="32" style="91" customWidth="1"/>
  </x:cols>
  <x:sheetData>
    <x:row r="1" s="91" customFormat="1" ht="48" customHeight="1">
      <x:c r="A1" s="317" t="inlineStr">
        <x:is>
          <x:t xml:space="preserve">PROGRESS 34 TỈNH/THÀNH – ĐÁNH SỐ LIÊN TỤC 01–34</x:t>
        </x:is>
      </x:c>
      <x:c r="B1" s="1" t="n"/>
      <x:c r="C1" s="1" t="n"/>
      <x:c r="D1" s="1" t="n"/>
      <x:c r="E1" s="1" t="n"/>
      <x:c r="F1" s="1" t="n"/>
      <x:c r="G1" s="1" t="n"/>
      <x:c r="H1" s="1" t="n"/>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3">
      <x:c r="A3" s="104" t="inlineStr">
        <x:is>
          <x:t xml:space="preserve">STT</x:t>
        </x:is>
      </x:c>
      <x:c r="B3" s="104" t="inlineStr">
        <x:is>
          <x:t xml:space="preserve">Mã HC</x:t>
        </x:is>
      </x:c>
      <x:c r="C3" s="104" t="inlineStr">
        <x:is>
          <x:t xml:space="preserve">Tỉnh/Thành</x:t>
        </x:is>
      </x:c>
      <x:c r="D3" s="104" t="inlineStr">
        <x:is>
          <x:t xml:space="preserve">Sheet</x:t>
        </x:is>
      </x:c>
      <x:c r="E3" s="104" t="inlineStr">
        <x:is>
          <x:t xml:space="preserve">Trọng số</x:t>
        </x:is>
      </x:c>
      <x:c r="F3" s="104" t="inlineStr">
        <x:is>
          <x:t xml:space="preserve">Nguồn chính thức</x:t>
        </x:is>
      </x:c>
      <x:c r="G3" s="104" t="inlineStr">
        <x:is>
          <x:t xml:space="preserve">Record đã ghi</x:t>
        </x:is>
      </x:c>
      <x:c r="H3" s="104" t="inlineStr">
        <x:is>
          <x:t xml:space="preserve">Trạng thái</x:t>
        </x:is>
      </x:c>
    </x:row>
    <x:row r="4">
      <x:c r="A4" t="inlineStr">
        <x:is>
          <x:t xml:space="preserve">01</x:t>
        </x:is>
      </x:c>
      <x:c r="B4" t="inlineStr">
        <x:is>
          <x:t xml:space="preserve">79</x:t>
        </x:is>
      </x:c>
      <x:c r="C4" t="inlineStr">
        <x:is>
          <x:t xml:space="preserve">TP. Hồ Chí Minh</x:t>
        </x:is>
      </x:c>
      <x:c r="D4" t="inlineStr">
        <x:is>
          <x:t xml:space="preserve">01_TPHCM</x:t>
        </x:is>
      </x:c>
      <x:c r="E4" s="105" t="n">
        <x:v>0.02941176470588235</x:v>
      </x:c>
      <x:c r="F4" t="n">
        <x:v>1</x:v>
      </x:c>
      <x:c r="G4" t="n">
        <x:v>127</x:v>
      </x:c>
      <x:c r="H4" t="str">
        <x:v>A++: Bình Dương recovery đang chạy; 24 CBMP-BD sạch</x:v>
      </x:c>
    </x:row>
    <x:row r="5">
      <x:c r="A5" t="inlineStr">
        <x:is>
          <x:t xml:space="preserve">02</x:t>
        </x:is>
      </x:c>
      <x:c r="B5" t="inlineStr">
        <x:is>
          <x:t xml:space="preserve">01</x:t>
        </x:is>
      </x:c>
      <x:c r="C5" t="inlineStr">
        <x:is>
          <x:t xml:space="preserve">Hà Nội</x:t>
        </x:is>
      </x:c>
      <x:c r="D5" t="inlineStr">
        <x:is>
          <x:t xml:space="preserve">02_HaNoi</x:t>
        </x:is>
      </x:c>
      <x:c r="E5" s="105" t="n">
        <x:v>0.02941176470588235</x:v>
      </x:c>
      <x:c r="F5" t="n">
        <x:v>1</x:v>
      </x:c>
      <x:c r="G5" t="n">
        <x:v>8</x:v>
      </x:c>
      <x:c r="H5" t="str">
        <x:v>A++: 8 CBMP-HN sạch đã nạp; bulk 3748/SYT-NVD có 3 PDF đang truy tiếp</x:v>
      </x:c>
    </x:row>
    <x:row r="6">
      <x:c r="A6" t="inlineStr">
        <x:is>
          <x:t xml:space="preserve">03</x:t>
        </x:is>
      </x:c>
      <x:c r="B6" t="inlineStr">
        <x:is>
          <x:t xml:space="preserve">31</x:t>
        </x:is>
      </x:c>
      <x:c r="C6" t="inlineStr">
        <x:is>
          <x:t xml:space="preserve">Hải Phòng</x:t>
        </x:is>
      </x:c>
      <x:c r="D6" t="inlineStr">
        <x:is>
          <x:t xml:space="preserve">03_HaiPhong</x:t>
        </x:is>
      </x:c>
      <x:c r="E6" s="105" t="n">
        <x:v>0.02941176470588235</x:v>
      </x:c>
      <x:c r="F6" t="n">
        <x:v>1</x:v>
      </x:c>
      <x:c r="G6" t="n">
        <x:v>42</x:v>
      </x:c>
      <x:c r="H6" t="inlineStr">
        <x:is>
          <x:t xml:space="preserve">Deep audit – 42 declaration; công thức tự động đã phục hồi; factory source đã xác nhận</x:t>
        </x:is>
      </x:c>
    </x:row>
    <x:row r="7">
      <x:c r="A7" t="inlineStr">
        <x:is>
          <x:t xml:space="preserve">04</x:t>
        </x:is>
      </x:c>
      <x:c r="B7" t="inlineStr">
        <x:is>
          <x:t xml:space="preserve">48</x:t>
        </x:is>
      </x:c>
      <x:c r="C7" t="inlineStr">
        <x:is>
          <x:t xml:space="preserve">Đà Nẵng</x:t>
        </x:is>
      </x:c>
      <x:c r="D7" t="inlineStr">
        <x:is>
          <x:t xml:space="preserve">04_DaNang</x:t>
        </x:is>
      </x:c>
      <x:c r="E7" s="105" t="n">
        <x:v>0.02941176470588235</x:v>
      </x:c>
      <x:c r="F7" t="n">
        <x:v>1</x:v>
      </x:c>
      <x:c r="G7" t="n">
        <x:v>4</x:v>
      </x:c>
      <x:c r="H7" t="inlineStr">
        <x:is>
          <x:t xml:space="preserve">Đang đào sâu – 4 CBMP-ĐN đã cross-check; đã tìm bulk RAR 2018</x:t>
        </x:is>
      </x:c>
    </x:row>
    <x:row r="8">
      <x:c r="A8" t="inlineStr">
        <x:is>
          <x:t xml:space="preserve">05</x:t>
        </x:is>
      </x:c>
      <x:c r="B8" t="inlineStr">
        <x:is>
          <x:t xml:space="preserve">92</x:t>
        </x:is>
      </x:c>
      <x:c r="C8" t="inlineStr">
        <x:is>
          <x:t xml:space="preserve">Cần Thơ</x:t>
        </x:is>
      </x:c>
      <x:c r="D8" t="inlineStr">
        <x:is>
          <x:t xml:space="preserve">05_CanTho</x:t>
        </x:is>
      </x:c>
      <x:c r="E8" s="105" t="n">
        <x:v>0.02941176470588235</x:v>
      </x:c>
      <x:c r="F8" t="n">
        <x:v>0</x:v>
      </x:c>
      <x:c r="G8" t="n">
        <x:v>0</x:v>
      </x:c>
      <x:c r="H8" t="inlineStr">
        <x:is>
          <x:t xml:space="preserve">Chưa làm</x:t>
        </x:is>
      </x:c>
    </x:row>
    <x:row r="9">
      <x:c r="A9" t="inlineStr">
        <x:is>
          <x:t xml:space="preserve">06</x:t>
        </x:is>
      </x:c>
      <x:c r="B9" t="inlineStr">
        <x:is>
          <x:t xml:space="preserve">46</x:t>
        </x:is>
      </x:c>
      <x:c r="C9" t="inlineStr">
        <x:is>
          <x:t xml:space="preserve">Huế</x:t>
        </x:is>
      </x:c>
      <x:c r="D9" t="inlineStr">
        <x:is>
          <x:t xml:space="preserve">06_Hue</x:t>
        </x:is>
      </x:c>
      <x:c r="E9" s="105" t="n">
        <x:v>0.02941176470588235</x:v>
      </x:c>
      <x:c r="F9" t="n">
        <x:v>0</x:v>
      </x:c>
      <x:c r="G9" t="n">
        <x:v>0</x:v>
      </x:c>
      <x:c r="H9" t="inlineStr">
        <x:is>
          <x:t xml:space="preserve">Chưa làm</x:t>
        </x:is>
      </x:c>
    </x:row>
    <x:row r="10">
      <x:c r="A10" t="inlineStr">
        <x:is>
          <x:t xml:space="preserve">07</x:t>
        </x:is>
      </x:c>
      <x:c r="B10" t="inlineStr">
        <x:is>
          <x:t xml:space="preserve">75</x:t>
        </x:is>
      </x:c>
      <x:c r="C10" t="inlineStr">
        <x:is>
          <x:t xml:space="preserve">Đồng Nai</x:t>
        </x:is>
      </x:c>
      <x:c r="D10" t="inlineStr">
        <x:is>
          <x:t xml:space="preserve">07_DongNai</x:t>
        </x:is>
      </x:c>
      <x:c r="E10" s="105" t="n">
        <x:v>0.02941176470588235</x:v>
      </x:c>
      <x:c r="F10" t="n">
        <x:v>0</x:v>
      </x:c>
      <x:c r="G10" t="n">
        <x:v>0</x:v>
      </x:c>
      <x:c r="H10" t="inlineStr">
        <x:is>
          <x:t xml:space="preserve">Chưa làm</x:t>
        </x:is>
      </x:c>
    </x:row>
    <x:row r="11">
      <x:c r="A11" t="inlineStr">
        <x:is>
          <x:t xml:space="preserve">08</x:t>
        </x:is>
      </x:c>
      <x:c r="B11" t="inlineStr">
        <x:is>
          <x:t xml:space="preserve">80</x:t>
        </x:is>
      </x:c>
      <x:c r="C11" t="inlineStr">
        <x:is>
          <x:t xml:space="preserve">Tây Ninh</x:t>
        </x:is>
      </x:c>
      <x:c r="D11" t="inlineStr">
        <x:is>
          <x:t xml:space="preserve">08_TayNinh</x:t>
        </x:is>
      </x:c>
      <x:c r="E11" s="105" t="n">
        <x:v>0.02941176470588235</x:v>
      </x:c>
      <x:c r="F11" t="n">
        <x:v>0</x:v>
      </x:c>
      <x:c r="G11" t="n">
        <x:v>0</x:v>
      </x:c>
      <x:c r="H11" t="inlineStr">
        <x:is>
          <x:t xml:space="preserve">Chưa làm</x:t>
        </x:is>
      </x:c>
    </x:row>
    <x:row r="12">
      <x:c r="A12" t="inlineStr">
        <x:is>
          <x:t xml:space="preserve">09</x:t>
        </x:is>
      </x:c>
      <x:c r="B12" t="inlineStr">
        <x:is>
          <x:t xml:space="preserve">24</x:t>
        </x:is>
      </x:c>
      <x:c r="C12" t="inlineStr">
        <x:is>
          <x:t xml:space="preserve">Bắc Ninh</x:t>
        </x:is>
      </x:c>
      <x:c r="D12" t="inlineStr">
        <x:is>
          <x:t xml:space="preserve">09_BacNinh</x:t>
        </x:is>
      </x:c>
      <x:c r="E12" s="105" t="n">
        <x:v>0.02941176470588235</x:v>
      </x:c>
      <x:c r="F12" t="n">
        <x:v>0</x:v>
      </x:c>
      <x:c r="G12" t="n">
        <x:v>0</x:v>
      </x:c>
      <x:c r="H12" t="inlineStr">
        <x:is>
          <x:t xml:space="preserve">Chưa làm</x:t>
        </x:is>
      </x:c>
    </x:row>
    <x:row r="13">
      <x:c r="A13" t="inlineStr">
        <x:is>
          <x:t xml:space="preserve">10</x:t>
        </x:is>
      </x:c>
      <x:c r="B13" t="inlineStr">
        <x:is>
          <x:t xml:space="preserve">33</x:t>
        </x:is>
      </x:c>
      <x:c r="C13" t="inlineStr">
        <x:is>
          <x:t xml:space="preserve">Hưng Yên</x:t>
        </x:is>
      </x:c>
      <x:c r="D13" t="inlineStr">
        <x:is>
          <x:t xml:space="preserve">10_HungYen</x:t>
        </x:is>
      </x:c>
      <x:c r="E13" s="105" t="n">
        <x:v>0.02941176470588235</x:v>
      </x:c>
      <x:c r="F13" t="n">
        <x:v>0</x:v>
      </x:c>
      <x:c r="G13" t="n">
        <x:v>0</x:v>
      </x:c>
      <x:c r="H13" t="inlineStr">
        <x:is>
          <x:t xml:space="preserve">Chưa làm</x:t>
        </x:is>
      </x:c>
    </x:row>
    <x:row r="14">
      <x:c r="A14" t="inlineStr">
        <x:is>
          <x:t xml:space="preserve">11</x:t>
        </x:is>
      </x:c>
      <x:c r="B14" t="inlineStr">
        <x:is>
          <x:t xml:space="preserve">19</x:t>
        </x:is>
      </x:c>
      <x:c r="C14" t="inlineStr">
        <x:is>
          <x:t xml:space="preserve">Thái Nguyên</x:t>
        </x:is>
      </x:c>
      <x:c r="D14" t="inlineStr">
        <x:is>
          <x:t xml:space="preserve">11_ThaiNguyen</x:t>
        </x:is>
      </x:c>
      <x:c r="E14" s="105" t="n">
        <x:v>0.02941176470588235</x:v>
      </x:c>
      <x:c r="F14" t="n">
        <x:v>0</x:v>
      </x:c>
      <x:c r="G14" t="n">
        <x:v>0</x:v>
      </x:c>
      <x:c r="H14" t="inlineStr">
        <x:is>
          <x:t xml:space="preserve">Chưa làm</x:t>
        </x:is>
      </x:c>
    </x:row>
    <x:row r="15">
      <x:c r="A15" t="inlineStr">
        <x:is>
          <x:t xml:space="preserve">12</x:t>
        </x:is>
      </x:c>
      <x:c r="B15" t="inlineStr">
        <x:is>
          <x:t xml:space="preserve">25</x:t>
        </x:is>
      </x:c>
      <x:c r="C15" t="inlineStr">
        <x:is>
          <x:t xml:space="preserve">Phú Thọ</x:t>
        </x:is>
      </x:c>
      <x:c r="D15" t="inlineStr">
        <x:is>
          <x:t xml:space="preserve">12_PhuTho</x:t>
        </x:is>
      </x:c>
      <x:c r="E15" s="105" t="n">
        <x:v>0.02941176470588235</x:v>
      </x:c>
      <x:c r="F15" t="n">
        <x:v>0</x:v>
      </x:c>
      <x:c r="G15" t="n">
        <x:v>0</x:v>
      </x:c>
      <x:c r="H15" t="inlineStr">
        <x:is>
          <x:t xml:space="preserve">Chưa làm</x:t>
        </x:is>
      </x:c>
    </x:row>
    <x:row r="16">
      <x:c r="A16" t="inlineStr">
        <x:is>
          <x:t xml:space="preserve">13</x:t>
        </x:is>
      </x:c>
      <x:c r="B16" t="inlineStr">
        <x:is>
          <x:t xml:space="preserve">37</x:t>
        </x:is>
      </x:c>
      <x:c r="C16" t="inlineStr">
        <x:is>
          <x:t xml:space="preserve">Ninh Bình</x:t>
        </x:is>
      </x:c>
      <x:c r="D16" t="inlineStr">
        <x:is>
          <x:t xml:space="preserve">13_NinhBinh</x:t>
        </x:is>
      </x:c>
      <x:c r="E16" s="105" t="n">
        <x:v>0.02941176470588235</x:v>
      </x:c>
      <x:c r="F16" t="n">
        <x:v>0</x:v>
      </x:c>
      <x:c r="G16" t="n">
        <x:v>0</x:v>
      </x:c>
      <x:c r="H16" t="inlineStr">
        <x:is>
          <x:t xml:space="preserve">Chưa làm</x:t>
        </x:is>
      </x:c>
    </x:row>
    <x:row r="17">
      <x:c r="A17" t="inlineStr">
        <x:is>
          <x:t xml:space="preserve">14</x:t>
        </x:is>
      </x:c>
      <x:c r="B17" t="inlineStr">
        <x:is>
          <x:t xml:space="preserve">22</x:t>
        </x:is>
      </x:c>
      <x:c r="C17" t="inlineStr">
        <x:is>
          <x:t xml:space="preserve">Quảng Ninh</x:t>
        </x:is>
      </x:c>
      <x:c r="D17" t="inlineStr">
        <x:is>
          <x:t xml:space="preserve">14_QuangNinh</x:t>
        </x:is>
      </x:c>
      <x:c r="E17" s="105" t="n">
        <x:v>0.02941176470588235</x:v>
      </x:c>
      <x:c r="F17" t="n">
        <x:v>0</x:v>
      </x:c>
      <x:c r="G17" t="n">
        <x:v>0</x:v>
      </x:c>
      <x:c r="H17" t="inlineStr">
        <x:is>
          <x:t xml:space="preserve">Chưa làm</x:t>
        </x:is>
      </x:c>
    </x:row>
    <x:row r="18">
      <x:c r="A18" t="inlineStr">
        <x:is>
          <x:t xml:space="preserve">15</x:t>
        </x:is>
      </x:c>
      <x:c r="B18" t="inlineStr">
        <x:is>
          <x:t xml:space="preserve">86</x:t>
        </x:is>
      </x:c>
      <x:c r="C18" t="inlineStr">
        <x:is>
          <x:t xml:space="preserve">Vĩnh Long</x:t>
        </x:is>
      </x:c>
      <x:c r="D18" t="inlineStr">
        <x:is>
          <x:t xml:space="preserve">15_VinhLong</x:t>
        </x:is>
      </x:c>
      <x:c r="E18" s="105" t="n">
        <x:v>0.02941176470588235</x:v>
      </x:c>
      <x:c r="F18" t="n">
        <x:v>0</x:v>
      </x:c>
      <x:c r="G18" t="n">
        <x:v>0</x:v>
      </x:c>
      <x:c r="H18" t="inlineStr">
        <x:is>
          <x:t xml:space="preserve">Chưa làm</x:t>
        </x:is>
      </x:c>
    </x:row>
    <x:row r="19">
      <x:c r="A19" t="inlineStr">
        <x:is>
          <x:t xml:space="preserve">16</x:t>
        </x:is>
      </x:c>
      <x:c r="B19" t="inlineStr">
        <x:is>
          <x:t xml:space="preserve">82</x:t>
        </x:is>
      </x:c>
      <x:c r="C19" t="inlineStr">
        <x:is>
          <x:t xml:space="preserve">Đồng Tháp</x:t>
        </x:is>
      </x:c>
      <x:c r="D19" t="inlineStr">
        <x:is>
          <x:t xml:space="preserve">16_DongThap</x:t>
        </x:is>
      </x:c>
      <x:c r="E19" s="105" t="n">
        <x:v>0.02941176470588235</x:v>
      </x:c>
      <x:c r="F19" t="n">
        <x:v>0</x:v>
      </x:c>
      <x:c r="G19" t="n">
        <x:v>0</x:v>
      </x:c>
      <x:c r="H19" t="inlineStr">
        <x:is>
          <x:t xml:space="preserve">Chưa làm</x:t>
        </x:is>
      </x:c>
    </x:row>
    <x:row r="20">
      <x:c r="A20" t="inlineStr">
        <x:is>
          <x:t xml:space="preserve">17</x:t>
        </x:is>
      </x:c>
      <x:c r="B20" t="inlineStr">
        <x:is>
          <x:t xml:space="preserve">91</x:t>
        </x:is>
      </x:c>
      <x:c r="C20" t="inlineStr">
        <x:is>
          <x:t xml:space="preserve">An Giang</x:t>
        </x:is>
      </x:c>
      <x:c r="D20" t="inlineStr">
        <x:is>
          <x:t xml:space="preserve">17_AnGiang</x:t>
        </x:is>
      </x:c>
      <x:c r="E20" s="105" t="n">
        <x:v>0.02941176470588235</x:v>
      </x:c>
      <x:c r="F20" t="n">
        <x:v>0</x:v>
      </x:c>
      <x:c r="G20" t="n">
        <x:v>0</x:v>
      </x:c>
      <x:c r="H20" t="inlineStr">
        <x:is>
          <x:t xml:space="preserve">Chưa làm</x:t>
        </x:is>
      </x:c>
    </x:row>
    <x:row r="21">
      <x:c r="A21" t="inlineStr">
        <x:is>
          <x:t xml:space="preserve">18</x:t>
        </x:is>
      </x:c>
      <x:c r="B21" t="inlineStr">
        <x:is>
          <x:t xml:space="preserve">96</x:t>
        </x:is>
      </x:c>
      <x:c r="C21" t="inlineStr">
        <x:is>
          <x:t xml:space="preserve">Cà Mau</x:t>
        </x:is>
      </x:c>
      <x:c r="D21" t="inlineStr">
        <x:is>
          <x:t xml:space="preserve">18_CaMau</x:t>
        </x:is>
      </x:c>
      <x:c r="E21" s="105" t="n">
        <x:v>0.02941176470588235</x:v>
      </x:c>
      <x:c r="F21" t="n">
        <x:v>0</x:v>
      </x:c>
      <x:c r="G21" t="n">
        <x:v>0</x:v>
      </x:c>
      <x:c r="H21" t="inlineStr">
        <x:is>
          <x:t xml:space="preserve">Chưa làm</x:t>
        </x:is>
      </x:c>
    </x:row>
    <x:row r="22">
      <x:c r="A22" t="inlineStr">
        <x:is>
          <x:t xml:space="preserve">19</x:t>
        </x:is>
      </x:c>
      <x:c r="B22" t="inlineStr">
        <x:is>
          <x:t xml:space="preserve">44</x:t>
        </x:is>
      </x:c>
      <x:c r="C22" t="inlineStr">
        <x:is>
          <x:t xml:space="preserve">Quảng Trị</x:t>
        </x:is>
      </x:c>
      <x:c r="D22" t="inlineStr">
        <x:is>
          <x:t xml:space="preserve">19_QuangTri</x:t>
        </x:is>
      </x:c>
      <x:c r="E22" s="105" t="n">
        <x:v>0.02941176470588235</x:v>
      </x:c>
      <x:c r="F22" t="n">
        <x:v>0</x:v>
      </x:c>
      <x:c r="G22" t="n">
        <x:v>0</x:v>
      </x:c>
      <x:c r="H22" t="inlineStr">
        <x:is>
          <x:t xml:space="preserve">Chưa làm</x:t>
        </x:is>
      </x:c>
    </x:row>
    <x:row r="23">
      <x:c r="A23" t="inlineStr">
        <x:is>
          <x:t xml:space="preserve">20</x:t>
        </x:is>
      </x:c>
      <x:c r="B23" t="inlineStr">
        <x:is>
          <x:t xml:space="preserve">51</x:t>
        </x:is>
      </x:c>
      <x:c r="C23" t="inlineStr">
        <x:is>
          <x:t xml:space="preserve">Quảng Ngãi</x:t>
        </x:is>
      </x:c>
      <x:c r="D23" t="inlineStr">
        <x:is>
          <x:t xml:space="preserve">20_QuangNgai</x:t>
        </x:is>
      </x:c>
      <x:c r="E23" s="105" t="n">
        <x:v>0.02941176470588235</x:v>
      </x:c>
      <x:c r="F23" t="n">
        <x:v>0</x:v>
      </x:c>
      <x:c r="G23" t="n">
        <x:v>0</x:v>
      </x:c>
      <x:c r="H23" t="inlineStr">
        <x:is>
          <x:t xml:space="preserve">Chưa làm</x:t>
        </x:is>
      </x:c>
    </x:row>
    <x:row r="24">
      <x:c r="A24" t="inlineStr">
        <x:is>
          <x:t xml:space="preserve">21</x:t>
        </x:is>
      </x:c>
      <x:c r="B24" t="inlineStr">
        <x:is>
          <x:t xml:space="preserve">38</x:t>
        </x:is>
      </x:c>
      <x:c r="C24" t="inlineStr">
        <x:is>
          <x:t xml:space="preserve">Thanh Hóa</x:t>
        </x:is>
      </x:c>
      <x:c r="D24" t="inlineStr">
        <x:is>
          <x:t xml:space="preserve">21_ThanhHoa</x:t>
        </x:is>
      </x:c>
      <x:c r="E24" s="105" t="n">
        <x:v>0.02941176470588235</x:v>
      </x:c>
      <x:c r="F24" t="n">
        <x:v>0</x:v>
      </x:c>
      <x:c r="G24" t="n">
        <x:v>0</x:v>
      </x:c>
      <x:c r="H24" t="inlineStr">
        <x:is>
          <x:t xml:space="preserve">Chưa làm</x:t>
        </x:is>
      </x:c>
    </x:row>
    <x:row r="25">
      <x:c r="A25" t="inlineStr">
        <x:is>
          <x:t xml:space="preserve">22</x:t>
        </x:is>
      </x:c>
      <x:c r="B25" t="inlineStr">
        <x:is>
          <x:t xml:space="preserve">40</x:t>
        </x:is>
      </x:c>
      <x:c r="C25" t="inlineStr">
        <x:is>
          <x:t xml:space="preserve">Nghệ An</x:t>
        </x:is>
      </x:c>
      <x:c r="D25" t="inlineStr">
        <x:is>
          <x:t xml:space="preserve">22_NgheAn</x:t>
        </x:is>
      </x:c>
      <x:c r="E25" s="105" t="n">
        <x:v>0.02941176470588235</x:v>
      </x:c>
      <x:c r="F25" t="n">
        <x:v>0</x:v>
      </x:c>
      <x:c r="G25" t="n">
        <x:v>0</x:v>
      </x:c>
      <x:c r="H25" t="inlineStr">
        <x:is>
          <x:t xml:space="preserve">Chưa làm</x:t>
        </x:is>
      </x:c>
    </x:row>
    <x:row r="26">
      <x:c r="A26" t="inlineStr">
        <x:is>
          <x:t xml:space="preserve">23</x:t>
        </x:is>
      </x:c>
      <x:c r="B26" t="inlineStr">
        <x:is>
          <x:t xml:space="preserve">42</x:t>
        </x:is>
      </x:c>
      <x:c r="C26" t="inlineStr">
        <x:is>
          <x:t xml:space="preserve">Hà Tĩnh</x:t>
        </x:is>
      </x:c>
      <x:c r="D26" t="inlineStr">
        <x:is>
          <x:t xml:space="preserve">23_HaTinh</x:t>
        </x:is>
      </x:c>
      <x:c r="E26" s="105" t="n">
        <x:v>0.02941176470588235</x:v>
      </x:c>
      <x:c r="F26" t="n">
        <x:v>0</x:v>
      </x:c>
      <x:c r="G26" t="n">
        <x:v>0</x:v>
      </x:c>
      <x:c r="H26" t="inlineStr">
        <x:is>
          <x:t xml:space="preserve">Chưa làm</x:t>
        </x:is>
      </x:c>
    </x:row>
    <x:row r="27">
      <x:c r="A27" t="inlineStr">
        <x:is>
          <x:t xml:space="preserve">24</x:t>
        </x:is>
      </x:c>
      <x:c r="B27" t="inlineStr">
        <x:is>
          <x:t xml:space="preserve">56</x:t>
        </x:is>
      </x:c>
      <x:c r="C27" t="inlineStr">
        <x:is>
          <x:t xml:space="preserve">Khánh Hòa</x:t>
        </x:is>
      </x:c>
      <x:c r="D27" t="inlineStr">
        <x:is>
          <x:t xml:space="preserve">24_KhanhHoa</x:t>
        </x:is>
      </x:c>
      <x:c r="E27" s="105" t="n">
        <x:v>0.02941176470588235</x:v>
      </x:c>
      <x:c r="F27" t="n">
        <x:v>0</x:v>
      </x:c>
      <x:c r="G27" t="n">
        <x:v>0</x:v>
      </x:c>
      <x:c r="H27" t="inlineStr">
        <x:is>
          <x:t xml:space="preserve">Chưa làm</x:t>
        </x:is>
      </x:c>
    </x:row>
    <x:row r="28">
      <x:c r="A28" t="inlineStr">
        <x:is>
          <x:t xml:space="preserve">25</x:t>
        </x:is>
      </x:c>
      <x:c r="B28" t="inlineStr">
        <x:is>
          <x:t xml:space="preserve">68</x:t>
        </x:is>
      </x:c>
      <x:c r="C28" t="inlineStr">
        <x:is>
          <x:t xml:space="preserve">Lâm Đồng</x:t>
        </x:is>
      </x:c>
      <x:c r="D28" t="inlineStr">
        <x:is>
          <x:t xml:space="preserve">25_LamDong</x:t>
        </x:is>
      </x:c>
      <x:c r="E28" s="105" t="n">
        <x:v>0.02941176470588235</x:v>
      </x:c>
      <x:c r="F28" t="n">
        <x:v>0</x:v>
      </x:c>
      <x:c r="G28" t="n">
        <x:v>0</x:v>
      </x:c>
      <x:c r="H28" t="inlineStr">
        <x:is>
          <x:t xml:space="preserve">Chưa làm</x:t>
        </x:is>
      </x:c>
    </x:row>
    <x:row r="29">
      <x:c r="A29" t="inlineStr">
        <x:is>
          <x:t xml:space="preserve">26</x:t>
        </x:is>
      </x:c>
      <x:c r="B29" t="inlineStr">
        <x:is>
          <x:t xml:space="preserve">66</x:t>
        </x:is>
      </x:c>
      <x:c r="C29" t="inlineStr">
        <x:is>
          <x:t xml:space="preserve">Đắk Lắk</x:t>
        </x:is>
      </x:c>
      <x:c r="D29" t="inlineStr">
        <x:is>
          <x:t xml:space="preserve">26_DakLak</x:t>
        </x:is>
      </x:c>
      <x:c r="E29" s="105" t="n">
        <x:v>0.02941176470588235</x:v>
      </x:c>
      <x:c r="F29" t="n">
        <x:v>0</x:v>
      </x:c>
      <x:c r="G29" t="n">
        <x:v>0</x:v>
      </x:c>
      <x:c r="H29" t="inlineStr">
        <x:is>
          <x:t xml:space="preserve">Chưa làm</x:t>
        </x:is>
      </x:c>
    </x:row>
    <x:row r="30">
      <x:c r="A30" t="inlineStr">
        <x:is>
          <x:t xml:space="preserve">27</x:t>
        </x:is>
      </x:c>
      <x:c r="B30" t="inlineStr">
        <x:is>
          <x:t xml:space="preserve">52</x:t>
        </x:is>
      </x:c>
      <x:c r="C30" t="inlineStr">
        <x:is>
          <x:t xml:space="preserve">Gia Lai</x:t>
        </x:is>
      </x:c>
      <x:c r="D30" t="inlineStr">
        <x:is>
          <x:t xml:space="preserve">27_GiaLai</x:t>
        </x:is>
      </x:c>
      <x:c r="E30" s="105" t="n">
        <x:v>0.02941176470588235</x:v>
      </x:c>
      <x:c r="F30" t="n">
        <x:v>0</x:v>
      </x:c>
      <x:c r="G30" t="n">
        <x:v>0</x:v>
      </x:c>
      <x:c r="H30" t="inlineStr">
        <x:is>
          <x:t xml:space="preserve">Chưa làm</x:t>
        </x:is>
      </x:c>
    </x:row>
    <x:row r="31">
      <x:c r="A31" t="inlineStr">
        <x:is>
          <x:t xml:space="preserve">28</x:t>
        </x:is>
      </x:c>
      <x:c r="B31" t="inlineStr">
        <x:is>
          <x:t xml:space="preserve">08</x:t>
        </x:is>
      </x:c>
      <x:c r="C31" t="inlineStr">
        <x:is>
          <x:t xml:space="preserve">Tuyên Quang</x:t>
        </x:is>
      </x:c>
      <x:c r="D31" t="inlineStr">
        <x:is>
          <x:t xml:space="preserve">28_TuyenQuang</x:t>
        </x:is>
      </x:c>
      <x:c r="E31" s="105" t="n">
        <x:v>0.02941176470588235</x:v>
      </x:c>
      <x:c r="F31" t="n">
        <x:v>0</x:v>
      </x:c>
      <x:c r="G31" t="n">
        <x:v>0</x:v>
      </x:c>
      <x:c r="H31" t="inlineStr">
        <x:is>
          <x:t xml:space="preserve">Chưa làm</x:t>
        </x:is>
      </x:c>
    </x:row>
    <x:row r="32">
      <x:c r="A32" t="inlineStr">
        <x:is>
          <x:t xml:space="preserve">29</x:t>
        </x:is>
      </x:c>
      <x:c r="B32" t="inlineStr">
        <x:is>
          <x:t xml:space="preserve">20</x:t>
        </x:is>
      </x:c>
      <x:c r="C32" t="inlineStr">
        <x:is>
          <x:t xml:space="preserve">Lạng Sơn</x:t>
        </x:is>
      </x:c>
      <x:c r="D32" t="inlineStr">
        <x:is>
          <x:t xml:space="preserve">29_LangSon</x:t>
        </x:is>
      </x:c>
      <x:c r="E32" s="105" t="n">
        <x:v>0.02941176470588235</x:v>
      </x:c>
      <x:c r="F32" t="n">
        <x:v>0</x:v>
      </x:c>
      <x:c r="G32" t="n">
        <x:v>0</x:v>
      </x:c>
      <x:c r="H32" t="inlineStr">
        <x:is>
          <x:t xml:space="preserve">Chưa làm</x:t>
        </x:is>
      </x:c>
    </x:row>
    <x:row r="33">
      <x:c r="A33" t="inlineStr">
        <x:is>
          <x:t xml:space="preserve">30</x:t>
        </x:is>
      </x:c>
      <x:c r="B33" t="inlineStr">
        <x:is>
          <x:t xml:space="preserve">04</x:t>
        </x:is>
      </x:c>
      <x:c r="C33" t="inlineStr">
        <x:is>
          <x:t xml:space="preserve">Cao Bằng</x:t>
        </x:is>
      </x:c>
      <x:c r="D33" t="inlineStr">
        <x:is>
          <x:t xml:space="preserve">30_CaoBang</x:t>
        </x:is>
      </x:c>
      <x:c r="E33" s="105" t="n">
        <x:v>0.02941176470588235</x:v>
      </x:c>
      <x:c r="F33" t="n">
        <x:v>0</x:v>
      </x:c>
      <x:c r="G33" t="n">
        <x:v>0</x:v>
      </x:c>
      <x:c r="H33" t="inlineStr">
        <x:is>
          <x:t xml:space="preserve">Chưa làm</x:t>
        </x:is>
      </x:c>
    </x:row>
    <x:row r="34">
      <x:c r="A34" t="inlineStr">
        <x:is>
          <x:t xml:space="preserve">31</x:t>
        </x:is>
      </x:c>
      <x:c r="B34" t="inlineStr">
        <x:is>
          <x:t xml:space="preserve">15</x:t>
        </x:is>
      </x:c>
      <x:c r="C34" t="inlineStr">
        <x:is>
          <x:t xml:space="preserve">Lào Cai</x:t>
        </x:is>
      </x:c>
      <x:c r="D34" t="inlineStr">
        <x:is>
          <x:t xml:space="preserve">31_LaoCai</x:t>
        </x:is>
      </x:c>
      <x:c r="E34" s="105" t="n">
        <x:v>0.02941176470588235</x:v>
      </x:c>
      <x:c r="F34" t="n">
        <x:v>0</x:v>
      </x:c>
      <x:c r="G34" t="n">
        <x:v>0</x:v>
      </x:c>
      <x:c r="H34" t="inlineStr">
        <x:is>
          <x:t xml:space="preserve">Chưa làm</x:t>
        </x:is>
      </x:c>
    </x:row>
    <x:row r="35">
      <x:c r="A35" t="inlineStr">
        <x:is>
          <x:t xml:space="preserve">32</x:t>
        </x:is>
      </x:c>
      <x:c r="B35" t="inlineStr">
        <x:is>
          <x:t xml:space="preserve">14</x:t>
        </x:is>
      </x:c>
      <x:c r="C35" t="inlineStr">
        <x:is>
          <x:t xml:space="preserve">Sơn La</x:t>
        </x:is>
      </x:c>
      <x:c r="D35" t="inlineStr">
        <x:is>
          <x:t xml:space="preserve">32_SonLa</x:t>
        </x:is>
      </x:c>
      <x:c r="E35" s="105" t="n">
        <x:v>0.02941176470588235</x:v>
      </x:c>
      <x:c r="F35" t="n">
        <x:v>0</x:v>
      </x:c>
      <x:c r="G35" t="n">
        <x:v>0</x:v>
      </x:c>
      <x:c r="H35" t="inlineStr">
        <x:is>
          <x:t xml:space="preserve">Chưa làm</x:t>
        </x:is>
      </x:c>
    </x:row>
    <x:row r="36">
      <x:c r="A36" t="inlineStr">
        <x:is>
          <x:t xml:space="preserve">33</x:t>
        </x:is>
      </x:c>
      <x:c r="B36" t="inlineStr">
        <x:is>
          <x:t xml:space="preserve">11</x:t>
        </x:is>
      </x:c>
      <x:c r="C36" t="inlineStr">
        <x:is>
          <x:t xml:space="preserve">Điện Biên</x:t>
        </x:is>
      </x:c>
      <x:c r="D36" t="inlineStr">
        <x:is>
          <x:t xml:space="preserve">33_DienBien</x:t>
        </x:is>
      </x:c>
      <x:c r="E36" s="105" t="n">
        <x:v>0.02941176470588235</x:v>
      </x:c>
      <x:c r="F36" t="n">
        <x:v>0</x:v>
      </x:c>
      <x:c r="G36" t="n">
        <x:v>0</x:v>
      </x:c>
      <x:c r="H36" t="inlineStr">
        <x:is>
          <x:t xml:space="preserve">Chưa làm</x:t>
        </x:is>
      </x:c>
    </x:row>
    <x:row r="37">
      <x:c r="A37" t="inlineStr">
        <x:is>
          <x:t xml:space="preserve">34</x:t>
        </x:is>
      </x:c>
      <x:c r="B37" t="inlineStr">
        <x:is>
          <x:t xml:space="preserve">12</x:t>
        </x:is>
      </x:c>
      <x:c r="C37" t="inlineStr">
        <x:is>
          <x:t xml:space="preserve">Lai Châu</x:t>
        </x:is>
      </x:c>
      <x:c r="D37" t="inlineStr">
        <x:is>
          <x:t xml:space="preserve">34_LaiChau</x:t>
        </x:is>
      </x:c>
      <x:c r="E37" s="105" t="n">
        <x:v>0.02941176470588235</x:v>
      </x:c>
      <x:c r="F37" t="n">
        <x:v>0</x:v>
      </x:c>
      <x:c r="G37" t="n">
        <x:v>0</x:v>
      </x:c>
      <x:c r="H37" t="inlineStr">
        <x:is>
          <x:t xml:space="preserve">Chưa làm</x:t>
        </x:is>
      </x:c>
    </x:row>
  </x:sheetData>
  <x:mergeCells>
    <x:mergeCell ref="A1:H1"/>
  </x:mergeCells>
  <x:pageMargins left="0.7" right="0.7" top="0.75" bottom="0.75" header="0.3" footer="0.3"/>
</x:worksheet>
</file>

<file path=xl/worksheets/sheet4.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row r="2">
      <x:c r="A2" t="n">
        <x:v>1</x:v>
      </x:c>
      <x:c r="B2" s="330"/>
      <x:c r="C2" s="330" t="n">
        <x:v>44898</x:v>
      </x:c>
      <x:c r="D2" t="n">
        <x:v>2022</x:v>
      </x:c>
      <x:c r="E2"/>
      <x:c r="F2" t="str">
        <x:v>2908/22/CBMP-HCM</x:v>
      </x:c>
      <x:c r="G2" t="str">
        <x:v>122201268</x:v>
      </x:c>
      <x:c r="H2" t="str">
        <x:v>Hà Mộc Anh - Kem Body sữa</x:v>
      </x:c>
      <x:c r="I2" t="str">
        <x:v>Hà Mộc Anh</x:v>
      </x:c>
      <x:c r="J2" t="str">
        <x:v>Kem body</x:v>
      </x:c>
      <x:c r="K2" t="str">
        <x:v>Kem dưỡng thể</x:v>
      </x:c>
      <x:c r="L2" t="str">
        <x:v>Công ty TNHH Lady White</x:v>
      </x:c>
      <x:c r="M2" t="str">
        <x:v>E5/4D ấp 5, Xã Lê Minh Xuân, Huyện Bình Chánh, TP.HCM</x:v>
      </x:c>
      <x:c r="N2"/>
      <x:c r="O2" t="str">
        <x:v>Chưa đối chiếu</x:v>
      </x:c>
      <x:c r="P2" t="str">
        <x:v>Đã xác minh từ chỉ mục MEDINET</x:v>
      </x:c>
      <x:c r="Q2" t="str">
        <x:v>Nguồn cập nhật 03/12/2022</x:v>
      </x:c>
      <x:c r="R2" t="str">
        <x:v>https://qldichvuyte.medinet.gov.vn/my-pham/phieu-cong-bo-san-pham-my-pham-ngay-cap-nhat-ngay-03122022-cmobile4606-67040.aspx</x:v>
      </x:c>
      <x:c r="S2" t="str">
        <x:v>TP. Hồ Chí Minh</x:v>
      </x:c>
      <x:c r="T2" t="str">
        <x:v>79</x:v>
      </x:c>
    </x:row>
    <x:row r="3">
      <x:c r="A3" t="n">
        <x:v>2</x:v>
      </x:c>
      <x:c r="B3" s="330"/>
      <x:c r="C3" s="330" t="n">
        <x:v>44898</x:v>
      </x:c>
      <x:c r="D3" t="n">
        <x:v>2022</x:v>
      </x:c>
      <x:c r="E3"/>
      <x:c r="F3" t="str">
        <x:v>2936/22/CBMP-HCM</x:v>
      </x:c>
      <x:c r="G3" t="str">
        <x:v>122200953</x:v>
      </x:c>
      <x:c r="H3" t="str">
        <x:v>Akzona - Dầu gội Collagen Keratin</x:v>
      </x:c>
      <x:c r="I3" t="str">
        <x:v>Akzona</x:v>
      </x:c>
      <x:c r="J3" t="str">
        <x:v>Dầu gội</x:v>
      </x:c>
      <x:c r="K3" t="str">
        <x:v>Dầu gội Collagen/Keratin</x:v>
      </x:c>
      <x:c r="L3" t="str">
        <x:v>Công ty TNHH Thương mại Dịch vụ Sản xuất Mỹ phẩm Azona</x:v>
      </x:c>
      <x:c r="M3" t="str">
        <x:v>7/3/9C Đường 17, KP1, Phường Long Bình, TP.Thủ Đức, TP.HCM</x:v>
      </x:c>
      <x:c r="N3"/>
      <x:c r="O3" t="str">
        <x:v>Chưa đối chiếu</x:v>
      </x:c>
      <x:c r="P3" t="str">
        <x:v>Đã xác minh từ chỉ mục MEDINET</x:v>
      </x:c>
      <x:c r="Q3" t="str">
        <x:v>Nguồn cập nhật 03/12/2022</x:v>
      </x:c>
      <x:c r="R3" t="str">
        <x:v>https://qldichvuyte.medinet.gov.vn/my-pham/phieu-cong-bo-san-pham-my-pham-ngay-cap-nhat-ngay-03122022-cmobile4606-67040.aspx</x:v>
      </x:c>
      <x:c r="S3" t="str">
        <x:v>TP. Hồ Chí Minh</x:v>
      </x:c>
      <x:c r="T3" t="str">
        <x:v>79</x:v>
      </x:c>
    </x:row>
    <x:row r="4">
      <x:c r="A4" t="n">
        <x:v>3</x:v>
      </x:c>
      <x:c r="B4" s="330"/>
      <x:c r="C4" s="330" t="n">
        <x:v>46198</x:v>
      </x:c>
      <x:c r="D4" t="n">
        <x:v>2024</x:v>
      </x:c>
      <x:c r="E4"/>
      <x:c r="F4" t="str">
        <x:v>01/24/CBMP-HD</x:v>
      </x:c>
      <x:c r="G4"/>
      <x:c r="H4" t="str">
        <x:v>DẦU GỘI THẢO MỘC SÂM SAVINA 2 IN 1 (FORMEN)</x:v>
      </x:c>
      <x:c r="I4" t="str">
        <x:v>SÂM VIỆT NAM</x:v>
      </x:c>
      <x:c r="J4" t="str">
        <x:v>Dầu gội</x:v>
      </x:c>
      <x:c r="K4" t="str">
        <x:v>Chăm sóc tóc (sản phẩm làm sạch)</x:v>
      </x:c>
      <x:c r="L4" t="str">
        <x:v>Công ty TNHH Sản xuất và Thương mại Sâm Việt Nam</x:v>
      </x:c>
      <x:c r="M4" t="str">
        <x:v>Thôn Đông Xã Tự Lạn; huyện Việt Yên; tỉnh Bắc Giang; Việt Nam</x:v>
      </x:c>
      <x:c r="N4"/>
      <x:c r="O4" t="str">
        <x:v>Chưa đối chiếu thu hồi</x:v>
      </x:c>
      <x:c r="P4" t="str">
        <x:v>Nguồn XLSX chính thức – Cổng dữ liệu mở TP Hải Phòng</x:v>
      </x:c>
      <x:c r="Q4" t="str">
        <x:v>Địa bàn nguồn: Hải Dương (lịch sử). Thuộc 28/409 dòng đầu đã đọc trực tiếp; chưa phải bộ dữ liệu đầy đủ.</x:v>
      </x:c>
      <x:c r="R4" t="str">
        <x:v>https://data.haiphong.gov.vn/dataset/07fa5c03-31ee-453f-9bba-f7acd2ffeb6a/resource/4621ee58-725a-481d-b29c-931e46f220c5/download/khocsdl_trichxuatdulieu_dulieusotiepnhanphieucongbosanphammypham_2026-06-25.xlsx</x:v>
      </x:c>
      <x:c r="S4" t="str">
        <x:v>Hải Phòng</x:v>
      </x:c>
      <x:c r="T4" t="str">
        <x:v>31</x:v>
      </x:c>
    </x:row>
    <x:row r="5">
      <x:c r="A5" t="n">
        <x:v>4</x:v>
      </x:c>
      <x:c r="B5" s="330"/>
      <x:c r="C5" s="330" t="n">
        <x:v>46198</x:v>
      </x:c>
      <x:c r="D5" t="n">
        <x:v>2024</x:v>
      </x:c>
      <x:c r="E5"/>
      <x:c r="F5" t="str">
        <x:v>02/24/CBMP-HD</x:v>
      </x:c>
      <x:c r="G5"/>
      <x:c r="H5" t="str">
        <x:v>DẦU GỘI THẢO MỘC SÂM SAVINA</x:v>
      </x:c>
      <x:c r="I5" t="str">
        <x:v>SÂM VIỆT NAM</x:v>
      </x:c>
      <x:c r="J5" t="str">
        <x:v>Dầu gội</x:v>
      </x:c>
      <x:c r="K5" t="str">
        <x:v>Chăm sóc tóc (sản phẩm làm sạch)</x:v>
      </x:c>
      <x:c r="L5" t="str">
        <x:v>Công ty TNHH Sản xuất và Thương mại Sâm Việt Nam</x:v>
      </x:c>
      <x:c r="M5" t="str">
        <x:v>Thôn Đông Xã Tự Lạn; huyện Việt Yên; tỉnh Bắc Giang; Việt Nam</x:v>
      </x:c>
      <x:c r="N5"/>
      <x:c r="O5" t="str">
        <x:v>Chưa đối chiếu thu hồi</x:v>
      </x:c>
      <x:c r="P5" t="str">
        <x:v>Nguồn XLSX chính thức – Cổng dữ liệu mở TP Hải Phòng</x:v>
      </x:c>
      <x:c r="Q5" t="str">
        <x:v>Địa bàn nguồn: Hải Dương (lịch sử). Thuộc 28/409 dòng đầu đã đọc trực tiếp; chưa phải bộ dữ liệu đầy đủ.</x:v>
      </x:c>
      <x:c r="R5" t="str">
        <x:v>https://data.haiphong.gov.vn/dataset/07fa5c03-31ee-453f-9bba-f7acd2ffeb6a/resource/4621ee58-725a-481d-b29c-931e46f220c5/download/khocsdl_trichxuatdulieu_dulieusotiepnhanphieucongbosanphammypham_2026-06-25.xlsx</x:v>
      </x:c>
      <x:c r="S5" t="str">
        <x:v>Hải Phòng</x:v>
      </x:c>
      <x:c r="T5" t="str">
        <x:v>31</x:v>
      </x:c>
    </x:row>
    <x:row r="6">
      <x:c r="A6" t="n">
        <x:v>5</x:v>
      </x:c>
      <x:c r="B6" s="330"/>
      <x:c r="C6" s="330" t="n">
        <x:v>46198</x:v>
      </x:c>
      <x:c r="D6" t="n">
        <x:v>2024</x:v>
      </x:c>
      <x:c r="E6"/>
      <x:c r="F6" t="str">
        <x:v>03/24/CBMP-HD</x:v>
      </x:c>
      <x:c r="G6"/>
      <x:c r="H6" t="str">
        <x:v>DẦU XẢ THẢO MỘC SÂM SAVINA</x:v>
      </x:c>
      <x:c r="I6" t="str">
        <x:v>SÂM VIỆT NAM</x:v>
      </x:c>
      <x:c r="J6" t="str">
        <x:v>Dầu xả</x:v>
      </x:c>
      <x:c r="K6" t="str">
        <x:v>Sản phẩm chăm sóc tóc (sản phẩm dưỡng tóc)</x:v>
      </x:c>
      <x:c r="L6" t="str">
        <x:v>Công ty TNHH Sản xuất và Thương mại Sâm Việt Nam</x:v>
      </x:c>
      <x:c r="M6" t="str">
        <x:v>Thôn Đông Xã Tự Lạn; huyện Việt Yên; tỉnh Bắc Giang; Việt Nam</x:v>
      </x:c>
      <x:c r="N6"/>
      <x:c r="O6" t="str">
        <x:v>Chưa đối chiếu thu hồi</x:v>
      </x:c>
      <x:c r="P6" t="str">
        <x:v>Nguồn XLSX chính thức – Cổng dữ liệu mở TP Hải Phòng</x:v>
      </x:c>
      <x:c r="Q6" t="str">
        <x:v>Địa bàn nguồn: Hải Dương (lịch sử). Thuộc 28/409 dòng đầu đã đọc trực tiếp; chưa phải bộ dữ liệu đầy đủ.</x:v>
      </x:c>
      <x:c r="R6" t="str">
        <x:v>https://data.haiphong.gov.vn/dataset/07fa5c03-31ee-453f-9bba-f7acd2ffeb6a/resource/4621ee58-725a-481d-b29c-931e46f220c5/download/khocsdl_trichxuatdulieu_dulieusotiepnhanphieucongbosanphammypham_2026-06-25.xlsx</x:v>
      </x:c>
      <x:c r="S6" t="str">
        <x:v>Hải Phòng</x:v>
      </x:c>
      <x:c r="T6" t="str">
        <x:v>31</x:v>
      </x:c>
    </x:row>
    <x:row r="7">
      <x:c r="A7" t="n">
        <x:v>6</x:v>
      </x:c>
      <x:c r="B7" s="330"/>
      <x:c r="C7" s="330" t="n">
        <x:v>46198</x:v>
      </x:c>
      <x:c r="D7" t="n">
        <x:v>2024</x:v>
      </x:c>
      <x:c r="E7"/>
      <x:c r="F7" t="str">
        <x:v>04/24/CBMP-HD</x:v>
      </x:c>
      <x:c r="G7"/>
      <x:c r="H7" t="str">
        <x:v>SỮA TẮM DƯỢC LIỆU MỘC THIÊN PHƯỚC</x:v>
      </x:c>
      <x:c r="I7" t="str">
        <x:v>MỘC THIÊN PHƯỚC</x:v>
      </x:c>
      <x:c r="J7" t="str">
        <x:v>Sữa tắm/Gel tắm</x:v>
      </x:c>
      <x:c r="K7" t="str">
        <x:v>Sản phẩm để tắm</x:v>
      </x:c>
      <x:c r="L7" t="str">
        <x:v>Công ty CP Dược Mỹ phẩm Thiên Phước</x:v>
      </x:c>
      <x:c r="M7" t="str">
        <x:v>Số 2 Ngách 34/154; ngõ 154 đường Đình Thôn; phường Mỹ Đình 1; quận Nam Từ Liêm; tp Hà Nội; Việt Nam</x:v>
      </x:c>
      <x:c r="N7"/>
      <x:c r="O7" t="str">
        <x:v>Chưa đối chiếu thu hồi</x:v>
      </x:c>
      <x:c r="P7" t="str">
        <x:v>Nguồn XLSX chính thức – Cổng dữ liệu mở TP Hải Phòng</x:v>
      </x:c>
      <x:c r="Q7" t="str">
        <x:v>Địa bàn nguồn: Hải Dương (lịch sử). Thuộc 28/409 dòng đầu đã đọc trực tiếp; chưa phải bộ dữ liệu đầy đủ.</x:v>
      </x:c>
      <x:c r="R7" t="str">
        <x:v>https://data.haiphong.gov.vn/dataset/07fa5c03-31ee-453f-9bba-f7acd2ffeb6a/resource/4621ee58-725a-481d-b29c-931e46f220c5/download/khocsdl_trichxuatdulieu_dulieusotiepnhanphieucongbosanphammypham_2026-06-25.xlsx</x:v>
      </x:c>
      <x:c r="S7" t="str">
        <x:v>Hải Phòng</x:v>
      </x:c>
      <x:c r="T7" t="str">
        <x:v>31</x:v>
      </x:c>
    </x:row>
    <x:row r="8">
      <x:c r="A8" t="n">
        <x:v>7</x:v>
      </x:c>
      <x:c r="B8" s="330"/>
      <x:c r="C8" s="330" t="n">
        <x:v>46198</x:v>
      </x:c>
      <x:c r="D8" t="n">
        <x:v>2024</x:v>
      </x:c>
      <x:c r="E8"/>
      <x:c r="F8" t="str">
        <x:v>05/24/CBMP-HD</x:v>
      </x:c>
      <x:c r="G8"/>
      <x:c r="H8" t="str">
        <x:v>DẦU XẢ DƯỢC LIỆU</x:v>
      </x:c>
      <x:c r="I8" t="str">
        <x:v>MỘC THIÊN PHƯỚC</x:v>
      </x:c>
      <x:c r="J8" t="str">
        <x:v>Dầu xả</x:v>
      </x:c>
      <x:c r="K8" t="str">
        <x:v>Sản phẩm chăm sóc tóc (Sản phẩm dưỡng tóc)</x:v>
      </x:c>
      <x:c r="L8" t="str">
        <x:v>Công ty CP Dược Mỹ phẩm Thiên Phước</x:v>
      </x:c>
      <x:c r="M8" t="str">
        <x:v>Số 2 Ngách 34/154; ngõ 154 đường Đình Thôn; phường Mỹ Đình 1; quận Nam Từ Liêm; tp Hà Nội; Việt Nam</x:v>
      </x:c>
      <x:c r="N8"/>
      <x:c r="O8" t="str">
        <x:v>Chưa đối chiếu thu hồi</x:v>
      </x:c>
      <x:c r="P8" t="str">
        <x:v>Nguồn XLSX chính thức – Cổng dữ liệu mở TP Hải Phòng</x:v>
      </x:c>
      <x:c r="Q8" t="str">
        <x:v>Địa bàn nguồn: Hải Dương (lịch sử). Thuộc 28/409 dòng đầu đã đọc trực tiếp; chưa phải bộ dữ liệu đầy đủ.</x:v>
      </x:c>
      <x:c r="R8" t="str">
        <x:v>https://data.haiphong.gov.vn/dataset/07fa5c03-31ee-453f-9bba-f7acd2ffeb6a/resource/4621ee58-725a-481d-b29c-931e46f220c5/download/khocsdl_trichxuatdulieu_dulieusotiepnhanphieucongbosanphammypham_2026-06-25.xlsx</x:v>
      </x:c>
      <x:c r="S8" t="str">
        <x:v>Hải Phòng</x:v>
      </x:c>
      <x:c r="T8" t="str">
        <x:v>31</x:v>
      </x:c>
    </x:row>
    <x:row r="9">
      <x:c r="A9" t="n">
        <x:v>8</x:v>
      </x:c>
      <x:c r="B9" s="330"/>
      <x:c r="C9" s="330" t="n">
        <x:v>46198</x:v>
      </x:c>
      <x:c r="D9" t="n">
        <x:v>2024</x:v>
      </x:c>
      <x:c r="E9"/>
      <x:c r="F9" t="str">
        <x:v>06/24/CBMP-HD</x:v>
      </x:c>
      <x:c r="G9"/>
      <x:c r="H9" t="str">
        <x:v>DẦU GỘI DƯỢC LIỆU</x:v>
      </x:c>
      <x:c r="I9" t="str">
        <x:v>MỘC THIÊN PHƯỚC</x:v>
      </x:c>
      <x:c r="J9" t="str">
        <x:v>Dầu gội</x:v>
      </x:c>
      <x:c r="K9" t="str">
        <x:v>Sản phẩm chăm sóc tóc (Các sản phẩm làm sạch)</x:v>
      </x:c>
      <x:c r="L9" t="str">
        <x:v>Công ty CP Dược Mỹ phẩm Thiên Phước</x:v>
      </x:c>
      <x:c r="M9" t="str">
        <x:v>Số 2 Ngách 34/154; ngõ 154 đường Đình Thôn; phường Mỹ Đình 1; quận Nam Từ Liêm; tp Hà Nội; Việt Nam</x:v>
      </x:c>
      <x:c r="N9"/>
      <x:c r="O9" t="str">
        <x:v>Chưa đối chiếu thu hồi</x:v>
      </x:c>
      <x:c r="P9" t="str">
        <x:v>Nguồn XLSX chính thức – Cổng dữ liệu mở TP Hải Phòng</x:v>
      </x:c>
      <x:c r="Q9" t="str">
        <x:v>Địa bàn nguồn: Hải Dương (lịch sử). Thuộc 28/409 dòng đầu đã đọc trực tiếp; chưa phải bộ dữ liệu đầy đủ.</x:v>
      </x:c>
      <x:c r="R9" t="str">
        <x:v>https://data.haiphong.gov.vn/dataset/07fa5c03-31ee-453f-9bba-f7acd2ffeb6a/resource/4621ee58-725a-481d-b29c-931e46f220c5/download/khocsdl_trichxuatdulieu_dulieusotiepnhanphieucongbosanphammypham_2026-06-25.xlsx</x:v>
      </x:c>
      <x:c r="S9" t="str">
        <x:v>Hải Phòng</x:v>
      </x:c>
      <x:c r="T9" t="str">
        <x:v>31</x:v>
      </x:c>
    </x:row>
    <x:row r="10">
      <x:c r="A10" t="n">
        <x:v>9</x:v>
      </x:c>
      <x:c r="B10" s="330"/>
      <x:c r="C10" s="330" t="n">
        <x:v>46198</x:v>
      </x:c>
      <x:c r="D10" t="n">
        <x:v>2024</x:v>
      </x:c>
      <x:c r="E10"/>
      <x:c r="F10" t="str">
        <x:v>07/24/CBMP-HD</x:v>
      </x:c>
      <x:c r="G10"/>
      <x:c r="H10" t="str">
        <x:v>DẦU GỘI DƯỢC LIỆU MỘC THIÊN PHƯỚC</x:v>
      </x:c>
      <x:c r="I10" t="str">
        <x:v>MỘC THIÊN PHƯỚC</x:v>
      </x:c>
      <x:c r="J10" t="str">
        <x:v>Dầu gội</x:v>
      </x:c>
      <x:c r="K10" t="str">
        <x:v>Sản phẩm chăm sóc tóc (Các sản phẩm làm sạch)</x:v>
      </x:c>
      <x:c r="L10" t="str">
        <x:v>Công ty CP Dược Mỹ phẩm Thiên Phước</x:v>
      </x:c>
      <x:c r="M10" t="str">
        <x:v>Số 2 Ngách 34/154; ngõ 154 đường Đình Thôn; phường Mỹ Đình 1; quận Nam Từ Liêm; tp Hà Nội; Việt Nam</x:v>
      </x:c>
      <x:c r="N10"/>
      <x:c r="O10" t="str">
        <x:v>Chưa đối chiếu thu hồi</x:v>
      </x:c>
      <x:c r="P10" t="str">
        <x:v>Nguồn XLSX chính thức – Cổng dữ liệu mở TP Hải Phòng</x:v>
      </x:c>
      <x:c r="Q10" t="str">
        <x:v>Địa bàn nguồn: Hải Dương (lịch sử). Thuộc 28/409 dòng đầu đã đọc trực tiếp; chưa phải bộ dữ liệu đầy đủ.</x:v>
      </x:c>
      <x:c r="R10" t="str">
        <x:v>https://data.haiphong.gov.vn/dataset/07fa5c03-31ee-453f-9bba-f7acd2ffeb6a/resource/4621ee58-725a-481d-b29c-931e46f220c5/download/khocsdl_trichxuatdulieu_dulieusotiepnhanphieucongbosanphammypham_2026-06-25.xlsx</x:v>
      </x:c>
      <x:c r="S10" t="str">
        <x:v>Hải Phòng</x:v>
      </x:c>
      <x:c r="T10" t="str">
        <x:v>31</x:v>
      </x:c>
    </x:row>
    <x:row r="11">
      <x:c r="A11" t="n">
        <x:v>10</x:v>
      </x:c>
      <x:c r="B11" s="330"/>
      <x:c r="C11" s="330" t="n">
        <x:v>46198</x:v>
      </x:c>
      <x:c r="D11" t="n">
        <x:v>2024</x:v>
      </x:c>
      <x:c r="E11"/>
      <x:c r="F11" t="str">
        <x:v>08/24/CBMP-HD</x:v>
      </x:c>
      <x:c r="G11"/>
      <x:c r="H11" t="str">
        <x:v>DẦU XẢ DƯỢC LIỆU MỘC THIÊN PHƯỚC</x:v>
      </x:c>
      <x:c r="I11" t="str">
        <x:v>MỘC THIÊN PHƯỚC</x:v>
      </x:c>
      <x:c r="J11" t="str">
        <x:v>Dầu xả</x:v>
      </x:c>
      <x:c r="K11" t="str">
        <x:v>Sản phẩm chăm sóc tóc (Sản phẩm dưỡng tóc)</x:v>
      </x:c>
      <x:c r="L11" t="str">
        <x:v>Công ty CP Dược Mỹ phẩm Thiên Phước</x:v>
      </x:c>
      <x:c r="M11" t="str">
        <x:v>Số 2 Ngách 34/154; ngõ 154 đường Đình Thôn; phường Mỹ Đình 1; quận Nam Từ Liêm; tp Hà Nội; Việt Nam</x:v>
      </x:c>
      <x:c r="N11"/>
      <x:c r="O11" t="str">
        <x:v>Chưa đối chiếu thu hồi</x:v>
      </x:c>
      <x:c r="P11" t="str">
        <x:v>Nguồn XLSX chính thức – Cổng dữ liệu mở TP Hải Phòng</x:v>
      </x:c>
      <x:c r="Q11" t="str">
        <x:v>Địa bàn nguồn: Hải Dương (lịch sử). Thuộc 28/409 dòng đầu đã đọc trực tiếp; chưa phải bộ dữ liệu đầy đủ.</x:v>
      </x:c>
      <x:c r="R11" t="str">
        <x:v>https://data.haiphong.gov.vn/dataset/07fa5c03-31ee-453f-9bba-f7acd2ffeb6a/resource/4621ee58-725a-481d-b29c-931e46f220c5/download/khocsdl_trichxuatdulieu_dulieusotiepnhanphieucongbosanphammypham_2026-06-25.xlsx</x:v>
      </x:c>
      <x:c r="S11" t="str">
        <x:v>Hải Phòng</x:v>
      </x:c>
      <x:c r="T11" t="str">
        <x:v>31</x:v>
      </x:c>
    </x:row>
    <x:row r="12">
      <x:c r="A12" t="n">
        <x:v>11</x:v>
      </x:c>
      <x:c r="B12" s="330"/>
      <x:c r="C12" s="330" t="n">
        <x:v>46198</x:v>
      </x:c>
      <x:c r="D12" t="n">
        <x:v>2024</x:v>
      </x:c>
      <x:c r="E12"/>
      <x:c r="F12" t="str">
        <x:v>09/24/CBMP-HD</x:v>
      </x:c>
      <x:c r="G12"/>
      <x:c r="H12" t="str">
        <x:v>XỊT KHỬ MÙI HÔI CHÂN VÀ GIÀY</x:v>
      </x:c>
      <x:c r="I12" t="str">
        <x:v>DR.HERBAL</x:v>
      </x:c>
      <x:c r="J12" t="str">
        <x:v>Khử mùi</x:v>
      </x:c>
      <x:c r="K12" t="str">
        <x:v>Sản phẩm khử mùi và chống mùi (giảm mùi mồ hôi).</x:v>
      </x:c>
      <x:c r="L12" t="str">
        <x:v>Công ty CP Dược VTYT Hải Dương</x:v>
      </x:c>
      <x:c r="M12" t="str">
        <x:v>Số 102 Chi Lăng; phường Nguyễn Trãi; Thành phố Hải Dương; tỉnh Hải Dương</x:v>
      </x:c>
      <x:c r="N12"/>
      <x:c r="O12" t="str">
        <x:v>Chưa đối chiếu thu hồi</x:v>
      </x:c>
      <x:c r="P12" t="str">
        <x:v>Nguồn XLSX chính thức – Cổng dữ liệu mở TP Hải Phòng</x:v>
      </x:c>
      <x:c r="Q12" t="str">
        <x:v>Địa bàn nguồn: Hải Dương (lịch sử). Thuộc 28/409 dòng đầu đã đọc trực tiếp; chưa phải bộ dữ liệu đầy đủ.</x:v>
      </x:c>
      <x:c r="R12" t="str">
        <x:v>https://data.haiphong.gov.vn/dataset/07fa5c03-31ee-453f-9bba-f7acd2ffeb6a/resource/4621ee58-725a-481d-b29c-931e46f220c5/download/khocsdl_trichxuatdulieu_dulieusotiepnhanphieucongbosanphammypham_2026-06-25.xlsx</x:v>
      </x:c>
      <x:c r="S12" t="str">
        <x:v>Hải Phòng</x:v>
      </x:c>
      <x:c r="T12" t="str">
        <x:v>31</x:v>
      </x:c>
    </x:row>
    <x:row r="13">
      <x:c r="A13" t="n">
        <x:v>12</x:v>
      </x:c>
      <x:c r="B13" s="330"/>
      <x:c r="C13" s="330" t="n">
        <x:v>46198</x:v>
      </x:c>
      <x:c r="D13" t="n">
        <x:v>2024</x:v>
      </x:c>
      <x:c r="E13"/>
      <x:c r="F13" t="str">
        <x:v>10/24/CBMP-HD</x:v>
      </x:c>
      <x:c r="G13"/>
      <x:c r="H13" t="str">
        <x:v>DẦU GỘI THẢO MỘC</x:v>
      </x:c>
      <x:c r="I13" t="str">
        <x:v>PHÚC VĂN</x:v>
      </x:c>
      <x:c r="J13" t="str">
        <x:v>Dầu gội</x:v>
      </x:c>
      <x:c r="K13" t="str">
        <x:v>Sản phẩm chăm sóc tóc (sản phẩm làm sạch)</x:v>
      </x:c>
      <x:c r="L13" t="str">
        <x:v>Công ty TNHH Phúc Văn Cosmetics</x:v>
      </x:c>
      <x:c r="M13" t="str">
        <x:v>Thôn 10A xã Hải Xuân; tp Móng Cái; tỉnh Quảng Ninh; VN</x:v>
      </x:c>
      <x:c r="N13"/>
      <x:c r="O13" t="str">
        <x:v>Chưa đối chiếu thu hồi</x:v>
      </x:c>
      <x:c r="P13" t="str">
        <x:v>Nguồn XLSX chính thức – Cổng dữ liệu mở TP Hải Phòng</x:v>
      </x:c>
      <x:c r="Q13" t="str">
        <x:v>Địa bàn nguồn: Hải Dương (lịch sử). Thuộc 28/409 dòng đầu đã đọc trực tiếp; chưa phải bộ dữ liệu đầy đủ.</x:v>
      </x:c>
      <x:c r="R13" t="str">
        <x:v>https://data.haiphong.gov.vn/dataset/07fa5c03-31ee-453f-9bba-f7acd2ffeb6a/resource/4621ee58-725a-481d-b29c-931e46f220c5/download/khocsdl_trichxuatdulieu_dulieusotiepnhanphieucongbosanphammypham_2026-06-25.xlsx</x:v>
      </x:c>
      <x:c r="S13" t="str">
        <x:v>Hải Phòng</x:v>
      </x:c>
      <x:c r="T13" t="str">
        <x:v>31</x:v>
      </x:c>
    </x:row>
    <x:row r="14">
      <x:c r="A14" t="n">
        <x:v>13</x:v>
      </x:c>
      <x:c r="B14" s="330"/>
      <x:c r="C14" s="330" t="n">
        <x:v>46198</x:v>
      </x:c>
      <x:c r="D14" t="n">
        <x:v>2024</x:v>
      </x:c>
      <x:c r="E14"/>
      <x:c r="F14" t="str">
        <x:v>11/24/CBMP-HD</x:v>
      </x:c>
      <x:c r="G14"/>
      <x:c r="H14" t="str">
        <x:v>DẦU XẢ THẢO MỘC</x:v>
      </x:c>
      <x:c r="I14" t="str">
        <x:v>PHÚC VĂN</x:v>
      </x:c>
      <x:c r="J14" t="str">
        <x:v>Dầu xả</x:v>
      </x:c>
      <x:c r="K14" t="str">
        <x:v>Sản phẩm chăm sóc tóc (sản phẩm dưỡng tóc)</x:v>
      </x:c>
      <x:c r="L14" t="str">
        <x:v>Công ty TNHH Phúc Văn Cosmetics</x:v>
      </x:c>
      <x:c r="M14" t="str">
        <x:v>Thôn 10A xã Hải Xuân; tp Móng Cái; tỉnh Quảng Ninh; VN</x:v>
      </x:c>
      <x:c r="N14"/>
      <x:c r="O14" t="str">
        <x:v>Chưa đối chiếu thu hồi</x:v>
      </x:c>
      <x:c r="P14" t="str">
        <x:v>Nguồn XLSX chính thức – Cổng dữ liệu mở TP Hải Phòng</x:v>
      </x:c>
      <x:c r="Q14" t="str">
        <x:v>Địa bàn nguồn: Hải Dương (lịch sử). Thuộc 28/409 dòng đầu đã đọc trực tiếp; chưa phải bộ dữ liệu đầy đủ.</x:v>
      </x:c>
      <x:c r="R14" t="str">
        <x:v>https://data.haiphong.gov.vn/dataset/07fa5c03-31ee-453f-9bba-f7acd2ffeb6a/resource/4621ee58-725a-481d-b29c-931e46f220c5/download/khocsdl_trichxuatdulieu_dulieusotiepnhanphieucongbosanphammypham_2026-06-25.xlsx</x:v>
      </x:c>
      <x:c r="S14" t="str">
        <x:v>Hải Phòng</x:v>
      </x:c>
      <x:c r="T14" t="str">
        <x:v>31</x:v>
      </x:c>
    </x:row>
    <x:row r="15">
      <x:c r="A15" t="n">
        <x:v>14</x:v>
      </x:c>
      <x:c r="B15" s="330"/>
      <x:c r="C15" s="330" t="n">
        <x:v>46198</x:v>
      </x:c>
      <x:c r="D15" t="n">
        <x:v>2024</x:v>
      </x:c>
      <x:c r="E15"/>
      <x:c r="F15" t="str">
        <x:v>12/24/CBMP-HD</x:v>
      </x:c>
      <x:c r="G15"/>
      <x:c r="H15" t="str">
        <x:v>DẦU GỘI DƯỢC LIỆU METTA 1</x:v>
      </x:c>
      <x:c r="I15" t="str">
        <x:v>METTA SPA</x:v>
      </x:c>
      <x:c r="J15" t="str">
        <x:v>Dầu gội</x:v>
      </x:c>
      <x:c r="K15" t="str">
        <x:v>Sản phẩm chăm sóc tóc (sản phẩm làm sạch)</x:v>
      </x:c>
      <x:c r="L15" t="str">
        <x:v>Công ty Cổ phần sức khoẻ vàng METTA GROUP</x:v>
      </x:c>
      <x:c r="M15" t="str">
        <x:v>378 đường Tên Lửa; phường Bình Trị Đông B; quận Bình Tân; tp Hồ Chí Minh; VN</x:v>
      </x:c>
      <x:c r="N15"/>
      <x:c r="O15" t="str">
        <x:v>Chưa đối chiếu thu hồi</x:v>
      </x:c>
      <x:c r="P15" t="str">
        <x:v>Nguồn XLSX chính thức – Cổng dữ liệu mở TP Hải Phòng</x:v>
      </x:c>
      <x:c r="Q15" t="str">
        <x:v>Địa bàn nguồn: Hải Dương (lịch sử). Thuộc 28/409 dòng đầu đã đọc trực tiếp; chưa phải bộ dữ liệu đầy đủ.</x:v>
      </x:c>
      <x:c r="R15" t="str">
        <x:v>https://data.haiphong.gov.vn/dataset/07fa5c03-31ee-453f-9bba-f7acd2ffeb6a/resource/4621ee58-725a-481d-b29c-931e46f220c5/download/khocsdl_trichxuatdulieu_dulieusotiepnhanphieucongbosanphammypham_2026-06-25.xlsx</x:v>
      </x:c>
      <x:c r="S15" t="str">
        <x:v>Hải Phòng</x:v>
      </x:c>
      <x:c r="T15" t="str">
        <x:v>31</x:v>
      </x:c>
    </x:row>
    <x:row r="16">
      <x:c r="A16" t="n">
        <x:v>15</x:v>
      </x:c>
      <x:c r="B16" s="330"/>
      <x:c r="C16" s="330" t="n">
        <x:v>46198</x:v>
      </x:c>
      <x:c r="D16" t="n">
        <x:v>2024</x:v>
      </x:c>
      <x:c r="E16"/>
      <x:c r="F16" t="str">
        <x:v>13/24/CBMP-HD</x:v>
      </x:c>
      <x:c r="G16"/>
      <x:c r="H16" t="str">
        <x:v>DẦU GỘI DƯỢC LIỆU METTA 1</x:v>
      </x:c>
      <x:c r="I16" t="str">
        <x:v>METTA SPA</x:v>
      </x:c>
      <x:c r="J16" t="str">
        <x:v>Dầu gội</x:v>
      </x:c>
      <x:c r="K16" t="str">
        <x:v>Sản phẩm chăm sóc tóc (sản phẩm dưỡng tóc)</x:v>
      </x:c>
      <x:c r="L16" t="str">
        <x:v>Công ty Cổ phần sức khoẻ vàng METTA GROUP</x:v>
      </x:c>
      <x:c r="M16" t="str">
        <x:v>379 đường Tên Lửa; phường Bình Trị Đông B; quận Bình Tân; tp Hồ Chí Minh; VN</x:v>
      </x:c>
      <x:c r="N16"/>
      <x:c r="O16" t="str">
        <x:v>Chưa đối chiếu thu hồi</x:v>
      </x:c>
      <x:c r="P16" t="str">
        <x:v>Nguồn XLSX chính thức – Cổng dữ liệu mở TP Hải Phòng</x:v>
      </x:c>
      <x:c r="Q16" t="str">
        <x:v>Địa bàn nguồn: Hải Dương (lịch sử). Thuộc 28/409 dòng đầu đã đọc trực tiếp; chưa phải bộ dữ liệu đầy đủ.</x:v>
      </x:c>
      <x:c r="R16" t="str">
        <x:v>https://data.haiphong.gov.vn/dataset/07fa5c03-31ee-453f-9bba-f7acd2ffeb6a/resource/4621ee58-725a-481d-b29c-931e46f220c5/download/khocsdl_trichxuatdulieu_dulieusotiepnhanphieucongbosanphammypham_2026-06-25.xlsx</x:v>
      </x:c>
      <x:c r="S16" t="str">
        <x:v>Hải Phòng</x:v>
      </x:c>
      <x:c r="T16" t="str">
        <x:v>31</x:v>
      </x:c>
    </x:row>
    <x:row r="17">
      <x:c r="A17" t="n">
        <x:v>16</x:v>
      </x:c>
      <x:c r="B17" s="330"/>
      <x:c r="C17" s="330" t="n">
        <x:v>46198</x:v>
      </x:c>
      <x:c r="D17" t="n">
        <x:v>2024</x:v>
      </x:c>
      <x:c r="E17"/>
      <x:c r="F17" t="str">
        <x:v>14/24/CBMP-HD</x:v>
      </x:c>
      <x:c r="G17"/>
      <x:c r="H17" t="str">
        <x:v>DUNG DỊCH VỆ SINH PHỤ NỮ BÉATRICE</x:v>
      </x:c>
      <x:c r="I17"/>
      <x:c r="J17" t="str">
        <x:v>Dung dịch vệ sinh</x:v>
      </x:c>
      <x:c r="K17" t="str">
        <x:v>Sản phẩm dùng để vệ sinh cơ quan sinh dục ngoài</x:v>
      </x:c>
      <x:c r="L17" t="str">
        <x:v>Công ty TNHH TUVA</x:v>
      </x:c>
      <x:c r="M17" t="str">
        <x:v>số 91 Ngách 29/70 phố Khương Hạ; phường Khương Đình; quận Thanh Xuân; tp Hà Nội; VN</x:v>
      </x:c>
      <x:c r="N17"/>
      <x:c r="O17" t="str">
        <x:v>Chưa đối chiếu thu hồi</x:v>
      </x:c>
      <x:c r="P17" t="str">
        <x:v>Nguồn XLSX chính thức – Cổng dữ liệu mở TP Hải Phòng</x:v>
      </x:c>
      <x:c r="Q17" t="str">
        <x:v>Địa bàn nguồn: Hải Dương (lịch sử). Thuộc 28/409 dòng đầu đã đọc trực tiếp; chưa phải bộ dữ liệu đầy đủ.</x:v>
      </x:c>
      <x:c r="R17" t="str">
        <x:v>https://data.haiphong.gov.vn/dataset/07fa5c03-31ee-453f-9bba-f7acd2ffeb6a/resource/4621ee58-725a-481d-b29c-931e46f220c5/download/khocsdl_trichxuatdulieu_dulieusotiepnhanphieucongbosanphammypham_2026-06-25.xlsx</x:v>
      </x:c>
      <x:c r="S17" t="str">
        <x:v>Hải Phòng</x:v>
      </x:c>
      <x:c r="T17" t="str">
        <x:v>31</x:v>
      </x:c>
    </x:row>
    <x:row r="18">
      <x:c r="A18" t="n">
        <x:v>17</x:v>
      </x:c>
      <x:c r="B18" s="330"/>
      <x:c r="C18" s="330" t="n">
        <x:v>46198</x:v>
      </x:c>
      <x:c r="D18" t="n">
        <x:v>2024</x:v>
      </x:c>
      <x:c r="E18"/>
      <x:c r="F18" t="str">
        <x:v>15/24/CBMP-HD</x:v>
      </x:c>
      <x:c r="G18"/>
      <x:c r="H18" t="str">
        <x:v>GEL PK LADY EVA</x:v>
      </x:c>
      <x:c r="I18"/>
      <x:c r="J18" t="str">
        <x:v>Dung dịch vệ sinh</x:v>
      </x:c>
      <x:c r="K18" t="str">
        <x:v>Sản phẩm dùng để vệ sinh cơ quan sinh dục ngoài</x:v>
      </x:c>
      <x:c r="L18" t="str">
        <x:v>CÔNG TY CỔ PHẦN DƯỢC MỸ PHẨM TPHARMA</x:v>
      </x:c>
      <x:c r="M18" t="str">
        <x:v>KM 50 Đường An Định; phường Việt Hoà; tp Hải Dương</x:v>
      </x:c>
      <x:c r="N18"/>
      <x:c r="O18" t="str">
        <x:v>Chưa đối chiếu thu hồi</x:v>
      </x:c>
      <x:c r="P18" t="str">
        <x:v>Nguồn XLSX chính thức – Cổng dữ liệu mở TP Hải Phòng</x:v>
      </x:c>
      <x:c r="Q18" t="str">
        <x:v>Địa bàn nguồn: Hải Dương (lịch sử). Thuộc 28/409 dòng đầu đã đọc trực tiếp; chưa phải bộ dữ liệu đầy đủ.</x:v>
      </x:c>
      <x:c r="R18" t="str">
        <x:v>https://data.haiphong.gov.vn/dataset/07fa5c03-31ee-453f-9bba-f7acd2ffeb6a/resource/4621ee58-725a-481d-b29c-931e46f220c5/download/khocsdl_trichxuatdulieu_dulieusotiepnhanphieucongbosanphammypham_2026-06-25.xlsx</x:v>
      </x:c>
      <x:c r="S18" t="str">
        <x:v>Hải Phòng</x:v>
      </x:c>
      <x:c r="T18" t="str">
        <x:v>31</x:v>
      </x:c>
    </x:row>
    <x:row r="19">
      <x:c r="A19" t="n">
        <x:v>18</x:v>
      </x:c>
      <x:c r="B19" s="330"/>
      <x:c r="C19" s="330" t="n">
        <x:v>46198</x:v>
      </x:c>
      <x:c r="D19" t="n">
        <x:v>2024</x:v>
      </x:c>
      <x:c r="E19"/>
      <x:c r="F19" t="str">
        <x:v>16/24/CBMP-HD</x:v>
      </x:c>
      <x:c r="G19"/>
      <x:c r="H19" t="str">
        <x:v>DẦU GỘI DƯỢC LIỆU HƯƠNG THẢO</x:v>
      </x:c>
      <x:c r="I19"/>
      <x:c r="J19" t="str">
        <x:v>Dầu gội</x:v>
      </x:c>
      <x:c r="K19" t="str">
        <x:v>Sản phẩm chăm sóc tóc (sản phẩm làm sạch)</x:v>
      </x:c>
      <x:c r="L19" t="str">
        <x:v>Công ty CP Đầu tư và Thương mại Uy Long</x:v>
      </x:c>
      <x:c r="M19" t="str">
        <x:v>Số 319B Vĩnh Hưng; phường Thanh Trì; quận Hoàng Mai; tp Hà Nội; VN</x:v>
      </x:c>
      <x:c r="N19"/>
      <x:c r="O19" t="str">
        <x:v>Chưa đối chiếu thu hồi</x:v>
      </x:c>
      <x:c r="P19" t="str">
        <x:v>Nguồn XLSX chính thức – Cổng dữ liệu mở TP Hải Phòng</x:v>
      </x:c>
      <x:c r="Q19" t="str">
        <x:v>Địa bàn nguồn: Hải Dương (lịch sử). Thuộc 28/409 dòng đầu đã đọc trực tiếp; chưa phải bộ dữ liệu đầy đủ.</x:v>
      </x:c>
      <x:c r="R19" t="str">
        <x:v>https://data.haiphong.gov.vn/dataset/07fa5c03-31ee-453f-9bba-f7acd2ffeb6a/resource/4621ee58-725a-481d-b29c-931e46f220c5/download/khocsdl_trichxuatdulieu_dulieusotiepnhanphieucongbosanphammypham_2026-06-25.xlsx</x:v>
      </x:c>
      <x:c r="S19" t="str">
        <x:v>Hải Phòng</x:v>
      </x:c>
      <x:c r="T19" t="str">
        <x:v>31</x:v>
      </x:c>
    </x:row>
    <x:row r="20">
      <x:c r="A20" t="n">
        <x:v>19</x:v>
      </x:c>
      <x:c r="B20" s="330"/>
      <x:c r="C20" s="330" t="n">
        <x:v>46198</x:v>
      </x:c>
      <x:c r="D20" t="n">
        <x:v>2024</x:v>
      </x:c>
      <x:c r="E20"/>
      <x:c r="F20" t="str">
        <x:v>17/24/CBMP-HD</x:v>
      </x:c>
      <x:c r="G20"/>
      <x:c r="H20" t="str">
        <x:v>Dầu xả Dược liệu Hương Thảo</x:v>
      </x:c>
      <x:c r="I20"/>
      <x:c r="J20" t="str">
        <x:v>Dầu xả</x:v>
      </x:c>
      <x:c r="K20" t="str">
        <x:v>Sản phẩm chăm sóc tóc (sản phẩm làm sạch)</x:v>
      </x:c>
      <x:c r="L20" t="str">
        <x:v>Công ty CP Đầu tư và Thương mại Uy Long</x:v>
      </x:c>
      <x:c r="M20" t="str">
        <x:v>Số 319B Vĩnh Hưng; phường Thanh Trì; quận Hoàng Mai; tp Hà Nội; VN</x:v>
      </x:c>
      <x:c r="N20"/>
      <x:c r="O20" t="str">
        <x:v>Chưa đối chiếu thu hồi</x:v>
      </x:c>
      <x:c r="P20" t="str">
        <x:v>Nguồn XLSX chính thức – Cổng dữ liệu mở TP Hải Phòng</x:v>
      </x:c>
      <x:c r="Q20" t="str">
        <x:v>Địa bàn nguồn: Hải Dương (lịch sử). Thuộc 28/409 dòng đầu đã đọc trực tiếp; chưa phải bộ dữ liệu đầy đủ.</x:v>
      </x:c>
      <x:c r="R20" t="str">
        <x:v>https://data.haiphong.gov.vn/dataset/07fa5c03-31ee-453f-9bba-f7acd2ffeb6a/resource/4621ee58-725a-481d-b29c-931e46f220c5/download/khocsdl_trichxuatdulieu_dulieusotiepnhanphieucongbosanphammypham_2026-06-25.xlsx</x:v>
      </x:c>
      <x:c r="S20" t="str">
        <x:v>Hải Phòng</x:v>
      </x:c>
      <x:c r="T20" t="str">
        <x:v>31</x:v>
      </x:c>
    </x:row>
    <x:row r="21">
      <x:c r="A21" t="n">
        <x:v>20</x:v>
      </x:c>
      <x:c r="B21" s="330"/>
      <x:c r="C21" s="330" t="n">
        <x:v>46198</x:v>
      </x:c>
      <x:c r="D21" t="n">
        <x:v>2024</x:v>
      </x:c>
      <x:c r="E21"/>
      <x:c r="F21" t="str">
        <x:v>18/24/CBMP-HD</x:v>
      </x:c>
      <x:c r="G21"/>
      <x:c r="H21" t="str">
        <x:v>DUNG DỊCH VỆ SINH EVALOVE</x:v>
      </x:c>
      <x:c r="I21" t="str">
        <x:v>EVALOVE</x:v>
      </x:c>
      <x:c r="J21" t="str">
        <x:v>Dung dịch vệ sinh</x:v>
      </x:c>
      <x:c r="K21" t="str">
        <x:v>Sản phẩm dùng để vệ sinh cơ quan sinh dục ngoài</x:v>
      </x:c>
      <x:c r="L21" t="str">
        <x:v>CÔNG TY CỔ PHẦN DƯỢC MỸ PHẨM TPHARMA</x:v>
      </x:c>
      <x:c r="M21" t="str">
        <x:v>KM 50 Đường An Định; phường Việt Hoà; tp Hải Dương</x:v>
      </x:c>
      <x:c r="N21"/>
      <x:c r="O21" t="str">
        <x:v>Chưa đối chiếu thu hồi</x:v>
      </x:c>
      <x:c r="P21" t="str">
        <x:v>Nguồn XLSX chính thức – Cổng dữ liệu mở TP Hải Phòng</x:v>
      </x:c>
      <x:c r="Q21" t="str">
        <x:v>Địa bàn nguồn: Hải Dương (lịch sử). Thuộc 28/409 dòng đầu đã đọc trực tiếp; chưa phải bộ dữ liệu đầy đủ.</x:v>
      </x:c>
      <x:c r="R21" t="str">
        <x:v>https://data.haiphong.gov.vn/dataset/07fa5c03-31ee-453f-9bba-f7acd2ffeb6a/resource/4621ee58-725a-481d-b29c-931e46f220c5/download/khocsdl_trichxuatdulieu_dulieusotiepnhanphieucongbosanphammypham_2026-06-25.xlsx</x:v>
      </x:c>
      <x:c r="S21" t="str">
        <x:v>Hải Phòng</x:v>
      </x:c>
      <x:c r="T21" t="str">
        <x:v>31</x:v>
      </x:c>
    </x:row>
    <x:row r="22">
      <x:c r="A22" t="n">
        <x:v>21</x:v>
      </x:c>
      <x:c r="B22" s="330"/>
      <x:c r="C22" s="330" t="n">
        <x:v>46198</x:v>
      </x:c>
      <x:c r="D22" t="n">
        <x:v>2024</x:v>
      </x:c>
      <x:c r="E22"/>
      <x:c r="F22" t="str">
        <x:v>19/24/CBMP-HD</x:v>
      </x:c>
      <x:c r="G22"/>
      <x:c r="H22" t="str">
        <x:v>DẦU GỘI THẢO DƯỢC VIN TH.ELEVATES</x:v>
      </x:c>
      <x:c r="I22" t="str">
        <x:v>VIN TH.ELEVATES NATURAL HERBALS</x:v>
      </x:c>
      <x:c r="J22" t="str">
        <x:v>Dầu gội</x:v>
      </x:c>
      <x:c r="K22" t="str">
        <x:v>Sản phẩm chăm sóc tóc (sản phẩm làm sạch)</x:v>
      </x:c>
      <x:c r="L22" t="str">
        <x:v>CÔNG TY CỔ PHẦN DỊCH VỤ THƯƠNG MẠI VINLAND TH</x:v>
      </x:c>
      <x:c r="M22" t="str">
        <x:v>Đội 2 phố Vĩnh Ngọc; phường Đông Lĩnh; tp Thanh Hoá; tỉnh Thanh Hoá; VN</x:v>
      </x:c>
      <x:c r="N22"/>
      <x:c r="O22" t="str">
        <x:v>Chưa đối chiếu thu hồi</x:v>
      </x:c>
      <x:c r="P22" t="str">
        <x:v>Nguồn XLSX chính thức – Cổng dữ liệu mở TP Hải Phòng</x:v>
      </x:c>
      <x:c r="Q22" t="str">
        <x:v>Địa bàn nguồn: Hải Dương (lịch sử). Thuộc 28/409 dòng đầu đã đọc trực tiếp; chưa phải bộ dữ liệu đầy đủ.</x:v>
      </x:c>
      <x:c r="R22" t="str">
        <x:v>https://data.haiphong.gov.vn/dataset/07fa5c03-31ee-453f-9bba-f7acd2ffeb6a/resource/4621ee58-725a-481d-b29c-931e46f220c5/download/khocsdl_trichxuatdulieu_dulieusotiepnhanphieucongbosanphammypham_2026-06-25.xlsx</x:v>
      </x:c>
      <x:c r="S22" t="str">
        <x:v>Hải Phòng</x:v>
      </x:c>
      <x:c r="T22" t="str">
        <x:v>31</x:v>
      </x:c>
    </x:row>
    <x:row r="23">
      <x:c r="A23" t="n">
        <x:v>22</x:v>
      </x:c>
      <x:c r="B23" s="330"/>
      <x:c r="C23" s="330" t="n">
        <x:v>46198</x:v>
      </x:c>
      <x:c r="D23" t="n">
        <x:v>2024</x:v>
      </x:c>
      <x:c r="E23"/>
      <x:c r="F23" t="str">
        <x:v>20/24/CBMP-HD</x:v>
      </x:c>
      <x:c r="G23"/>
      <x:c r="H23" t="str">
        <x:v>DẦU XẢ THẢO DƯỢC VIN TH;ELEVATES</x:v>
      </x:c>
      <x:c r="I23" t="str">
        <x:v>VIN TH.ELEVATES NATURAL HERBALS</x:v>
      </x:c>
      <x:c r="J23" t="str">
        <x:v>Dầu xả</x:v>
      </x:c>
      <x:c r="K23" t="str">
        <x:v>Sản phẩm chăm sóc tóc (Sản phẩm dưỡng tóc)</x:v>
      </x:c>
      <x:c r="L23" t="str">
        <x:v>CÔNG TY CỔ PHẦN DỊCH VỤ THƯƠNG MẠI VINLAND TH</x:v>
      </x:c>
      <x:c r="M23" t="str">
        <x:v>Đội 2 phố Vĩnh Ngọc; phường Đông Lĩnh; tp Thanh Hoá; tỉnh Thanh Hoá; VN</x:v>
      </x:c>
      <x:c r="N23"/>
      <x:c r="O23" t="str">
        <x:v>Chưa đối chiếu thu hồi</x:v>
      </x:c>
      <x:c r="P23" t="str">
        <x:v>Nguồn XLSX chính thức – Cổng dữ liệu mở TP Hải Phòng</x:v>
      </x:c>
      <x:c r="Q23" t="str">
        <x:v>Địa bàn nguồn: Hải Dương (lịch sử). Thuộc 28/409 dòng đầu đã đọc trực tiếp; chưa phải bộ dữ liệu đầy đủ.</x:v>
      </x:c>
      <x:c r="R23" t="str">
        <x:v>https://data.haiphong.gov.vn/dataset/07fa5c03-31ee-453f-9bba-f7acd2ffeb6a/resource/4621ee58-725a-481d-b29c-931e46f220c5/download/khocsdl_trichxuatdulieu_dulieusotiepnhanphieucongbosanphammypham_2026-06-25.xlsx</x:v>
      </x:c>
      <x:c r="S23" t="str">
        <x:v>Hải Phòng</x:v>
      </x:c>
      <x:c r="T23" t="str">
        <x:v>31</x:v>
      </x:c>
    </x:row>
    <x:row r="24">
      <x:c r="A24" t="n">
        <x:v>23</x:v>
      </x:c>
      <x:c r="B24" s="330"/>
      <x:c r="C24" s="330" t="n">
        <x:v>46198</x:v>
      </x:c>
      <x:c r="D24" t="n">
        <x:v>2024</x:v>
      </x:c>
      <x:c r="E24"/>
      <x:c r="F24" t="str">
        <x:v>21/24/CBMP-HD</x:v>
      </x:c>
      <x:c r="G24"/>
      <x:c r="H24" t="str">
        <x:v>Hair Mask</x:v>
      </x:c>
      <x:c r="I24" t="str">
        <x:v>T-N-T</x:v>
      </x:c>
      <x:c r="J24" t="str">
        <x:v>Ủ tóc/Hair mask</x:v>
      </x:c>
      <x:c r="K24" t="str">
        <x:v>Sản phẩm chăm sóc tóc (Sản phẩm dưỡng tóc)</x:v>
      </x:c>
      <x:c r="L24" t="str">
        <x:v>Công ty TNHH TOÀN LUCKY</x:v>
      </x:c>
      <x:c r="M24" t="str">
        <x:v>LK50 - N04 DỰ ÁN Đầu tư nhà ở Thấp tầng tại khu Lò Gạch (giai đoạn II); xã Cự Khê; huyện Thanh Oai; tp Hà Nội; VN.</x:v>
      </x:c>
      <x:c r="N24"/>
      <x:c r="O24" t="str">
        <x:v>Chưa đối chiếu thu hồi</x:v>
      </x:c>
      <x:c r="P24" t="str">
        <x:v>Nguồn XLSX chính thức – Cổng dữ liệu mở TP Hải Phòng</x:v>
      </x:c>
      <x:c r="Q24" t="str">
        <x:v>Địa bàn nguồn: Hải Dương (lịch sử). Thuộc 28/409 dòng đầu đã đọc trực tiếp; chưa phải bộ dữ liệu đầy đủ.</x:v>
      </x:c>
      <x:c r="R24" t="str">
        <x:v>https://data.haiphong.gov.vn/dataset/07fa5c03-31ee-453f-9bba-f7acd2ffeb6a/resource/4621ee58-725a-481d-b29c-931e46f220c5/download/khocsdl_trichxuatdulieu_dulieusotiepnhanphieucongbosanphammypham_2026-06-25.xlsx</x:v>
      </x:c>
      <x:c r="S24" t="str">
        <x:v>Hải Phòng</x:v>
      </x:c>
      <x:c r="T24" t="str">
        <x:v>31</x:v>
      </x:c>
    </x:row>
    <x:row r="25">
      <x:c r="A25" t="n">
        <x:v>24</x:v>
      </x:c>
      <x:c r="B25" s="330"/>
      <x:c r="C25" s="330" t="n">
        <x:v>46198</x:v>
      </x:c>
      <x:c r="D25" t="n">
        <x:v>2024</x:v>
      </x:c>
      <x:c r="E25"/>
      <x:c r="F25" t="str">
        <x:v>22/24/CBMP-HD</x:v>
      </x:c>
      <x:c r="G25"/>
      <x:c r="H25" t="str">
        <x:v>PERM &amp; STRAIGHT 1</x:v>
      </x:c>
      <x:c r="I25" t="str">
        <x:v>ALYDANTON</x:v>
      </x:c>
      <x:c r="J25" t="str">
        <x:v>Uốn/duỗi/giữ nếp tóc</x:v>
      </x:c>
      <x:c r="K25" t="str">
        <x:v>Sản phẩm chăm sóc tóc (Uốn tóc; duỗi tóc; giữ nếp tóc)</x:v>
      </x:c>
      <x:c r="L25" t="str">
        <x:v>Công ty TNHH Hoá Mỹ Phẩm Hồng Đạt</x:v>
      </x:c>
      <x:c r="M25" t="str">
        <x:v>Thôn Đông Giao; xã Lương Điền; huyện Cẩm Giàng; tỉnh Hải Dương; VN</x:v>
      </x:c>
      <x:c r="N25"/>
      <x:c r="O25" t="str">
        <x:v>Chưa đối chiếu thu hồi</x:v>
      </x:c>
      <x:c r="P25" t="str">
        <x:v>Nguồn XLSX chính thức – Cổng dữ liệu mở TP Hải Phòng</x:v>
      </x:c>
      <x:c r="Q25" t="str">
        <x:v>Địa bàn nguồn: Hải Dương (lịch sử). Thuộc 28/409 dòng đầu đã đọc trực tiếp; chưa phải bộ dữ liệu đầy đủ.</x:v>
      </x:c>
      <x:c r="R25" t="str">
        <x:v>https://data.haiphong.gov.vn/dataset/07fa5c03-31ee-453f-9bba-f7acd2ffeb6a/resource/4621ee58-725a-481d-b29c-931e46f220c5/download/khocsdl_trichxuatdulieu_dulieusotiepnhanphieucongbosanphammypham_2026-06-25.xlsx</x:v>
      </x:c>
      <x:c r="S25" t="str">
        <x:v>Hải Phòng</x:v>
      </x:c>
      <x:c r="T25" t="str">
        <x:v>31</x:v>
      </x:c>
    </x:row>
    <x:row r="26">
      <x:c r="A26" t="n">
        <x:v>25</x:v>
      </x:c>
      <x:c r="B26" s="330"/>
      <x:c r="C26" s="330" t="n">
        <x:v>46198</x:v>
      </x:c>
      <x:c r="D26" t="n">
        <x:v>2024</x:v>
      </x:c>
      <x:c r="E26"/>
      <x:c r="F26" t="str">
        <x:v>23/24/CBMP-HD</x:v>
      </x:c>
      <x:c r="G26"/>
      <x:c r="H26" t="str">
        <x:v>PERM &amp; STRAIGHT 3</x:v>
      </x:c>
      <x:c r="I26" t="str">
        <x:v>ALYDANTON</x:v>
      </x:c>
      <x:c r="J26" t="str">
        <x:v>Uốn/duỗi/giữ nếp tóc</x:v>
      </x:c>
      <x:c r="K26" t="str">
        <x:v>Sản phẩm chăm sóc tóc (Uốn tóc; duỗi tóc; giữ nếp tóc)</x:v>
      </x:c>
      <x:c r="L26" t="str">
        <x:v>Công ty TNHH Hoá Mỹ Phẩm Hồng Đạt</x:v>
      </x:c>
      <x:c r="M26" t="str">
        <x:v>Thôn Đông Giao; xã Lương Điền; huyện Cẩm Giàng; tỉnh Hải Dương; VN</x:v>
      </x:c>
      <x:c r="N26"/>
      <x:c r="O26" t="str">
        <x:v>Chưa đối chiếu thu hồi</x:v>
      </x:c>
      <x:c r="P26" t="str">
        <x:v>Nguồn XLSX chính thức – Cổng dữ liệu mở TP Hải Phòng</x:v>
      </x:c>
      <x:c r="Q26" t="str">
        <x:v>Địa bàn nguồn: Hải Dương (lịch sử). Thuộc 28/409 dòng đầu đã đọc trực tiếp; chưa phải bộ dữ liệu đầy đủ.</x:v>
      </x:c>
      <x:c r="R26" t="str">
        <x:v>https://data.haiphong.gov.vn/dataset/07fa5c03-31ee-453f-9bba-f7acd2ffeb6a/resource/4621ee58-725a-481d-b29c-931e46f220c5/download/khocsdl_trichxuatdulieu_dulieusotiepnhanphieucongbosanphammypham_2026-06-25.xlsx</x:v>
      </x:c>
      <x:c r="S26" t="str">
        <x:v>Hải Phòng</x:v>
      </x:c>
      <x:c r="T26" t="str">
        <x:v>31</x:v>
      </x:c>
    </x:row>
    <x:row r="27">
      <x:c r="A27" t="n">
        <x:v>26</x:v>
      </x:c>
      <x:c r="B27" s="330"/>
      <x:c r="C27" s="330" t="n">
        <x:v>46198</x:v>
      </x:c>
      <x:c r="D27" t="n">
        <x:v>2024</x:v>
      </x:c>
      <x:c r="E27"/>
      <x:c r="F27" t="str">
        <x:v>24/24/CBMP-HD</x:v>
      </x:c>
      <x:c r="G27"/>
      <x:c r="H27" t="str">
        <x:v>D2</x:v>
      </x:c>
      <x:c r="I27" t="str">
        <x:v>Bomane</x:v>
      </x:c>
      <x:c r="J27" t="str">
        <x:v>Uốn/duỗi/giữ nếp tóc</x:v>
      </x:c>
      <x:c r="K27" t="str">
        <x:v>Sản phẩm chăm sóc tóc (Uốn tóc; duỗi tóc; giữ nếp tóc)</x:v>
      </x:c>
      <x:c r="L27" t="str">
        <x:v>Công ty TNHH Hoá Mỹ Phẩm Hồng Đạt</x:v>
      </x:c>
      <x:c r="M27" t="str">
        <x:v>Thôn Đông Giao; xã Lương Điền; huyện Cẩm Giàng; tỉnh Hải Dương; VN</x:v>
      </x:c>
      <x:c r="N27"/>
      <x:c r="O27" t="str">
        <x:v>Chưa đối chiếu thu hồi</x:v>
      </x:c>
      <x:c r="P27" t="str">
        <x:v>Nguồn XLSX chính thức – Cổng dữ liệu mở TP Hải Phòng</x:v>
      </x:c>
      <x:c r="Q27" t="str">
        <x:v>Địa bàn nguồn: Hải Dương (lịch sử). Thuộc 28/409 dòng đầu đã đọc trực tiếp; chưa phải bộ dữ liệu đầy đủ.</x:v>
      </x:c>
      <x:c r="R27" t="str">
        <x:v>https://data.haiphong.gov.vn/dataset/07fa5c03-31ee-453f-9bba-f7acd2ffeb6a/resource/4621ee58-725a-481d-b29c-931e46f220c5/download/khocsdl_trichxuatdulieu_dulieusotiepnhanphieucongbosanphammypham_2026-06-25.xlsx</x:v>
      </x:c>
      <x:c r="S27" t="str">
        <x:v>Hải Phòng</x:v>
      </x:c>
      <x:c r="T27" t="str">
        <x:v>31</x:v>
      </x:c>
    </x:row>
    <x:row r="28">
      <x:c r="A28" t="n">
        <x:v>27</x:v>
      </x:c>
      <x:c r="B28" s="330"/>
      <x:c r="C28" s="330" t="n">
        <x:v>46198</x:v>
      </x:c>
      <x:c r="D28" t="n">
        <x:v>2024</x:v>
      </x:c>
      <x:c r="E28"/>
      <x:c r="F28" t="str">
        <x:v>25/24/CBMP-HD</x:v>
      </x:c>
      <x:c r="G28"/>
      <x:c r="H28" t="str">
        <x:v>PERM &amp; STRAIGHT G1</x:v>
      </x:c>
      <x:c r="I28" t="str">
        <x:v>GOLDWIN</x:v>
      </x:c>
      <x:c r="J28" t="str">
        <x:v>Uốn/duỗi/giữ nếp tóc</x:v>
      </x:c>
      <x:c r="K28" t="str">
        <x:v>Sản phẩm chăm sóc tóc (Uốn tóc; duỗi tóc; giữ nếp tóc)</x:v>
      </x:c>
      <x:c r="L28" t="str">
        <x:v>Công ty TNHH Hoá Mỹ Phẩm Hồng Đạt</x:v>
      </x:c>
      <x:c r="M28" t="str">
        <x:v>Thôn Đông Giao; xã Lương Điền; huyện Cẩm Giàng; tỉnh Hải Dương; VN</x:v>
      </x:c>
      <x:c r="N28"/>
      <x:c r="O28" t="str">
        <x:v>Chưa đối chiếu thu hồi</x:v>
      </x:c>
      <x:c r="P28" t="str">
        <x:v>Nguồn XLSX chính thức – Cổng dữ liệu mở TP Hải Phòng</x:v>
      </x:c>
      <x:c r="Q28" t="str">
        <x:v>Địa bàn nguồn: Hải Dương (lịch sử). Thuộc 28/409 dòng đầu đã đọc trực tiếp; chưa phải bộ dữ liệu đầy đủ.</x:v>
      </x:c>
      <x:c r="R28" t="str">
        <x:v>https://data.haiphong.gov.vn/dataset/07fa5c03-31ee-453f-9bba-f7acd2ffeb6a/resource/4621ee58-725a-481d-b29c-931e46f220c5/download/khocsdl_trichxuatdulieu_dulieusotiepnhanphieucongbosanphammypham_2026-06-25.xlsx</x:v>
      </x:c>
      <x:c r="S28" t="str">
        <x:v>Hải Phòng</x:v>
      </x:c>
      <x:c r="T28" t="str">
        <x:v>31</x:v>
      </x:c>
    </x:row>
    <x:row r="29">
      <x:c r="A29" t="n">
        <x:v>28</x:v>
      </x:c>
      <x:c r="B29" s="330"/>
      <x:c r="C29" s="330" t="n">
        <x:v>46198</x:v>
      </x:c>
      <x:c r="D29" t="n">
        <x:v>2024</x:v>
      </x:c>
      <x:c r="E29"/>
      <x:c r="F29" t="str">
        <x:v>26/24/CBMP-HD</x:v>
      </x:c>
      <x:c r="G29"/>
      <x:c r="H29" t="str">
        <x:v>PERM &amp; STRAIGHT G3</x:v>
      </x:c>
      <x:c r="I29" t="str">
        <x:v>GOLDWIN</x:v>
      </x:c>
      <x:c r="J29" t="str">
        <x:v>Uốn/duỗi/giữ nếp tóc</x:v>
      </x:c>
      <x:c r="K29" t="str">
        <x:v>Sản phẩm chăm sóc tóc (Uốn tóc; duỗi tóc; giữ nếp tóc)</x:v>
      </x:c>
      <x:c r="L29" t="str">
        <x:v>Công ty TNHH Hoá Mỹ Phẩm Hồng Đạt</x:v>
      </x:c>
      <x:c r="M29" t="str">
        <x:v>Thôn Đông Giao; xã Lương Điền; huyện Cẩm Giàng; tỉnh Hải Dương; VN</x:v>
      </x:c>
      <x:c r="N29"/>
      <x:c r="O29" t="str">
        <x:v>Chưa đối chiếu thu hồi</x:v>
      </x:c>
      <x:c r="P29" t="str">
        <x:v>Nguồn XLSX chính thức – Cổng dữ liệu mở TP Hải Phòng</x:v>
      </x:c>
      <x:c r="Q29" t="str">
        <x:v>Địa bàn nguồn: Hải Dương (lịch sử). Thuộc 28/409 dòng đầu đã đọc trực tiếp; chưa phải bộ dữ liệu đầy đủ.</x:v>
      </x:c>
      <x:c r="R29" t="str">
        <x:v>https://data.haiphong.gov.vn/dataset/07fa5c03-31ee-453f-9bba-f7acd2ffeb6a/resource/4621ee58-725a-481d-b29c-931e46f220c5/download/khocsdl_trichxuatdulieu_dulieusotiepnhanphieucongbosanphammypham_2026-06-25.xlsx</x:v>
      </x:c>
      <x:c r="S29" t="str">
        <x:v>Hải Phòng</x:v>
      </x:c>
      <x:c r="T29" t="str">
        <x:v>31</x:v>
      </x:c>
    </x:row>
    <x:row r="30">
      <x:c r="A30" t="n">
        <x:v>29</x:v>
      </x:c>
      <x:c r="B30" s="330"/>
      <x:c r="C30" s="330" t="n">
        <x:v>46198</x:v>
      </x:c>
      <x:c r="D30" t="n">
        <x:v>2024</x:v>
      </x:c>
      <x:c r="E30"/>
      <x:c r="F30" t="str">
        <x:v>27/24/CBMP-HD</x:v>
      </x:c>
      <x:c r="G30"/>
      <x:c r="H30" t="str">
        <x:v>SHAMPOO</x:v>
      </x:c>
      <x:c r="I30" t="str">
        <x:v>HM</x:v>
      </x:c>
      <x:c r="J30" t="str">
        <x:v>Dầu gội</x:v>
      </x:c>
      <x:c r="K30" t="str">
        <x:v>Sản phẩm chăm sóc tóc (sản phẩm làm sạch)</x:v>
      </x:c>
      <x:c r="L30" t="str">
        <x:v>Công ty TNHH Hoá Mỹ Phẩm Hồng Đạt</x:v>
      </x:c>
      <x:c r="M30" t="str">
        <x:v>Thôn Đông Giao; xã Lương Điền; huyện Cẩm Giàng; tỉnh Hải Dương; VN</x:v>
      </x:c>
      <x:c r="N30"/>
      <x:c r="O30" t="str">
        <x:v>Chưa đối chiếu thu hồi</x:v>
      </x:c>
      <x:c r="P30" t="str">
        <x:v>Nguồn XLSX chính thức – Cổng dữ liệu mở TP Hải Phòng</x:v>
      </x:c>
      <x:c r="Q30" t="str">
        <x:v>Địa bàn nguồn: Hải Dương (lịch sử). Thuộc 28/409 dòng đầu đã đọc trực tiếp; chưa phải bộ dữ liệu đầy đủ.</x:v>
      </x:c>
      <x:c r="R30" t="str">
        <x:v>https://data.haiphong.gov.vn/dataset/07fa5c03-31ee-453f-9bba-f7acd2ffeb6a/resource/4621ee58-725a-481d-b29c-931e46f220c5/download/khocsdl_trichxuatdulieu_dulieusotiepnhanphieucongbosanphammypham_2026-06-25.xlsx</x:v>
      </x:c>
      <x:c r="S30" t="str">
        <x:v>Hải Phòng</x:v>
      </x:c>
      <x:c r="T30" t="str">
        <x:v>31</x:v>
      </x:c>
    </x:row>
    <x:row r="31">
      <x:c r="A31" t="n">
        <x:v>30</x:v>
      </x:c>
      <x:c r="B31" s="330"/>
      <x:c r="C31" s="330" t="n">
        <x:v>46198</x:v>
      </x:c>
      <x:c r="D31" t="n">
        <x:v>2024</x:v>
      </x:c>
      <x:c r="E31"/>
      <x:c r="F31" t="str">
        <x:v>28/24/CBMP-HD</x:v>
      </x:c>
      <x:c r="G31"/>
      <x:c r="H31" t="str">
        <x:v>PERM &amp; STRAIGHT 1</x:v>
      </x:c>
      <x:c r="I31" t="str">
        <x:v>V8</x:v>
      </x:c>
      <x:c r="J31" t="str">
        <x:v>Uốn/duỗi/giữ nếp tóc</x:v>
      </x:c>
      <x:c r="K31" t="str">
        <x:v>Sản phẩm chăm sóc tóc (Uốn tóc; duỗi tóc; giữ nếp tóc)</x:v>
      </x:c>
      <x:c r="L31" t="str">
        <x:v>Công ty TNHH Hoá Mỹ Phẩm Hồng Đạt</x:v>
      </x:c>
      <x:c r="M31" t="str">
        <x:v>Thôn Đông Giao; xã Lương Điền; huyện Cẩm Giàng; tỉnh Hải Dương; VN</x:v>
      </x:c>
      <x:c r="N31"/>
      <x:c r="O31" t="str">
        <x:v>Chưa đối chiếu thu hồi</x:v>
      </x:c>
      <x:c r="P31" t="str">
        <x:v>Nguồn XLSX chính thức – Cổng dữ liệu mở TP Hải Phòng</x:v>
      </x:c>
      <x:c r="Q31" t="str">
        <x:v>Địa bàn nguồn: Hải Dương (lịch sử). Thuộc 28/409 dòng đầu đã đọc trực tiếp; chưa phải bộ dữ liệu đầy đủ.</x:v>
      </x:c>
      <x:c r="R31" t="str">
        <x:v>https://data.haiphong.gov.vn/dataset/07fa5c03-31ee-453f-9bba-f7acd2ffeb6a/resource/4621ee58-725a-481d-b29c-931e46f220c5/download/khocsdl_trichxuatdulieu_dulieusotiepnhanphieucongbosanphammypham_2026-06-25.xlsx</x:v>
      </x:c>
      <x:c r="S31" t="str">
        <x:v>Hải Phòng</x:v>
      </x:c>
      <x:c r="T31" t="str">
        <x:v>31</x:v>
      </x:c>
    </x:row>
    <x:row r="32">
      <x:c r="A32" t="n">
        <x:v>31</x:v>
      </x:c>
      <x:c r="B32" s="330" t="n">
        <x:v>45587</x:v>
      </x:c>
      <x:c r="C32" s="330" t="n">
        <x:v>46132</x:v>
      </x:c>
      <x:c r="D32" t="n">
        <x:v>2024</x:v>
      </x:c>
      <x:c r="E32" t="n">
        <x:v>10</x:v>
      </x:c>
      <x:c r="F32" t="str">
        <x:v>332/24/CBMP-HD</x:v>
      </x:c>
      <x:c r="G32"/>
      <x:c r="H32" t="str">
        <x:v>LUCASTA CONDITIONER</x:v>
      </x:c>
      <x:c r="I32" t="str">
        <x:v>LUCASTA</x:v>
      </x:c>
      <x:c r="J32" t="str">
        <x:v>Dầu xả</x:v>
      </x:c>
      <x:c r="K32" t="str">
        <x:v>Đối chiếu từ danh mục thu hồi có ngày cấp</x:v>
      </x:c>
      <x:c r="L32" t="str">
        <x:v>Công ty TNHH Sản xuất và Thương mại Mỹ phẩm Việt Anh</x:v>
      </x:c>
      <x:c r="M32" t="str">
        <x:v>Xóm 1, Thôn Hải Bối, Xã Vĩnh Thanh, thành phố Hà Nội, Việt Nam</x:v>
      </x:c>
      <x:c r="N32"/>
      <x:c r="O32" t="str">
        <x:v>Đã thu hồi theo QĐ 1407/1414/1415/1416/QĐ-SYT ngày 10/04/2026</x:v>
      </x:c>
      <x:c r="P32" t="str">
        <x:v>Nguồn chính thức Hải Phòng – có số tiếp nhận và ngày cấp</x:v>
      </x:c>
      <x:c r="Q32" t="str">
        <x:v>MST đơn vị chịu trách nhiệm: 0110789789. Hồ sơ được dùng như bằng chứng lịch sử đã từng được cấp số; đồng thời gắn trạng thái thu hồi.</x:v>
      </x:c>
      <x:c r="R32" t="str">
        <x:v>https://tanhung.haiphong.gov.vn/trang-chu-66859/phuong-tan-hung-thong-bao-ve-viec-thu-hoi-san-pham-my-pham-888028</x:v>
      </x:c>
      <x:c r="S32" t="str">
        <x:v>Hải Phòng</x:v>
      </x:c>
      <x:c r="T32" t="str">
        <x:v>31</x:v>
      </x:c>
    </x:row>
    <x:row r="33">
      <x:c r="A33" t="n">
        <x:v>32</x:v>
      </x:c>
      <x:c r="B33" s="330" t="n">
        <x:v>45587</x:v>
      </x:c>
      <x:c r="C33" s="330" t="n">
        <x:v>46132</x:v>
      </x:c>
      <x:c r="D33" t="n">
        <x:v>2024</x:v>
      </x:c>
      <x:c r="E33" t="n">
        <x:v>10</x:v>
      </x:c>
      <x:c r="F33" t="str">
        <x:v>333/24/CBMP-HD</x:v>
      </x:c>
      <x:c r="G33"/>
      <x:c r="H33" t="str">
        <x:v>LUCASTA SHAMPOO</x:v>
      </x:c>
      <x:c r="I33" t="str">
        <x:v>LUCASTA</x:v>
      </x:c>
      <x:c r="J33" t="str">
        <x:v>Dầu gội</x:v>
      </x:c>
      <x:c r="K33" t="str">
        <x:v>Đối chiếu từ danh mục thu hồi có ngày cấp</x:v>
      </x:c>
      <x:c r="L33" t="str">
        <x:v>Công ty TNHH Sản xuất và Thương mại Mỹ phẩm Việt Anh</x:v>
      </x:c>
      <x:c r="M33" t="str">
        <x:v>Xóm 1, Thôn Hải Bối, Xã Vĩnh Thanh, thành phố Hà Nội, Việt Nam</x:v>
      </x:c>
      <x:c r="N33"/>
      <x:c r="O33" t="str">
        <x:v>Đã thu hồi theo QĐ 1407/1414/1415/1416/QĐ-SYT ngày 10/04/2026</x:v>
      </x:c>
      <x:c r="P33" t="str">
        <x:v>Nguồn chính thức Hải Phòng – có số tiếp nhận và ngày cấp</x:v>
      </x:c>
      <x:c r="Q33" t="str">
        <x:v>MST đơn vị chịu trách nhiệm: 0110789789. Hồ sơ được dùng như bằng chứng lịch sử đã từng được cấp số; đồng thời gắn trạng thái thu hồi.</x:v>
      </x:c>
      <x:c r="R33" t="str">
        <x:v>https://tanhung.haiphong.gov.vn/trang-chu-66859/phuong-tan-hung-thong-bao-ve-viec-thu-hoi-san-pham-my-pham-888028</x:v>
      </x:c>
      <x:c r="S33" t="str">
        <x:v>Hải Phòng</x:v>
      </x:c>
      <x:c r="T33" t="str">
        <x:v>31</x:v>
      </x:c>
    </x:row>
    <x:row r="34">
      <x:c r="A34" t="n">
        <x:v>33</x:v>
      </x:c>
      <x:c r="B34" s="330" t="n">
        <x:v>45587</x:v>
      </x:c>
      <x:c r="C34" s="330" t="n">
        <x:v>46132</x:v>
      </x:c>
      <x:c r="D34" t="n">
        <x:v>2024</x:v>
      </x:c>
      <x:c r="E34" t="n">
        <x:v>10</x:v>
      </x:c>
      <x:c r="F34" t="str">
        <x:v>334/24/CBMP-HD</x:v>
      </x:c>
      <x:c r="G34"/>
      <x:c r="H34" t="str">
        <x:v>UỐN LẠNH LUCASTA</x:v>
      </x:c>
      <x:c r="I34" t="str">
        <x:v>LUCASTA</x:v>
      </x:c>
      <x:c r="J34" t="str">
        <x:v>Uốn/duỗi/giữ nếp tóc</x:v>
      </x:c>
      <x:c r="K34" t="str">
        <x:v>Đối chiếu từ danh mục thu hồi có ngày cấp</x:v>
      </x:c>
      <x:c r="L34" t="str">
        <x:v>Công ty TNHH Sản xuất và Thương mại Mỹ phẩm Việt Anh</x:v>
      </x:c>
      <x:c r="M34" t="str">
        <x:v>Xóm 1, Thôn Hải Bối, Xã Vĩnh Thanh, thành phố Hà Nội, Việt Nam</x:v>
      </x:c>
      <x:c r="N34"/>
      <x:c r="O34" t="str">
        <x:v>Đã thu hồi theo QĐ 1407/1414/1415/1416/QĐ-SYT ngày 10/04/2026</x:v>
      </x:c>
      <x:c r="P34" t="str">
        <x:v>Nguồn chính thức Hải Phòng – có số tiếp nhận và ngày cấp</x:v>
      </x:c>
      <x:c r="Q34" t="str">
        <x:v>MST đơn vị chịu trách nhiệm: 0110789789. Hồ sơ được dùng như bằng chứng lịch sử đã từng được cấp số; đồng thời gắn trạng thái thu hồi.</x:v>
      </x:c>
      <x:c r="R34" t="str">
        <x:v>https://tanhung.haiphong.gov.vn/trang-chu-66859/phuong-tan-hung-thong-bao-ve-viec-thu-hoi-san-pham-my-pham-888028</x:v>
      </x:c>
      <x:c r="S34" t="str">
        <x:v>Hải Phòng</x:v>
      </x:c>
      <x:c r="T34" t="str">
        <x:v>31</x:v>
      </x:c>
    </x:row>
    <x:row r="35">
      <x:c r="A35" t="n">
        <x:v>34</x:v>
      </x:c>
      <x:c r="B35" s="330" t="n">
        <x:v>45622</x:v>
      </x:c>
      <x:c r="C35" s="330" t="n">
        <x:v>46132</x:v>
      </x:c>
      <x:c r="D35" t="n">
        <x:v>2024</x:v>
      </x:c>
      <x:c r="E35" t="n">
        <x:v>11</x:v>
      </x:c>
      <x:c r="F35" t="str">
        <x:v>367/24/CBMP-HD</x:v>
      </x:c>
      <x:c r="G35"/>
      <x:c r="H35" t="str">
        <x:v>SÁP TÓC LUCASTA</x:v>
      </x:c>
      <x:c r="I35" t="str">
        <x:v>LUCASTA</x:v>
      </x:c>
      <x:c r="J35" t="str">
        <x:v>Tạo kiểu tóc</x:v>
      </x:c>
      <x:c r="K35" t="str">
        <x:v>Đối chiếu từ danh mục thu hồi có ngày cấp</x:v>
      </x:c>
      <x:c r="L35" t="str">
        <x:v>Công ty TNHH Sản xuất và Thương mại Mỹ phẩm Việt Anh</x:v>
      </x:c>
      <x:c r="M35" t="str">
        <x:v>Xóm 1, Thôn Hải Bối, Xã Vĩnh Thanh, thành phố Hà Nội, Việt Nam</x:v>
      </x:c>
      <x:c r="N35"/>
      <x:c r="O35" t="str">
        <x:v>Đã thu hồi theo QĐ 1407/1414/1415/1416/QĐ-SYT ngày 10/04/2026</x:v>
      </x:c>
      <x:c r="P35" t="str">
        <x:v>Nguồn chính thức Hải Phòng – có số tiếp nhận và ngày cấp</x:v>
      </x:c>
      <x:c r="Q35" t="str">
        <x:v>MST đơn vị chịu trách nhiệm: 0110789789. Hồ sơ được dùng như bằng chứng lịch sử đã từng được cấp số; đồng thời gắn trạng thái thu hồi.</x:v>
      </x:c>
      <x:c r="R35" t="str">
        <x:v>https://tanhung.haiphong.gov.vn/trang-chu-66859/phuong-tan-hung-thong-bao-ve-viec-thu-hoi-san-pham-my-pham-888028</x:v>
      </x:c>
      <x:c r="S35" t="str">
        <x:v>Hải Phòng</x:v>
      </x:c>
      <x:c r="T35" t="str">
        <x:v>31</x:v>
      </x:c>
    </x:row>
    <x:row r="36">
      <x:c r="A36" t="n">
        <x:v>35</x:v>
      </x:c>
      <x:c r="B36" s="330" t="n">
        <x:v>45469</x:v>
      </x:c>
      <x:c r="C36" s="330" t="n">
        <x:v>46132</x:v>
      </x:c>
      <x:c r="D36" t="n">
        <x:v>2024</x:v>
      </x:c>
      <x:c r="E36" t="n">
        <x:v>6</x:v>
      </x:c>
      <x:c r="F36" t="str">
        <x:v>208/24/CBMP-HD</x:v>
      </x:c>
      <x:c r="G36"/>
      <x:c r="H36" t="str">
        <x:v>ĐỊNH HÌNH ĐA NĂNG DÀNH CHO TÓC UỐN AUFHELLEN</x:v>
      </x:c>
      <x:c r="I36" t="str">
        <x:v>AUFHELLEN</x:v>
      </x:c>
      <x:c r="J36" t="str">
        <x:v>Tạo kiểu tóc</x:v>
      </x:c>
      <x:c r="K36" t="str">
        <x:v>Đối chiếu từ danh mục thu hồi có ngày cấp</x:v>
      </x:c>
      <x:c r="L36" t="str">
        <x:v>Công ty TNHH mỹ phẩm Khải Phát</x:v>
      </x:c>
      <x:c r="M36" t="str">
        <x:v>Lô DG6-4, Khu đấu giá X1 Cầu Nề, Xã Sơn Đồng, TP Hà Nội, Việt Nam</x:v>
      </x:c>
      <x:c r="N36"/>
      <x:c r="O36" t="str">
        <x:v>Đã thu hồi theo QĐ 1407/1414/1415/1416/QĐ-SYT ngày 10/04/2026</x:v>
      </x:c>
      <x:c r="P36" t="str">
        <x:v>Nguồn chính thức Hải Phòng – có số tiếp nhận và ngày cấp</x:v>
      </x:c>
      <x:c r="Q36" t="str">
        <x:v>MST đơn vị chịu trách nhiệm: 0109703258. Hồ sơ được dùng như bằng chứng lịch sử đã từng được cấp số; đồng thời gắn trạng thái thu hồi.</x:v>
      </x:c>
      <x:c r="R36" t="str">
        <x:v>https://tanhung.haiphong.gov.vn/trang-chu-66859/phuong-tan-hung-thong-bao-ve-viec-thu-hoi-san-pham-my-pham-888028</x:v>
      </x:c>
      <x:c r="S36" t="str">
        <x:v>Hải Phòng</x:v>
      </x:c>
      <x:c r="T36" t="str">
        <x:v>31</x:v>
      </x:c>
    </x:row>
    <x:row r="37">
      <x:c r="A37" t="n">
        <x:v>36</x:v>
      </x:c>
      <x:c r="B37" s="330" t="n">
        <x:v>45474</x:v>
      </x:c>
      <x:c r="C37" s="330" t="n">
        <x:v>46132</x:v>
      </x:c>
      <x:c r="D37" t="n">
        <x:v>2024</x:v>
      </x:c>
      <x:c r="E37" t="n">
        <x:v>7</x:v>
      </x:c>
      <x:c r="F37" t="str">
        <x:v>211/24/CBMP-HD</x:v>
      </x:c>
      <x:c r="G37"/>
      <x:c r="H37" t="str">
        <x:v>OXIANTE TRỢ NHUỘM TÓC AUFHLLEN</x:v>
      </x:c>
      <x:c r="I37" t="str">
        <x:v>AUFHELLEN</x:v>
      </x:c>
      <x:c r="J37" t="str">
        <x:v>Nhuộm/tẩy màu tóc</x:v>
      </x:c>
      <x:c r="K37" t="str">
        <x:v>Đối chiếu từ danh mục thu hồi có ngày cấp</x:v>
      </x:c>
      <x:c r="L37" t="str">
        <x:v>Công ty TNHH mỹ phẩm Khải Phát</x:v>
      </x:c>
      <x:c r="M37" t="str">
        <x:v>Lô DG6-4, Khu đấu giá X1 Cầu Nề, Xã Sơn Đồng, TP Hà Nội, Việt Nam</x:v>
      </x:c>
      <x:c r="N37"/>
      <x:c r="O37" t="str">
        <x:v>Đã thu hồi theo QĐ 1407/1414/1415/1416/QĐ-SYT ngày 10/04/2026</x:v>
      </x:c>
      <x:c r="P37" t="str">
        <x:v>Nguồn chính thức Hải Phòng – có số tiếp nhận và ngày cấp</x:v>
      </x:c>
      <x:c r="Q37" t="str">
        <x:v>MST đơn vị chịu trách nhiệm: 0109703258. Hồ sơ được dùng như bằng chứng lịch sử đã từng được cấp số; đồng thời gắn trạng thái thu hồi.</x:v>
      </x:c>
      <x:c r="R37" t="str">
        <x:v>https://tanhung.haiphong.gov.vn/trang-chu-66859/phuong-tan-hung-thong-bao-ve-viec-thu-hoi-san-pham-my-pham-888028</x:v>
      </x:c>
      <x:c r="S37" t="str">
        <x:v>Hải Phòng</x:v>
      </x:c>
      <x:c r="T37" t="str">
        <x:v>31</x:v>
      </x:c>
    </x:row>
    <x:row r="38">
      <x:c r="A38" t="n">
        <x:v>37</x:v>
      </x:c>
      <x:c r="B38" s="330" t="n">
        <x:v>46077</x:v>
      </x:c>
      <x:c r="C38" s="330" t="n">
        <x:v>46132</x:v>
      </x:c>
      <x:c r="D38" t="n">
        <x:v>2026</x:v>
      </x:c>
      <x:c r="E38" t="n">
        <x:v>2</x:v>
      </x:c>
      <x:c r="F38" t="str">
        <x:v>064/26/CBMP-HP</x:v>
      </x:c>
      <x:c r="G38"/>
      <x:c r="H38" t="str">
        <x:v>R GLOW</x:v>
      </x:c>
      <x:c r="I38" t="str">
        <x:v>R GLOW</x:v>
      </x:c>
      <x:c r="J38" t="str">
        <x:v>Khác</x:v>
      </x:c>
      <x:c r="K38" t="str">
        <x:v>Đối chiếu từ danh mục thu hồi có ngày cấp</x:v>
      </x:c>
      <x:c r="L38" t="str">
        <x:v>Hộ kinh doanh Hoàng Thị Thương</x:v>
      </x:c>
      <x:c r="M38" t="str">
        <x:v>Thôn Phú Ninh, xã Gia Bình, tỉnh Bắc Ninh</x:v>
      </x:c>
      <x:c r="N38"/>
      <x:c r="O38" t="str">
        <x:v>Đã thu hồi theo QĐ 1407/1414/1415/1416/QĐ-SYT ngày 10/04/2026</x:v>
      </x:c>
      <x:c r="P38" t="str">
        <x:v>Nguồn chính thức Hải Phòng – có số tiếp nhận và ngày cấp</x:v>
      </x:c>
      <x:c r="Q38" t="str">
        <x:v>MST đơn vị chịu trách nhiệm: 027194004334. Hồ sơ được dùng như bằng chứng lịch sử đã từng được cấp số; đồng thời gắn trạng thái thu hồi.</x:v>
      </x:c>
      <x:c r="R38" t="str">
        <x:v>https://tanhung.haiphong.gov.vn/trang-chu-66859/phuong-tan-hung-thong-bao-ve-viec-thu-hoi-san-pham-my-pham-888028</x:v>
      </x:c>
      <x:c r="S38" t="str">
        <x:v>Hải Phòng</x:v>
      </x:c>
      <x:c r="T38" t="str">
        <x:v>31</x:v>
      </x:c>
    </x:row>
    <x:row r="39">
      <x:c r="A39" t="n">
        <x:v>38</x:v>
      </x:c>
      <x:c r="B39" s="330" t="n">
        <x:v>45569</x:v>
      </x:c>
      <x:c r="C39" s="330" t="n">
        <x:v>46132</x:v>
      </x:c>
      <x:c r="D39" t="n">
        <x:v>2024</x:v>
      </x:c>
      <x:c r="E39" t="n">
        <x:v>10</x:v>
      </x:c>
      <x:c r="F39" t="str">
        <x:v>309/24/CBMP-HD</x:v>
      </x:c>
      <x:c r="G39"/>
      <x:c r="H39" t="str">
        <x:v>SỮA TẮM DƯỢC LIỆU DAO ĐỎ VNUA</x:v>
      </x:c>
      <x:c r="I39" t="str">
        <x:v>VNUA</x:v>
      </x:c>
      <x:c r="J39" t="str">
        <x:v>Sữa tắm/Gel tắm</x:v>
      </x:c>
      <x:c r="K39" t="str">
        <x:v>Đối chiếu từ danh mục thu hồi có ngày cấp</x:v>
      </x:c>
      <x:c r="L39" t="str">
        <x:v>Công ty Cổ phần Khoa học Sinh Dược Việt Nam</x:v>
      </x:c>
      <x:c r="M39" t="str">
        <x:v>Số 2 Ngõ 104, Đường Trâu Quỳ, Tổ Dân Phố Nông Lâm, Xã Gia Lâm, TP Hà Nội, Việt Nam</x:v>
      </x:c>
      <x:c r="N39"/>
      <x:c r="O39" t="str">
        <x:v>Đã thu hồi theo QĐ 1407/1414/1415/1416/QĐ-SYT ngày 10/04/2026</x:v>
      </x:c>
      <x:c r="P39" t="str">
        <x:v>Nguồn chính thức Hải Phòng – có số tiếp nhận và ngày cấp</x:v>
      </x:c>
      <x:c r="Q39" t="str">
        <x:v>MST đơn vị chịu trách nhiệm: 0110626199. Hồ sơ được dùng như bằng chứng lịch sử đã từng được cấp số; đồng thời gắn trạng thái thu hồi.</x:v>
      </x:c>
      <x:c r="R39" t="str">
        <x:v>https://tanhung.haiphong.gov.vn/trang-chu-66859/phuong-tan-hung-thong-bao-ve-viec-thu-hoi-san-pham-my-pham-888028</x:v>
      </x:c>
      <x:c r="S39" t="str">
        <x:v>Hải Phòng</x:v>
      </x:c>
      <x:c r="T39" t="str">
        <x:v>31</x:v>
      </x:c>
    </x:row>
    <x:row r="40">
      <x:c r="A40" t="n">
        <x:v>39</x:v>
      </x:c>
      <x:c r="B40" s="330" t="n">
        <x:v>45569</x:v>
      </x:c>
      <x:c r="C40" s="330" t="n">
        <x:v>46132</x:v>
      </x:c>
      <x:c r="D40" t="n">
        <x:v>2024</x:v>
      </x:c>
      <x:c r="E40" t="n">
        <x:v>10</x:v>
      </x:c>
      <x:c r="F40" t="str">
        <x:v>311/24/CBMP-HD</x:v>
      </x:c>
      <x:c r="G40"/>
      <x:c r="H40" t="str">
        <x:v>XỊT TÓC DƯỢC LIỆU VNUA</x:v>
      </x:c>
      <x:c r="I40" t="str">
        <x:v>VNUA</x:v>
      </x:c>
      <x:c r="J40" t="str">
        <x:v>Dưỡng tóc/Serum tóc</x:v>
      </x:c>
      <x:c r="K40" t="str">
        <x:v>Đối chiếu từ danh mục thu hồi có ngày cấp</x:v>
      </x:c>
      <x:c r="L40" t="str">
        <x:v>Công ty Cổ phần Khoa học Sinh Dược Việt Nam</x:v>
      </x:c>
      <x:c r="M40" t="str">
        <x:v>Số 2 Ngõ 104, Đường Trâu Quỳ, Tổ Dân Phố Nông Lâm, Xã Gia Lâm, TP Hà Nội, Việt Nam</x:v>
      </x:c>
      <x:c r="N40"/>
      <x:c r="O40" t="str">
        <x:v>Đã thu hồi theo QĐ 1407/1414/1415/1416/QĐ-SYT ngày 10/04/2026</x:v>
      </x:c>
      <x:c r="P40" t="str">
        <x:v>Nguồn chính thức Hải Phòng – có số tiếp nhận và ngày cấp</x:v>
      </x:c>
      <x:c r="Q40" t="str">
        <x:v>MST đơn vị chịu trách nhiệm: 0110626199. Hồ sơ được dùng như bằng chứng lịch sử đã từng được cấp số; đồng thời gắn trạng thái thu hồi.</x:v>
      </x:c>
      <x:c r="R40" t="str">
        <x:v>https://tanhung.haiphong.gov.vn/trang-chu-66859/phuong-tan-hung-thong-bao-ve-viec-thu-hoi-san-pham-my-pham-888028</x:v>
      </x:c>
      <x:c r="S40" t="str">
        <x:v>Hải Phòng</x:v>
      </x:c>
      <x:c r="T40" t="str">
        <x:v>31</x:v>
      </x:c>
    </x:row>
    <x:row r="41">
      <x:c r="A41" t="n">
        <x:v>40</x:v>
      </x:c>
      <x:c r="B41" s="330" t="n">
        <x:v>45569</x:v>
      </x:c>
      <x:c r="C41" s="330" t="n">
        <x:v>46132</x:v>
      </x:c>
      <x:c r="D41" t="n">
        <x:v>2024</x:v>
      </x:c>
      <x:c r="E41" t="n">
        <x:v>10</x:v>
      </x:c>
      <x:c r="F41" t="str">
        <x:v>312/24/CBMP-HD</x:v>
      </x:c>
      <x:c r="G41"/>
      <x:c r="H41" t="str">
        <x:v>VNUA EVASOFT</x:v>
      </x:c>
      <x:c r="I41" t="str">
        <x:v>VNUA</x:v>
      </x:c>
      <x:c r="J41" t="str">
        <x:v>Khác</x:v>
      </x:c>
      <x:c r="K41" t="str">
        <x:v>Đối chiếu từ danh mục thu hồi có ngày cấp</x:v>
      </x:c>
      <x:c r="L41" t="str">
        <x:v>Công ty Cổ phần Khoa học Sinh Dược Việt Nam</x:v>
      </x:c>
      <x:c r="M41" t="str">
        <x:v>Số 2 Ngõ 104, Đường Trâu Quỳ, Tổ Dân Phố Nông Lâm, Xã Gia Lâm, TP Hà Nội, Việt Nam</x:v>
      </x:c>
      <x:c r="N41"/>
      <x:c r="O41" t="str">
        <x:v>Đã thu hồi theo QĐ 1407/1414/1415/1416/QĐ-SYT ngày 10/04/2026</x:v>
      </x:c>
      <x:c r="P41" t="str">
        <x:v>Nguồn chính thức Hải Phòng – có số tiếp nhận và ngày cấp</x:v>
      </x:c>
      <x:c r="Q41" t="str">
        <x:v>MST đơn vị chịu trách nhiệm: 0110626199. Hồ sơ được dùng như bằng chứng lịch sử đã từng được cấp số; đồng thời gắn trạng thái thu hồi.</x:v>
      </x:c>
      <x:c r="R41" t="str">
        <x:v>https://tanhung.haiphong.gov.vn/trang-chu-66859/phuong-tan-hung-thong-bao-ve-viec-thu-hoi-san-pham-my-pham-888028</x:v>
      </x:c>
      <x:c r="S41" t="str">
        <x:v>Hải Phòng</x:v>
      </x:c>
      <x:c r="T41" t="str">
        <x:v>31</x:v>
      </x:c>
    </x:row>
    <x:row r="42">
      <x:c r="A42" t="n">
        <x:v>41</x:v>
      </x:c>
      <x:c r="B42" s="330" t="n">
        <x:v>45569</x:v>
      </x:c>
      <x:c r="C42" s="330" t="n">
        <x:v>46132</x:v>
      </x:c>
      <x:c r="D42" t="n">
        <x:v>2024</x:v>
      </x:c>
      <x:c r="E42" t="n">
        <x:v>10</x:v>
      </x:c>
      <x:c r="F42" t="str">
        <x:v>313/24/CBMP-HD</x:v>
      </x:c>
      <x:c r="G42"/>
      <x:c r="H42" t="str">
        <x:v>DẦU GỘI DƯỢC LIỆU SẠCH GÀU VNUA FOR DANDRUFF</x:v>
      </x:c>
      <x:c r="I42" t="str">
        <x:v>VNUA</x:v>
      </x:c>
      <x:c r="J42" t="str">
        <x:v>Dầu gội</x:v>
      </x:c>
      <x:c r="K42" t="str">
        <x:v>Đối chiếu từ danh mục thu hồi có ngày cấp</x:v>
      </x:c>
      <x:c r="L42" t="str">
        <x:v>Công ty Cổ phần Khoa học Sinh Dược Việt Nam</x:v>
      </x:c>
      <x:c r="M42" t="str">
        <x:v>Số 2 Ngõ 104, Đường Trâu Quỳ, Tổ Dân Phố Nông Lâm, Xã Gia Lâm, TP Hà Nội, Việt Nam</x:v>
      </x:c>
      <x:c r="N42"/>
      <x:c r="O42" t="str">
        <x:v>Đã thu hồi theo QĐ 1407/1414/1415/1416/QĐ-SYT ngày 10/04/2026</x:v>
      </x:c>
      <x:c r="P42" t="str">
        <x:v>Nguồn chính thức Hải Phòng – có số tiếp nhận và ngày cấp</x:v>
      </x:c>
      <x:c r="Q42" t="str">
        <x:v>MST đơn vị chịu trách nhiệm: 0110626199. Hồ sơ được dùng như bằng chứng lịch sử đã từng được cấp số; đồng thời gắn trạng thái thu hồi.</x:v>
      </x:c>
      <x:c r="R42" t="str">
        <x:v>https://tanhung.haiphong.gov.vn/trang-chu-66859/phuong-tan-hung-thong-bao-ve-viec-thu-hoi-san-pham-my-pham-888028</x:v>
      </x:c>
      <x:c r="S42" t="str">
        <x:v>Hải Phòng</x:v>
      </x:c>
      <x:c r="T42" t="str">
        <x:v>31</x:v>
      </x:c>
    </x:row>
    <x:row r="43">
      <x:c r="A43" t="n">
        <x:v>42</x:v>
      </x:c>
      <x:c r="B43" s="330" t="n">
        <x:v>45569</x:v>
      </x:c>
      <x:c r="C43" s="330" t="n">
        <x:v>46132</x:v>
      </x:c>
      <x:c r="D43" t="n">
        <x:v>2024</x:v>
      </x:c>
      <x:c r="E43" t="n">
        <x:v>10</x:v>
      </x:c>
      <x:c r="F43" t="str">
        <x:v>314/24/CBMP-HD</x:v>
      </x:c>
      <x:c r="G43"/>
      <x:c r="H43" t="str">
        <x:v>DẦU XẢ DƯỢC LIỆU VNUA</x:v>
      </x:c>
      <x:c r="I43" t="str">
        <x:v>VNUA</x:v>
      </x:c>
      <x:c r="J43" t="str">
        <x:v>Dầu xả</x:v>
      </x:c>
      <x:c r="K43" t="str">
        <x:v>Đối chiếu từ danh mục thu hồi có ngày cấp</x:v>
      </x:c>
      <x:c r="L43" t="str">
        <x:v>Công ty Cổ phần Khoa học Sinh Dược Việt Nam</x:v>
      </x:c>
      <x:c r="M43" t="str">
        <x:v>Số 2 Ngõ 104, Đường Trâu Quỳ, Tổ Dân Phố Nông Lâm, Xã Gia Lâm, TP Hà Nội, Việt Nam</x:v>
      </x:c>
      <x:c r="N43"/>
      <x:c r="O43" t="str">
        <x:v>Đã thu hồi theo QĐ 1407/1414/1415/1416/QĐ-SYT ngày 10/04/2026</x:v>
      </x:c>
      <x:c r="P43" t="str">
        <x:v>Nguồn chính thức Hải Phòng – có số tiếp nhận và ngày cấp</x:v>
      </x:c>
      <x:c r="Q43" t="str">
        <x:v>MST đơn vị chịu trách nhiệm: 0110626199. Hồ sơ được dùng như bằng chứng lịch sử đã từng được cấp số; đồng thời gắn trạng thái thu hồi.</x:v>
      </x:c>
      <x:c r="R43" t="str">
        <x:v>https://tanhung.haiphong.gov.vn/trang-chu-66859/phuong-tan-hung-thong-bao-ve-viec-thu-hoi-san-pham-my-pham-888028</x:v>
      </x:c>
      <x:c r="S43" t="str">
        <x:v>Hải Phòng</x:v>
      </x:c>
      <x:c r="T43" t="str">
        <x:v>31</x:v>
      </x:c>
    </x:row>
    <x:row r="44">
      <x:c r="A44" t="n">
        <x:v>43</x:v>
      </x:c>
      <x:c r="B44" s="330" t="n">
        <x:v>45653</x:v>
      </x:c>
      <x:c r="C44" s="330" t="n">
        <x:v>46132</x:v>
      </x:c>
      <x:c r="D44" t="n">
        <x:v>2024</x:v>
      </x:c>
      <x:c r="E44" t="n">
        <x:v>12</x:v>
      </x:c>
      <x:c r="F44" t="str">
        <x:v>404/24/CBMP-HD</x:v>
      </x:c>
      <x:c r="G44"/>
      <x:c r="H44" t="str">
        <x:v>DẦU GỘI DƯỢC LIỆU VNUA IDEAL FOR FUNGAL SCALP</x:v>
      </x:c>
      <x:c r="I44" t="str">
        <x:v>VNUA</x:v>
      </x:c>
      <x:c r="J44" t="str">
        <x:v>Dầu gội</x:v>
      </x:c>
      <x:c r="K44" t="str">
        <x:v>Đối chiếu từ danh mục thu hồi có ngày cấp</x:v>
      </x:c>
      <x:c r="L44" t="str">
        <x:v>Công ty Cổ phần Khoa học Sinh Dược Việt Nam</x:v>
      </x:c>
      <x:c r="M44" t="str">
        <x:v>Số 2 Ngõ 104, Đường Trâu Quỳ, Tổ Dân Phố Nông Lâm, Xã Gia Lâm, TP Hà Nội, Việt Nam</x:v>
      </x:c>
      <x:c r="N44"/>
      <x:c r="O44" t="str">
        <x:v>Đã thu hồi theo QĐ 1407/1414/1415/1416/QĐ-SYT ngày 10/04/2026</x:v>
      </x:c>
      <x:c r="P44" t="str">
        <x:v>Nguồn chính thức Hải Phòng – có số tiếp nhận và ngày cấp</x:v>
      </x:c>
      <x:c r="Q44" t="str">
        <x:v>MST đơn vị chịu trách nhiệm: 0110626199. Hồ sơ được dùng như bằng chứng lịch sử đã từng được cấp số; đồng thời gắn trạng thái thu hồi.</x:v>
      </x:c>
      <x:c r="R44" t="str">
        <x:v>https://tanhung.haiphong.gov.vn/trang-chu-66859/phuong-tan-hung-thong-bao-ve-viec-thu-hoi-san-pham-my-pham-888028</x:v>
      </x:c>
      <x:c r="S44" t="str">
        <x:v>Hải Phòng</x:v>
      </x:c>
      <x:c r="T44" t="str">
        <x:v>31</x:v>
      </x:c>
    </x:row>
    <x:row r="45">
      <x:c r="A45" t="n">
        <x:v>44</x:v>
      </x:c>
      <x:c r="B45" s="330" t="n">
        <x:v>45646</x:v>
      </x:c>
      <x:c r="C45" s="330" t="n">
        <x:v>46132</x:v>
      </x:c>
      <x:c r="D45" t="n">
        <x:v>2024</x:v>
      </x:c>
      <x:c r="E45" t="n">
        <x:v>12</x:v>
      </x:c>
      <x:c r="F45" t="str">
        <x:v>387/24/CBMP-HD</x:v>
      </x:c>
      <x:c r="G45"/>
      <x:c r="H45" t="str">
        <x:v>DẦU GỘI DƯỢC LIỆU VNUA 4IN1</x:v>
      </x:c>
      <x:c r="I45" t="str">
        <x:v>VNUA</x:v>
      </x:c>
      <x:c r="J45" t="str">
        <x:v>Dầu gội</x:v>
      </x:c>
      <x:c r="K45" t="str">
        <x:v>Đối chiếu từ danh mục thu hồi có ngày cấp</x:v>
      </x:c>
      <x:c r="L45" t="str">
        <x:v>Công ty Cổ phần Khoa học Sinh Dược Việt Nam</x:v>
      </x:c>
      <x:c r="M45" t="str">
        <x:v>Số 2 Ngõ 104, Đường Trâu Quỳ, Tổ Dân Phố Nông Lâm, Xã Gia Lâm, TP Hà Nội, Việt Nam</x:v>
      </x:c>
      <x:c r="N45"/>
      <x:c r="O45" t="str">
        <x:v>Đã thu hồi theo QĐ 1407/1414/1415/1416/QĐ-SYT ngày 10/04/2026</x:v>
      </x:c>
      <x:c r="P45" t="str">
        <x:v>Nguồn chính thức Hải Phòng – có số tiếp nhận và ngày cấp</x:v>
      </x:c>
      <x:c r="Q45" t="str">
        <x:v>MST đơn vị chịu trách nhiệm: 0110626199. Hồ sơ được dùng như bằng chứng lịch sử đã từng được cấp số; đồng thời gắn trạng thái thu hồi.</x:v>
      </x:c>
      <x:c r="R45" t="str">
        <x:v>https://tanhung.haiphong.gov.vn/trang-chu-66859/phuong-tan-hung-thong-bao-ve-viec-thu-hoi-san-pham-my-pham-888028</x:v>
      </x:c>
      <x:c r="S45" t="str">
        <x:v>Hải Phòng</x:v>
      </x:c>
      <x:c r="T45" t="str">
        <x:v>31</x:v>
      </x:c>
    </x:row>
    <x:row r="46">
      <x:c r="A46" t="n">
        <x:v>45</x:v>
      </x:c>
      <x:c r="B46" s="330"/>
      <x:c r="C46" s="330" t="n">
        <x:v>46085</x:v>
      </x:c>
      <x:c r="D46" t="n">
        <x:v>2025</x:v>
      </x:c>
      <x:c r="E46"/>
      <x:c r="F46" t="str">
        <x:v>007064/25/CBMP-HCM</x:v>
      </x:c>
      <x:c r="G46"/>
      <x:c r="H46" t="str">
        <x:v>LIPSTICIAN LIP SERUM - YOUTH BOOSTER</x:v>
      </x:c>
      <x:c r="I46" t="str">
        <x:v>LIPSTICIAN</x:v>
      </x:c>
      <x:c r="J46" t="str">
        <x:v>Sản phẩm môi</x:v>
      </x:c>
      <x:c r="K46" t="str">
        <x:v>Quảng cáo mỹ phẩm</x:v>
      </x:c>
      <x:c r="L46" t="str">
        <x:v>CÔNG TY TNHH ROHTO-MENTHOLATUM (VIỆT NAM)</x:v>
      </x:c>
      <x:c r="M46" t="str">
        <x:v>Số 16 VSIP Đường số 5, Khu Công nghiệp Việt Nam - Singapore, Phường Bình Hòa, Thành phố Hồ Chí Minh</x:v>
      </x:c>
      <x:c r="N46"/>
      <x:c r="O46" t="str">
        <x:v>Chưa đối chiếu thu hồi</x:v>
      </x:c>
      <x:c r="P46" t="str">
        <x:v>Nguồn chính thức Sở Y tế TP.HCM – cross-check số công bố</x:v>
      </x:c>
      <x:c r="Q46" t="str">
        <x:v>Khu vực cấp số lịch sử: TP.HCM. Nguồn Quảng cáo mỹ phẩm.</x:v>
      </x:c>
      <x:c r="R46" t="str">
        <x:v>https://tracuu.medinet.org.vn/category/cosodulieukhac/quangcao-mypham</x:v>
      </x:c>
      <x:c r="S46" t="str">
        <x:v>TP. Hồ Chí Minh</x:v>
      </x:c>
      <x:c r="T46" t="str">
        <x:v>79</x:v>
      </x:c>
    </x:row>
    <x:row r="47">
      <x:c r="A47" t="n">
        <x:v>46</x:v>
      </x:c>
      <x:c r="B47" s="330"/>
      <x:c r="C47" s="330" t="n">
        <x:v>46085</x:v>
      </x:c>
      <x:c r="D47" t="n">
        <x:v>2026</x:v>
      </x:c>
      <x:c r="E47"/>
      <x:c r="F47" t="str">
        <x:v>000872/26/CBMP-HCM</x:v>
      </x:c>
      <x:c r="G47"/>
      <x:c r="H47" t="str">
        <x:v>LIPSTICIAN LIP SERUM - RESCUER</x:v>
      </x:c>
      <x:c r="I47" t="str">
        <x:v>LIPSTICIAN</x:v>
      </x:c>
      <x:c r="J47" t="str">
        <x:v>Sản phẩm môi</x:v>
      </x:c>
      <x:c r="K47" t="str">
        <x:v>Quảng cáo mỹ phẩm</x:v>
      </x:c>
      <x:c r="L47" t="str">
        <x:v>CÔNG TY TNHH ROHTO-MENTHOLATUM (VIỆT NAM)</x:v>
      </x:c>
      <x:c r="M47" t="str">
        <x:v>Số 16 VSIP Đường số 5, Khu Công nghiệp Việt Nam - Singapore, Phường Bình Hòa, Thành phố Hồ Chí Minh</x:v>
      </x:c>
      <x:c r="N47"/>
      <x:c r="O47" t="str">
        <x:v>Chưa đối chiếu thu hồi</x:v>
      </x:c>
      <x:c r="P47" t="str">
        <x:v>Nguồn chính thức Sở Y tế TP.HCM – cross-check số công bố</x:v>
      </x:c>
      <x:c r="Q47" t="str">
        <x:v>Khu vực cấp số lịch sử: TP.HCM. Nguồn Quảng cáo mỹ phẩm.</x:v>
      </x:c>
      <x:c r="R47" t="str">
        <x:v>https://tracuu.medinet.org.vn/category/cosodulieukhac/quangcao-mypham</x:v>
      </x:c>
      <x:c r="S47" t="str">
        <x:v>TP. Hồ Chí Minh</x:v>
      </x:c>
      <x:c r="T47" t="str">
        <x:v>79</x:v>
      </x:c>
    </x:row>
    <x:row r="48">
      <x:c r="A48" t="n">
        <x:v>47</x:v>
      </x:c>
      <x:c r="B48" s="330"/>
      <x:c r="C48" s="330" t="n">
        <x:v>46085</x:v>
      </x:c>
      <x:c r="D48" t="n">
        <x:v>2025</x:v>
      </x:c>
      <x:c r="E48"/>
      <x:c r="F48" t="str">
        <x:v>006789/25/CBMP-HCM</x:v>
      </x:c>
      <x:c r="G48"/>
      <x:c r="H48" t="str">
        <x:v>LIPSTICIAN LIP SERUM - PROTECTOR</x:v>
      </x:c>
      <x:c r="I48" t="str">
        <x:v>LIPSTICIAN</x:v>
      </x:c>
      <x:c r="J48" t="str">
        <x:v>Sản phẩm môi</x:v>
      </x:c>
      <x:c r="K48" t="str">
        <x:v>Quảng cáo mỹ phẩm</x:v>
      </x:c>
      <x:c r="L48" t="str">
        <x:v>CÔNG TY TNHH ROHTO-MENTHOLATUM (VIỆT NAM)</x:v>
      </x:c>
      <x:c r="M48" t="str">
        <x:v>Số 16 VSIP Đường số 5, Khu Công nghiệp Việt Nam - Singapore, Phường Bình Hòa, Thành phố Hồ Chí Minh</x:v>
      </x:c>
      <x:c r="N48"/>
      <x:c r="O48" t="str">
        <x:v>Chưa đối chiếu thu hồi</x:v>
      </x:c>
      <x:c r="P48" t="str">
        <x:v>Nguồn chính thức Sở Y tế TP.HCM – cross-check số công bố</x:v>
      </x:c>
      <x:c r="Q48" t="str">
        <x:v>Khu vực cấp số lịch sử: TP.HCM. Nguồn Quảng cáo mỹ phẩm.</x:v>
      </x:c>
      <x:c r="R48" t="str">
        <x:v>https://tracuu.medinet.org.vn/category/cosodulieukhac/quangcao-mypham</x:v>
      </x:c>
      <x:c r="S48" t="str">
        <x:v>TP. Hồ Chí Minh</x:v>
      </x:c>
      <x:c r="T48" t="str">
        <x:v>79</x:v>
      </x:c>
    </x:row>
    <x:row r="49">
      <x:c r="A49" t="n">
        <x:v>48</x:v>
      </x:c>
      <x:c r="B49" s="330"/>
      <x:c r="C49" s="330" t="n">
        <x:v>46085</x:v>
      </x:c>
      <x:c r="D49" t="n">
        <x:v>2024</x:v>
      </x:c>
      <x:c r="E49"/>
      <x:c r="F49" t="str">
        <x:v>737/24/CBMP-BD</x:v>
      </x:c>
      <x:c r="G49"/>
      <x:c r="H49" t="str">
        <x:v>REFRE WHITENING PERFUME</x:v>
      </x:c>
      <x:c r="I49" t="str">
        <x:v>REFRE</x:v>
      </x:c>
      <x:c r="J49" t="str">
        <x:v>Khử mùi</x:v>
      </x:c>
      <x:c r="K49" t="str">
        <x:v>Quảng cáo mỹ phẩm</x:v>
      </x:c>
      <x:c r="L49" t="str">
        <x:v>CÔNG TY TNHH ROHTO-MENTHOLATUM (VIỆT NAM)</x:v>
      </x:c>
      <x:c r="M49" t="str">
        <x:v>Số 16 VSIP Đường số 5, Khu Công nghiệp Việt Nam - Singapore, Phường Bình Hòa, Thành phố Hồ Chí Minh</x:v>
      </x:c>
      <x:c r="N49"/>
      <x:c r="O49" t="str">
        <x:v>Chưa đối chiếu thu hồi</x:v>
      </x:c>
      <x:c r="P49" t="str">
        <x:v>Nguồn chính thức Sở Y tế TP.HCM – cross-check số công bố</x:v>
      </x:c>
      <x:c r="Q49" t="str">
        <x:v>Khu vực cấp số lịch sử: Bình Dương cũ. Nguồn Quảng cáo mỹ phẩm.</x:v>
      </x:c>
      <x:c r="R49" t="str">
        <x:v>https://tracuu.medinet.org.vn/category/cosodulieukhac/quangcao-mypham</x:v>
      </x:c>
      <x:c r="S49" t="str">
        <x:v>TP. Hồ Chí Minh</x:v>
      </x:c>
      <x:c r="T49" t="str">
        <x:v>79</x:v>
      </x:c>
    </x:row>
    <x:row r="50">
      <x:c r="A50" t="n">
        <x:v>49</x:v>
      </x:c>
      <x:c r="B50" s="330"/>
      <x:c r="C50" s="330" t="n">
        <x:v>46085</x:v>
      </x:c>
      <x:c r="D50" t="n">
        <x:v>2024</x:v>
      </x:c>
      <x:c r="E50"/>
      <x:c r="F50" t="str">
        <x:v>740/24/CBMP-BD</x:v>
      </x:c>
      <x:c r="G50"/>
      <x:c r="H50" t="str">
        <x:v>REFRE NATURAL</x:v>
      </x:c>
      <x:c r="I50" t="str">
        <x:v>REFRE</x:v>
      </x:c>
      <x:c r="J50" t="str">
        <x:v>Khử mùi</x:v>
      </x:c>
      <x:c r="K50" t="str">
        <x:v>Quảng cáo mỹ phẩm</x:v>
      </x:c>
      <x:c r="L50" t="str">
        <x:v>CÔNG TY TNHH ROHTO-MENTHOLATUM (VIỆT NAM)</x:v>
      </x:c>
      <x:c r="M50" t="str">
        <x:v>Số 16 VSIP Đường số 5, Khu Công nghiệp Việt Nam - Singapore, Phường Bình Hòa, Thành phố Hồ Chí Minh</x:v>
      </x:c>
      <x:c r="N50"/>
      <x:c r="O50" t="str">
        <x:v>Chưa đối chiếu thu hồi</x:v>
      </x:c>
      <x:c r="P50" t="str">
        <x:v>Nguồn chính thức Sở Y tế TP.HCM – cross-check số công bố</x:v>
      </x:c>
      <x:c r="Q50" t="str">
        <x:v>Khu vực cấp số lịch sử: Bình Dương cũ. Nguồn Quảng cáo mỹ phẩm.</x:v>
      </x:c>
      <x:c r="R50" t="str">
        <x:v>https://tracuu.medinet.org.vn/category/cosodulieukhac/quangcao-mypham</x:v>
      </x:c>
      <x:c r="S50" t="str">
        <x:v>TP. Hồ Chí Minh</x:v>
      </x:c>
      <x:c r="T50" t="str">
        <x:v>79</x:v>
      </x:c>
    </x:row>
    <x:row r="51">
      <x:c r="A51" t="n">
        <x:v>50</x:v>
      </x:c>
      <x:c r="B51" s="330"/>
      <x:c r="C51" s="330" t="n">
        <x:v>46085</x:v>
      </x:c>
      <x:c r="D51" t="n">
        <x:v>2024</x:v>
      </x:c>
      <x:c r="E51"/>
      <x:c r="F51" t="str">
        <x:v>557/24/CBMP-BD</x:v>
      </x:c>
      <x:c r="G51"/>
      <x:c r="H51" t="str">
        <x:v>HADA LABO ACNE CARE CALMING SERUM</x:v>
      </x:c>
      <x:c r="I51" t="str">
        <x:v>HADA LABO</x:v>
      </x:c>
      <x:c r="J51" t="str">
        <x:v>Serum/Essence da</x:v>
      </x:c>
      <x:c r="K51" t="str">
        <x:v>Quảng cáo mỹ phẩm</x:v>
      </x:c>
      <x:c r="L51" t="str">
        <x:v>CÔNG TY TNHH ROHTO-MENTHOLATUM (VIỆT NAM)</x:v>
      </x:c>
      <x:c r="M51" t="str">
        <x:v>Số 16 VSIP Đường số 5, Khu Công nghiệp Việt Nam - Singapore, Phường Bình Hòa, Thành phố Hồ Chí Minh</x:v>
      </x:c>
      <x:c r="N51"/>
      <x:c r="O51" t="str">
        <x:v>Chưa đối chiếu thu hồi</x:v>
      </x:c>
      <x:c r="P51" t="str">
        <x:v>Nguồn chính thức Sở Y tế TP.HCM – cross-check số công bố</x:v>
      </x:c>
      <x:c r="Q51" t="str">
        <x:v>Khu vực cấp số lịch sử: Bình Dương cũ. Nguồn Quảng cáo mỹ phẩm.</x:v>
      </x:c>
      <x:c r="R51" t="str">
        <x:v>https://tracuu.medinet.org.vn/category/cosodulieukhac/quangcao-mypham</x:v>
      </x:c>
      <x:c r="S51" t="str">
        <x:v>TP. Hồ Chí Minh</x:v>
      </x:c>
      <x:c r="T51" t="str">
        <x:v>79</x:v>
      </x:c>
    </x:row>
    <x:row r="52">
      <x:c r="A52" t="n">
        <x:v>51</x:v>
      </x:c>
      <x:c r="B52" s="330"/>
      <x:c r="C52" s="330" t="n">
        <x:v>46247</x:v>
      </x:c>
      <x:c r="D52" t="n">
        <x:v>2023</x:v>
      </x:c>
      <x:c r="E52"/>
      <x:c r="F52" t="str">
        <x:v>015/23/CBMP-BD</x:v>
      </x:c>
      <x:c r="G52"/>
      <x:c r="H52" t="str">
        <x:v>ACNES CREAMY WASH</x:v>
      </x:c>
      <x:c r="I52" t="str">
        <x:v>ACNES</x:v>
      </x:c>
      <x:c r="J52" t="str">
        <x:v>Sữa rửa mặt</x:v>
      </x:c>
      <x:c r="K52" t="str">
        <x:v>Quảng cáo mỹ phẩm</x:v>
      </x:c>
      <x:c r="L52" t="str">
        <x:v>CÔNG TY TNHH ROHTO-MENTHOLATUM (VIỆT NAM)</x:v>
      </x:c>
      <x:c r="M52" t="str">
        <x:v>Số 16 VSIP Đường số 5, Khu Công nghiệp Việt Nam - Singapore, Phường Bình Hòa, Thành phố Hồ Chí Minh</x:v>
      </x:c>
      <x:c r="N52"/>
      <x:c r="O52" t="str">
        <x:v>Chưa đối chiếu thu hồi</x:v>
      </x:c>
      <x:c r="P52" t="str">
        <x:v>Nguồn chính thức Sở Y tế TP.HCM – cross-check số công bố</x:v>
      </x:c>
      <x:c r="Q52" t="str">
        <x:v>Khu vực cấp số lịch sử: Bình Dương cũ. Nguồn Quảng cáo mỹ phẩm.</x:v>
      </x:c>
      <x:c r="R52" t="str">
        <x:v>https://tracuu.medinet.org.vn/category/cosodulieukhac/quangcao-mypham</x:v>
      </x:c>
      <x:c r="S52" t="str">
        <x:v>TP. Hồ Chí Minh</x:v>
      </x:c>
      <x:c r="T52" t="str">
        <x:v>79</x:v>
      </x:c>
    </x:row>
    <x:row r="53">
      <x:c r="A53" t="n">
        <x:v>52</x:v>
      </x:c>
      <x:c r="B53" s="330"/>
      <x:c r="C53" s="330" t="n">
        <x:v>46247</x:v>
      </x:c>
      <x:c r="D53" t="n">
        <x:v>2026</x:v>
      </x:c>
      <x:c r="E53"/>
      <x:c r="F53" t="str">
        <x:v>000483/26/CBMP-HCM</x:v>
      </x:c>
      <x:c r="G53"/>
      <x:c r="H53" t="str">
        <x:v>MENTHOLATUM ACNES GENTLE WASH</x:v>
      </x:c>
      <x:c r="I53" t="str">
        <x:v>ACNES</x:v>
      </x:c>
      <x:c r="J53" t="str">
        <x:v>Sữa rửa mặt</x:v>
      </x:c>
      <x:c r="K53" t="str">
        <x:v>Quảng cáo mỹ phẩm</x:v>
      </x:c>
      <x:c r="L53" t="str">
        <x:v>CÔNG TY TNHH ROHTO-MENTHOLATUM (VIỆT NAM)</x:v>
      </x:c>
      <x:c r="M53" t="str">
        <x:v>Số 16 VSIP Đường số 5, Khu Công nghiệp Việt Nam - Singapore, Phường Bình Hòa, Thành phố Hồ Chí Minh</x:v>
      </x:c>
      <x:c r="N53"/>
      <x:c r="O53" t="str">
        <x:v>Chưa đối chiếu thu hồi</x:v>
      </x:c>
      <x:c r="P53" t="str">
        <x:v>Nguồn chính thức Sở Y tế TP.HCM – cross-check số công bố</x:v>
      </x:c>
      <x:c r="Q53" t="str">
        <x:v>Khu vực cấp số lịch sử: TP.HCM. Nguồn Quảng cáo mỹ phẩm.</x:v>
      </x:c>
      <x:c r="R53" t="str">
        <x:v>https://tracuu.medinet.org.vn/category/cosodulieukhac/quangcao-mypham</x:v>
      </x:c>
      <x:c r="S53" t="str">
        <x:v>TP. Hồ Chí Minh</x:v>
      </x:c>
      <x:c r="T53" t="str">
        <x:v>79</x:v>
      </x:c>
    </x:row>
    <x:row r="54">
      <x:c r="A54" t="n">
        <x:v>53</x:v>
      </x:c>
      <x:c r="B54" s="330"/>
      <x:c r="C54" s="330" t="n">
        <x:v>46247</x:v>
      </x:c>
      <x:c r="D54" t="n">
        <x:v>2022</x:v>
      </x:c>
      <x:c r="E54"/>
      <x:c r="F54" t="str">
        <x:v>063/22/CBMP-BD</x:v>
      </x:c>
      <x:c r="G54"/>
      <x:c r="H54" t="str">
        <x:v>ACNES OIL CONTROL CLEANSER</x:v>
      </x:c>
      <x:c r="I54" t="str">
        <x:v>ACNES</x:v>
      </x:c>
      <x:c r="J54" t="str">
        <x:v>Sữa rửa mặt</x:v>
      </x:c>
      <x:c r="K54" t="str">
        <x:v>Quảng cáo mỹ phẩm</x:v>
      </x:c>
      <x:c r="L54" t="str">
        <x:v>CÔNG TY TNHH ROHTO-MENTHOLATUM (VIỆT NAM)</x:v>
      </x:c>
      <x:c r="M54" t="str">
        <x:v>Số 16 VSIP Đường số 5, Khu Công nghiệp Việt Nam - Singapore, Phường Bình Hòa, Thành phố Hồ Chí Minh</x:v>
      </x:c>
      <x:c r="N54"/>
      <x:c r="O54" t="str">
        <x:v>Chưa đối chiếu thu hồi</x:v>
      </x:c>
      <x:c r="P54" t="str">
        <x:v>Nguồn chính thức Sở Y tế TP.HCM – cross-check số công bố</x:v>
      </x:c>
      <x:c r="Q54" t="str">
        <x:v>Khu vực cấp số lịch sử: Bình Dương cũ. Nguồn Quảng cáo mỹ phẩm.</x:v>
      </x:c>
      <x:c r="R54" t="str">
        <x:v>https://tracuu.medinet.org.vn/category/cosodulieukhac/quangcao-mypham</x:v>
      </x:c>
      <x:c r="S54" t="str">
        <x:v>TP. Hồ Chí Minh</x:v>
      </x:c>
      <x:c r="T54" t="str">
        <x:v>79</x:v>
      </x:c>
    </x:row>
    <x:row r="55">
      <x:c r="A55" t="n">
        <x:v>54</x:v>
      </x:c>
      <x:c r="B55" s="330"/>
      <x:c r="C55" s="330" t="n">
        <x:v>46247</x:v>
      </x:c>
      <x:c r="D55" t="n">
        <x:v>2016</x:v>
      </x:c>
      <x:c r="E55"/>
      <x:c r="F55" t="str">
        <x:v>00405/16/CBMP-HCM</x:v>
      </x:c>
      <x:c r="G55"/>
      <x:c r="H55" t="str">
        <x:v>MENTHOLATUM ACNES VITAMIN CLEANSER</x:v>
      </x:c>
      <x:c r="I55" t="str">
        <x:v>ACNES</x:v>
      </x:c>
      <x:c r="J55" t="str">
        <x:v>Sữa rửa mặt</x:v>
      </x:c>
      <x:c r="K55" t="str">
        <x:v>Quảng cáo mỹ phẩm</x:v>
      </x:c>
      <x:c r="L55" t="str">
        <x:v>CÔNG TY TNHH ROHTO-MENTHOLATUM (VIỆT NAM)</x:v>
      </x:c>
      <x:c r="M55" t="str">
        <x:v>Số 16 VSIP Đường số 5, Khu Công nghiệp Việt Nam - Singapore, Phường Bình Hòa, Thành phố Hồ Chí Minh</x:v>
      </x:c>
      <x:c r="N55"/>
      <x:c r="O55" t="str">
        <x:v>Chưa đối chiếu thu hồi</x:v>
      </x:c>
      <x:c r="P55" t="str">
        <x:v>Nguồn chính thức Sở Y tế TP.HCM – cross-check số công bố</x:v>
      </x:c>
      <x:c r="Q55" t="str">
        <x:v>Khu vực cấp số lịch sử: TP.HCM. Nguồn Quảng cáo mỹ phẩm.</x:v>
      </x:c>
      <x:c r="R55" t="str">
        <x:v>https://tracuu.medinet.org.vn/category/cosodulieukhac/quangcao-mypham</x:v>
      </x:c>
      <x:c r="S55" t="str">
        <x:v>TP. Hồ Chí Minh</x:v>
      </x:c>
      <x:c r="T55" t="str">
        <x:v>79</x:v>
      </x:c>
    </x:row>
    <x:row r="56">
      <x:c r="A56" t="n">
        <x:v>55</x:v>
      </x:c>
      <x:c r="B56" s="330"/>
      <x:c r="C56" s="330" t="n">
        <x:v>46247</x:v>
      </x:c>
      <x:c r="D56" t="n">
        <x:v>2022</x:v>
      </x:c>
      <x:c r="E56"/>
      <x:c r="F56" t="str">
        <x:v>475/22/CBMP-BD</x:v>
      </x:c>
      <x:c r="G56"/>
      <x:c r="H56" t="str">
        <x:v>ACNES MICELLAR WATER</x:v>
      </x:c>
      <x:c r="I56" t="str">
        <x:v>ACNES</x:v>
      </x:c>
      <x:c r="J56" t="str">
        <x:v>Tẩy trang</x:v>
      </x:c>
      <x:c r="K56" t="str">
        <x:v>Quảng cáo mỹ phẩm</x:v>
      </x:c>
      <x:c r="L56" t="str">
        <x:v>CÔNG TY TNHH ROHTO-MENTHOLATUM (VIỆT NAM)</x:v>
      </x:c>
      <x:c r="M56" t="str">
        <x:v>Số 16 VSIP Đường số 5, Khu Công nghiệp Việt Nam - Singapore, Phường Bình Hòa, Thành phố Hồ Chí Minh</x:v>
      </x:c>
      <x:c r="N56"/>
      <x:c r="O56" t="str">
        <x:v>Chưa đối chiếu thu hồi</x:v>
      </x:c>
      <x:c r="P56" t="str">
        <x:v>Nguồn chính thức Sở Y tế TP.HCM – cross-check số công bố</x:v>
      </x:c>
      <x:c r="Q56" t="str">
        <x:v>Khu vực cấp số lịch sử: Bình Dương cũ. Nguồn Quảng cáo mỹ phẩm.</x:v>
      </x:c>
      <x:c r="R56" t="str">
        <x:v>https://tracuu.medinet.org.vn/category/cosodulieukhac/quangcao-mypham</x:v>
      </x:c>
      <x:c r="S56" t="str">
        <x:v>TP. Hồ Chí Minh</x:v>
      </x:c>
      <x:c r="T56" t="str">
        <x:v>79</x:v>
      </x:c>
    </x:row>
    <x:row r="57">
      <x:c r="A57" t="n">
        <x:v>56</x:v>
      </x:c>
      <x:c r="B57" s="330"/>
      <x:c r="C57" s="330" t="n">
        <x:v>46247</x:v>
      </x:c>
      <x:c r="D57" t="n">
        <x:v>2022</x:v>
      </x:c>
      <x:c r="E57"/>
      <x:c r="F57" t="str">
        <x:v>566/22/CBMP-BD</x:v>
      </x:c>
      <x:c r="G57"/>
      <x:c r="H57" t="str">
        <x:v>ACNES BLEMISH CONTROL SUNSCREEN</x:v>
      </x:c>
      <x:c r="I57" t="str">
        <x:v>ACNES</x:v>
      </x:c>
      <x:c r="J57" t="str">
        <x:v>Kem chống nắng</x:v>
      </x:c>
      <x:c r="K57" t="str">
        <x:v>Quảng cáo mỹ phẩm</x:v>
      </x:c>
      <x:c r="L57" t="str">
        <x:v>CÔNG TY TNHH ROHTO-MENTHOLATUM (VIỆT NAM)</x:v>
      </x:c>
      <x:c r="M57" t="str">
        <x:v>Số 16 VSIP Đường số 5, Khu Công nghiệp Việt Nam - Singapore, Phường Bình Hòa, Thành phố Hồ Chí Minh</x:v>
      </x:c>
      <x:c r="N57"/>
      <x:c r="O57" t="str">
        <x:v>Chưa đối chiếu thu hồi</x:v>
      </x:c>
      <x:c r="P57" t="str">
        <x:v>Nguồn chính thức Sở Y tế TP.HCM – cross-check số công bố</x:v>
      </x:c>
      <x:c r="Q57" t="str">
        <x:v>Khu vực cấp số lịch sử: Bình Dương cũ. Nguồn Quảng cáo mỹ phẩm.</x:v>
      </x:c>
      <x:c r="R57" t="str">
        <x:v>https://tracuu.medinet.org.vn/category/cosodulieukhac/quangcao-mypham</x:v>
      </x:c>
      <x:c r="S57" t="str">
        <x:v>TP. Hồ Chí Minh</x:v>
      </x:c>
      <x:c r="T57" t="str">
        <x:v>79</x:v>
      </x:c>
    </x:row>
    <x:row r="58">
      <x:c r="A58" t="n">
        <x:v>57</x:v>
      </x:c>
      <x:c r="B58" s="330"/>
      <x:c r="C58" s="330" t="n">
        <x:v>46247</x:v>
      </x:c>
      <x:c r="D58" t="n">
        <x:v>2022</x:v>
      </x:c>
      <x:c r="E58"/>
      <x:c r="F58" t="str">
        <x:v>417/22/CBMP-BD</x:v>
      </x:c>
      <x:c r="G58"/>
      <x:c r="H58" t="str">
        <x:v>ACNES SCAR CARE</x:v>
      </x:c>
      <x:c r="I58" t="str">
        <x:v>ACNES</x:v>
      </x:c>
      <x:c r="J58" t="str">
        <x:v>Kem dưỡng da</x:v>
      </x:c>
      <x:c r="K58" t="str">
        <x:v>Quảng cáo mỹ phẩm</x:v>
      </x:c>
      <x:c r="L58" t="str">
        <x:v>CÔNG TY TNHH ROHTO-MENTHOLATUM (VIỆT NAM)</x:v>
      </x:c>
      <x:c r="M58" t="str">
        <x:v>Số 16 VSIP Đường số 5, Khu Công nghiệp Việt Nam - Singapore, Phường Bình Hòa, Thành phố Hồ Chí Minh</x:v>
      </x:c>
      <x:c r="N58"/>
      <x:c r="O58" t="str">
        <x:v>Chưa đối chiếu thu hồi</x:v>
      </x:c>
      <x:c r="P58" t="str">
        <x:v>Nguồn chính thức Sở Y tế TP.HCM – cross-check số công bố</x:v>
      </x:c>
      <x:c r="Q58" t="str">
        <x:v>Khu vực cấp số lịch sử: Bình Dương cũ. Nguồn Quảng cáo mỹ phẩm.</x:v>
      </x:c>
      <x:c r="R58" t="str">
        <x:v>https://tracuu.medinet.org.vn/category/cosodulieukhac/quangcao-mypham</x:v>
      </x:c>
      <x:c r="S58" t="str">
        <x:v>TP. Hồ Chí Minh</x:v>
      </x:c>
      <x:c r="T58" t="str">
        <x:v>79</x:v>
      </x:c>
    </x:row>
    <x:row r="59">
      <x:c r="A59" t="n">
        <x:v>58</x:v>
      </x:c>
      <x:c r="B59" s="330"/>
      <x:c r="C59" s="330" t="n">
        <x:v>46247</x:v>
      </x:c>
      <x:c r="D59" t="n">
        <x:v>2022</x:v>
      </x:c>
      <x:c r="E59"/>
      <x:c r="F59" t="str">
        <x:v>039/22/CBMP-BD</x:v>
      </x:c>
      <x:c r="G59"/>
      <x:c r="H59" t="str">
        <x:v>ACNES SEALING JELL</x:v>
      </x:c>
      <x:c r="I59" t="str">
        <x:v>ACNES</x:v>
      </x:c>
      <x:c r="J59" t="str">
        <x:v>Kem dưỡng da</x:v>
      </x:c>
      <x:c r="K59" t="str">
        <x:v>Quảng cáo mỹ phẩm</x:v>
      </x:c>
      <x:c r="L59" t="str">
        <x:v>CÔNG TY TNHH ROHTO-MENTHOLATUM (VIỆT NAM)</x:v>
      </x:c>
      <x:c r="M59" t="str">
        <x:v>Số 16 VSIP Đường số 5, Khu Công nghiệp Việt Nam - Singapore, Phường Bình Hòa, Thành phố Hồ Chí Minh</x:v>
      </x:c>
      <x:c r="N59"/>
      <x:c r="O59" t="str">
        <x:v>Chưa đối chiếu thu hồi</x:v>
      </x:c>
      <x:c r="P59" t="str">
        <x:v>Nguồn chính thức Sở Y tế TP.HCM – cross-check số công bố</x:v>
      </x:c>
      <x:c r="Q59" t="str">
        <x:v>Khu vực cấp số lịch sử: Bình Dương cũ. Nguồn Quảng cáo mỹ phẩm.</x:v>
      </x:c>
      <x:c r="R59" t="str">
        <x:v>https://tracuu.medinet.org.vn/category/cosodulieukhac/quangcao-mypham</x:v>
      </x:c>
      <x:c r="S59" t="str">
        <x:v>TP. Hồ Chí Minh</x:v>
      </x:c>
      <x:c r="T59" t="str">
        <x:v>79</x:v>
      </x:c>
    </x:row>
    <x:row r="60">
      <x:c r="A60" t="n">
        <x:v>59</x:v>
      </x:c>
      <x:c r="B60" s="330"/>
      <x:c r="C60" s="330" t="n">
        <x:v>46247</x:v>
      </x:c>
      <x:c r="D60" t="n">
        <x:v>2022</x:v>
      </x:c>
      <x:c r="E60"/>
      <x:c r="F60" t="str">
        <x:v>004/22/CBMP-BD</x:v>
      </x:c>
      <x:c r="G60"/>
      <x:c r="H60" t="str">
        <x:v>ACNES BLEMISH CLEAR CREAM</x:v>
      </x:c>
      <x:c r="I60" t="str">
        <x:v>ACNES</x:v>
      </x:c>
      <x:c r="J60" t="str">
        <x:v>Kem dưỡng da</x:v>
      </x:c>
      <x:c r="K60" t="str">
        <x:v>Quảng cáo mỹ phẩm</x:v>
      </x:c>
      <x:c r="L60" t="str">
        <x:v>CÔNG TY TNHH ROHTO-MENTHOLATUM (VIỆT NAM)</x:v>
      </x:c>
      <x:c r="M60" t="str">
        <x:v>Số 16 VSIP Đường số 5, Khu Công nghiệp Việt Nam - Singapore, Phường Bình Hòa, Thành phố Hồ Chí Minh</x:v>
      </x:c>
      <x:c r="N60"/>
      <x:c r="O60" t="str">
        <x:v>Chưa đối chiếu thu hồi</x:v>
      </x:c>
      <x:c r="P60" t="str">
        <x:v>Nguồn chính thức Sở Y tế TP.HCM – cross-check số công bố</x:v>
      </x:c>
      <x:c r="Q60" t="str">
        <x:v>Khu vực cấp số lịch sử: Bình Dương cũ. Nguồn Quảng cáo mỹ phẩm.</x:v>
      </x:c>
      <x:c r="R60" t="str">
        <x:v>https://tracuu.medinet.org.vn/category/cosodulieukhac/quangcao-mypham</x:v>
      </x:c>
      <x:c r="S60" t="str">
        <x:v>TP. Hồ Chí Minh</x:v>
      </x:c>
      <x:c r="T60" t="str">
        <x:v>79</x:v>
      </x:c>
    </x:row>
    <x:row r="61">
      <x:c r="A61" t="n">
        <x:v>60</x:v>
      </x:c>
      <x:c r="B61" s="330"/>
      <x:c r="C61" s="330" t="n">
        <x:v>46247</x:v>
      </x:c>
      <x:c r="D61" t="n">
        <x:v>2023</x:v>
      </x:c>
      <x:c r="E61"/>
      <x:c r="F61" t="str">
        <x:v>334/23/CBMP-BD</x:v>
      </x:c>
      <x:c r="G61"/>
      <x:c r="H61" t="str">
        <x:v>ACNES CLEAR PATCH</x:v>
      </x:c>
      <x:c r="I61" t="str">
        <x:v>ACNES</x:v>
      </x:c>
      <x:c r="J61" t="str">
        <x:v>Khác</x:v>
      </x:c>
      <x:c r="K61" t="str">
        <x:v>Quảng cáo mỹ phẩm</x:v>
      </x:c>
      <x:c r="L61" t="str">
        <x:v>CÔNG TY TNHH ROHTO-MENTHOLATUM (VIỆT NAM)</x:v>
      </x:c>
      <x:c r="M61" t="str">
        <x:v>Số 16 VSIP Đường số 5, Khu Công nghiệp Việt Nam - Singapore, Phường Bình Hòa, Thành phố Hồ Chí Minh</x:v>
      </x:c>
      <x:c r="N61"/>
      <x:c r="O61" t="str">
        <x:v>Chưa đối chiếu thu hồi</x:v>
      </x:c>
      <x:c r="P61" t="str">
        <x:v>Nguồn chính thức Sở Y tế TP.HCM – cross-check số công bố</x:v>
      </x:c>
      <x:c r="Q61" t="str">
        <x:v>Khu vực cấp số lịch sử: Bình Dương cũ. Nguồn Quảng cáo mỹ phẩm.</x:v>
      </x:c>
      <x:c r="R61" t="str">
        <x:v>https://tracuu.medinet.org.vn/category/cosodulieukhac/quangcao-mypham</x:v>
      </x:c>
      <x:c r="S61" t="str">
        <x:v>TP. Hồ Chí Minh</x:v>
      </x:c>
      <x:c r="T61" t="str">
        <x:v>79</x:v>
      </x:c>
    </x:row>
    <x:row r="62">
      <x:c r="A62" t="n">
        <x:v>61</x:v>
      </x:c>
      <x:c r="B62" s="330"/>
      <x:c r="C62" s="330" t="n">
        <x:v>46247</x:v>
      </x:c>
      <x:c r="D62" t="n">
        <x:v>2024</x:v>
      </x:c>
      <x:c r="E62"/>
      <x:c r="F62" t="str">
        <x:v>015/24/CBMP-BD</x:v>
      </x:c>
      <x:c r="G62"/>
      <x:c r="H62" t="str">
        <x:v>ACNES LAB B5 RECOVERY SERUM</x:v>
      </x:c>
      <x:c r="I62" t="str">
        <x:v>ACNES</x:v>
      </x:c>
      <x:c r="J62" t="str">
        <x:v>Serum/Essence da</x:v>
      </x:c>
      <x:c r="K62" t="str">
        <x:v>Quảng cáo mỹ phẩm</x:v>
      </x:c>
      <x:c r="L62" t="str">
        <x:v>CÔNG TY TNHH ROHTO-MENTHOLATUM (VIỆT NAM)</x:v>
      </x:c>
      <x:c r="M62" t="str">
        <x:v>Số 16 VSIP Đường số 5, Khu Công nghiệp Việt Nam - Singapore, Phường Bình Hòa, Thành phố Hồ Chí Minh</x:v>
      </x:c>
      <x:c r="N62"/>
      <x:c r="O62" t="str">
        <x:v>Chưa đối chiếu thu hồi</x:v>
      </x:c>
      <x:c r="P62" t="str">
        <x:v>Nguồn chính thức Sở Y tế TP.HCM – cross-check số công bố</x:v>
      </x:c>
      <x:c r="Q62" t="str">
        <x:v>Khu vực cấp số lịch sử: Bình Dương cũ. Nguồn Quảng cáo mỹ phẩm.</x:v>
      </x:c>
      <x:c r="R62" t="str">
        <x:v>https://tracuu.medinet.org.vn/category/cosodulieukhac/quangcao-mypham</x:v>
      </x:c>
      <x:c r="S62" t="str">
        <x:v>TP. Hồ Chí Minh</x:v>
      </x:c>
      <x:c r="T62" t="str">
        <x:v>79</x:v>
      </x:c>
    </x:row>
    <x:row r="63">
      <x:c r="A63" t="n">
        <x:v>62</x:v>
      </x:c>
      <x:c r="B63" s="330"/>
      <x:c r="C63" s="330" t="n">
        <x:v>46247</x:v>
      </x:c>
      <x:c r="D63" t="n">
        <x:v>2023</x:v>
      </x:c>
      <x:c r="E63"/>
      <x:c r="F63" t="str">
        <x:v>610/23/CBMP-BD</x:v>
      </x:c>
      <x:c r="G63"/>
      <x:c r="H63" t="str">
        <x:v>ACNES LAB ACNE REPAIR CREAM</x:v>
      </x:c>
      <x:c r="I63" t="str">
        <x:v>ACNES</x:v>
      </x:c>
      <x:c r="J63" t="str">
        <x:v>Kem dưỡng da</x:v>
      </x:c>
      <x:c r="K63" t="str">
        <x:v>Quảng cáo mỹ phẩm</x:v>
      </x:c>
      <x:c r="L63" t="str">
        <x:v>CÔNG TY TNHH ROHTO-MENTHOLATUM (VIỆT NAM)</x:v>
      </x:c>
      <x:c r="M63" t="str">
        <x:v>Số 16 VSIP Đường số 5, Khu Công nghiệp Việt Nam - Singapore, Phường Bình Hòa, Thành phố Hồ Chí Minh</x:v>
      </x:c>
      <x:c r="N63"/>
      <x:c r="O63" t="str">
        <x:v>Chưa đối chiếu thu hồi</x:v>
      </x:c>
      <x:c r="P63" t="str">
        <x:v>Nguồn chính thức Sở Y tế TP.HCM – cross-check số công bố</x:v>
      </x:c>
      <x:c r="Q63" t="str">
        <x:v>Khu vực cấp số lịch sử: Bình Dương cũ. Nguồn Quảng cáo mỹ phẩm.</x:v>
      </x:c>
      <x:c r="R63" t="str">
        <x:v>https://tracuu.medinet.org.vn/category/cosodulieukhac/quangcao-mypham</x:v>
      </x:c>
      <x:c r="S63" t="str">
        <x:v>TP. Hồ Chí Minh</x:v>
      </x:c>
      <x:c r="T63" t="str">
        <x:v>79</x:v>
      </x:c>
    </x:row>
    <x:row r="64">
      <x:c r="A64" t="n">
        <x:v>63</x:v>
      </x:c>
      <x:c r="B64" s="330"/>
      <x:c r="C64" s="330" t="n">
        <x:v>46247</x:v>
      </x:c>
      <x:c r="D64" t="n">
        <x:v>2024</x:v>
      </x:c>
      <x:c r="E64"/>
      <x:c r="F64" t="str">
        <x:v>579/24/CBMP-BD</x:v>
      </x:c>
      <x:c r="G64"/>
      <x:c r="H64" t="str">
        <x:v>ACNES LAB C10 SERUM</x:v>
      </x:c>
      <x:c r="I64" t="str">
        <x:v>ACNES</x:v>
      </x:c>
      <x:c r="J64" t="str">
        <x:v>Serum/Essence da</x:v>
      </x:c>
      <x:c r="K64" t="str">
        <x:v>Quảng cáo mỹ phẩm</x:v>
      </x:c>
      <x:c r="L64" t="str">
        <x:v>CÔNG TY TNHH ROHTO-MENTHOLATUM (VIỆT NAM)</x:v>
      </x:c>
      <x:c r="M64" t="str">
        <x:v>Số 16 VSIP Đường số 5, Khu Công nghiệp Việt Nam - Singapore, Phường Bình Hòa, Thành phố Hồ Chí Minh</x:v>
      </x:c>
      <x:c r="N64"/>
      <x:c r="O64" t="str">
        <x:v>Chưa đối chiếu thu hồi</x:v>
      </x:c>
      <x:c r="P64" t="str">
        <x:v>Nguồn chính thức Sở Y tế TP.HCM – cross-check số công bố</x:v>
      </x:c>
      <x:c r="Q64" t="str">
        <x:v>Khu vực cấp số lịch sử: Bình Dương cũ. Nguồn Quảng cáo mỹ phẩm.</x:v>
      </x:c>
      <x:c r="R64" t="str">
        <x:v>https://tracuu.medinet.org.vn/category/cosodulieukhac/quangcao-mypham</x:v>
      </x:c>
      <x:c r="S64" t="str">
        <x:v>TP. Hồ Chí Minh</x:v>
      </x:c>
      <x:c r="T64" t="str">
        <x:v>79</x:v>
      </x:c>
    </x:row>
    <x:row r="65">
      <x:c r="A65" t="n">
        <x:v>64</x:v>
      </x:c>
      <x:c r="B65" s="330"/>
      <x:c r="C65" s="330" t="n">
        <x:v>46247</x:v>
      </x:c>
      <x:c r="D65" t="n">
        <x:v>2024</x:v>
      </x:c>
      <x:c r="E65"/>
      <x:c r="F65" t="str">
        <x:v>128/24/CBMP-BD</x:v>
      </x:c>
      <x:c r="G65"/>
      <x:c r="H65" t="str">
        <x:v>ACNES LAB C15 SERUM</x:v>
      </x:c>
      <x:c r="I65" t="str">
        <x:v>ACNES</x:v>
      </x:c>
      <x:c r="J65" t="str">
        <x:v>Serum/Essence da</x:v>
      </x:c>
      <x:c r="K65" t="str">
        <x:v>Quảng cáo mỹ phẩm</x:v>
      </x:c>
      <x:c r="L65" t="str">
        <x:v>CÔNG TY TNHH ROHTO-MENTHOLATUM (VIỆT NAM)</x:v>
      </x:c>
      <x:c r="M65" t="str">
        <x:v>Số 16 VSIP Đường số 5, Khu Công nghiệp Việt Nam - Singapore, Phường Bình Hòa, Thành phố Hồ Chí Minh</x:v>
      </x:c>
      <x:c r="N65"/>
      <x:c r="O65" t="str">
        <x:v>Chưa đối chiếu thu hồi</x:v>
      </x:c>
      <x:c r="P65" t="str">
        <x:v>Nguồn chính thức Sở Y tế TP.HCM – cross-check số công bố</x:v>
      </x:c>
      <x:c r="Q65" t="str">
        <x:v>Khu vực cấp số lịch sử: Bình Dương cũ. Nguồn Quảng cáo mỹ phẩm.</x:v>
      </x:c>
      <x:c r="R65" t="str">
        <x:v>https://tracuu.medinet.org.vn/category/cosodulieukhac/quangcao-mypham</x:v>
      </x:c>
      <x:c r="S65" t="str">
        <x:v>TP. Hồ Chí Minh</x:v>
      </x:c>
      <x:c r="T65" t="str">
        <x:v>79</x:v>
      </x:c>
    </x:row>
    <x:row r="66">
      <x:c r="A66" t="n">
        <x:v>65</x:v>
      </x:c>
      <x:c r="B66" s="330"/>
      <x:c r="C66" s="330" t="n">
        <x:v>46085</x:v>
      </x:c>
      <x:c r="D66" t="n">
        <x:v>2023</x:v>
      </x:c>
      <x:c r="E66"/>
      <x:c r="F66" t="str">
        <x:v>099/23/CBMP-BD</x:v>
      </x:c>
      <x:c r="G66"/>
      <x:c r="H66" t="str">
        <x:v>50 MEGUMI HAIR FALL CONTROL CONDITIONER</x:v>
      </x:c>
      <x:c r="I66" t="str">
        <x:v>50 MEGUMI</x:v>
      </x:c>
      <x:c r="J66" t="str">
        <x:v>Dầu xả</x:v>
      </x:c>
      <x:c r="K66" t="str">
        <x:v>Quảng cáo mỹ phẩm</x:v>
      </x:c>
      <x:c r="L66" t="str">
        <x:v>CÔNG TY TNHH ROHTO-MENTHOLATUM (VIỆT NAM)</x:v>
      </x:c>
      <x:c r="M66" t="str">
        <x:v>Số 16 VSIP Đường số 5, Khu Công nghiệp Việt Nam - Singapore, Phường Bình Hòa, Thành phố Hồ Chí Minh</x:v>
      </x:c>
      <x:c r="N66"/>
      <x:c r="O66" t="str">
        <x:v>Chưa đối chiếu thu hồi</x:v>
      </x:c>
      <x:c r="P66" t="str">
        <x:v>Nguồn chính thức Sở Y tế TP.HCM – cross-check số công bố</x:v>
      </x:c>
      <x:c r="Q66" t="str">
        <x:v>Khu vực cấp số lịch sử: Bình Dương cũ. Nguồn Quảng cáo mỹ phẩm.</x:v>
      </x:c>
      <x:c r="R66" t="str">
        <x:v>https://tracuu.medinet.org.vn/category/cosodulieukhac/quangcao-mypham</x:v>
      </x:c>
      <x:c r="S66" t="str">
        <x:v>TP. Hồ Chí Minh</x:v>
      </x:c>
      <x:c r="T66" t="str">
        <x:v>79</x:v>
      </x:c>
    </x:row>
    <x:row r="67">
      <x:c r="A67" t="n">
        <x:v>66</x:v>
      </x:c>
      <x:c r="B67" s="330"/>
      <x:c r="C67" s="330" t="n">
        <x:v>46085</x:v>
      </x:c>
      <x:c r="D67" t="n">
        <x:v>2023</x:v>
      </x:c>
      <x:c r="E67"/>
      <x:c r="F67" t="str">
        <x:v>098/23/CBMP-BD</x:v>
      </x:c>
      <x:c r="G67"/>
      <x:c r="H67" t="str">
        <x:v>50 MEGUMI HAIR FALL CONTROL SHAMPOO</x:v>
      </x:c>
      <x:c r="I67" t="str">
        <x:v>50 MEGUMI</x:v>
      </x:c>
      <x:c r="J67" t="str">
        <x:v>Dầu gội</x:v>
      </x:c>
      <x:c r="K67" t="str">
        <x:v>Quảng cáo mỹ phẩm</x:v>
      </x:c>
      <x:c r="L67" t="str">
        <x:v>CÔNG TY TNHH ROHTO-MENTHOLATUM (VIỆT NAM)</x:v>
      </x:c>
      <x:c r="M67" t="str">
        <x:v>Số 16 VSIP Đường số 5, Khu Công nghiệp Việt Nam - Singapore, Phường Bình Hòa, Thành phố Hồ Chí Minh</x:v>
      </x:c>
      <x:c r="N67"/>
      <x:c r="O67" t="str">
        <x:v>Chưa đối chiếu thu hồi</x:v>
      </x:c>
      <x:c r="P67" t="str">
        <x:v>Nguồn chính thức Sở Y tế TP.HCM – cross-check số công bố</x:v>
      </x:c>
      <x:c r="Q67" t="str">
        <x:v>Khu vực cấp số lịch sử: Bình Dương cũ. Nguồn Quảng cáo mỹ phẩm.</x:v>
      </x:c>
      <x:c r="R67" t="str">
        <x:v>https://tracuu.medinet.org.vn/category/cosodulieukhac/quangcao-mypham</x:v>
      </x:c>
      <x:c r="S67" t="str">
        <x:v>TP. Hồ Chí Minh</x:v>
      </x:c>
      <x:c r="T67" t="str">
        <x:v>79</x:v>
      </x:c>
    </x:row>
    <x:row r="68">
      <x:c r="A68" t="n">
        <x:v>67</x:v>
      </x:c>
      <x:c r="B68" s="330"/>
      <x:c r="C68" s="330" t="n">
        <x:v>46085</x:v>
      </x:c>
      <x:c r="D68" t="n">
        <x:v>2025</x:v>
      </x:c>
      <x:c r="E68"/>
      <x:c r="F68" t="str">
        <x:v>003379/25/CBMP-HCM</x:v>
      </x:c>
      <x:c r="G68"/>
      <x:c r="H68" t="str">
        <x:v>50 MEGUMI HAIR ESSENCE</x:v>
      </x:c>
      <x:c r="I68" t="str">
        <x:v>50 MEGUMI</x:v>
      </x:c>
      <x:c r="J68" t="str">
        <x:v>Dưỡng tóc/Serum tóc</x:v>
      </x:c>
      <x:c r="K68" t="str">
        <x:v>Quảng cáo mỹ phẩm</x:v>
      </x:c>
      <x:c r="L68" t="str">
        <x:v>CÔNG TY TNHH ROHTO-MENTHOLATUM (VIỆT NAM)</x:v>
      </x:c>
      <x:c r="M68" t="str">
        <x:v>Số 16 VSIP Đường số 5, Khu Công nghiệp Việt Nam - Singapore, Phường Bình Hòa, Thành phố Hồ Chí Minh</x:v>
      </x:c>
      <x:c r="N68"/>
      <x:c r="O68" t="str">
        <x:v>Chưa đối chiếu thu hồi</x:v>
      </x:c>
      <x:c r="P68" t="str">
        <x:v>Nguồn chính thức Sở Y tế TP.HCM – cross-check số công bố</x:v>
      </x:c>
      <x:c r="Q68" t="str">
        <x:v>Khu vực cấp số lịch sử: TP.HCM. Nguồn Quảng cáo mỹ phẩm.</x:v>
      </x:c>
      <x:c r="R68" t="str">
        <x:v>https://tracuu.medinet.org.vn/category/cosodulieukhac/quangcao-mypham</x:v>
      </x:c>
      <x:c r="S68" t="str">
        <x:v>TP. Hồ Chí Minh</x:v>
      </x:c>
      <x:c r="T68" t="str">
        <x:v>79</x:v>
      </x:c>
    </x:row>
    <x:row r="69">
      <x:c r="A69" t="n">
        <x:v>68</x:v>
      </x:c>
      <x:c r="B69" s="330"/>
      <x:c r="C69" s="330" t="n">
        <x:v>46085</x:v>
      </x:c>
      <x:c r="D69" t="n">
        <x:v>2023</x:v>
      </x:c>
      <x:c r="E69"/>
      <x:c r="F69" t="str">
        <x:v>020/23/CBMP-BD</x:v>
      </x:c>
      <x:c r="G69"/>
      <x:c r="H69" t="str">
        <x:v>SUNPLAY SKIN AQUA CLEAR WHITE</x:v>
      </x:c>
      <x:c r="I69" t="str">
        <x:v>SUNPLAY</x:v>
      </x:c>
      <x:c r="J69" t="str">
        <x:v>Kem chống nắng</x:v>
      </x:c>
      <x:c r="K69" t="str">
        <x:v>Quảng cáo mỹ phẩm</x:v>
      </x:c>
      <x:c r="L69" t="str">
        <x:v>CÔNG TY TNHH ROHTO-MENTHOLATUM (VIỆT NAM)</x:v>
      </x:c>
      <x:c r="M69" t="str">
        <x:v>Số 16 VSIP Đường số 5, Khu Công nghiệp Việt Nam - Singapore, Phường Bình Hòa, Thành phố Hồ Chí Minh</x:v>
      </x:c>
      <x:c r="N69"/>
      <x:c r="O69" t="str">
        <x:v>Chưa đối chiếu thu hồi</x:v>
      </x:c>
      <x:c r="P69" t="str">
        <x:v>Nguồn chính thức Sở Y tế TP.HCM – cross-check số công bố</x:v>
      </x:c>
      <x:c r="Q69" t="str">
        <x:v>Khu vực cấp số lịch sử: Bình Dương cũ. Nguồn Quảng cáo mỹ phẩm.</x:v>
      </x:c>
      <x:c r="R69" t="str">
        <x:v>https://tracuu.medinet.org.vn/category/cosodulieukhac/quangcao-mypham</x:v>
      </x:c>
      <x:c r="S69" t="str">
        <x:v>TP. Hồ Chí Minh</x:v>
      </x:c>
      <x:c r="T69" t="str">
        <x:v>79</x:v>
      </x:c>
    </x:row>
    <x:row r="70">
      <x:c r="A70" t="n">
        <x:v>69</x:v>
      </x:c>
      <x:c r="B70" s="330"/>
      <x:c r="C70" s="330" t="n">
        <x:v>46085</x:v>
      </x:c>
      <x:c r="D70" t="n">
        <x:v>2023</x:v>
      </x:c>
      <x:c r="E70"/>
      <x:c r="F70" t="str">
        <x:v>017/23/CBMP-BD</x:v>
      </x:c>
      <x:c r="G70"/>
      <x:c r="H70" t="str">
        <x:v>SELSUN ANTI-DANDRUFF SHAMPOO WITH SELENIUM SULFIDE</x:v>
      </x:c>
      <x:c r="I70" t="str">
        <x:v>SELSUN</x:v>
      </x:c>
      <x:c r="J70" t="str">
        <x:v>Dầu gội</x:v>
      </x:c>
      <x:c r="K70" t="str">
        <x:v>Quảng cáo mỹ phẩm</x:v>
      </x:c>
      <x:c r="L70" t="str">
        <x:v>CÔNG TY TNHH ROHTO-MENTHOLATUM (VIỆT NAM)</x:v>
      </x:c>
      <x:c r="M70" t="str">
        <x:v>Số 16 VSIP Đường số 5, Khu Công nghiệp Việt Nam - Singapore, Phường Bình Hòa, Thành phố Hồ Chí Minh</x:v>
      </x:c>
      <x:c r="N70"/>
      <x:c r="O70" t="str">
        <x:v>Chưa đối chiếu thu hồi</x:v>
      </x:c>
      <x:c r="P70" t="str">
        <x:v>Nguồn chính thức Sở Y tế TP.HCM – cross-check số công bố</x:v>
      </x:c>
      <x:c r="Q70" t="str">
        <x:v>Khu vực cấp số lịch sử: Bình Dương cũ. Nguồn Quảng cáo mỹ phẩm.</x:v>
      </x:c>
      <x:c r="R70" t="str">
        <x:v>https://tracuu.medinet.org.vn/category/cosodulieukhac/quangcao-mypham</x:v>
      </x:c>
      <x:c r="S70" t="str">
        <x:v>TP. Hồ Chí Minh</x:v>
      </x:c>
      <x:c r="T70" t="str">
        <x:v>79</x:v>
      </x:c>
    </x:row>
    <x:row r="71">
      <x:c r="A71" t="n">
        <x:v>70</x:v>
      </x:c>
      <x:c r="B71" s="330"/>
      <x:c r="C71" s="330" t="n">
        <x:v>45950</x:v>
      </x:c>
      <x:c r="D71" t="n">
        <x:v>2025</x:v>
      </x:c>
      <x:c r="E71"/>
      <x:c r="F71" t="str">
        <x:v>006/25/CBMP-BD</x:v>
      </x:c>
      <x:c r="G71"/>
      <x:c r="H71" t="str">
        <x:v>silk-n shine. HAIR TREATMENT ALOE VERA</x:v>
      </x:c>
      <x:c r="I71" t="str">
        <x:v>silk-n shine</x:v>
      </x:c>
      <x:c r="J71" t="str">
        <x:v>Dưỡng tóc/Serum tóc</x:v>
      </x:c>
      <x:c r="K71" t="str">
        <x:v>CFS</x:v>
      </x:c>
      <x:c r="L71" t="str">
        <x:v>CÔNG TY CỔ PHẦN MARICO SOUTH EAST ASIA</x:v>
      </x:c>
      <x:c r="M71"/>
      <x:c r="N71" t="str">
        <x:v>CÔNG TY CỔ PHẦN MARICO SOUTH EAST ASIA</x:v>
      </x:c>
      <x:c r="O71" t="str">
        <x:v>Chưa đối chiếu thu hồi</x:v>
      </x:c>
      <x:c r="P71" t="str">
        <x:v>Nguồn chính thức Sở Y tế TP.HCM – cross-check số công bố</x:v>
      </x:c>
      <x:c r="Q71" t="str">
        <x:v>Khu vực cấp số lịch sử: Bình Dương cũ. Nguồn CFS.</x:v>
      </x:c>
      <x:c r="R71" t="str">
        <x:v>https://tracuu.medinet.org.vn/category/cosodulieukhac/gxn-cfs</x:v>
      </x:c>
      <x:c r="S71" t="str">
        <x:v>TP. Hồ Chí Minh</x:v>
      </x:c>
      <x:c r="T71" t="str">
        <x:v>79</x:v>
      </x:c>
    </x:row>
    <x:row r="72">
      <x:c r="A72" t="n">
        <x:v>71</x:v>
      </x:c>
      <x:c r="B72" s="330"/>
      <x:c r="C72" s="330" t="n">
        <x:v>45950</x:v>
      </x:c>
      <x:c r="D72" t="n">
        <x:v>2025</x:v>
      </x:c>
      <x:c r="E72"/>
      <x:c r="F72" t="str">
        <x:v>007/25/CBMP-BD</x:v>
      </x:c>
      <x:c r="G72"/>
      <x:c r="H72" t="str">
        <x:v>silk-n shine. HAIR TREATMENT GREEN TEA</x:v>
      </x:c>
      <x:c r="I72" t="str">
        <x:v>silk-n shine</x:v>
      </x:c>
      <x:c r="J72" t="str">
        <x:v>Dưỡng tóc/Serum tóc</x:v>
      </x:c>
      <x:c r="K72" t="str">
        <x:v>CFS</x:v>
      </x:c>
      <x:c r="L72" t="str">
        <x:v>CÔNG TY CỔ PHẦN MARICO SOUTH EAST ASIA</x:v>
      </x:c>
      <x:c r="M72"/>
      <x:c r="N72" t="str">
        <x:v>CÔNG TY CỔ PHẦN MARICO SOUTH EAST ASIA</x:v>
      </x:c>
      <x:c r="O72" t="str">
        <x:v>Chưa đối chiếu thu hồi</x:v>
      </x:c>
      <x:c r="P72" t="str">
        <x:v>Nguồn chính thức Sở Y tế TP.HCM – cross-check số công bố</x:v>
      </x:c>
      <x:c r="Q72" t="str">
        <x:v>Khu vực cấp số lịch sử: Bình Dương cũ. Nguồn CFS.</x:v>
      </x:c>
      <x:c r="R72" t="str">
        <x:v>https://tracuu.medinet.org.vn/category/cosodulieukhac/gxn-cfs</x:v>
      </x:c>
      <x:c r="S72" t="str">
        <x:v>TP. Hồ Chí Minh</x:v>
      </x:c>
      <x:c r="T72" t="str">
        <x:v>79</x:v>
      </x:c>
    </x:row>
    <x:row r="73">
      <x:c r="A73" t="n">
        <x:v>72</x:v>
      </x:c>
      <x:c r="B73" s="330"/>
      <x:c r="C73" s="330" t="n">
        <x:v>45926</x:v>
      </x:c>
      <x:c r="D73" t="n">
        <x:v>2025</x:v>
      </x:c>
      <x:c r="E73"/>
      <x:c r="F73" t="str">
        <x:v>001555/25/CBMP-HCM</x:v>
      </x:c>
      <x:c r="G73"/>
      <x:c r="H73" t="str">
        <x:v>BLACK SHEEP – VITAMIN WHITE</x:v>
      </x:c>
      <x:c r="I73" t="str">
        <x:v>BLACK SHEEP</x:v>
      </x:c>
      <x:c r="J73" t="str">
        <x:v>Kem body</x:v>
      </x:c>
      <x:c r="K73" t="str">
        <x:v>CFS</x:v>
      </x:c>
      <x:c r="L73" t="str">
        <x:v>CÔNG TY TNHH HENCOSVN</x:v>
      </x:c>
      <x:c r="M73"/>
      <x:c r="N73" t="str">
        <x:v>CÔNG TY TNHH HENCOSVN</x:v>
      </x:c>
      <x:c r="O73" t="str">
        <x:v>Chưa đối chiếu thu hồi</x:v>
      </x:c>
      <x:c r="P73" t="str">
        <x:v>Nguồn chính thức Sở Y tế TP.HCM – cross-check số công bố</x:v>
      </x:c>
      <x:c r="Q73" t="str">
        <x:v>Khu vực cấp số lịch sử: TP.HCM. Nguồn CFS.</x:v>
      </x:c>
      <x:c r="R73" t="str">
        <x:v>https://tracuu.medinet.org.vn/category/cosodulieukhac/gxn-cfs</x:v>
      </x:c>
      <x:c r="S73" t="str">
        <x:v>TP. Hồ Chí Minh</x:v>
      </x:c>
      <x:c r="T73" t="str">
        <x:v>79</x:v>
      </x:c>
    </x:row>
    <x:row r="74">
      <x:c r="A74" t="n">
        <x:v>73</x:v>
      </x:c>
      <x:c r="B74" s="330"/>
      <x:c r="C74" s="330" t="n">
        <x:v>45926</x:v>
      </x:c>
      <x:c r="D74" t="n">
        <x:v>2025</x:v>
      </x:c>
      <x:c r="E74"/>
      <x:c r="F74" t="str">
        <x:v>001556/25/CBMP-HCM</x:v>
      </x:c>
      <x:c r="G74"/>
      <x:c r="H74" t="str">
        <x:v>BLACK SHEEP – WHITE MILKY SPA</x:v>
      </x:c>
      <x:c r="I74" t="str">
        <x:v>BLACK SHEEP</x:v>
      </x:c>
      <x:c r="J74" t="str">
        <x:v>Kem body</x:v>
      </x:c>
      <x:c r="K74" t="str">
        <x:v>CFS</x:v>
      </x:c>
      <x:c r="L74" t="str">
        <x:v>CÔNG TY TNHH HENCOSVN</x:v>
      </x:c>
      <x:c r="M74"/>
      <x:c r="N74" t="str">
        <x:v>CÔNG TY TNHH HENCOSVN</x:v>
      </x:c>
      <x:c r="O74" t="str">
        <x:v>Chưa đối chiếu thu hồi</x:v>
      </x:c>
      <x:c r="P74" t="str">
        <x:v>Nguồn chính thức Sở Y tế TP.HCM – cross-check số công bố</x:v>
      </x:c>
      <x:c r="Q74" t="str">
        <x:v>Khu vực cấp số lịch sử: TP.HCM. Nguồn CFS.</x:v>
      </x:c>
      <x:c r="R74" t="str">
        <x:v>https://tracuu.medinet.org.vn/category/cosodulieukhac/gxn-cfs</x:v>
      </x:c>
      <x:c r="S74" t="str">
        <x:v>TP. Hồ Chí Minh</x:v>
      </x:c>
      <x:c r="T74" t="str">
        <x:v>79</x:v>
      </x:c>
    </x:row>
    <x:row r="75">
      <x:c r="A75" t="n">
        <x:v>74</x:v>
      </x:c>
      <x:c r="B75" s="330"/>
      <x:c r="C75" s="330" t="n">
        <x:v>45924</x:v>
      </x:c>
      <x:c r="D75" t="n">
        <x:v>2025</x:v>
      </x:c>
      <x:c r="E75"/>
      <x:c r="F75" t="str">
        <x:v>387/25/CBMP-BD</x:v>
      </x:c>
      <x:c r="G75"/>
      <x:c r="H75" t="str">
        <x:v>Enchanteur Sensation Radiant White Anti Perspirant Roll On Soft Smooth</x:v>
      </x:c>
      <x:c r="I75" t="str">
        <x:v>Enchanteur</x:v>
      </x:c>
      <x:c r="J75" t="str">
        <x:v>Khử mùi</x:v>
      </x:c>
      <x:c r="K75" t="str">
        <x:v>CFS</x:v>
      </x:c>
      <x:c r="L75" t="str">
        <x:v>CÔNG TY TRÁCH NHIỆM HỮU HẠN WIPRO CONSUMER CARE VIỆT NAM</x:v>
      </x:c>
      <x:c r="M75"/>
      <x:c r="N75" t="str">
        <x:v>CÔNG TY TRÁCH NHIỆM HỮU HẠN WIPRO CONSUMER CARE VIỆT NAM</x:v>
      </x:c>
      <x:c r="O75" t="str">
        <x:v>Chưa đối chiếu thu hồi</x:v>
      </x:c>
      <x:c r="P75" t="str">
        <x:v>Nguồn chính thức Sở Y tế TP.HCM – cross-check số công bố</x:v>
      </x:c>
      <x:c r="Q75" t="str">
        <x:v>Khu vực cấp số lịch sử: Bình Dương cũ. Nguồn CFS.</x:v>
      </x:c>
      <x:c r="R75" t="str">
        <x:v>https://tracuu.medinet.org.vn/category/cosodulieukhac/gxn-cfs</x:v>
      </x:c>
      <x:c r="S75" t="str">
        <x:v>TP. Hồ Chí Minh</x:v>
      </x:c>
      <x:c r="T75" t="str">
        <x:v>79</x:v>
      </x:c>
    </x:row>
    <x:row r="76">
      <x:c r="A76" t="n">
        <x:v>75</x:v>
      </x:c>
      <x:c r="B76" s="330"/>
      <x:c r="C76" s="330" t="n">
        <x:v>45882</x:v>
      </x:c>
      <x:c r="D76" t="n">
        <x:v>2025</x:v>
      </x:c>
      <x:c r="E76"/>
      <x:c r="F76" t="str">
        <x:v>000259/25/CBMP-HCM</x:v>
      </x:c>
      <x:c r="G76"/>
      <x:c r="H76" t="str">
        <x:v>d’Annam - NƯỚC HOA MOONCAKE</x:v>
      </x:c>
      <x:c r="I76" t="str">
        <x:v>d’Annam</x:v>
      </x:c>
      <x:c r="J76" t="str">
        <x:v>Nước hoa</x:v>
      </x:c>
      <x:c r="K76" t="str">
        <x:v>CFS</x:v>
      </x:c>
      <x:c r="L76" t="str">
        <x:v>CÔNG TY TNHH TOP 100</x:v>
      </x:c>
      <x:c r="M76"/>
      <x:c r="N76" t="str">
        <x:v>CÔNG TY TNHH TOP 100</x:v>
      </x:c>
      <x:c r="O76" t="str">
        <x:v>Chưa đối chiếu thu hồi</x:v>
      </x:c>
      <x:c r="P76" t="str">
        <x:v>Nguồn chính thức Sở Y tế TP.HCM – cross-check số công bố</x:v>
      </x:c>
      <x:c r="Q76" t="str">
        <x:v>Khu vực cấp số lịch sử: TP.HCM. Nguồn CFS.</x:v>
      </x:c>
      <x:c r="R76" t="str">
        <x:v>https://tracuu.medinet.org.vn/category/cosodulieukhac/gxn-cfs</x:v>
      </x:c>
      <x:c r="S76" t="str">
        <x:v>TP. Hồ Chí Minh</x:v>
      </x:c>
      <x:c r="T76" t="str">
        <x:v>79</x:v>
      </x:c>
    </x:row>
    <x:row r="77">
      <x:c r="A77" t="n">
        <x:v>76</x:v>
      </x:c>
      <x:c r="B77" s="330"/>
      <x:c r="C77" s="330" t="n">
        <x:v>45882</x:v>
      </x:c>
      <x:c r="D77" t="n">
        <x:v>2025</x:v>
      </x:c>
      <x:c r="E77"/>
      <x:c r="F77" t="str">
        <x:v>000258/25/CBMP-HCM</x:v>
      </x:c>
      <x:c r="G77"/>
      <x:c r="H77" t="str">
        <x:v>d’Annam - NƯỚC HOA POMELO OOLONG</x:v>
      </x:c>
      <x:c r="I77" t="str">
        <x:v>d’Annam</x:v>
      </x:c>
      <x:c r="J77" t="str">
        <x:v>Nước hoa</x:v>
      </x:c>
      <x:c r="K77" t="str">
        <x:v>CFS</x:v>
      </x:c>
      <x:c r="L77" t="str">
        <x:v>CÔNG TY TNHH TOP 100</x:v>
      </x:c>
      <x:c r="M77"/>
      <x:c r="N77" t="str">
        <x:v>CÔNG TY TNHH TOP 100</x:v>
      </x:c>
      <x:c r="O77" t="str">
        <x:v>Chưa đối chiếu thu hồi</x:v>
      </x:c>
      <x:c r="P77" t="str">
        <x:v>Nguồn chính thức Sở Y tế TP.HCM – cross-check số công bố</x:v>
      </x:c>
      <x:c r="Q77" t="str">
        <x:v>Khu vực cấp số lịch sử: TP.HCM. Nguồn CFS.</x:v>
      </x:c>
      <x:c r="R77" t="str">
        <x:v>https://tracuu.medinet.org.vn/category/cosodulieukhac/gxn-cfs</x:v>
      </x:c>
      <x:c r="S77" t="str">
        <x:v>TP. Hồ Chí Minh</x:v>
      </x:c>
      <x:c r="T77" t="str">
        <x:v>79</x:v>
      </x:c>
    </x:row>
    <x:row r="78">
      <x:c r="A78" t="n">
        <x:v>77</x:v>
      </x:c>
      <x:c r="B78" s="330"/>
      <x:c r="C78" s="330" t="n">
        <x:v>45882</x:v>
      </x:c>
      <x:c r="D78" t="n">
        <x:v>2025</x:v>
      </x:c>
      <x:c r="E78"/>
      <x:c r="F78" t="str">
        <x:v>000257/25/CBMP-HCM</x:v>
      </x:c>
      <x:c r="G78"/>
      <x:c r="H78" t="str">
        <x:v>d’Annam - NƯỚC HOA PRINCESS OF CHINA</x:v>
      </x:c>
      <x:c r="I78" t="str">
        <x:v>d’Annam</x:v>
      </x:c>
      <x:c r="J78" t="str">
        <x:v>Nước hoa</x:v>
      </x:c>
      <x:c r="K78" t="str">
        <x:v>CFS</x:v>
      </x:c>
      <x:c r="L78" t="str">
        <x:v>CÔNG TY TNHH TOP 100</x:v>
      </x:c>
      <x:c r="M78"/>
      <x:c r="N78" t="str">
        <x:v>CÔNG TY TNHH TOP 100</x:v>
      </x:c>
      <x:c r="O78" t="str">
        <x:v>Chưa đối chiếu thu hồi</x:v>
      </x:c>
      <x:c r="P78" t="str">
        <x:v>Nguồn chính thức Sở Y tế TP.HCM – cross-check số công bố</x:v>
      </x:c>
      <x:c r="Q78" t="str">
        <x:v>Khu vực cấp số lịch sử: TP.HCM. Nguồn CFS.</x:v>
      </x:c>
      <x:c r="R78" t="str">
        <x:v>https://tracuu.medinet.org.vn/category/cosodulieukhac/gxn-cfs</x:v>
      </x:c>
      <x:c r="S78" t="str">
        <x:v>TP. Hồ Chí Minh</x:v>
      </x:c>
      <x:c r="T78" t="str">
        <x:v>79</x:v>
      </x:c>
    </x:row>
    <x:row r="79">
      <x:c r="A79" t="n">
        <x:v>78</x:v>
      </x:c>
      <x:c r="B79" s="330"/>
      <x:c r="C79" s="330" t="n">
        <x:v>45882</x:v>
      </x:c>
      <x:c r="D79" t="n">
        <x:v>2025</x:v>
      </x:c>
      <x:c r="E79"/>
      <x:c r="F79" t="str">
        <x:v>000224/25/CBMP-HCM</x:v>
      </x:c>
      <x:c r="G79"/>
      <x:c r="H79" t="str">
        <x:v>d’Annam - NƯỚC HOA SPRING FESTIVAL</x:v>
      </x:c>
      <x:c r="I79" t="str">
        <x:v>d’Annam</x:v>
      </x:c>
      <x:c r="J79" t="str">
        <x:v>Nước hoa</x:v>
      </x:c>
      <x:c r="K79" t="str">
        <x:v>CFS</x:v>
      </x:c>
      <x:c r="L79" t="str">
        <x:v>CÔNG TY TNHH TOP 100</x:v>
      </x:c>
      <x:c r="M79"/>
      <x:c r="N79" t="str">
        <x:v>CÔNG TY TNHH TOP 100</x:v>
      </x:c>
      <x:c r="O79" t="str">
        <x:v>Chưa đối chiếu thu hồi</x:v>
      </x:c>
      <x:c r="P79" t="str">
        <x:v>Nguồn chính thức Sở Y tế TP.HCM – cross-check số công bố</x:v>
      </x:c>
      <x:c r="Q79" t="str">
        <x:v>Khu vực cấp số lịch sử: TP.HCM. Nguồn CFS.</x:v>
      </x:c>
      <x:c r="R79" t="str">
        <x:v>https://tracuu.medinet.org.vn/category/cosodulieukhac/gxn-cfs</x:v>
      </x:c>
      <x:c r="S79" t="str">
        <x:v>TP. Hồ Chí Minh</x:v>
      </x:c>
      <x:c r="T79" t="str">
        <x:v>79</x:v>
      </x:c>
    </x:row>
    <x:row r="80">
      <x:c r="A80" t="n">
        <x:v>79</x:v>
      </x:c>
      <x:c r="B80" s="330"/>
      <x:c r="C80" s="330" t="n">
        <x:v>45882</x:v>
      </x:c>
      <x:c r="D80" t="n">
        <x:v>2025</x:v>
      </x:c>
      <x:c r="E80"/>
      <x:c r="F80" t="str">
        <x:v>000223/25/CBMP-HCM</x:v>
      </x:c>
      <x:c r="G80"/>
      <x:c r="H80" t="str">
        <x:v>d’Annam - NƯỚC HOA THE SILK ROAD</x:v>
      </x:c>
      <x:c r="I80" t="str">
        <x:v>d’Annam</x:v>
      </x:c>
      <x:c r="J80" t="str">
        <x:v>Nước hoa</x:v>
      </x:c>
      <x:c r="K80" t="str">
        <x:v>CFS</x:v>
      </x:c>
      <x:c r="L80" t="str">
        <x:v>CÔNG TY TNHH TOP 100</x:v>
      </x:c>
      <x:c r="M80"/>
      <x:c r="N80" t="str">
        <x:v>CÔNG TY TNHH TOP 100</x:v>
      </x:c>
      <x:c r="O80" t="str">
        <x:v>Chưa đối chiếu thu hồi</x:v>
      </x:c>
      <x:c r="P80" t="str">
        <x:v>Nguồn chính thức Sở Y tế TP.HCM – cross-check số công bố</x:v>
      </x:c>
      <x:c r="Q80" t="str">
        <x:v>Khu vực cấp số lịch sử: TP.HCM. Nguồn CFS.</x:v>
      </x:c>
      <x:c r="R80" t="str">
        <x:v>https://tracuu.medinet.org.vn/category/cosodulieukhac/gxn-cfs</x:v>
      </x:c>
      <x:c r="S80" t="str">
        <x:v>TP. Hồ Chí Minh</x:v>
      </x:c>
      <x:c r="T80" t="str">
        <x:v>79</x:v>
      </x:c>
    </x:row>
    <x:row r="81">
      <x:c r="A81" t="n">
        <x:v>80</x:v>
      </x:c>
      <x:c r="B81" s="330"/>
      <x:c r="C81" s="330" t="n">
        <x:v>45882</x:v>
      </x:c>
      <x:c r="D81" t="n">
        <x:v>2025</x:v>
      </x:c>
      <x:c r="E81"/>
      <x:c r="F81" t="str">
        <x:v>000222/25/CBMP-HCM</x:v>
      </x:c>
      <x:c r="G81"/>
      <x:c r="H81" t="str">
        <x:v>d’Annam - NƯỚC HOA CHINESE CALLIGRAPHY</x:v>
      </x:c>
      <x:c r="I81" t="str">
        <x:v>d’Annam</x:v>
      </x:c>
      <x:c r="J81" t="str">
        <x:v>Nước hoa</x:v>
      </x:c>
      <x:c r="K81" t="str">
        <x:v>CFS</x:v>
      </x:c>
      <x:c r="L81" t="str">
        <x:v>CÔNG TY TNHH TOP 100</x:v>
      </x:c>
      <x:c r="M81"/>
      <x:c r="N81" t="str">
        <x:v>CÔNG TY TNHH TOP 100</x:v>
      </x:c>
      <x:c r="O81" t="str">
        <x:v>Chưa đối chiếu thu hồi</x:v>
      </x:c>
      <x:c r="P81" t="str">
        <x:v>Nguồn chính thức Sở Y tế TP.HCM – cross-check số công bố</x:v>
      </x:c>
      <x:c r="Q81" t="str">
        <x:v>Khu vực cấp số lịch sử: TP.HCM. Nguồn CFS.</x:v>
      </x:c>
      <x:c r="R81" t="str">
        <x:v>https://tracuu.medinet.org.vn/category/cosodulieukhac/gxn-cfs</x:v>
      </x:c>
      <x:c r="S81" t="str">
        <x:v>TP. Hồ Chí Minh</x:v>
      </x:c>
      <x:c r="T81" t="str">
        <x:v>79</x:v>
      </x:c>
    </x:row>
    <x:row r="82">
      <x:c r="A82" t="n">
        <x:v>81</x:v>
      </x:c>
      <x:c r="B82" s="330" t="n">
        <x:v>45817</x:v>
      </x:c>
      <x:c r="C82" s="330" t="n">
        <x:v>45873</x:v>
      </x:c>
      <x:c r="D82" t="n">
        <x:v>2025</x:v>
      </x:c>
      <x:c r="E82" t="n">
        <x:v>6</x:v>
      </x:c>
      <x:c r="F82" t="str">
        <x:v>002970/25/CBMP-HCM</x:v>
      </x:c>
      <x:c r="G82"/>
      <x:c r="H82" t="str">
        <x:v>CITRA SHOWER CREAM AVOCADO &amp; VIT-E</x:v>
      </x:c>
      <x:c r="I82" t="str">
        <x:v>CITRA</x:v>
      </x:c>
      <x:c r="J82" t="str">
        <x:v>Sữa tắm/Gel tắm</x:v>
      </x:c>
      <x:c r="K82" t="str">
        <x:v>CFS</x:v>
      </x:c>
      <x:c r="L82" t="str">
        <x:v>CÔNG TY TNHH QUỐC TẾ UNILEVER VIỆT NAM</x:v>
      </x:c>
      <x:c r="M82" t="str">
        <x:v>Lô A2-3 KCN Tây Bắc Củ Chi, Xã Tân An Hội, Thành phố Hồ Chí Minh</x:v>
      </x:c>
      <x:c r="N82" t="str">
        <x:v>CÔNG TY TNHH QUỐC TẾ UNILEVER VIỆT NAM</x:v>
      </x:c>
      <x:c r="O82" t="str">
        <x:v>Chưa đối chiếu thu hồi</x:v>
      </x:c>
      <x:c r="P82" t="str">
        <x:v>Nguồn chính thức Sở Y tế TP.HCM – cross-check số công bố</x:v>
      </x:c>
      <x:c r="Q82" t="str">
        <x:v>Khu vực cấp số lịch sử: TP.HCM. Nguồn CFS.</x:v>
      </x:c>
      <x:c r="R82" t="str">
        <x:v>https://tracuu.medinet.org.vn/category/cosodulieukhac/gxn-cfs</x:v>
      </x:c>
      <x:c r="S82" t="str">
        <x:v>TP. Hồ Chí Minh</x:v>
      </x:c>
      <x:c r="T82" t="str">
        <x:v>79</x:v>
      </x:c>
    </x:row>
    <x:row r="83">
      <x:c r="A83" t="n">
        <x:v>82</x:v>
      </x:c>
      <x:c r="B83" s="330" t="n">
        <x:v>45817</x:v>
      </x:c>
      <x:c r="C83" s="330" t="n">
        <x:v>45873</x:v>
      </x:c>
      <x:c r="D83" t="n">
        <x:v>2025</x:v>
      </x:c>
      <x:c r="E83" t="n">
        <x:v>6</x:v>
      </x:c>
      <x:c r="F83" t="str">
        <x:v>002969/25/CBMP-HCM</x:v>
      </x:c>
      <x:c r="G83"/>
      <x:c r="H83" t="str">
        <x:v>CITRA SHOWER CREAM GOAT MILK &amp; VIT-E</x:v>
      </x:c>
      <x:c r="I83" t="str">
        <x:v>CITRA</x:v>
      </x:c>
      <x:c r="J83" t="str">
        <x:v>Sữa tắm/Gel tắm</x:v>
      </x:c>
      <x:c r="K83" t="str">
        <x:v>CFS</x:v>
      </x:c>
      <x:c r="L83" t="str">
        <x:v>CÔNG TY TNHH QUỐC TẾ UNILEVER VIỆT NAM</x:v>
      </x:c>
      <x:c r="M83" t="str">
        <x:v>Lô A2-3 KCN Tây Bắc Củ Chi, Xã Tân An Hội, Thành phố Hồ Chí Minh</x:v>
      </x:c>
      <x:c r="N83" t="str">
        <x:v>CÔNG TY TNHH QUỐC TẾ UNILEVER VIỆT NAM</x:v>
      </x:c>
      <x:c r="O83" t="str">
        <x:v>Chưa đối chiếu thu hồi</x:v>
      </x:c>
      <x:c r="P83" t="str">
        <x:v>Nguồn chính thức Sở Y tế TP.HCM – cross-check số công bố</x:v>
      </x:c>
      <x:c r="Q83" t="str">
        <x:v>Khu vực cấp số lịch sử: TP.HCM. Nguồn CFS.</x:v>
      </x:c>
      <x:c r="R83" t="str">
        <x:v>https://tracuu.medinet.org.vn/category/cosodulieukhac/gxn-cfs</x:v>
      </x:c>
      <x:c r="S83" t="str">
        <x:v>TP. Hồ Chí Minh</x:v>
      </x:c>
      <x:c r="T83" t="str">
        <x:v>79</x:v>
      </x:c>
    </x:row>
    <x:row r="84">
      <x:c r="A84" t="n">
        <x:v>83</x:v>
      </x:c>
      <x:c r="B84" s="330" t="n">
        <x:v>45817</x:v>
      </x:c>
      <x:c r="C84" s="330" t="n">
        <x:v>45873</x:v>
      </x:c>
      <x:c r="D84" t="n">
        <x:v>2025</x:v>
      </x:c>
      <x:c r="E84" t="n">
        <x:v>6</x:v>
      </x:c>
      <x:c r="F84" t="str">
        <x:v>002968/25/CBMP-HCM</x:v>
      </x:c>
      <x:c r="G84"/>
      <x:c r="H84" t="str">
        <x:v>CITRA SHOWER CREAM MULBERRY WITH GOAT MILK &amp; VIT-E</x:v>
      </x:c>
      <x:c r="I84" t="str">
        <x:v>CITRA</x:v>
      </x:c>
      <x:c r="J84" t="str">
        <x:v>Sữa tắm/Gel tắm</x:v>
      </x:c>
      <x:c r="K84" t="str">
        <x:v>CFS</x:v>
      </x:c>
      <x:c r="L84" t="str">
        <x:v>CÔNG TY TNHH QUỐC TẾ UNILEVER VIỆT NAM</x:v>
      </x:c>
      <x:c r="M84" t="str">
        <x:v>Lô A2-3 KCN Tây Bắc Củ Chi, Xã Tân An Hội, Thành phố Hồ Chí Minh</x:v>
      </x:c>
      <x:c r="N84" t="str">
        <x:v>CÔNG TY TNHH QUỐC TẾ UNILEVER VIỆT NAM</x:v>
      </x:c>
      <x:c r="O84" t="str">
        <x:v>Chưa đối chiếu thu hồi</x:v>
      </x:c>
      <x:c r="P84" t="str">
        <x:v>Nguồn chính thức Sở Y tế TP.HCM – cross-check số công bố</x:v>
      </x:c>
      <x:c r="Q84" t="str">
        <x:v>Khu vực cấp số lịch sử: TP.HCM. Nguồn CFS.</x:v>
      </x:c>
      <x:c r="R84" t="str">
        <x:v>https://tracuu.medinet.org.vn/category/cosodulieukhac/gxn-cfs</x:v>
      </x:c>
      <x:c r="S84" t="str">
        <x:v>TP. Hồ Chí Minh</x:v>
      </x:c>
      <x:c r="T84" t="str">
        <x:v>79</x:v>
      </x:c>
    </x:row>
    <x:row r="85">
      <x:c r="A85" t="n">
        <x:v>84</x:v>
      </x:c>
      <x:c r="B85" s="330"/>
      <x:c r="C85" s="330" t="n">
        <x:v>45814</x:v>
      </x:c>
      <x:c r="D85" t="n">
        <x:v>2025</x:v>
      </x:c>
      <x:c r="E85"/>
      <x:c r="F85" t="str">
        <x:v>002005/25/CBMP-HCM</x:v>
      </x:c>
      <x:c r="G85"/>
      <x:c r="H85" t="str">
        <x:v>DOVE BODY WASH ACNE CONTROL</x:v>
      </x:c>
      <x:c r="I85" t="str">
        <x:v>DOVE</x:v>
      </x:c>
      <x:c r="J85" t="str">
        <x:v>Sữa tắm/Gel tắm</x:v>
      </x:c>
      <x:c r="K85" t="str">
        <x:v>CFS</x:v>
      </x:c>
      <x:c r="L85" t="str">
        <x:v>CÔNG TY TNHH QUỐC TẾ UNILEVER VIỆT NAM</x:v>
      </x:c>
      <x:c r="M85" t="str">
        <x:v>Lô A2-3 KCN Tây Bắc Củ Chi, Xã Tân An Hội, Thành phố Hồ Chí Minh</x:v>
      </x:c>
      <x:c r="N85" t="str">
        <x:v>CÔNG TY TNHH QUỐC TẾ UNILEVER VIỆT NAM</x:v>
      </x:c>
      <x:c r="O85" t="str">
        <x:v>Chưa đối chiếu thu hồi</x:v>
      </x:c>
      <x:c r="P85" t="str">
        <x:v>Nguồn chính thức Sở Y tế TP.HCM – cross-check số công bố</x:v>
      </x:c>
      <x:c r="Q85" t="str">
        <x:v>Khu vực cấp số lịch sử: TP.HCM. Nguồn CFS.</x:v>
      </x:c>
      <x:c r="R85" t="str">
        <x:v>https://tracuu.medinet.org.vn/category/cosodulieukhac/gxn-cfs</x:v>
      </x:c>
      <x:c r="S85" t="str">
        <x:v>TP. Hồ Chí Minh</x:v>
      </x:c>
      <x:c r="T85" t="str">
        <x:v>79</x:v>
      </x:c>
    </x:row>
    <x:row r="86">
      <x:c r="A86" t="n">
        <x:v>85</x:v>
      </x:c>
      <x:c r="B86" s="330"/>
      <x:c r="C86" s="330" t="n">
        <x:v>45814</x:v>
      </x:c>
      <x:c r="D86" t="n">
        <x:v>2025</x:v>
      </x:c>
      <x:c r="E86"/>
      <x:c r="F86" t="str">
        <x:v>002004/25/CBMP-HCM</x:v>
      </x:c>
      <x:c r="G86"/>
      <x:c r="H86" t="str">
        <x:v>DOVE BODY WASH EVEN TONE RADIANCE</x:v>
      </x:c>
      <x:c r="I86" t="str">
        <x:v>DOVE</x:v>
      </x:c>
      <x:c r="J86" t="str">
        <x:v>Sữa tắm/Gel tắm</x:v>
      </x:c>
      <x:c r="K86" t="str">
        <x:v>CFS</x:v>
      </x:c>
      <x:c r="L86" t="str">
        <x:v>CÔNG TY TNHH QUỐC TẾ UNILEVER VIỆT NAM</x:v>
      </x:c>
      <x:c r="M86" t="str">
        <x:v>Lô A2-3 KCN Tây Bắc Củ Chi, Xã Tân An Hội, Thành phố Hồ Chí Minh</x:v>
      </x:c>
      <x:c r="N86" t="str">
        <x:v>CÔNG TY TNHH QUỐC TẾ UNILEVER VIỆT NAM</x:v>
      </x:c>
      <x:c r="O86" t="str">
        <x:v>Chưa đối chiếu thu hồi</x:v>
      </x:c>
      <x:c r="P86" t="str">
        <x:v>Nguồn chính thức Sở Y tế TP.HCM – cross-check số công bố</x:v>
      </x:c>
      <x:c r="Q86" t="str">
        <x:v>Khu vực cấp số lịch sử: TP.HCM. Nguồn CFS.</x:v>
      </x:c>
      <x:c r="R86" t="str">
        <x:v>https://tracuu.medinet.org.vn/category/cosodulieukhac/gxn-cfs</x:v>
      </x:c>
      <x:c r="S86" t="str">
        <x:v>TP. Hồ Chí Minh</x:v>
      </x:c>
      <x:c r="T86" t="str">
        <x:v>79</x:v>
      </x:c>
    </x:row>
    <x:row r="87">
      <x:c r="A87" t="n">
        <x:v>86</x:v>
      </x:c>
      <x:c r="B87" s="330"/>
      <x:c r="C87" s="330" t="n">
        <x:v>45814</x:v>
      </x:c>
      <x:c r="D87" t="n">
        <x:v>2025</x:v>
      </x:c>
      <x:c r="E87"/>
      <x:c r="F87" t="str">
        <x:v>002002/25/CBMP-HCM</x:v>
      </x:c>
      <x:c r="G87"/>
      <x:c r="H87" t="str">
        <x:v>DOVE BODY WASH SKIN RENEWAL</x:v>
      </x:c>
      <x:c r="I87" t="str">
        <x:v>DOVE</x:v>
      </x:c>
      <x:c r="J87" t="str">
        <x:v>Sữa tắm/Gel tắm</x:v>
      </x:c>
      <x:c r="K87" t="str">
        <x:v>CFS</x:v>
      </x:c>
      <x:c r="L87" t="str">
        <x:v>CÔNG TY TNHH QUỐC TẾ UNILEVER VIỆT NAM</x:v>
      </x:c>
      <x:c r="M87" t="str">
        <x:v>Lô A2-3 KCN Tây Bắc Củ Chi, Xã Tân An Hội, Thành phố Hồ Chí Minh</x:v>
      </x:c>
      <x:c r="N87" t="str">
        <x:v>CÔNG TY TNHH QUỐC TẾ UNILEVER VIỆT NAM</x:v>
      </x:c>
      <x:c r="O87" t="str">
        <x:v>Chưa đối chiếu thu hồi</x:v>
      </x:c>
      <x:c r="P87" t="str">
        <x:v>Nguồn chính thức Sở Y tế TP.HCM – cross-check số công bố</x:v>
      </x:c>
      <x:c r="Q87" t="str">
        <x:v>Khu vực cấp số lịch sử: TP.HCM. Nguồn CFS.</x:v>
      </x:c>
      <x:c r="R87" t="str">
        <x:v>https://tracuu.medinet.org.vn/category/cosodulieukhac/gxn-cfs</x:v>
      </x:c>
      <x:c r="S87" t="str">
        <x:v>TP. Hồ Chí Minh</x:v>
      </x:c>
      <x:c r="T87" t="str">
        <x:v>79</x:v>
      </x:c>
    </x:row>
    <x:row r="88">
      <x:c r="A88" t="n">
        <x:v>87</x:v>
      </x:c>
      <x:c r="B88" s="330"/>
      <x:c r="C88" s="330" t="n">
        <x:v>45786</x:v>
      </x:c>
      <x:c r="D88" t="n">
        <x:v>2025</x:v>
      </x:c>
      <x:c r="E88"/>
      <x:c r="F88" t="str">
        <x:v>001199/25/CBMP-HCM</x:v>
      </x:c>
      <x:c r="G88"/>
      <x:c r="H88" t="str">
        <x:v>SIGNAL TOOTHPASTE GUM EXPERT FRESH</x:v>
      </x:c>
      <x:c r="I88" t="str">
        <x:v>SIGNAL</x:v>
      </x:c>
      <x:c r="J88" t="str">
        <x:v>Chăm sóc răng miệng</x:v>
      </x:c>
      <x:c r="K88" t="str">
        <x:v>CFS</x:v>
      </x:c>
      <x:c r="L88" t="str">
        <x:v>CÔNG TY TNHH QUỐC TẾ UNILEVER VIỆT NAM</x:v>
      </x:c>
      <x:c r="M88" t="str">
        <x:v>Lô A2-3 KCN Tây Bắc Củ Chi, Xã Tân An Hội, Thành phố Hồ Chí Minh</x:v>
      </x:c>
      <x:c r="N88" t="str">
        <x:v>CÔNG TY TNHH QUỐC TẾ UNILEVER VIỆT NAM</x:v>
      </x:c>
      <x:c r="O88" t="str">
        <x:v>Chưa đối chiếu thu hồi</x:v>
      </x:c>
      <x:c r="P88" t="str">
        <x:v>Nguồn chính thức Sở Y tế TP.HCM – cross-check số công bố</x:v>
      </x:c>
      <x:c r="Q88" t="str">
        <x:v>Khu vực cấp số lịch sử: TP.HCM. Nguồn CFS.</x:v>
      </x:c>
      <x:c r="R88" t="str">
        <x:v>https://tracuu.medinet.org.vn/category/cosodulieukhac/gxn-cfs</x:v>
      </x:c>
      <x:c r="S88" t="str">
        <x:v>TP. Hồ Chí Minh</x:v>
      </x:c>
      <x:c r="T88" t="str">
        <x:v>79</x:v>
      </x:c>
    </x:row>
    <x:row r="89">
      <x:c r="A89" t="n">
        <x:v>88</x:v>
      </x:c>
      <x:c r="B89" s="330"/>
      <x:c r="C89" s="330" t="n">
        <x:v>45786</x:v>
      </x:c>
      <x:c r="D89" t="n">
        <x:v>2025</x:v>
      </x:c>
      <x:c r="E89"/>
      <x:c r="F89" t="str">
        <x:v>001200/25/CBMP-HCM</x:v>
      </x:c>
      <x:c r="G89"/>
      <x:c r="H89" t="str">
        <x:v>SIGNAL TOOTHPASTE GUM EXPERT WHITENING</x:v>
      </x:c>
      <x:c r="I89" t="str">
        <x:v>SIGNAL</x:v>
      </x:c>
      <x:c r="J89" t="str">
        <x:v>Chăm sóc răng miệng</x:v>
      </x:c>
      <x:c r="K89" t="str">
        <x:v>CFS</x:v>
      </x:c>
      <x:c r="L89" t="str">
        <x:v>CÔNG TY TNHH QUỐC TẾ UNILEVER VIỆT NAM</x:v>
      </x:c>
      <x:c r="M89" t="str">
        <x:v>Lô A2-3 KCN Tây Bắc Củ Chi, Xã Tân An Hội, Thành phố Hồ Chí Minh</x:v>
      </x:c>
      <x:c r="N89" t="str">
        <x:v>CÔNG TY TNHH QUỐC TẾ UNILEVER VIỆT NAM</x:v>
      </x:c>
      <x:c r="O89" t="str">
        <x:v>Chưa đối chiếu thu hồi</x:v>
      </x:c>
      <x:c r="P89" t="str">
        <x:v>Nguồn chính thức Sở Y tế TP.HCM – cross-check số công bố</x:v>
      </x:c>
      <x:c r="Q89" t="str">
        <x:v>Khu vực cấp số lịch sử: TP.HCM. Nguồn CFS.</x:v>
      </x:c>
      <x:c r="R89" t="str">
        <x:v>https://tracuu.medinet.org.vn/category/cosodulieukhac/gxn-cfs</x:v>
      </x:c>
      <x:c r="S89" t="str">
        <x:v>TP. Hồ Chí Minh</x:v>
      </x:c>
      <x:c r="T89" t="str">
        <x:v>79</x:v>
      </x:c>
    </x:row>
    <x:row r="90">
      <x:c r="A90" t="n">
        <x:v>89</x:v>
      </x:c>
      <x:c r="B90" s="330"/>
      <x:c r="C90" s="330" t="n">
        <x:v>45786</x:v>
      </x:c>
      <x:c r="D90" t="n">
        <x:v>2025</x:v>
      </x:c>
      <x:c r="E90"/>
      <x:c r="F90" t="str">
        <x:v>001201/25/CBMP-HCM</x:v>
      </x:c>
      <x:c r="G90"/>
      <x:c r="H90" t="str">
        <x:v>SIGNAL TOOTHPASTE SENSITIVE EXPERT FRESH</x:v>
      </x:c>
      <x:c r="I90" t="str">
        <x:v>SIGNAL</x:v>
      </x:c>
      <x:c r="J90" t="str">
        <x:v>Chăm sóc răng miệng</x:v>
      </x:c>
      <x:c r="K90" t="str">
        <x:v>CFS</x:v>
      </x:c>
      <x:c r="L90" t="str">
        <x:v>CÔNG TY TNHH QUỐC TẾ UNILEVER VIỆT NAM</x:v>
      </x:c>
      <x:c r="M90" t="str">
        <x:v>Lô A2-3 KCN Tây Bắc Củ Chi, Xã Tân An Hội, Thành phố Hồ Chí Minh</x:v>
      </x:c>
      <x:c r="N90" t="str">
        <x:v>CÔNG TY TNHH QUỐC TẾ UNILEVER VIỆT NAM</x:v>
      </x:c>
      <x:c r="O90" t="str">
        <x:v>Chưa đối chiếu thu hồi</x:v>
      </x:c>
      <x:c r="P90" t="str">
        <x:v>Nguồn chính thức Sở Y tế TP.HCM – cross-check số công bố</x:v>
      </x:c>
      <x:c r="Q90" t="str">
        <x:v>Khu vực cấp số lịch sử: TP.HCM. Nguồn CFS.</x:v>
      </x:c>
      <x:c r="R90" t="str">
        <x:v>https://tracuu.medinet.org.vn/category/cosodulieukhac/gxn-cfs</x:v>
      </x:c>
      <x:c r="S90" t="str">
        <x:v>TP. Hồ Chí Minh</x:v>
      </x:c>
      <x:c r="T90" t="str">
        <x:v>79</x:v>
      </x:c>
    </x:row>
    <x:row r="91">
      <x:c r="A91" t="n">
        <x:v>90</x:v>
      </x:c>
      <x:c r="B91" s="330"/>
      <x:c r="C91" s="330" t="n">
        <x:v>45786</x:v>
      </x:c>
      <x:c r="D91" t="n">
        <x:v>2025</x:v>
      </x:c>
      <x:c r="E91"/>
      <x:c r="F91" t="str">
        <x:v>001202/25/CBMP-HCM</x:v>
      </x:c>
      <x:c r="G91"/>
      <x:c r="H91" t="str">
        <x:v>SIGNAL TOOTHPASTE SENSITIVE EXPERT WHITENING</x:v>
      </x:c>
      <x:c r="I91" t="str">
        <x:v>SIGNAL</x:v>
      </x:c>
      <x:c r="J91" t="str">
        <x:v>Chăm sóc răng miệng</x:v>
      </x:c>
      <x:c r="K91" t="str">
        <x:v>CFS</x:v>
      </x:c>
      <x:c r="L91" t="str">
        <x:v>CÔNG TY TNHH QUỐC TẾ UNILEVER VIỆT NAM</x:v>
      </x:c>
      <x:c r="M91" t="str">
        <x:v>Lô A2-3 KCN Tây Bắc Củ Chi, Xã Tân An Hội, Thành phố Hồ Chí Minh</x:v>
      </x:c>
      <x:c r="N91" t="str">
        <x:v>CÔNG TY TNHH QUỐC TẾ UNILEVER VIỆT NAM</x:v>
      </x:c>
      <x:c r="O91" t="str">
        <x:v>Chưa đối chiếu thu hồi</x:v>
      </x:c>
      <x:c r="P91" t="str">
        <x:v>Nguồn chính thức Sở Y tế TP.HCM – cross-check số công bố</x:v>
      </x:c>
      <x:c r="Q91" t="str">
        <x:v>Khu vực cấp số lịch sử: TP.HCM. Nguồn CFS.</x:v>
      </x:c>
      <x:c r="R91" t="str">
        <x:v>https://tracuu.medinet.org.vn/category/cosodulieukhac/gxn-cfs</x:v>
      </x:c>
      <x:c r="S91" t="str">
        <x:v>TP. Hồ Chí Minh</x:v>
      </x:c>
      <x:c r="T91" t="str">
        <x:v>79</x:v>
      </x:c>
    </x:row>
    <x:row r="92">
      <x:c r="A92" t="n">
        <x:v>91</x:v>
      </x:c>
      <x:c r="B92" s="330"/>
      <x:c r="C92" s="330" t="n">
        <x:v>45856</x:v>
      </x:c>
      <x:c r="D92" t="n">
        <x:v>2024</x:v>
      </x:c>
      <x:c r="E92"/>
      <x:c r="F92" t="str">
        <x:v>779/24/CBMP-ĐN</x:v>
      </x:c>
      <x:c r="G92"/>
      <x:c r="H92" t="str">
        <x:v>Hanayuki Sunscreen Body</x:v>
      </x:c>
      <x:c r="I92" t="str">
        <x:v>Hanayuki Empire of Beauty</x:v>
      </x:c>
      <x:c r="J92" t="str">
        <x:v>Kem chống nắng</x:v>
      </x:c>
      <x:c r="K92" t="str">
        <x:v>Cross-check pháp lý</x:v>
      </x:c>
      <x:c r="L92" t="str">
        <x:v>Công ty TNHH Thương mại dịch vụ VB Group</x:v>
      </x:c>
      <x:c r="M92" t="str">
        <x:v>TP. Hồ Chí Minh</x:v>
      </x:c>
      <x:c r="N92" t="str">
        <x:v>Công ty Cổ phần Nhà máy Y tế EBC Đồng Nai (trước đây TNHH EBC Group)</x:v>
      </x:c>
      <x:c r="O92" t="str">
        <x:v>Đình chỉ lưu hành, thu hồi</x:v>
      </x:c>
      <x:c r="P92" t="str">
        <x:v>Nguồn nhà nước – VOV dẫn văn bản Sở Y tế/Cục QLD</x:v>
      </x:c>
      <x:c r="Q92" t="str">
        <x:v>Số công bố 779/24/CBMP-ĐN; lô 0010125; nguồn nêu sản phẩm bị đình chỉ/thu hồi.</x:v>
      </x:c>
      <x:c r="R92" t="str">
        <x:v>https://vov.gov.vn/dong-nai-de-nghi-xu-phat-hanh-chinh-vu-kem-chong-nang-hanayuki-sunscreen-body-dtnew-1086398</x:v>
      </x:c>
      <x:c r="S92" t="str">
        <x:v>Đà Nẵng</x:v>
      </x:c>
      <x:c r="T92" t="str">
        <x:v>48</x:v>
      </x:c>
    </x:row>
    <x:row r="93">
      <x:c r="A93" t="n">
        <x:v>92</x:v>
      </x:c>
      <x:c r="B93" s="330"/>
      <x:c r="C93" s="330" t="n">
        <x:v>46020</x:v>
      </x:c>
      <x:c r="D93" t="n">
        <x:v>2024</x:v>
      </x:c>
      <x:c r="E93"/>
      <x:c r="F93" t="str">
        <x:v>780/24/CBMP-ĐN</x:v>
      </x:c>
      <x:c r="G93"/>
      <x:c r="H93" t="str">
        <x:v>Hanayuki Shampoo</x:v>
      </x:c>
      <x:c r="I93" t="str">
        <x:v>Hanayuki Empire of Beauty</x:v>
      </x:c>
      <x:c r="J93" t="str">
        <x:v>Dầu gội</x:v>
      </x:c>
      <x:c r="K93" t="str">
        <x:v>Cross-check pháp lý</x:v>
      </x:c>
      <x:c r="L93" t="str">
        <x:v>Công ty TNHH Thương mại dịch vụ VB Group</x:v>
      </x:c>
      <x:c r="M93" t="str">
        <x:v>TP. Hồ Chí Minh</x:v>
      </x:c>
      <x:c r="N93" t="str">
        <x:v>Công ty Cổ phần Nhà máy Y tế EBC Đồng Nai (trước đây TNHH EBC Group)</x:v>
      </x:c>
      <x:c r="O93" t="str">
        <x:v>Có cảnh báo pháp lý/đang làm rõ</x:v>
      </x:c>
      <x:c r="P93" t="str">
        <x:v>Nguồn chính thức – Sở Y tế Bà Rịa–Vũng Tàu</x:v>
      </x:c>
      <x:c r="Q93" t="str">
        <x:v>Nguồn dẫn việc tiếp tục làm rõ sản phẩm; không ghi là đã thu hồi số tiếp nhận nếu nguồn chưa kết luận.</x:v>
      </x:c>
      <x:c r="R93" t="str">
        <x:v>https://soyte.baria-vungtau.gov.vn/Dinh-chi-luu-hanh-thu-hoi-nhieu-my-pham-khong-dat-tieu-chuan-chat-luong-2-3-4-123.html</x:v>
      </x:c>
      <x:c r="S93" t="str">
        <x:v>Đà Nẵng</x:v>
      </x:c>
      <x:c r="T93" t="str">
        <x:v>48</x:v>
      </x:c>
    </x:row>
    <x:row r="94">
      <x:c r="A94" t="n">
        <x:v>93</x:v>
      </x:c>
      <x:c r="B94" s="330"/>
      <x:c r="C94" s="330" t="n">
        <x:v>46020</x:v>
      </x:c>
      <x:c r="D94" t="n">
        <x:v>2024</x:v>
      </x:c>
      <x:c r="E94"/>
      <x:c r="F94" t="str">
        <x:v>792/24/CBMP-ĐN</x:v>
      </x:c>
      <x:c r="G94"/>
      <x:c r="H94" t="str">
        <x:v>VB Soft &amp; Silk</x:v>
      </x:c>
      <x:c r="I94" t="str">
        <x:v>Hanayuki Empire of Beauty</x:v>
      </x:c>
      <x:c r="J94" t="str">
        <x:v>Khác</x:v>
      </x:c>
      <x:c r="K94" t="str">
        <x:v>Cross-check pháp lý</x:v>
      </x:c>
      <x:c r="L94" t="str">
        <x:v>Công ty TNHH Thương mại dịch vụ VB Group</x:v>
      </x:c>
      <x:c r="M94" t="str">
        <x:v>TP. Hồ Chí Minh</x:v>
      </x:c>
      <x:c r="N94" t="str">
        <x:v>Công ty Cổ phần Nhà máy Y tế EBC Đồng Nai (trước đây TNHH EBC Group)</x:v>
      </x:c>
      <x:c r="O94" t="str">
        <x:v>Có cảnh báo pháp lý/đang làm rõ</x:v>
      </x:c>
      <x:c r="P94" t="str">
        <x:v>Nguồn chính thức – Sở Y tế Bà Rịa–Vũng Tàu</x:v>
      </x:c>
      <x:c r="Q94" t="str">
        <x:v>Nguồn dẫn việc tiếp tục làm rõ sản phẩm; loại sản phẩm chưa đủ dữ liệu để phân nhóm chi tiết.</x:v>
      </x:c>
      <x:c r="R94" t="str">
        <x:v>https://soyte.baria-vungtau.gov.vn/Dinh-chi-luu-hanh-thu-hoi-nhieu-my-pham-khong-dat-tieu-chuan-chat-luong-2-3-4-123.html</x:v>
      </x:c>
      <x:c r="S94" t="str">
        <x:v>Đà Nẵng</x:v>
      </x:c>
      <x:c r="T94" t="str">
        <x:v>48</x:v>
      </x:c>
    </x:row>
    <x:row r="95">
      <x:c r="A95" t="n">
        <x:v>94</x:v>
      </x:c>
      <x:c r="B95" s="330"/>
      <x:c r="C95" s="330" t="n">
        <x:v>45856</x:v>
      </x:c>
      <x:c r="D95" t="n">
        <x:v>2024</x:v>
      </x:c>
      <x:c r="E95"/>
      <x:c r="F95" t="str">
        <x:v>794/24/CBMP-ĐN</x:v>
      </x:c>
      <x:c r="G95"/>
      <x:c r="H95" t="str">
        <x:v>Hanayuki Conditioner</x:v>
      </x:c>
      <x:c r="I95" t="str">
        <x:v>Hanayuki Empire of Beauty</x:v>
      </x:c>
      <x:c r="J95" t="str">
        <x:v>Dầu xả</x:v>
      </x:c>
      <x:c r="K95" t="str">
        <x:v>Cross-check pháp lý</x:v>
      </x:c>
      <x:c r="L95" t="str">
        <x:v>Công ty TNHH Thương mại dịch vụ VB Group</x:v>
      </x:c>
      <x:c r="M95" t="str">
        <x:v>TP. Hồ Chí Minh</x:v>
      </x:c>
      <x:c r="N95" t="str">
        <x:v>Công ty Cổ phần Nhà máy Y tế EBC Đồng Nai (trước đây TNHH EBC Group)</x:v>
      </x:c>
      <x:c r="O95" t="str">
        <x:v>Đình chỉ lưu hành, thu hồi</x:v>
      </x:c>
      <x:c r="P95" t="str">
        <x:v>Nguồn nhà nước – VOV dẫn Cục Quản lý Dược</x:v>
      </x:c>
      <x:c r="Q95" t="str">
        <x:v>Số công bố 794/24/CBMP-ĐN; lô 0010125; nguồn nêu đình chỉ lưu hành, thu hồi.</x:v>
      </x:c>
      <x:c r="R95" t="str">
        <x:v>https://vov.gov.vn/2-cong-ty-my-pham-lien-quan-chong-doan-di-bang-bi-yeu-cau-tam-dung-san-xuat-dtnew-1086843</x:v>
      </x:c>
      <x:c r="S95" t="str">
        <x:v>Đà Nẵng</x:v>
      </x:c>
      <x:c r="T95" t="str">
        <x:v>48</x:v>
      </x:c>
    </x:row>
    <x:row r="96">
      <x:c r="A96" t="n">
        <x:v>95</x:v>
      </x:c>
      <x:c r="B96" s="330"/>
      <x:c r="C96" s="330" t="n">
        <x:v>46020</x:v>
      </x:c>
      <x:c r="D96" t="n">
        <x:v>2023</x:v>
      </x:c>
      <x:c r="E96"/>
      <x:c r="F96" t="str">
        <x:v>001454/23/CBMP-HCM</x:v>
      </x:c>
      <x:c r="G96"/>
      <x:c r="H96" t="str">
        <x:v>Adaphil Gentle Skin Cleanser</x:v>
      </x:c>
      <x:c r="I96" t="str">
        <x:v>Adaphil</x:v>
      </x:c>
      <x:c r="J96" t="str">
        <x:v>Sữa rửa mặt</x:v>
      </x:c>
      <x:c r="K96" t="str">
        <x:v>Cross-check pháp lý</x:v>
      </x:c>
      <x:c r="L96" t="str">
        <x:v>Công ty TNHH MTV sản xuất dược - mỹ phẩm GAMMA</x:v>
      </x:c>
      <x:c r="M96" t="str">
        <x:v>18 Nguyễn Hậu, phường Tân Thành, quận Tân Phú, TP.HCM</x:v>
      </x:c>
      <x:c r="N96" t="str">
        <x:v>Công ty TNHH MTV sản xuất dược - mỹ phẩm GAMMA</x:v>
      </x:c>
      <x:c r="O96" t="str">
        <x:v>Đình chỉ lưu hành, thu hồi</x:v>
      </x:c>
      <x:c r="P96" t="str">
        <x:v>Nguồn chính thức – Sở Y tế Bà Rịa–Vũng Tàu</x:v>
      </x:c>
      <x:c r="Q96" t="str">
        <x:v>Địa chỉ sản xuất: 201/21 Nguyễn Thị Nê, ấp Phú Hiệp, xã Phú Hòa Đông, huyện Củ Chi; thu hồi do có Methylparaben và Propylparaben không có trong công thức đã công bố.</x:v>
      </x:c>
      <x:c r="R96" t="str">
        <x:v>https://soyte.baria-vungtau.gov.vn/Dinh-chi-luu-hanh-thu-hoi-nhieu-my-pham-khong-dat-tieu-chuan-chat-luong-2-3-4-123.html</x:v>
      </x:c>
      <x:c r="S96" t="str">
        <x:v>TP. Hồ Chí Minh</x:v>
      </x:c>
      <x:c r="T96" t="str">
        <x:v>79</x:v>
      </x:c>
    </x:row>
    <x:row r="97">
      <x:c r="A97" t="n">
        <x:v>96</x:v>
      </x:c>
      <x:c r="B97" s="330" t="n">
        <x:v>46167</x:v>
      </x:c>
      <x:c r="C97" s="330" t="n">
        <x:v>46247</x:v>
      </x:c>
      <x:c r="D97" t="n">
        <x:v>2026</x:v>
      </x:c>
      <x:c r="E97" t="n">
        <x:v>5</x:v>
      </x:c>
      <x:c r="F97" t="str">
        <x:v>4604/26/CBMP-HCM</x:v>
      </x:c>
      <x:c r="G97" t="str">
        <x:v>H29.19-260512-0001</x:v>
      </x:c>
      <x:c r="H97" t="str">
        <x:v>CODE 10 VIBE ROLL-ON DEO IARCTIC COOL</x:v>
      </x:c>
      <x:c r="I97" t="str">
        <x:v>CODE 10 VIBE</x:v>
      </x:c>
      <x:c r="J97" t="str">
        <x:v>Khử mùi</x:v>
      </x:c>
      <x:c r="K97" t="str">
        <x:v>Phiếu công bố trực tiếp</x:v>
      </x:c>
      <x:c r="L97" t="str">
        <x:v>CÔNG TY CỔ PHẦN MARICO SOUTH EAST ASIA</x:v>
      </x:c>
      <x:c r="M97"/>
      <x:c r="N97" t="str">
        <x:v>CÔNG TY CỔ PHẦN MARICO SOUTH EAST ASIA</x:v>
      </x:c>
      <x:c r="O97" t="str">
        <x:v>Chưa đối chiếu thu hồi</x:v>
      </x:c>
      <x:c r="P97" t="str">
        <x:v>Tra cứu trực tiếp Phiếu tiếp nhận Công bố mỹ phẩm – Sở Y tế TP.HCM</x:v>
      </x:c>
      <x:c r="Q97" t="str">
        <x:v>Tra cứu trực tiếp tại kho Phiếu tiếp nhận Công bố mỹ phẩm của Sở Y tế TP.HCM.</x:v>
      </x:c>
      <x:c r="R97" t="str">
        <x:v>https://tracuu.medinet.org.vn/category/cosodulieukhac/congbo-mypham</x:v>
      </x:c>
      <x:c r="S97" t="str">
        <x:v>TP. Hồ Chí Minh</x:v>
      </x:c>
      <x:c r="T97" t="str">
        <x:v>79</x:v>
      </x:c>
    </x:row>
    <x:row r="98">
      <x:c r="A98" t="n">
        <x:v>97</x:v>
      </x:c>
      <x:c r="B98" s="330" t="n">
        <x:v>46155</x:v>
      </x:c>
      <x:c r="C98" s="330" t="n">
        <x:v>46247</x:v>
      </x:c>
      <x:c r="D98" t="n">
        <x:v>2026</x:v>
      </x:c>
      <x:c r="E98" t="n">
        <x:v>5</x:v>
      </x:c>
      <x:c r="F98" t="str">
        <x:v>4149/26/CBMP-HCM</x:v>
      </x:c>
      <x:c r="G98" t="str">
        <x:v>H29.19-260429-0007</x:v>
      </x:c>
      <x:c r="H98" t="str">
        <x:v>DẦU GỘI PHỤC HỒI HƯ TỔN</x:v>
      </x:c>
      <x:c r="I98" t="str">
        <x:v>ÔLIV NATURAL NOURISH</x:v>
      </x:c>
      <x:c r="J98" t="str">
        <x:v>Dầu gội</x:v>
      </x:c>
      <x:c r="K98" t="str">
        <x:v>Phiếu công bố trực tiếp</x:v>
      </x:c>
      <x:c r="L98" t="str">
        <x:v>CÔNG TY CỔ PHẦN MARICO SOUTH EAST ASIA</x:v>
      </x:c>
      <x:c r="M98"/>
      <x:c r="N98" t="str">
        <x:v>CÔNG TY CỔ PHẦN MARICO SOUTH EAST ASIA</x:v>
      </x:c>
      <x:c r="O98" t="str">
        <x:v>Chưa đối chiếu thu hồi</x:v>
      </x:c>
      <x:c r="P98" t="str">
        <x:v>Tra cứu trực tiếp Phiếu tiếp nhận Công bố mỹ phẩm – Sở Y tế TP.HCM</x:v>
      </x:c>
      <x:c r="Q98" t="str">
        <x:v>Tra cứu trực tiếp tại kho Phiếu tiếp nhận Công bố mỹ phẩm của Sở Y tế TP.HCM.</x:v>
      </x:c>
      <x:c r="R98" t="str">
        <x:v>https://tracuu.medinet.org.vn/category/cosodulieukhac/congbo-mypham</x:v>
      </x:c>
      <x:c r="S98" t="str">
        <x:v>TP. Hồ Chí Minh</x:v>
      </x:c>
      <x:c r="T98" t="str">
        <x:v>79</x:v>
      </x:c>
    </x:row>
    <x:row r="99">
      <x:c r="A99" t="n">
        <x:v>98</x:v>
      </x:c>
      <x:c r="B99" s="330" t="n">
        <x:v>46119</x:v>
      </x:c>
      <x:c r="C99" s="330" t="n">
        <x:v>46247</x:v>
      </x:c>
      <x:c r="D99" t="n">
        <x:v>2026</x:v>
      </x:c>
      <x:c r="E99" t="n">
        <x:v>4</x:v>
      </x:c>
      <x:c r="F99" t="str">
        <x:v>2859/26/CBMP-HCM</x:v>
      </x:c>
      <x:c r="G99" t="str">
        <x:v>H29.19-260328-0006</x:v>
      </x:c>
      <x:c r="H99" t="str">
        <x:v>BODY DAYLISSE</x:v>
      </x:c>
      <x:c r="I99" t="str">
        <x:v>NANOVA COSMETIC</x:v>
      </x:c>
      <x:c r="J99" t="str">
        <x:v>Kem body</x:v>
      </x:c>
      <x:c r="K99" t="str">
        <x:v>Phiếu công bố trực tiếp</x:v>
      </x:c>
      <x:c r="L99" t="str">
        <x:v>CÔNG TY TNHH THƯƠNG MẠI LONG KHANG</x:v>
      </x:c>
      <x:c r="M99"/>
      <x:c r="N99" t="str">
        <x:v>CÔNG TY TNHH HANACOS VIETNAM – CHI NHÁNH TÂN TẠO</x:v>
      </x:c>
      <x:c r="O99" t="str">
        <x:v>Chưa đối chiếu thu hồi</x:v>
      </x:c>
      <x:c r="P99" t="str">
        <x:v>Tra cứu trực tiếp Phiếu tiếp nhận Công bố mỹ phẩm – Sở Y tế TP.HCM</x:v>
      </x:c>
      <x:c r="Q99" t="str">
        <x:v>Tra cứu trực tiếp tại kho Phiếu tiếp nhận Công bố mỹ phẩm của Sở Y tế TP.HCM.</x:v>
      </x:c>
      <x:c r="R99" t="str">
        <x:v>https://tracuu.medinet.org.vn/category/cosodulieukhac/congbo-mypham</x:v>
      </x:c>
      <x:c r="S99" t="str">
        <x:v>TP. Hồ Chí Minh</x:v>
      </x:c>
      <x:c r="T99" t="str">
        <x:v>79</x:v>
      </x:c>
    </x:row>
    <x:row r="100">
      <x:c r="A100" t="n">
        <x:v>99</x:v>
      </x:c>
      <x:c r="B100" s="330" t="n">
        <x:v>46055</x:v>
      </x:c>
      <x:c r="C100" s="330" t="n">
        <x:v>46247</x:v>
      </x:c>
      <x:c r="D100" t="n">
        <x:v>2026</x:v>
      </x:c>
      <x:c r="E100" t="n">
        <x:v>2</x:v>
      </x:c>
      <x:c r="F100" t="str">
        <x:v>000793/26/CBMP-HCM</x:v>
      </x:c>
      <x:c r="G100" t="str">
        <x:v>260123-180030</x:v>
      </x:c>
      <x:c r="H100" t="str">
        <x:v>ALPHA FRESH COOLING CLEANSER</x:v>
      </x:c>
      <x:c r="I100" t="str">
        <x:v>ALPHA MAN THE FORMULA OF CHARISMA</x:v>
      </x:c>
      <x:c r="J100" t="str">
        <x:v>Sữa rửa mặt</x:v>
      </x:c>
      <x:c r="K100" t="str">
        <x:v>Phiếu công bố trực tiếp</x:v>
      </x:c>
      <x:c r="L100" t="str">
        <x:v>CÔNG TY TNHH SẢN XUẤT VÀ THƯƠNG MẠI TM&amp;TD VIỆT NAM</x:v>
      </x:c>
      <x:c r="M100" t="str">
        <x:v>Số 28 đường Thượng Thụy thôn Nội, Xã Hoài Đức, Thành phố Hà Nội, Việt Nam</x:v>
      </x:c>
      <x:c r="N100" t="str">
        <x:v>Chi nhánh Công ty TNHH Đầu tư sản xuất và Xuất nhập khẩu Kanna Cosmetics</x:v>
      </x:c>
      <x:c r="O100" t="str">
        <x:v>Chưa đối chiếu thu hồi</x:v>
      </x:c>
      <x:c r="P100" t="str">
        <x:v>Tra cứu trực tiếp Phiếu tiếp nhận Công bố mỹ phẩm – Sở Y tế TP.HCM</x:v>
      </x:c>
      <x:c r="Q100" t="str">
        <x:v>Tra cứu trực tiếp tại kho Phiếu tiếp nhận Công bố mỹ phẩm của Sở Y tế TP.HCM.</x:v>
      </x:c>
      <x:c r="R100" t="str">
        <x:v>https://tracuu.medinet.org.vn/category/cosodulieukhac/congbo-mypham</x:v>
      </x:c>
      <x:c r="S100" t="str">
        <x:v>TP. Hồ Chí Minh</x:v>
      </x:c>
      <x:c r="T100" t="str">
        <x:v>79</x:v>
      </x:c>
    </x:row>
    <x:row r="101">
      <x:c r="A101" t="n">
        <x:v>100</x:v>
      </x:c>
      <x:c r="B101" s="330" t="n">
        <x:v>46055</x:v>
      </x:c>
      <x:c r="C101" s="330" t="n">
        <x:v>46247</x:v>
      </x:c>
      <x:c r="D101" t="n">
        <x:v>2026</x:v>
      </x:c>
      <x:c r="E101" t="n">
        <x:v>2</x:v>
      </x:c>
      <x:c r="F101" t="str">
        <x:v>000820/26/CBMP-HCM</x:v>
      </x:c>
      <x:c r="G101" t="str">
        <x:v>260123-180056</x:v>
      </x:c>
      <x:c r="H101" t="str">
        <x:v>BIOESSENCE MASK O GLB</x:v>
      </x:c>
      <x:c r="I101" t="str">
        <x:v>Keyshu</x:v>
      </x:c>
      <x:c r="J101" t="str">
        <x:v>Mặt nạ</x:v>
      </x:c>
      <x:c r="K101" t="str">
        <x:v>Phiếu công bố trực tiếp</x:v>
      </x:c>
      <x:c r="L101" t="str">
        <x:v>CÔNG TY TNHH SINH DƯỢC BIO</x:v>
      </x:c>
      <x:c r="M101" t="str">
        <x:v>Lô D10-1, Cụm công nghiệp làng nghề Tân Triều, Thôn Triều Khúc, Phường Thanh Liệt, Thành phố Hà Nội, Việt Nam</x:v>
      </x:c>
      <x:c r="N101" t="str">
        <x:v>CHI NHÁNH CÔNG TY TNHH ĐẦU TƯ SẢN XUẤT VÀ XUẤT NHẬP KHẨU KANNA COSMETICS</x:v>
      </x:c>
      <x:c r="O101" t="str">
        <x:v>Chưa đối chiếu thu hồi</x:v>
      </x:c>
      <x:c r="P101" t="str">
        <x:v>Tra cứu trực tiếp Phiếu tiếp nhận Công bố mỹ phẩm – Sở Y tế TP.HCM</x:v>
      </x:c>
      <x:c r="Q101" t="str">
        <x:v>Tra cứu trực tiếp tại kho Phiếu tiếp nhận Công bố mỹ phẩm của Sở Y tế TP.HCM.</x:v>
      </x:c>
      <x:c r="R101" t="str">
        <x:v>https://tracuu.medinet.org.vn/category/cosodulieukhac/congbo-mypham</x:v>
      </x:c>
      <x:c r="S101" t="str">
        <x:v>TP. Hồ Chí Minh</x:v>
      </x:c>
      <x:c r="T101" t="str">
        <x:v>79</x:v>
      </x:c>
    </x:row>
    <x:row r="102">
      <x:c r="A102" t="n">
        <x:v>101</x:v>
      </x:c>
      <x:c r="B102" s="330" t="n">
        <x:v>46055</x:v>
      </x:c>
      <x:c r="C102" s="330" t="n">
        <x:v>46247</x:v>
      </x:c>
      <x:c r="D102" t="n">
        <x:v>2026</x:v>
      </x:c>
      <x:c r="E102" t="n">
        <x:v>2</x:v>
      </x:c>
      <x:c r="F102" t="str">
        <x:v>000832/26/CBMP-HCM</x:v>
      </x:c>
      <x:c r="G102" t="str">
        <x:v>260123-180058</x:v>
      </x:c>
      <x:c r="H102" t="str">
        <x:v>BIOESSENCE MASK PRE</x:v>
      </x:c>
      <x:c r="I102" t="str">
        <x:v>Keyshu</x:v>
      </x:c>
      <x:c r="J102" t="str">
        <x:v>Mặt nạ</x:v>
      </x:c>
      <x:c r="K102" t="str">
        <x:v>Phiếu công bố trực tiếp</x:v>
      </x:c>
      <x:c r="L102" t="str">
        <x:v>CÔNG TY TNHH SINH DƯỢC BIO</x:v>
      </x:c>
      <x:c r="M102" t="str">
        <x:v>Lô D10-1, Cụm công nghiệp làng nghề Tân Triều, Thôn Triều Khúc, Phường Thanh Liệt, Thành phố Hà Nội, Việt Nam</x:v>
      </x:c>
      <x:c r="N102" t="str">
        <x:v>CHI NHÁNH CÔNG TY TNHH ĐẦU TƯ SẢN XUẤT VÀ XUẤT NHẬP KHẨU KANNA COSMETICS</x:v>
      </x:c>
      <x:c r="O102" t="str">
        <x:v>Chưa đối chiếu thu hồi</x:v>
      </x:c>
      <x:c r="P102" t="str">
        <x:v>Tra cứu trực tiếp Phiếu tiếp nhận Công bố mỹ phẩm – Sở Y tế TP.HCM</x:v>
      </x:c>
      <x:c r="Q102" t="str">
        <x:v>Tra cứu trực tiếp tại kho Phiếu tiếp nhận Công bố mỹ phẩm của Sở Y tế TP.HCM.</x:v>
      </x:c>
      <x:c r="R102" t="str">
        <x:v>https://tracuu.medinet.org.vn/category/cosodulieukhac/congbo-mypham</x:v>
      </x:c>
      <x:c r="S102" t="str">
        <x:v>TP. Hồ Chí Minh</x:v>
      </x:c>
      <x:c r="T102" t="str">
        <x:v>79</x:v>
      </x:c>
    </x:row>
    <x:row r="103">
      <x:c r="A103" t="n">
        <x:v>102</x:v>
      </x:c>
      <x:c r="B103" s="330" t="n">
        <x:v>46055</x:v>
      </x:c>
      <x:c r="C103" s="330" t="n">
        <x:v>46247</x:v>
      </x:c>
      <x:c r="D103" t="n">
        <x:v>2026</x:v>
      </x:c>
      <x:c r="E103" t="n">
        <x:v>2</x:v>
      </x:c>
      <x:c r="F103" t="str">
        <x:v>000823/26/CBMP-HCM</x:v>
      </x:c>
      <x:c r="G103" t="str">
        <x:v>260126-180154</x:v>
      </x:c>
      <x:c r="H103" t="str">
        <x:v>BKLUXURY LUXURY GIRL</x:v>
      </x:c>
      <x:c r="I103" t="str">
        <x:v>BKLUXURY</x:v>
      </x:c>
      <x:c r="J103" t="str">
        <x:v>Nước hoa</x:v>
      </x:c>
      <x:c r="K103" t="str">
        <x:v>Phiếu công bố trực tiếp</x:v>
      </x:c>
      <x:c r="L103" t="str">
        <x:v>CÔNG TY CÔ PHẦN CHARME PERFUME</x:v>
      </x:c>
      <x:c r="M103" t="str">
        <x:v>314 Hoàng Văn Thụ, phường Tân Sơn Hòa, TP.HCM</x:v>
      </x:c>
      <x:c r="N103" t="str">
        <x:v>NHÀ MÁY CÔNG TY CÔNG TY CỔ PHẦN CHARME PERFUME – ĐỊA ĐIỂM KINH DOANH</x:v>
      </x:c>
      <x:c r="O103" t="str">
        <x:v>Chưa đối chiếu thu hồi</x:v>
      </x:c>
      <x:c r="P103" t="str">
        <x:v>Tra cứu trực tiếp Phiếu tiếp nhận Công bố mỹ phẩm – Sở Y tế TP.HCM</x:v>
      </x:c>
      <x:c r="Q103" t="str">
        <x:v>Tra cứu trực tiếp tại kho Phiếu tiếp nhận Công bố mỹ phẩm của Sở Y tế TP.HCM.</x:v>
      </x:c>
      <x:c r="R103" t="str">
        <x:v>https://tracuu.medinet.org.vn/category/cosodulieukhac/congbo-mypham</x:v>
      </x:c>
      <x:c r="S103" t="str">
        <x:v>TP. Hồ Chí Minh</x:v>
      </x:c>
      <x:c r="T103" t="str">
        <x:v>79</x:v>
      </x:c>
    </x:row>
    <x:row r="104">
      <x:c r="A104" t="n">
        <x:v>103</x:v>
      </x:c>
      <x:c r="B104" s="330" t="n">
        <x:v>46055</x:v>
      </x:c>
      <x:c r="C104" s="330" t="n">
        <x:v>46247</x:v>
      </x:c>
      <x:c r="D104" t="n">
        <x:v>2026</x:v>
      </x:c>
      <x:c r="E104" t="n">
        <x:v>2</x:v>
      </x:c>
      <x:c r="F104" t="str">
        <x:v>000856/26/CBMP-HCM</x:v>
      </x:c>
      <x:c r="G104" t="str">
        <x:v>260126-0007</x:v>
      </x:c>
      <x:c r="H104" t="str">
        <x:v>BODY DƯỠNG TRẮNG, MỊN DA, GIỮ ẨM DA</x:v>
      </x:c>
      <x:c r="I104" t="str">
        <x:v>TOP-GEL</x:v>
      </x:c>
      <x:c r="J104" t="str">
        <x:v>Kem body</x:v>
      </x:c>
      <x:c r="K104" t="str">
        <x:v>Phiếu công bố trực tiếp</x:v>
      </x:c>
      <x:c r="L104" t="str">
        <x:v>CÔNG TY TNHH DƯỢC MỸ PHẨM GIA PHÚC</x:v>
      </x:c>
      <x:c r="M104" t="str">
        <x:v>19 Khu B, Đường số 2, Khu TĐC Cảng Phú Định, Phường Phú Định, Thành Phố Hồ Chí Minh, Việt Nam.</x:v>
      </x:c>
      <x:c r="N104" t="str">
        <x:v>CHI NHÁNH TÂN TẠO - CÔNG TY CỔ PHẦN DƯỢC &amp; MỸ PHẨM GIA PHÚ</x:v>
      </x:c>
      <x:c r="O104" t="str">
        <x:v>Chưa đối chiếu thu hồi</x:v>
      </x:c>
      <x:c r="P104" t="str">
        <x:v>Tra cứu trực tiếp Phiếu tiếp nhận Công bố mỹ phẩm – Sở Y tế TP.HCM</x:v>
      </x:c>
      <x:c r="Q104" t="str">
        <x:v>Tra cứu trực tiếp tại kho Phiếu tiếp nhận Công bố mỹ phẩm của Sở Y tế TP.HCM.</x:v>
      </x:c>
      <x:c r="R104" t="str">
        <x:v>https://tracuu.medinet.org.vn/category/cosodulieukhac/congbo-mypham</x:v>
      </x:c>
      <x:c r="S104" t="str">
        <x:v>TP. Hồ Chí Minh</x:v>
      </x:c>
      <x:c r="T104" t="str">
        <x:v>79</x:v>
      </x:c>
    </x:row>
    <x:row r="105">
      <x:c r="A105" t="n">
        <x:v>104</x:v>
      </x:c>
      <x:c r="B105" s="330" t="n">
        <x:v>46055</x:v>
      </x:c>
      <x:c r="C105" s="330" t="n">
        <x:v>46247</x:v>
      </x:c>
      <x:c r="D105" t="n">
        <x:v>2026</x:v>
      </x:c>
      <x:c r="E105" t="n">
        <x:v>2</x:v>
      </x:c>
      <x:c r="F105" t="str">
        <x:v>000807/26/CBMP-HCM</x:v>
      </x:c>
      <x:c r="G105" t="str">
        <x:v>260127-180077</x:v>
      </x:c>
      <x:c r="H105" t="str">
        <x:v>BODY MIST NO1</x:v>
      </x:c>
      <x:c r="I105" t="str">
        <x:v>DC COS</x:v>
      </x:c>
      <x:c r="J105" t="str">
        <x:v>Nước hoa</x:v>
      </x:c>
      <x:c r="K105" t="str">
        <x:v>Phiếu công bố trực tiếp</x:v>
      </x:c>
      <x:c r="L105" t="str">
        <x:v>CÔNG TY TNHH DƯỢC MỸ PHẨM DC COS</x:v>
      </x:c>
      <x:c r="M105" t="str">
        <x:v>366/20H Đường Lê Văn Quới, Phường Bình Hưng Hòa, TP.HCM</x:v>
      </x:c>
      <x:c r="N105" t="str">
        <x:v>Công ty TNHH Dược Mỹ Phẩm DC COS</x:v>
      </x:c>
      <x:c r="O105" t="str">
        <x:v>Chưa đối chiếu thu hồi</x:v>
      </x:c>
      <x:c r="P105" t="str">
        <x:v>Tra cứu trực tiếp Phiếu tiếp nhận Công bố mỹ phẩm – Sở Y tế TP.HCM</x:v>
      </x:c>
      <x:c r="Q105" t="str">
        <x:v>Tra cứu trực tiếp tại kho Phiếu tiếp nhận Công bố mỹ phẩm của Sở Y tế TP.HCM.</x:v>
      </x:c>
      <x:c r="R105" t="str">
        <x:v>https://tracuu.medinet.org.vn/category/cosodulieukhac/congbo-mypham</x:v>
      </x:c>
      <x:c r="S105" t="str">
        <x:v>TP. Hồ Chí Minh</x:v>
      </x:c>
      <x:c r="T105" t="str">
        <x:v>79</x:v>
      </x:c>
    </x:row>
    <x:row r="106">
      <x:c r="A106" t="n">
        <x:v>105</x:v>
      </x:c>
      <x:c r="B106" s="330" t="n">
        <x:v>46055</x:v>
      </x:c>
      <x:c r="C106" s="330" t="n">
        <x:v>46247</x:v>
      </x:c>
      <x:c r="D106" t="n">
        <x:v>2026</x:v>
      </x:c>
      <x:c r="E106" t="n">
        <x:v>2</x:v>
      </x:c>
      <x:c r="F106" t="str">
        <x:v>000815/26/CBMP-HCM</x:v>
      </x:c>
      <x:c r="G106" t="str">
        <x:v>260127-180091</x:v>
      </x:c>
      <x:c r="H106" t="str">
        <x:v>BRIGHTENING NIACINAMIDE MASK</x:v>
      </x:c>
      <x:c r="I106" t="str">
        <x:v>DITISKIN</x:v>
      </x:c>
      <x:c r="J106" t="str">
        <x:v>Mặt nạ</x:v>
      </x:c>
      <x:c r="K106" t="str">
        <x:v>Phiếu công bố trực tiếp</x:v>
      </x:c>
      <x:c r="L106" t="str">
        <x:v>CÔNG TY TNHH MTV DITASKIN</x:v>
      </x:c>
      <x:c r="M106" t="str">
        <x:v>251/19 đường Lê Văn Thọ, Phường Thông Tây Hội Thành phố Hồ Chí Minh, Việt Nam</x:v>
      </x:c>
      <x:c r="N106" t="str">
        <x:v>Công ty Cổ phần Dược Mỹ phẩm Greencos</x:v>
      </x:c>
      <x:c r="O106" t="str">
        <x:v>Chưa đối chiếu thu hồi</x:v>
      </x:c>
      <x:c r="P106" t="str">
        <x:v>Tra cứu trực tiếp Phiếu tiếp nhận Công bố mỹ phẩm – Sở Y tế TP.HCM</x:v>
      </x:c>
      <x:c r="Q106" t="str">
        <x:v>Tra cứu trực tiếp tại kho Phiếu tiếp nhận Công bố mỹ phẩm của Sở Y tế TP.HCM.</x:v>
      </x:c>
      <x:c r="R106" t="str">
        <x:v>https://tracuu.medinet.org.vn/category/cosodulieukhac/congbo-mypham</x:v>
      </x:c>
      <x:c r="S106" t="str">
        <x:v>TP. Hồ Chí Minh</x:v>
      </x:c>
      <x:c r="T106" t="str">
        <x:v>79</x:v>
      </x:c>
    </x:row>
    <x:row r="107">
      <x:c r="A107" t="n">
        <x:v>106</x:v>
      </x:c>
      <x:c r="B107" s="330" t="n">
        <x:v>46055</x:v>
      </x:c>
      <x:c r="C107" s="330" t="n">
        <x:v>46247</x:v>
      </x:c>
      <x:c r="D107" t="n">
        <x:v>2026</x:v>
      </x:c>
      <x:c r="E107" t="n">
        <x:v>2</x:v>
      </x:c>
      <x:c r="F107" t="str">
        <x:v>000887/26/CBMP-HCM</x:v>
      </x:c>
      <x:c r="G107" t="str">
        <x:v>260117-0007</x:v>
      </x:c>
      <x:c r="H107" t="str">
        <x:v>CALM &amp; ACNE SERUM</x:v>
      </x:c>
      <x:c r="I107" t="str">
        <x:v>MLYNN</x:v>
      </x:c>
      <x:c r="J107" t="str">
        <x:v>Serum/Essence da</x:v>
      </x:c>
      <x:c r="K107" t="str">
        <x:v>Phiếu công bố trực tiếp</x:v>
      </x:c>
      <x:c r="L107" t="str">
        <x:v>CÔNG TY TNHH GREEN LIFE MAI LINH</x:v>
      </x:c>
      <x:c r="M107" t="str">
        <x:v>Số 20 Trần Thị Sớm ( khu tập thể Z753), tổ 1 Hòa Tây, Phường Bắc Nha Trang, tỉnh Khánh Hòa, Việt Nam</x:v>
      </x:c>
      <x:c r="N107" t="str">
        <x:v>CÔNG TY TNHH HANACOS VIETNAM - CHI NHÁNH TÂN TẠO</x:v>
      </x:c>
      <x:c r="O107" t="str">
        <x:v>Chưa đối chiếu thu hồi</x:v>
      </x:c>
      <x:c r="P107" t="str">
        <x:v>Tra cứu trực tiếp Phiếu tiếp nhận Công bố mỹ phẩm – Sở Y tế TP.HCM</x:v>
      </x:c>
      <x:c r="Q107" t="str">
        <x:v>Tra cứu trực tiếp tại kho Phiếu tiếp nhận Công bố mỹ phẩm của Sở Y tế TP.HCM.</x:v>
      </x:c>
      <x:c r="R107" t="str">
        <x:v>https://tracuu.medinet.org.vn/category/cosodulieukhac/congbo-mypham</x:v>
      </x:c>
      <x:c r="S107" t="str">
        <x:v>TP. Hồ Chí Minh</x:v>
      </x:c>
      <x:c r="T107" t="str">
        <x:v>79</x:v>
      </x:c>
    </x:row>
    <x:row r="108">
      <x:c r="A108" t="n">
        <x:v>107</x:v>
      </x:c>
      <x:c r="B108" s="330" t="n">
        <x:v>46055</x:v>
      </x:c>
      <x:c r="C108" s="330" t="n">
        <x:v>46247</x:v>
      </x:c>
      <x:c r="D108" t="n">
        <x:v>2026</x:v>
      </x:c>
      <x:c r="E108" t="n">
        <x:v>2</x:v>
      </x:c>
      <x:c r="F108" t="str">
        <x:v>000875/26/CBMP-HCM</x:v>
      </x:c>
      <x:c r="G108" t="str">
        <x:v>260117-0003</x:v>
      </x:c>
      <x:c r="H108" t="str">
        <x:v>CALMING MULTIACTION ANTI-ACNE GEL</x:v>
      </x:c>
      <x:c r="I108" t="str">
        <x:v>EMMIÉ BY HAPPYSKIN</x:v>
      </x:c>
      <x:c r="J108" t="str">
        <x:v>Kem dưỡng da</x:v>
      </x:c>
      <x:c r="K108" t="str">
        <x:v>Phiếu công bố trực tiếp</x:v>
      </x:c>
      <x:c r="L108" t="str">
        <x:v>CÔNG TY CỔ PHẦN IBP HOLDINGS</x:v>
      </x:c>
      <x:c r="M108" t="str">
        <x:v>Tầng 5, Tòa nhà Fimexco, số 231-233 Lê Thánh Tôn, Phường Bến Thành, Thành phố Hồ Chí Minh, Việt Nam</x:v>
      </x:c>
      <x:c r="N108" t="str">
        <x:v>CÔNG TY TNHH HANACOS VIETNAM - CHI NHÁNH TÂN TẠO</x:v>
      </x:c>
      <x:c r="O108" t="str">
        <x:v>Chưa đối chiếu thu hồi</x:v>
      </x:c>
      <x:c r="P108" t="str">
        <x:v>Tra cứu trực tiếp Phiếu tiếp nhận Công bố mỹ phẩm – Sở Y tế TP.HCM</x:v>
      </x:c>
      <x:c r="Q108" t="str">
        <x:v>Tra cứu trực tiếp tại kho Phiếu tiếp nhận Công bố mỹ phẩm của Sở Y tế TP.HCM.</x:v>
      </x:c>
      <x:c r="R108" t="str">
        <x:v>https://tracuu.medinet.org.vn/category/cosodulieukhac/congbo-mypham</x:v>
      </x:c>
      <x:c r="S108" t="str">
        <x:v>TP. Hồ Chí Minh</x:v>
      </x:c>
      <x:c r="T108" t="str">
        <x:v>79</x:v>
      </x:c>
    </x:row>
    <x:row r="109">
      <x:c r="A109" t="n">
        <x:v>108</x:v>
      </x:c>
      <x:c r="B109" s="330" t="n">
        <x:v>46055</x:v>
      </x:c>
      <x:c r="C109" s="330" t="n">
        <x:v>46247</x:v>
      </x:c>
      <x:c r="D109" t="n">
        <x:v>2026</x:v>
      </x:c>
      <x:c r="E109" t="n">
        <x:v>2</x:v>
      </x:c>
      <x:c r="F109" t="str">
        <x:v>000809/26/CBMP-HCM</x:v>
      </x:c>
      <x:c r="G109" t="str">
        <x:v>260127-180077</x:v>
      </x:c>
      <x:c r="H109" t="str">
        <x:v>CELESTIA FLAME</x:v>
      </x:c>
      <x:c r="I109" t="str">
        <x:v>THALORA</x:v>
      </x:c>
      <x:c r="J109" t="str">
        <x:v>Nước hoa</x:v>
      </x:c>
      <x:c r="K109" t="str">
        <x:v>Phiếu công bố trực tiếp</x:v>
      </x:c>
      <x:c r="L109" t="str">
        <x:v>CÔNG TY TNHH DƯỢC MỸ PHẨM DC COS</x:v>
      </x:c>
      <x:c r="M109" t="str">
        <x:v>366/20H Đường Lê Văn Quới, Phường Bình Hưng Hòa, TP.HCM</x:v>
      </x:c>
      <x:c r="N109" t="str">
        <x:v>Công ty TNHH Dược Mỹ Phẩm DC COS</x:v>
      </x:c>
      <x:c r="O109" t="str">
        <x:v>Chưa đối chiếu thu hồi</x:v>
      </x:c>
      <x:c r="P109" t="str">
        <x:v>Tra cứu trực tiếp Phiếu tiếp nhận Công bố mỹ phẩm – Sở Y tế TP.HCM</x:v>
      </x:c>
      <x:c r="Q109" t="str">
        <x:v>Tra cứu trực tiếp tại kho Phiếu tiếp nhận Công bố mỹ phẩm của Sở Y tế TP.HCM.</x:v>
      </x:c>
      <x:c r="R109" t="str">
        <x:v>https://tracuu.medinet.org.vn/category/cosodulieukhac/congbo-mypham</x:v>
      </x:c>
      <x:c r="S109" t="str">
        <x:v>TP. Hồ Chí Minh</x:v>
      </x:c>
      <x:c r="T109" t="str">
        <x:v>79</x:v>
      </x:c>
    </x:row>
    <x:row r="110">
      <x:c r="A110" t="n">
        <x:v>109</x:v>
      </x:c>
      <x:c r="B110" s="330" t="n">
        <x:v>46055</x:v>
      </x:c>
      <x:c r="C110" s="330" t="n">
        <x:v>46247</x:v>
      </x:c>
      <x:c r="D110" t="n">
        <x:v>2026</x:v>
      </x:c>
      <x:c r="E110" t="n">
        <x:v>2</x:v>
      </x:c>
      <x:c r="F110" t="str">
        <x:v>000894/26/CBMP-HCM</x:v>
      </x:c>
      <x:c r="G110" t="str">
        <x:v>260125-0004</x:v>
      </x:c>
      <x:c r="H110" t="str">
        <x:v>CHARCOAL AND HEARTLEAF CLARIFYING MASK</x:v>
      </x:c>
      <x:c r="I110" t="str">
        <x:v>Lazy Bee</x:v>
      </x:c>
      <x:c r="J110" t="str">
        <x:v>Mặt nạ</x:v>
      </x:c>
      <x:c r="K110" t="str">
        <x:v>Phiếu công bố trực tiếp</x:v>
      </x:c>
      <x:c r="L110" t="str">
        <x:v>CÔNG TY TNHH ENABLER PLUS</x:v>
      </x:c>
      <x:c r="M110" t="str">
        <x:v>68 Nguyễn Huệ, Phường Sài Gòn, Thành phố Hồ Chí Minh, Việt Nam</x:v>
      </x:c>
      <x:c r="N110" t="str">
        <x:v>CÔNG TY TNHH HANACOS VIETNAM - CHI NHÁNH TÂN TẠO</x:v>
      </x:c>
      <x:c r="O110" t="str">
        <x:v>Chưa đối chiếu thu hồi</x:v>
      </x:c>
      <x:c r="P110" t="str">
        <x:v>Tra cứu trực tiếp Phiếu tiếp nhận Công bố mỹ phẩm – Sở Y tế TP.HCM</x:v>
      </x:c>
      <x:c r="Q110" t="str">
        <x:v>Tra cứu trực tiếp tại kho Phiếu tiếp nhận Công bố mỹ phẩm của Sở Y tế TP.HCM.</x:v>
      </x:c>
      <x:c r="R110" t="str">
        <x:v>https://tracuu.medinet.org.vn/category/cosodulieukhac/congbo-mypham</x:v>
      </x:c>
      <x:c r="S110" t="str">
        <x:v>TP. Hồ Chí Minh</x:v>
      </x:c>
      <x:c r="T110" t="str">
        <x:v>79</x:v>
      </x:c>
    </x:row>
    <x:row r="111">
      <x:c r="A111" t="n">
        <x:v>110</x:v>
      </x:c>
      <x:c r="B111" s="330" t="n">
        <x:v>46055</x:v>
      </x:c>
      <x:c r="C111" s="330" t="n">
        <x:v>46247</x:v>
      </x:c>
      <x:c r="D111" t="n">
        <x:v>2026</x:v>
      </x:c>
      <x:c r="E111" t="n">
        <x:v>2</x:v>
      </x:c>
      <x:c r="F111" t="str">
        <x:v>000792/26/CBMP-HCM</x:v>
      </x:c>
      <x:c r="G111" t="str">
        <x:v>260126-180151</x:v>
      </x:c>
      <x:c r="H111" t="str">
        <x:v>CHARME GOOD MEN</x:v>
      </x:c>
      <x:c r="I111" t="str">
        <x:v>CHARME</x:v>
      </x:c>
      <x:c r="J111" t="str">
        <x:v>Nước hoa</x:v>
      </x:c>
      <x:c r="K111" t="str">
        <x:v>Phiếu công bố trực tiếp</x:v>
      </x:c>
      <x:c r="L111" t="str">
        <x:v>CÔNG TY CỔ PHẦN CHARME PERFUME</x:v>
      </x:c>
      <x:c r="M111" t="str">
        <x:v>313 Hoàng Văn Thụ, phường Tân Sơn Hòa, TP.HCM</x:v>
      </x:c>
      <x:c r="N111" t="str">
        <x:v>NHÀ MÁY CÔNG TY CỔ PHẦN CHARME PERFUME – ĐỊA ĐIỂM KINH DOANH</x:v>
      </x:c>
      <x:c r="O111" t="str">
        <x:v>Chưa đối chiếu thu hồi</x:v>
      </x:c>
      <x:c r="P111" t="str">
        <x:v>Tra cứu trực tiếp Phiếu tiếp nhận Công bố mỹ phẩm – Sở Y tế TP.HCM</x:v>
      </x:c>
      <x:c r="Q111" t="str">
        <x:v>Tra cứu trực tiếp tại kho Phiếu tiếp nhận Công bố mỹ phẩm của Sở Y tế TP.HCM.</x:v>
      </x:c>
      <x:c r="R111" t="str">
        <x:v>https://tracuu.medinet.org.vn/category/cosodulieukhac/congbo-mypham</x:v>
      </x:c>
      <x:c r="S111" t="str">
        <x:v>TP. Hồ Chí Minh</x:v>
      </x:c>
      <x:c r="T111" t="str">
        <x:v>79</x:v>
      </x:c>
    </x:row>
    <x:row r="112">
      <x:c r="A112" t="n">
        <x:v>111</x:v>
      </x:c>
      <x:c r="B112" s="330" t="n">
        <x:v>46055</x:v>
      </x:c>
      <x:c r="C112" s="330" t="n">
        <x:v>46247</x:v>
      </x:c>
      <x:c r="D112" t="n">
        <x:v>2026</x:v>
      </x:c>
      <x:c r="E112" t="n">
        <x:v>2</x:v>
      </x:c>
      <x:c r="F112" t="str">
        <x:v>000789/26/CBMP-HCM</x:v>
      </x:c>
      <x:c r="G112" t="str">
        <x:v>260126-180151</x:v>
      </x:c>
      <x:c r="H112" t="str">
        <x:v>CHARME GOOD MEN</x:v>
      </x:c>
      <x:c r="I112" t="str">
        <x:v>CHARME</x:v>
      </x:c>
      <x:c r="J112" t="str">
        <x:v>Nước hoa</x:v>
      </x:c>
      <x:c r="K112" t="str">
        <x:v>Phiếu công bố trực tiếp</x:v>
      </x:c>
      <x:c r="L112" t="str">
        <x:v>CÔNG TY CỔ PHẦN CHARME PERFUME</x:v>
      </x:c>
      <x:c r="M112" t="str">
        <x:v>313 Hoàng Văn Thụ, phường Tân Sơn Hòa, TP.HCM</x:v>
      </x:c>
      <x:c r="N112" t="str">
        <x:v>NHÀ MÁY CÔNG TY CỔ PHẦN CHARME PERFUME – ĐỊA ĐIỂM KINH DOANH</x:v>
      </x:c>
      <x:c r="O112" t="str">
        <x:v>Chưa đối chiếu thu hồi</x:v>
      </x:c>
      <x:c r="P112" t="str">
        <x:v>Tra cứu trực tiếp Phiếu tiếp nhận Công bố mỹ phẩm – Sở Y tế TP.HCM</x:v>
      </x:c>
      <x:c r="Q112" t="str">
        <x:v>Tra cứu trực tiếp tại kho Phiếu tiếp nhận Công bố mỹ phẩm của Sở Y tế TP.HCM.</x:v>
      </x:c>
      <x:c r="R112" t="str">
        <x:v>https://tracuu.medinet.org.vn/category/cosodulieukhac/congbo-mypham</x:v>
      </x:c>
      <x:c r="S112" t="str">
        <x:v>TP. Hồ Chí Minh</x:v>
      </x:c>
      <x:c r="T112" t="str">
        <x:v>79</x:v>
      </x:c>
    </x:row>
    <x:row r="113">
      <x:c r="A113" t="n">
        <x:v>112</x:v>
      </x:c>
      <x:c r="B113" s="330" t="n">
        <x:v>44966</x:v>
      </x:c>
      <x:c r="C113" s="330" t="n">
        <x:v>45709</x:v>
      </x:c>
      <x:c r="D113" t="n">
        <x:v>2023</x:v>
      </x:c>
      <x:c r="E113" t="n">
        <x:v>2</x:v>
      </x:c>
      <x:c r="F113" t="str">
        <x:v>000270/23/CBMP-HCM</x:v>
      </x:c>
      <x:c r="G113"/>
      <x:c r="H113" t="str">
        <x:v>ALYNA mặt nạ bơ dưỡng da</x:v>
      </x:c>
      <x:c r="I113" t="str">
        <x:v>ALYNA</x:v>
      </x:c>
      <x:c r="J113" t="str">
        <x:v>Mặt nạ</x:v>
      </x:c>
      <x:c r="K113" t="str">
        <x:v>Mặt nạ dưỡng da</x:v>
      </x:c>
      <x:c r="L113" t="str">
        <x:v>Công ty TNHH Sản xuất Thương mại Xuất Nhập khẩu Tạ Minh Quang</x:v>
      </x:c>
      <x:c r="M113" t="str">
        <x:v>15 Đường 3C, Phường An Lạc A, Quận Bình Tân, TP.HCM</x:v>
      </x:c>
      <x:c r="N113" t="str">
        <x:v>Chi nhánh Công ty TNHH Sản xuất Thương mại Xuất Nhập khẩu Tạ Minh Quang – Nhà máy Mỹ phẩm Tạ Minh Quang</x:v>
      </x:c>
      <x:c r="O113" t="str">
        <x:v>Thu hồi số tiếp nhận (2025)</x:v>
      </x:c>
      <x:c r="P113" t="str">
        <x:v>Xác minh chính thức qua Quyết định Sở Y tế TP.HCM; nguồn đăng lại Sở Y tế Quảng Ninh</x:v>
      </x:c>
      <x:c r="Q113" t="str">
        <x:v>Số công bố và ngày cấp nằm trong danh sách 38 số bị thu hồi; lý do công ty tự đề nghị thu hồi.</x:v>
      </x:c>
      <x:c r="R113" t="str">
        <x:v>https://soytequangninh.gov.vn/trang-chu/huong-dan-nghiep-vu/linh-vuc-duoc/thong-bao-ve-viec-thu-hoi-so-tiep-nhan-phieu-cong-bo-san-pha3.html</x:v>
      </x:c>
      <x:c r="S113" t="str">
        <x:v>TP. Hồ Chí Minh</x:v>
      </x:c>
      <x:c r="T113" t="str">
        <x:v>79</x:v>
      </x:c>
    </x:row>
    <x:row r="114">
      <x:c r="A114" t="n">
        <x:v>113</x:v>
      </x:c>
      <x:c r="B114" s="330" t="n">
        <x:v>45069</x:v>
      </x:c>
      <x:c r="C114" s="330" t="n">
        <x:v>45709</x:v>
      </x:c>
      <x:c r="D114" t="n">
        <x:v>2023</x:v>
      </x:c>
      <x:c r="E114" t="n">
        <x:v>5</x:v>
      </x:c>
      <x:c r="F114" t="str">
        <x:v>002123/23/CBMP-HCM</x:v>
      </x:c>
      <x:c r="G114"/>
      <x:c r="H114" t="str">
        <x:v>ALYNA mặt nạ bơ dưỡng da</x:v>
      </x:c>
      <x:c r="I114" t="str">
        <x:v>ALYNA</x:v>
      </x:c>
      <x:c r="J114" t="str">
        <x:v>Mặt nạ</x:v>
      </x:c>
      <x:c r="K114" t="str">
        <x:v>Mặt nạ dưỡng da</x:v>
      </x:c>
      <x:c r="L114" t="str">
        <x:v>Công ty TNHH Sản xuất Thương mại Xuất Nhập khẩu Tạ Minh Quang</x:v>
      </x:c>
      <x:c r="M114" t="str">
        <x:v>15 Đường 3C, Phường An Lạc A, Quận Bình Tân, TP.HCM</x:v>
      </x:c>
      <x:c r="N114" t="str">
        <x:v>Chi nhánh Công ty TNHH Sản xuất Thương mại Xuất Nhập khẩu Tạ Minh Quang – Nhà máy Mỹ phẩm Tạ Minh Quang</x:v>
      </x:c>
      <x:c r="O114" t="str">
        <x:v>Thu hồi số tiếp nhận (2025)</x:v>
      </x:c>
      <x:c r="P114" t="str">
        <x:v>Xác minh chính thức qua Quyết định Sở Y tế TP.HCM; nguồn đăng lại Sở Y tế Quảng Ninh</x:v>
      </x:c>
      <x:c r="Q114" t="str">
        <x:v>Số công bố và ngày cấp nằm trong danh sách 38 số bị thu hồi; lý do công ty tự đề nghị thu hồi.</x:v>
      </x:c>
      <x:c r="R114" t="str">
        <x:v>https://soytequangninh.gov.vn/trang-chu/huong-dan-nghiep-vu/linh-vuc-duoc/thong-bao-ve-viec-thu-hoi-so-tiep-nhan-phieu-cong-bo-san-pha3.html</x:v>
      </x:c>
      <x:c r="S114" t="str">
        <x:v>TP. Hồ Chí Minh</x:v>
      </x:c>
      <x:c r="T114" t="str">
        <x:v>79</x:v>
      </x:c>
    </x:row>
    <x:row r="115">
      <x:c r="A115" t="n">
        <x:v>114</x:v>
      </x:c>
      <x:c r="B115" s="330" t="n">
        <x:v>44966</x:v>
      </x:c>
      <x:c r="C115" s="330" t="n">
        <x:v>45709</x:v>
      </x:c>
      <x:c r="D115" t="n">
        <x:v>2023</x:v>
      </x:c>
      <x:c r="E115" t="n">
        <x:v>2</x:v>
      </x:c>
      <x:c r="F115" t="str">
        <x:v>000271/23/CBMP-HCM</x:v>
      </x:c>
      <x:c r="G115"/>
      <x:c r="H115" t="str">
        <x:v>ALYNA mặt nạ cà chua dưỡng da</x:v>
      </x:c>
      <x:c r="I115" t="str">
        <x:v>ALYNA</x:v>
      </x:c>
      <x:c r="J115" t="str">
        <x:v>Mặt nạ</x:v>
      </x:c>
      <x:c r="K115" t="str">
        <x:v>Mặt nạ dưỡng da</x:v>
      </x:c>
      <x:c r="L115" t="str">
        <x:v>Công ty TNHH Sản xuất Thương mại Xuất Nhập khẩu Tạ Minh Quang</x:v>
      </x:c>
      <x:c r="M115" t="str">
        <x:v>15 Đường 3C, Phường An Lạc A, Quận Bình Tân, TP.HCM</x:v>
      </x:c>
      <x:c r="N115" t="str">
        <x:v>Chi nhánh Công ty TNHH Sản xuất Thương mại Xuất Nhập khẩu Tạ Minh Quang – Nhà máy Mỹ phẩm Tạ Minh Quang</x:v>
      </x:c>
      <x:c r="O115" t="str">
        <x:v>Thu hồi số tiếp nhận (2025)</x:v>
      </x:c>
      <x:c r="P115" t="str">
        <x:v>Xác minh chính thức qua Quyết định Sở Y tế TP.HCM; nguồn đăng lại Sở Y tế Quảng Ninh</x:v>
      </x:c>
      <x:c r="Q115" t="str">
        <x:v>Số công bố và ngày cấp nằm trong danh sách 38 số bị thu hồi; lý do công ty tự đề nghị thu hồi.</x:v>
      </x:c>
      <x:c r="R115" t="str">
        <x:v>https://soytequangninh.gov.vn/trang-chu/huong-dan-nghiep-vu/linh-vuc-duoc/thong-bao-ve-viec-thu-hoi-so-tiep-nhan-phieu-cong-bo-san-pha3.html</x:v>
      </x:c>
      <x:c r="S115" t="str">
        <x:v>TP. Hồ Chí Minh</x:v>
      </x:c>
      <x:c r="T115" t="str">
        <x:v>79</x:v>
      </x:c>
    </x:row>
    <x:row r="116">
      <x:c r="A116" t="n">
        <x:v>115</x:v>
      </x:c>
      <x:c r="B116" s="330" t="n">
        <x:v>45069</x:v>
      </x:c>
      <x:c r="C116" s="330" t="n">
        <x:v>45709</x:v>
      </x:c>
      <x:c r="D116" t="n">
        <x:v>2023</x:v>
      </x:c>
      <x:c r="E116" t="n">
        <x:v>5</x:v>
      </x:c>
      <x:c r="F116" t="str">
        <x:v>002118/23/CBMP-HCM</x:v>
      </x:c>
      <x:c r="G116"/>
      <x:c r="H116" t="str">
        <x:v>ALYNA mặt nạ cà chua dưỡng da</x:v>
      </x:c>
      <x:c r="I116" t="str">
        <x:v>ALYNA</x:v>
      </x:c>
      <x:c r="J116" t="str">
        <x:v>Mặt nạ</x:v>
      </x:c>
      <x:c r="K116" t="str">
        <x:v>Mặt nạ dưỡng da</x:v>
      </x:c>
      <x:c r="L116" t="str">
        <x:v>Công ty TNHH Sản xuất Thương mại Xuất Nhập khẩu Tạ Minh Quang</x:v>
      </x:c>
      <x:c r="M116" t="str">
        <x:v>15 Đường 3C, Phường An Lạc A, Quận Bình Tân, TP.HCM</x:v>
      </x:c>
      <x:c r="N116" t="str">
        <x:v>Chi nhánh Công ty TNHH Sản xuất Thương mại Xuất Nhập khẩu Tạ Minh Quang – Nhà máy Mỹ phẩm Tạ Minh Quang</x:v>
      </x:c>
      <x:c r="O116" t="str">
        <x:v>Thu hồi số tiếp nhận (2025)</x:v>
      </x:c>
      <x:c r="P116" t="str">
        <x:v>Xác minh chính thức qua Quyết định Sở Y tế TP.HCM; nguồn đăng lại Sở Y tế Quảng Ninh</x:v>
      </x:c>
      <x:c r="Q116" t="str">
        <x:v>Số công bố và ngày cấp nằm trong danh sách 38 số bị thu hồi; lý do công ty tự đề nghị thu hồi.</x:v>
      </x:c>
      <x:c r="R116" t="str">
        <x:v>https://soytequangninh.gov.vn/trang-chu/huong-dan-nghiep-vu/linh-vuc-duoc/thong-bao-ve-viec-thu-hoi-so-tiep-nhan-phieu-cong-bo-san-pha3.html</x:v>
      </x:c>
      <x:c r="S116" t="str">
        <x:v>TP. Hồ Chí Minh</x:v>
      </x:c>
      <x:c r="T116" t="str">
        <x:v>79</x:v>
      </x:c>
    </x:row>
    <x:row r="117">
      <x:c r="A117" t="n">
        <x:v>116</x:v>
      </x:c>
      <x:c r="B117" s="330" t="n">
        <x:v>44966</x:v>
      </x:c>
      <x:c r="C117" s="330" t="n">
        <x:v>45709</x:v>
      </x:c>
      <x:c r="D117" t="n">
        <x:v>2023</x:v>
      </x:c>
      <x:c r="E117" t="n">
        <x:v>2</x:v>
      </x:c>
      <x:c r="F117" t="str">
        <x:v>000272/23/CBMP-HCM</x:v>
      </x:c>
      <x:c r="G117"/>
      <x:c r="H117" t="str">
        <x:v>ALYNA mặt nạ dâu dưỡng da</x:v>
      </x:c>
      <x:c r="I117" t="str">
        <x:v>ALYNA</x:v>
      </x:c>
      <x:c r="J117" t="str">
        <x:v>Mặt nạ</x:v>
      </x:c>
      <x:c r="K117" t="str">
        <x:v>Mặt nạ dưỡng da</x:v>
      </x:c>
      <x:c r="L117" t="str">
        <x:v>Công ty TNHH Sản xuất Thương mại Xuất Nhập khẩu Tạ Minh Quang</x:v>
      </x:c>
      <x:c r="M117" t="str">
        <x:v>15 Đường 3C, Phường An Lạc A, Quận Bình Tân, TP.HCM</x:v>
      </x:c>
      <x:c r="N117" t="str">
        <x:v>Chi nhánh Công ty TNHH Sản xuất Thương mại Xuất Nhập khẩu Tạ Minh Quang – Nhà máy Mỹ phẩm Tạ Minh Quang</x:v>
      </x:c>
      <x:c r="O117" t="str">
        <x:v>Thu hồi số tiếp nhận (2025)</x:v>
      </x:c>
      <x:c r="P117" t="str">
        <x:v>Xác minh chính thức qua Quyết định Sở Y tế TP.HCM; nguồn đăng lại Sở Y tế Quảng Ninh</x:v>
      </x:c>
      <x:c r="Q117" t="str">
        <x:v>Số công bố và ngày cấp nằm trong danh sách 38 số bị thu hồi; lý do công ty tự đề nghị thu hồi.</x:v>
      </x:c>
      <x:c r="R117" t="str">
        <x:v>https://soytequangninh.gov.vn/trang-chu/huong-dan-nghiep-vu/linh-vuc-duoc/thong-bao-ve-viec-thu-hoi-so-tiep-nhan-phieu-cong-bo-san-pha3.html</x:v>
      </x:c>
      <x:c r="S117" t="str">
        <x:v>TP. Hồ Chí Minh</x:v>
      </x:c>
      <x:c r="T117" t="str">
        <x:v>79</x:v>
      </x:c>
    </x:row>
    <x:row r="118">
      <x:c r="A118" t="n">
        <x:v>117</x:v>
      </x:c>
      <x:c r="B118" s="330" t="n">
        <x:v>45069</x:v>
      </x:c>
      <x:c r="C118" s="330" t="n">
        <x:v>45709</x:v>
      </x:c>
      <x:c r="D118" t="n">
        <x:v>2023</x:v>
      </x:c>
      <x:c r="E118" t="n">
        <x:v>5</x:v>
      </x:c>
      <x:c r="F118" t="str">
        <x:v>002119/23/CBMP-HCM</x:v>
      </x:c>
      <x:c r="G118"/>
      <x:c r="H118" t="str">
        <x:v>ALYNA mặt nạ dâu dưỡng da</x:v>
      </x:c>
      <x:c r="I118" t="str">
        <x:v>ALYNA</x:v>
      </x:c>
      <x:c r="J118" t="str">
        <x:v>Mặt nạ</x:v>
      </x:c>
      <x:c r="K118" t="str">
        <x:v>Mặt nạ dưỡng da</x:v>
      </x:c>
      <x:c r="L118" t="str">
        <x:v>Công ty TNHH Sản xuất Thương mại Xuất Nhập khẩu Tạ Minh Quang</x:v>
      </x:c>
      <x:c r="M118" t="str">
        <x:v>15 Đường 3C, Phường An Lạc A, Quận Bình Tân, TP.HCM</x:v>
      </x:c>
      <x:c r="N118" t="str">
        <x:v>Chi nhánh Công ty TNHH Sản xuất Thương mại Xuất Nhập khẩu Tạ Minh Quang – Nhà máy Mỹ phẩm Tạ Minh Quang</x:v>
      </x:c>
      <x:c r="O118" t="str">
        <x:v>Thu hồi số tiếp nhận (2025)</x:v>
      </x:c>
      <x:c r="P118" t="str">
        <x:v>Xác minh chính thức qua Quyết định Sở Y tế TP.HCM; nguồn đăng lại Sở Y tế Quảng Ninh</x:v>
      </x:c>
      <x:c r="Q118" t="str">
        <x:v>Số công bố và ngày cấp nằm trong danh sách 38 số bị thu hồi; lý do công ty tự đề nghị thu hồi.</x:v>
      </x:c>
      <x:c r="R118" t="str">
        <x:v>https://soytequangninh.gov.vn/trang-chu/huong-dan-nghiep-vu/linh-vuc-duoc/thong-bao-ve-viec-thu-hoi-so-tiep-nhan-phieu-cong-bo-san-pha3.html</x:v>
      </x:c>
      <x:c r="S118" t="str">
        <x:v>TP. Hồ Chí Minh</x:v>
      </x:c>
      <x:c r="T118" t="str">
        <x:v>79</x:v>
      </x:c>
    </x:row>
    <x:row r="119">
      <x:c r="A119" t="n">
        <x:v>118</x:v>
      </x:c>
      <x:c r="B119" s="330" t="n">
        <x:v>44966</x:v>
      </x:c>
      <x:c r="C119" s="330" t="n">
        <x:v>45709</x:v>
      </x:c>
      <x:c r="D119" t="n">
        <x:v>2023</x:v>
      </x:c>
      <x:c r="E119" t="n">
        <x:v>2</x:v>
      </x:c>
      <x:c r="F119" t="str">
        <x:v>000269/23/CBMP-HCM</x:v>
      </x:c>
      <x:c r="G119"/>
      <x:c r="H119" t="str">
        <x:v>ALYNA mặt nạ dưa leo dưỡng da</x:v>
      </x:c>
      <x:c r="I119" t="str">
        <x:v>ALYNA</x:v>
      </x:c>
      <x:c r="J119" t="str">
        <x:v>Mặt nạ</x:v>
      </x:c>
      <x:c r="K119" t="str">
        <x:v>Mặt nạ dưỡng da</x:v>
      </x:c>
      <x:c r="L119" t="str">
        <x:v>Công ty TNHH Sản xuất Thương mại Xuất Nhập khẩu Tạ Minh Quang</x:v>
      </x:c>
      <x:c r="M119" t="str">
        <x:v>15 Đường 3C, Phường An Lạc A, Quận Bình Tân, TP.HCM</x:v>
      </x:c>
      <x:c r="N119" t="str">
        <x:v>Chi nhánh Công ty TNHH Sản xuất Thương mại Xuất Nhập khẩu Tạ Minh Quang – Nhà máy Mỹ phẩm Tạ Minh Quang</x:v>
      </x:c>
      <x:c r="O119" t="str">
        <x:v>Thu hồi số tiếp nhận (2025)</x:v>
      </x:c>
      <x:c r="P119" t="str">
        <x:v>Xác minh chính thức qua Quyết định Sở Y tế TP.HCM; nguồn đăng lại Sở Y tế Quảng Ninh</x:v>
      </x:c>
      <x:c r="Q119" t="str">
        <x:v>Số công bố và ngày cấp nằm trong danh sách 38 số bị thu hồi; lý do công ty tự đề nghị thu hồi.</x:v>
      </x:c>
      <x:c r="R119" t="str">
        <x:v>https://soytequangninh.gov.vn/trang-chu/huong-dan-nghiep-vu/linh-vuc-duoc/thong-bao-ve-viec-thu-hoi-so-tiep-nhan-phieu-cong-bo-san-pha3.html</x:v>
      </x:c>
      <x:c r="S119" t="str">
        <x:v>TP. Hồ Chí Minh</x:v>
      </x:c>
      <x:c r="T119" t="str">
        <x:v>79</x:v>
      </x:c>
    </x:row>
    <x:row r="120">
      <x:c r="A120" t="n">
        <x:v>119</x:v>
      </x:c>
      <x:c r="B120" s="330" t="n">
        <x:v>45069</x:v>
      </x:c>
      <x:c r="C120" s="330" t="n">
        <x:v>45709</x:v>
      </x:c>
      <x:c r="D120" t="n">
        <x:v>2023</x:v>
      </x:c>
      <x:c r="E120" t="n">
        <x:v>5</x:v>
      </x:c>
      <x:c r="F120" t="str">
        <x:v>002121/23/CBMP-HCM</x:v>
      </x:c>
      <x:c r="G120"/>
      <x:c r="H120" t="str">
        <x:v>ALYNA mặt nạ dưa leo dưỡng da</x:v>
      </x:c>
      <x:c r="I120" t="str">
        <x:v>ALYNA</x:v>
      </x:c>
      <x:c r="J120" t="str">
        <x:v>Mặt nạ</x:v>
      </x:c>
      <x:c r="K120" t="str">
        <x:v>Mặt nạ dưỡng da</x:v>
      </x:c>
      <x:c r="L120" t="str">
        <x:v>Công ty TNHH Sản xuất Thương mại Xuất Nhập khẩu Tạ Minh Quang</x:v>
      </x:c>
      <x:c r="M120" t="str">
        <x:v>15 Đường 3C, Phường An Lạc A, Quận Bình Tân, TP.HCM</x:v>
      </x:c>
      <x:c r="N120" t="str">
        <x:v>Chi nhánh Công ty TNHH Sản xuất Thương mại Xuất Nhập khẩu Tạ Minh Quang – Nhà máy Mỹ phẩm Tạ Minh Quang</x:v>
      </x:c>
      <x:c r="O120" t="str">
        <x:v>Thu hồi số tiếp nhận (2025)</x:v>
      </x:c>
      <x:c r="P120" t="str">
        <x:v>Xác minh chính thức qua Quyết định Sở Y tế TP.HCM; nguồn đăng lại Sở Y tế Quảng Ninh</x:v>
      </x:c>
      <x:c r="Q120" t="str">
        <x:v>Số công bố và ngày cấp nằm trong danh sách 38 số bị thu hồi; lý do công ty tự đề nghị thu hồi.</x:v>
      </x:c>
      <x:c r="R120" t="str">
        <x:v>https://soytequangninh.gov.vn/trang-chu/huong-dan-nghiep-vu/linh-vuc-duoc/thong-bao-ve-viec-thu-hoi-so-tiep-nhan-phieu-cong-bo-san-pha3.html</x:v>
      </x:c>
      <x:c r="S120" t="str">
        <x:v>TP. Hồ Chí Minh</x:v>
      </x:c>
      <x:c r="T120" t="str">
        <x:v>79</x:v>
      </x:c>
    </x:row>
    <x:row r="121">
      <x:c r="A121" t="n">
        <x:v>120</x:v>
      </x:c>
      <x:c r="B121" s="330" t="n">
        <x:v>45019</x:v>
      </x:c>
      <x:c r="C121" s="330" t="n">
        <x:v>45709</x:v>
      </x:c>
      <x:c r="D121" t="n">
        <x:v>2023</x:v>
      </x:c>
      <x:c r="E121" t="n">
        <x:v>4</x:v>
      </x:c>
      <x:c r="F121" t="str">
        <x:v>001122/23/CBMP-HCM</x:v>
      </x:c>
      <x:c r="G121"/>
      <x:c r="H121" t="str">
        <x:v>ALYNA mặt nạ hoa quả dưỡng da</x:v>
      </x:c>
      <x:c r="I121" t="str">
        <x:v>ALYNA</x:v>
      </x:c>
      <x:c r="J121" t="str">
        <x:v>Mặt nạ</x:v>
      </x:c>
      <x:c r="K121" t="str">
        <x:v>Mặt nạ dưỡng da</x:v>
      </x:c>
      <x:c r="L121" t="str">
        <x:v>Công ty TNHH Sản xuất Thương mại Xuất Nhập khẩu Tạ Minh Quang</x:v>
      </x:c>
      <x:c r="M121" t="str">
        <x:v>15 Đường 3C, Phường An Lạc A, Quận Bình Tân, TP.HCM</x:v>
      </x:c>
      <x:c r="N121" t="str">
        <x:v>Chi nhánh Công ty TNHH Sản xuất Thương mại Xuất Nhập khẩu Tạ Minh Quang – Nhà máy Mỹ phẩm Tạ Minh Quang</x:v>
      </x:c>
      <x:c r="O121" t="str">
        <x:v>Thu hồi số tiếp nhận (2025)</x:v>
      </x:c>
      <x:c r="P121" t="str">
        <x:v>Xác minh chính thức qua Quyết định Sở Y tế TP.HCM; nguồn đăng lại Sở Y tế Quảng Ninh</x:v>
      </x:c>
      <x:c r="Q121" t="str">
        <x:v>Số công bố và ngày cấp nằm trong danh sách 38 số bị thu hồi; lý do công ty tự đề nghị thu hồi.</x:v>
      </x:c>
      <x:c r="R121" t="str">
        <x:v>https://soytequangninh.gov.vn/trang-chu/huong-dan-nghiep-vu/linh-vuc-duoc/thong-bao-ve-viec-thu-hoi-so-tiep-nhan-phieu-cong-bo-san-pha3.html</x:v>
      </x:c>
      <x:c r="S121" t="str">
        <x:v>TP. Hồ Chí Minh</x:v>
      </x:c>
      <x:c r="T121" t="str">
        <x:v>79</x:v>
      </x:c>
    </x:row>
    <x:row r="122">
      <x:c r="A122" t="n">
        <x:v>121</x:v>
      </x:c>
      <x:c r="B122" s="330" t="n">
        <x:v>45069</x:v>
      </x:c>
      <x:c r="C122" s="330" t="n">
        <x:v>45709</x:v>
      </x:c>
      <x:c r="D122" t="n">
        <x:v>2023</x:v>
      </x:c>
      <x:c r="E122" t="n">
        <x:v>5</x:v>
      </x:c>
      <x:c r="F122" t="str">
        <x:v>002122/23/CBMP-HCM</x:v>
      </x:c>
      <x:c r="G122"/>
      <x:c r="H122" t="str">
        <x:v>ALYNA mặt nạ hoa quả dưỡng da</x:v>
      </x:c>
      <x:c r="I122" t="str">
        <x:v>ALYNA</x:v>
      </x:c>
      <x:c r="J122" t="str">
        <x:v>Mặt nạ</x:v>
      </x:c>
      <x:c r="K122" t="str">
        <x:v>Mặt nạ dưỡng da</x:v>
      </x:c>
      <x:c r="L122" t="str">
        <x:v>Công ty TNHH Sản xuất Thương mại Xuất Nhập khẩu Tạ Minh Quang</x:v>
      </x:c>
      <x:c r="M122" t="str">
        <x:v>15 Đường 3C, Phường An Lạc A, Quận Bình Tân, TP.HCM</x:v>
      </x:c>
      <x:c r="N122" t="str">
        <x:v>Chi nhánh Công ty TNHH Sản xuất Thương mại Xuất Nhập khẩu Tạ Minh Quang – Nhà máy Mỹ phẩm Tạ Minh Quang</x:v>
      </x:c>
      <x:c r="O122" t="str">
        <x:v>Thu hồi số tiếp nhận (2025)</x:v>
      </x:c>
      <x:c r="P122" t="str">
        <x:v>Xác minh chính thức qua Quyết định Sở Y tế TP.HCM; nguồn đăng lại Sở Y tế Quảng Ninh</x:v>
      </x:c>
      <x:c r="Q122" t="str">
        <x:v>Số công bố và ngày cấp nằm trong danh sách 38 số bị thu hồi; lý do công ty tự đề nghị thu hồi.</x:v>
      </x:c>
      <x:c r="R122" t="str">
        <x:v>https://soytequangninh.gov.vn/trang-chu/huong-dan-nghiep-vu/linh-vuc-duoc/thong-bao-ve-viec-thu-hoi-so-tiep-nhan-phieu-cong-bo-san-pha3.html</x:v>
      </x:c>
      <x:c r="S122" t="str">
        <x:v>TP. Hồ Chí Minh</x:v>
      </x:c>
      <x:c r="T122" t="str">
        <x:v>79</x:v>
      </x:c>
    </x:row>
    <x:row r="123">
      <x:c r="A123" t="n">
        <x:v>122</x:v>
      </x:c>
      <x:c r="B123" s="330" t="n">
        <x:v>45069</x:v>
      </x:c>
      <x:c r="C123" s="330" t="n">
        <x:v>45709</x:v>
      </x:c>
      <x:c r="D123" t="n">
        <x:v>2023</x:v>
      </x:c>
      <x:c r="E123" t="n">
        <x:v>5</x:v>
      </x:c>
      <x:c r="F123" t="str">
        <x:v>002120/23/CBMP-HCM</x:v>
      </x:c>
      <x:c r="G123"/>
      <x:c r="H123" t="str">
        <x:v>ALYNA mặt nạ ngọc trai dưỡng da</x:v>
      </x:c>
      <x:c r="I123" t="str">
        <x:v>ALYNA</x:v>
      </x:c>
      <x:c r="J123" t="str">
        <x:v>Mặt nạ</x:v>
      </x:c>
      <x:c r="K123" t="str">
        <x:v>Mặt nạ dưỡng da</x:v>
      </x:c>
      <x:c r="L123" t="str">
        <x:v>Công ty TNHH Sản xuất Thương mại Xuất Nhập khẩu Tạ Minh Quang</x:v>
      </x:c>
      <x:c r="M123" t="str">
        <x:v>15 Đường 3C, Phường An Lạc A, Quận Bình Tân, TP.HCM</x:v>
      </x:c>
      <x:c r="N123" t="str">
        <x:v>Chi nhánh Công ty TNHH Sản xuất Thương mại Xuất Nhập khẩu Tạ Minh Quang – Nhà máy Mỹ phẩm Tạ Minh Quang</x:v>
      </x:c>
      <x:c r="O123" t="str">
        <x:v>Thu hồi số tiếp nhận (2025)</x:v>
      </x:c>
      <x:c r="P123" t="str">
        <x:v>Xác minh chính thức qua Quyết định Sở Y tế TP.HCM; nguồn đăng lại Sở Y tế Quảng Ninh</x:v>
      </x:c>
      <x:c r="Q123" t="str">
        <x:v>Số công bố và ngày cấp nằm trong danh sách 38 số bị thu hồi; lý do công ty tự đề nghị thu hồi.</x:v>
      </x:c>
      <x:c r="R123" t="str">
        <x:v>https://soytequangninh.gov.vn/trang-chu/huong-dan-nghiep-vu/linh-vuc-duoc/thong-bao-ve-viec-thu-hoi-so-tiep-nhan-phieu-cong-bo-san-pha3.html</x:v>
      </x:c>
      <x:c r="S123" t="str">
        <x:v>TP. Hồ Chí Minh</x:v>
      </x:c>
      <x:c r="T123" t="str">
        <x:v>79</x:v>
      </x:c>
    </x:row>
    <x:row r="124">
      <x:c r="A124" t="n">
        <x:v>123</x:v>
      </x:c>
      <x:c r="B124" s="330" t="n">
        <x:v>45069</x:v>
      </x:c>
      <x:c r="C124" s="330" t="n">
        <x:v>45709</x:v>
      </x:c>
      <x:c r="D124" t="n">
        <x:v>2023</x:v>
      </x:c>
      <x:c r="E124" t="n">
        <x:v>5</x:v>
      </x:c>
      <x:c r="F124" t="str">
        <x:v>002124/23/CBMP-HCM</x:v>
      </x:c>
      <x:c r="G124"/>
      <x:c r="H124" t="str">
        <x:v>ALYNA mặt nạ rong biển dưỡng da</x:v>
      </x:c>
      <x:c r="I124" t="str">
        <x:v>ALYNA</x:v>
      </x:c>
      <x:c r="J124" t="str">
        <x:v>Mặt nạ</x:v>
      </x:c>
      <x:c r="K124" t="str">
        <x:v>Mặt nạ dưỡng da</x:v>
      </x:c>
      <x:c r="L124" t="str">
        <x:v>Công ty TNHH Sản xuất Thương mại Xuất Nhập khẩu Tạ Minh Quang</x:v>
      </x:c>
      <x:c r="M124" t="str">
        <x:v>15 Đường 3C, Phường An Lạc A, Quận Bình Tân, TP.HCM</x:v>
      </x:c>
      <x:c r="N124" t="str">
        <x:v>Chi nhánh Công ty TNHH Sản xuất Thương mại Xuất Nhập khẩu Tạ Minh Quang – Nhà máy Mỹ phẩm Tạ Minh Quang</x:v>
      </x:c>
      <x:c r="O124" t="str">
        <x:v>Thu hồi số tiếp nhận (2025)</x:v>
      </x:c>
      <x:c r="P124" t="str">
        <x:v>Xác minh chính thức qua Quyết định Sở Y tế TP.HCM; nguồn đăng lại Sở Y tế Quảng Ninh</x:v>
      </x:c>
      <x:c r="Q124" t="str">
        <x:v>Số công bố và ngày cấp nằm trong danh sách 38 số bị thu hồi; lý do công ty tự đề nghị thu hồi.</x:v>
      </x:c>
      <x:c r="R124" t="str">
        <x:v>https://soytequangninh.gov.vn/trang-chu/huong-dan-nghiep-vu/linh-vuc-duoc/thong-bao-ve-viec-thu-hoi-so-tiep-nhan-phieu-cong-bo-san-pha3.html</x:v>
      </x:c>
      <x:c r="S124" t="str">
        <x:v>TP. Hồ Chí Minh</x:v>
      </x:c>
      <x:c r="T124" t="str">
        <x:v>79</x:v>
      </x:c>
    </x:row>
    <x:row r="125">
      <x:c r="A125" t="n">
        <x:v>124</x:v>
      </x:c>
      <x:c r="B125" s="330" t="n">
        <x:v>45127</x:v>
      </x:c>
      <x:c r="C125" s="330" t="n">
        <x:v>45709</x:v>
      </x:c>
      <x:c r="D125" t="n">
        <x:v>2023</x:v>
      </x:c>
      <x:c r="E125" t="n">
        <x:v>7</x:v>
      </x:c>
      <x:c r="F125" t="str">
        <x:v>003061/23/CBMP-HCM</x:v>
      </x:c>
      <x:c r="G125"/>
      <x:c r="H125" t="str">
        <x:v>BOOD kem dưỡng trắng da chống nắng</x:v>
      </x:c>
      <x:c r="I125" t="str">
        <x:v>BOOD</x:v>
      </x:c>
      <x:c r="J125" t="str">
        <x:v>Kem dưỡng da</x:v>
      </x:c>
      <x:c r="K125" t="str">
        <x:v>Kem dưỡng/chăm sóc da</x:v>
      </x:c>
      <x:c r="L125" t="str">
        <x:v>Công ty TNHH Sản xuất Thương mại Xuất Nhập khẩu Tạ Minh Quang</x:v>
      </x:c>
      <x:c r="M125" t="str">
        <x:v>15 Đường 3C, Phường An Lạc A, Quận Bình Tân, TP.HCM</x:v>
      </x:c>
      <x:c r="N125" t="str">
        <x:v>Chi nhánh Công ty TNHH Sản xuất Thương mại Xuất Nhập khẩu Tạ Minh Quang – Nhà máy Mỹ phẩm Tạ Minh Quang</x:v>
      </x:c>
      <x:c r="O125" t="str">
        <x:v>Thu hồi số tiếp nhận (2025)</x:v>
      </x:c>
      <x:c r="P125" t="str">
        <x:v>Xác minh chính thức qua Quyết định Sở Y tế TP.HCM; nguồn đăng lại Sở Y tế Quảng Ninh</x:v>
      </x:c>
      <x:c r="Q125" t="str">
        <x:v>Số công bố và ngày cấp nằm trong danh sách 38 số bị thu hồi; lý do công ty tự đề nghị thu hồi.</x:v>
      </x:c>
      <x:c r="R125" t="str">
        <x:v>https://soytequangninh.gov.vn/trang-chu/huong-dan-nghiep-vu/linh-vuc-duoc/thong-bao-ve-viec-thu-hoi-so-tiep-nhan-phieu-cong-bo-san-pha3.html</x:v>
      </x:c>
      <x:c r="S125" t="str">
        <x:v>TP. Hồ Chí Minh</x:v>
      </x:c>
      <x:c r="T125" t="str">
        <x:v>79</x:v>
      </x:c>
    </x:row>
    <x:row r="126">
      <x:c r="A126" t="n">
        <x:v>125</x:v>
      </x:c>
      <x:c r="B126" s="330" t="n">
        <x:v>45127</x:v>
      </x:c>
      <x:c r="C126" s="330" t="n">
        <x:v>45709</x:v>
      </x:c>
      <x:c r="D126" t="n">
        <x:v>2023</x:v>
      </x:c>
      <x:c r="E126" t="n">
        <x:v>7</x:v>
      </x:c>
      <x:c r="F126" t="str">
        <x:v>003057/23/CBMP-HCM</x:v>
      </x:c>
      <x:c r="G126"/>
      <x:c r="H126" t="str">
        <x:v>BOOD kem trắng da mụn chống nắng</x:v>
      </x:c>
      <x:c r="I126" t="str">
        <x:v>BOOD</x:v>
      </x:c>
      <x:c r="J126" t="str">
        <x:v>Kem dưỡng da</x:v>
      </x:c>
      <x:c r="K126" t="str">
        <x:v>Kem dưỡng/chăm sóc da</x:v>
      </x:c>
      <x:c r="L126" t="str">
        <x:v>Công ty TNHH Sản xuất Thương mại Xuất Nhập khẩu Tạ Minh Quang</x:v>
      </x:c>
      <x:c r="M126" t="str">
        <x:v>15 Đường 3C, Phường An Lạc A, Quận Bình Tân, TP.HCM</x:v>
      </x:c>
      <x:c r="N126" t="str">
        <x:v>Chi nhánh Công ty TNHH Sản xuất Thương mại Xuất Nhập khẩu Tạ Minh Quang – Nhà máy Mỹ phẩm Tạ Minh Quang</x:v>
      </x:c>
      <x:c r="O126" t="str">
        <x:v>Thu hồi số tiếp nhận (2025)</x:v>
      </x:c>
      <x:c r="P126" t="str">
        <x:v>Xác minh chính thức qua Quyết định Sở Y tế TP.HCM; nguồn đăng lại Sở Y tế Quảng Ninh</x:v>
      </x:c>
      <x:c r="Q126" t="str">
        <x:v>Số công bố và ngày cấp nằm trong danh sách 38 số bị thu hồi; lý do công ty tự đề nghị thu hồi.</x:v>
      </x:c>
      <x:c r="R126" t="str">
        <x:v>https://soytequangninh.gov.vn/trang-chu/huong-dan-nghiep-vu/linh-vuc-duoc/thong-bao-ve-viec-thu-hoi-so-tiep-nhan-phieu-cong-bo-san-pha3.html</x:v>
      </x:c>
      <x:c r="S126" t="str">
        <x:v>TP. Hồ Chí Minh</x:v>
      </x:c>
      <x:c r="T126" t="str">
        <x:v>79</x:v>
      </x:c>
    </x:row>
    <x:row r="127">
      <x:c r="A127" t="n">
        <x:v>126</x:v>
      </x:c>
      <x:c r="B127" s="330" t="n">
        <x:v>45127</x:v>
      </x:c>
      <x:c r="C127" s="330" t="n">
        <x:v>45709</x:v>
      </x:c>
      <x:c r="D127" t="n">
        <x:v>2023</x:v>
      </x:c>
      <x:c r="E127" t="n">
        <x:v>7</x:v>
      </x:c>
      <x:c r="F127" t="str">
        <x:v>003060/23/CBMP-HCM</x:v>
      </x:c>
      <x:c r="G127"/>
      <x:c r="H127" t="str">
        <x:v>BOOD kem dưỡng trắng da mụn chống nắng giúp ngừa lão hóa da</x:v>
      </x:c>
      <x:c r="I127" t="str">
        <x:v>BOOD</x:v>
      </x:c>
      <x:c r="J127" t="str">
        <x:v>Kem dưỡng da</x:v>
      </x:c>
      <x:c r="K127" t="str">
        <x:v>Kem dưỡng/chăm sóc da</x:v>
      </x:c>
      <x:c r="L127" t="str">
        <x:v>Công ty TNHH Sản xuất Thương mại Xuất Nhập khẩu Tạ Minh Quang</x:v>
      </x:c>
      <x:c r="M127" t="str">
        <x:v>15 Đường 3C, Phường An Lạc A, Quận Bình Tân, TP.HCM</x:v>
      </x:c>
      <x:c r="N127" t="str">
        <x:v>Chi nhánh Công ty TNHH Sản xuất Thương mại Xuất Nhập khẩu Tạ Minh Quang – Nhà máy Mỹ phẩm Tạ Minh Quang</x:v>
      </x:c>
      <x:c r="O127" t="str">
        <x:v>Thu hồi số tiếp nhận (2025)</x:v>
      </x:c>
      <x:c r="P127" t="str">
        <x:v>Xác minh chính thức qua Quyết định Sở Y tế TP.HCM; nguồn đăng lại Sở Y tế Quảng Ninh</x:v>
      </x:c>
      <x:c r="Q127" t="str">
        <x:v>Số công bố và ngày cấp nằm trong danh sách 38 số bị thu hồi; lý do công ty tự đề nghị thu hồi.</x:v>
      </x:c>
      <x:c r="R127" t="str">
        <x:v>https://soytequangninh.gov.vn/trang-chu/huong-dan-nghiep-vu/linh-vuc-duoc/thong-bao-ve-viec-thu-hoi-so-tiep-nhan-phieu-cong-bo-san-pha3.html</x:v>
      </x:c>
      <x:c r="S127" t="str">
        <x:v>TP. Hồ Chí Minh</x:v>
      </x:c>
      <x:c r="T127" t="str">
        <x:v>79</x:v>
      </x:c>
    </x:row>
    <x:row r="128">
      <x:c r="A128" t="n">
        <x:v>127</x:v>
      </x:c>
      <x:c r="B128" s="330" t="n">
        <x:v>45127</x:v>
      </x:c>
      <x:c r="C128" s="330" t="n">
        <x:v>45709</x:v>
      </x:c>
      <x:c r="D128" t="n">
        <x:v>2023</x:v>
      </x:c>
      <x:c r="E128" t="n">
        <x:v>7</x:v>
      </x:c>
      <x:c r="F128" t="str">
        <x:v>003059/23/CBMP-HCM</x:v>
      </x:c>
      <x:c r="G128"/>
      <x:c r="H128" t="str">
        <x:v>BOOD kem dưỡng trắng da nám tàn nhang</x:v>
      </x:c>
      <x:c r="I128" t="str">
        <x:v>BOOD</x:v>
      </x:c>
      <x:c r="J128" t="str">
        <x:v>Kem dưỡng da</x:v>
      </x:c>
      <x:c r="K128" t="str">
        <x:v>Kem dưỡng/chăm sóc da</x:v>
      </x:c>
      <x:c r="L128" t="str">
        <x:v>Công ty TNHH Sản xuất Thương mại Xuất Nhập khẩu Tạ Minh Quang</x:v>
      </x:c>
      <x:c r="M128" t="str">
        <x:v>15 Đường 3C, Phường An Lạc A, Quận Bình Tân, TP.HCM</x:v>
      </x:c>
      <x:c r="N128" t="str">
        <x:v>Chi nhánh Công ty TNHH Sản xuất Thương mại Xuất Nhập khẩu Tạ Minh Quang – Nhà máy Mỹ phẩm Tạ Minh Quang</x:v>
      </x:c>
      <x:c r="O128" t="str">
        <x:v>Thu hồi số tiếp nhận (2025)</x:v>
      </x:c>
      <x:c r="P128" t="str">
        <x:v>Xác minh chính thức qua Quyết định Sở Y tế TP.HCM; nguồn đăng lại Sở Y tế Quảng Ninh</x:v>
      </x:c>
      <x:c r="Q128" t="str">
        <x:v>Số công bố và ngày cấp nằm trong danh sách 38 số bị thu hồi; lý do công ty tự đề nghị thu hồi.</x:v>
      </x:c>
      <x:c r="R128" t="str">
        <x:v>https://soytequangninh.gov.vn/trang-chu/huong-dan-nghiep-vu/linh-vuc-duoc/thong-bao-ve-viec-thu-hoi-so-tiep-nhan-phieu-cong-bo-san-pha3.html</x:v>
      </x:c>
      <x:c r="S128" t="str">
        <x:v>TP. Hồ Chí Minh</x:v>
      </x:c>
      <x:c r="T128" t="str">
        <x:v>79</x:v>
      </x:c>
    </x:row>
    <x:row r="129">
      <x:c r="A129" t="n">
        <x:v>128</x:v>
      </x:c>
      <x:c r="B129" s="330" t="n">
        <x:v>45127</x:v>
      </x:c>
      <x:c r="C129" s="330" t="n">
        <x:v>45709</x:v>
      </x:c>
      <x:c r="D129" t="n">
        <x:v>2023</x:v>
      </x:c>
      <x:c r="E129" t="n">
        <x:v>7</x:v>
      </x:c>
      <x:c r="F129" t="str">
        <x:v>003058/23/CBMP-HCM</x:v>
      </x:c>
      <x:c r="G129"/>
      <x:c r="H129" t="str">
        <x:v>BOOD kem nám tàn nhang đồi mồi</x:v>
      </x:c>
      <x:c r="I129" t="str">
        <x:v>BOOD</x:v>
      </x:c>
      <x:c r="J129" t="str">
        <x:v>Kem dưỡng da</x:v>
      </x:c>
      <x:c r="K129" t="str">
        <x:v>Kem dưỡng/chăm sóc da</x:v>
      </x:c>
      <x:c r="L129" t="str">
        <x:v>Công ty TNHH Sản xuất Thương mại Xuất Nhập khẩu Tạ Minh Quang</x:v>
      </x:c>
      <x:c r="M129" t="str">
        <x:v>15 Đường 3C, Phường An Lạc A, Quận Bình Tân, TP.HCM</x:v>
      </x:c>
      <x:c r="N129" t="str">
        <x:v>Chi nhánh Công ty TNHH Sản xuất Thương mại Xuất Nhập khẩu Tạ Minh Quang – Nhà máy Mỹ phẩm Tạ Minh Quang</x:v>
      </x:c>
      <x:c r="O129" t="str">
        <x:v>Thu hồi số tiếp nhận (2025)</x:v>
      </x:c>
      <x:c r="P129" t="str">
        <x:v>Xác minh chính thức qua Quyết định Sở Y tế TP.HCM; nguồn đăng lại Sở Y tế Quảng Ninh</x:v>
      </x:c>
      <x:c r="Q129" t="str">
        <x:v>Số công bố và ngày cấp nằm trong danh sách 38 số bị thu hồi; lý do công ty tự đề nghị thu hồi.</x:v>
      </x:c>
      <x:c r="R129" t="str">
        <x:v>https://soytequangninh.gov.vn/trang-chu/huong-dan-nghiep-vu/linh-vuc-duoc/thong-bao-ve-viec-thu-hoi-so-tiep-nhan-phieu-cong-bo-san-pha3.html</x:v>
      </x:c>
      <x:c r="S129" t="str">
        <x:v>TP. Hồ Chí Minh</x:v>
      </x:c>
      <x:c r="T129" t="str">
        <x:v>79</x:v>
      </x:c>
    </x:row>
    <x:row r="130">
      <x:c r="A130" t="n">
        <x:v>129</x:v>
      </x:c>
      <x:c r="B130" s="330" t="n">
        <x:v>45127</x:v>
      </x:c>
      <x:c r="C130" s="330" t="n">
        <x:v>45709</x:v>
      </x:c>
      <x:c r="D130" t="n">
        <x:v>2023</x:v>
      </x:c>
      <x:c r="E130" t="n">
        <x:v>7</x:v>
      </x:c>
      <x:c r="F130" t="str">
        <x:v>003037/23/CBMP-HCM</x:v>
      </x:c>
      <x:c r="G130"/>
      <x:c r="H130" t="str">
        <x:v>ELISE kem dưỡng trắng da chống nắng</x:v>
      </x:c>
      <x:c r="I130" t="str">
        <x:v>ELISE</x:v>
      </x:c>
      <x:c r="J130" t="str">
        <x:v>Kem dưỡng da</x:v>
      </x:c>
      <x:c r="K130" t="str">
        <x:v>Kem dưỡng/chăm sóc da</x:v>
      </x:c>
      <x:c r="L130" t="str">
        <x:v>Công ty TNHH Sản xuất Thương mại Xuất Nhập khẩu Tạ Minh Quang</x:v>
      </x:c>
      <x:c r="M130" t="str">
        <x:v>15 Đường 3C, Phường An Lạc A, Quận Bình Tân, TP.HCM</x:v>
      </x:c>
      <x:c r="N130" t="str">
        <x:v>Chi nhánh Công ty TNHH Sản xuất Thương mại Xuất Nhập khẩu Tạ Minh Quang – Nhà máy Mỹ phẩm Tạ Minh Quang</x:v>
      </x:c>
      <x:c r="O130" t="str">
        <x:v>Thu hồi số tiếp nhận (2025)</x:v>
      </x:c>
      <x:c r="P130" t="str">
        <x:v>Xác minh chính thức qua Quyết định Sở Y tế TP.HCM; nguồn đăng lại Sở Y tế Quảng Ninh</x:v>
      </x:c>
      <x:c r="Q130" t="str">
        <x:v>Số công bố và ngày cấp nằm trong danh sách 38 số bị thu hồi; lý do công ty tự đề nghị thu hồi.</x:v>
      </x:c>
      <x:c r="R130" t="str">
        <x:v>https://soytequangninh.gov.vn/trang-chu/huong-dan-nghiep-vu/linh-vuc-duoc/thong-bao-ve-viec-thu-hoi-so-tiep-nhan-phieu-cong-bo-san-pha3.html</x:v>
      </x:c>
      <x:c r="S130" t="str">
        <x:v>TP. Hồ Chí Minh</x:v>
      </x:c>
      <x:c r="T130" t="str">
        <x:v>79</x:v>
      </x:c>
    </x:row>
    <x:row r="131">
      <x:c r="A131" t="n">
        <x:v>130</x:v>
      </x:c>
      <x:c r="B131" s="330" t="n">
        <x:v>45127</x:v>
      </x:c>
      <x:c r="C131" s="330" t="n">
        <x:v>45709</x:v>
      </x:c>
      <x:c r="D131" t="n">
        <x:v>2023</x:v>
      </x:c>
      <x:c r="E131" t="n">
        <x:v>7</x:v>
      </x:c>
      <x:c r="F131" t="str">
        <x:v>003038/23/CBMP-HCM</x:v>
      </x:c>
      <x:c r="G131"/>
      <x:c r="H131" t="str">
        <x:v>ELISE kem trắng da mụn chống nắng</x:v>
      </x:c>
      <x:c r="I131" t="str">
        <x:v>ELISE</x:v>
      </x:c>
      <x:c r="J131" t="str">
        <x:v>Kem dưỡng da</x:v>
      </x:c>
      <x:c r="K131" t="str">
        <x:v>Kem dưỡng/chăm sóc da</x:v>
      </x:c>
      <x:c r="L131" t="str">
        <x:v>Công ty TNHH Sản xuất Thương mại Xuất Nhập khẩu Tạ Minh Quang</x:v>
      </x:c>
      <x:c r="M131" t="str">
        <x:v>15 Đường 3C, Phường An Lạc A, Quận Bình Tân, TP.HCM</x:v>
      </x:c>
      <x:c r="N131" t="str">
        <x:v>Chi nhánh Công ty TNHH Sản xuất Thương mại Xuất Nhập khẩu Tạ Minh Quang – Nhà máy Mỹ phẩm Tạ Minh Quang</x:v>
      </x:c>
      <x:c r="O131" t="str">
        <x:v>Thu hồi số tiếp nhận (2025)</x:v>
      </x:c>
      <x:c r="P131" t="str">
        <x:v>Xác minh chính thức qua Quyết định Sở Y tế TP.HCM; nguồn đăng lại Sở Y tế Quảng Ninh</x:v>
      </x:c>
      <x:c r="Q131" t="str">
        <x:v>Số công bố và ngày cấp nằm trong danh sách 38 số bị thu hồi; lý do công ty tự đề nghị thu hồi.</x:v>
      </x:c>
      <x:c r="R131" t="str">
        <x:v>https://soytequangninh.gov.vn/trang-chu/huong-dan-nghiep-vu/linh-vuc-duoc/thong-bao-ve-viec-thu-hoi-so-tiep-nhan-phieu-cong-bo-san-pha3.html</x:v>
      </x:c>
      <x:c r="S131" t="str">
        <x:v>TP. Hồ Chí Minh</x:v>
      </x:c>
      <x:c r="T131" t="str">
        <x:v>79</x:v>
      </x:c>
    </x:row>
    <x:row r="132">
      <x:c r="A132" t="n">
        <x:v>131</x:v>
      </x:c>
      <x:c r="B132" s="330" t="n">
        <x:v>45127</x:v>
      </x:c>
      <x:c r="C132" s="330" t="n">
        <x:v>45709</x:v>
      </x:c>
      <x:c r="D132" t="n">
        <x:v>2023</x:v>
      </x:c>
      <x:c r="E132" t="n">
        <x:v>7</x:v>
      </x:c>
      <x:c r="F132" t="str">
        <x:v>003039/23/CBMP-HCM</x:v>
      </x:c>
      <x:c r="G132"/>
      <x:c r="H132" t="str">
        <x:v>ELISE kem trắng da mụn chống nắng giúp ngừa lão hóa da</x:v>
      </x:c>
      <x:c r="I132" t="str">
        <x:v>ELISE</x:v>
      </x:c>
      <x:c r="J132" t="str">
        <x:v>Kem dưỡng da</x:v>
      </x:c>
      <x:c r="K132" t="str">
        <x:v>Kem dưỡng/chăm sóc da</x:v>
      </x:c>
      <x:c r="L132" t="str">
        <x:v>Công ty TNHH Sản xuất Thương mại Xuất Nhập khẩu Tạ Minh Quang</x:v>
      </x:c>
      <x:c r="M132" t="str">
        <x:v>15 Đường 3C, Phường An Lạc A, Quận Bình Tân, TP.HCM</x:v>
      </x:c>
      <x:c r="N132" t="str">
        <x:v>Chi nhánh Công ty TNHH Sản xuất Thương mại Xuất Nhập khẩu Tạ Minh Quang – Nhà máy Mỹ phẩm Tạ Minh Quang</x:v>
      </x:c>
      <x:c r="O132" t="str">
        <x:v>Thu hồi số tiếp nhận (2025)</x:v>
      </x:c>
      <x:c r="P132" t="str">
        <x:v>Xác minh chính thức qua Quyết định Sở Y tế TP.HCM; nguồn đăng lại Sở Y tế Quảng Ninh</x:v>
      </x:c>
      <x:c r="Q132" t="str">
        <x:v>Số công bố và ngày cấp nằm trong danh sách 38 số bị thu hồi; lý do công ty tự đề nghị thu hồi.</x:v>
      </x:c>
      <x:c r="R132" t="str">
        <x:v>https://soytequangninh.gov.vn/trang-chu/huong-dan-nghiep-vu/linh-vuc-duoc/thong-bao-ve-viec-thu-hoi-so-tiep-nhan-phieu-cong-bo-san-pha3.html</x:v>
      </x:c>
      <x:c r="S132" t="str">
        <x:v>TP. Hồ Chí Minh</x:v>
      </x:c>
      <x:c r="T132" t="str">
        <x:v>79</x:v>
      </x:c>
    </x:row>
    <x:row r="133">
      <x:c r="A133" t="n">
        <x:v>132</x:v>
      </x:c>
      <x:c r="B133" s="330" t="n">
        <x:v>45127</x:v>
      </x:c>
      <x:c r="C133" s="330" t="n">
        <x:v>45709</x:v>
      </x:c>
      <x:c r="D133" t="n">
        <x:v>2023</x:v>
      </x:c>
      <x:c r="E133" t="n">
        <x:v>7</x:v>
      </x:c>
      <x:c r="F133" t="str">
        <x:v>003035/23/CBMP-HCM</x:v>
      </x:c>
      <x:c r="G133"/>
      <x:c r="H133" t="str">
        <x:v>ELISE kem dưỡng trắng da nám tàn nhang</x:v>
      </x:c>
      <x:c r="I133" t="str">
        <x:v>ELISE</x:v>
      </x:c>
      <x:c r="J133" t="str">
        <x:v>Kem dưỡng da</x:v>
      </x:c>
      <x:c r="K133" t="str">
        <x:v>Kem dưỡng/chăm sóc da</x:v>
      </x:c>
      <x:c r="L133" t="str">
        <x:v>Công ty TNHH Sản xuất Thương mại Xuất Nhập khẩu Tạ Minh Quang</x:v>
      </x:c>
      <x:c r="M133" t="str">
        <x:v>15 Đường 3C, Phường An Lạc A, Quận Bình Tân, TP.HCM</x:v>
      </x:c>
      <x:c r="N133" t="str">
        <x:v>Chi nhánh Công ty TNHH Sản xuất Thương mại Xuất Nhập khẩu Tạ Minh Quang – Nhà máy Mỹ phẩm Tạ Minh Quang</x:v>
      </x:c>
      <x:c r="O133" t="str">
        <x:v>Thu hồi số tiếp nhận (2025)</x:v>
      </x:c>
      <x:c r="P133" t="str">
        <x:v>Xác minh chính thức qua Quyết định Sở Y tế TP.HCM; nguồn đăng lại Sở Y tế Quảng Ninh</x:v>
      </x:c>
      <x:c r="Q133" t="str">
        <x:v>Số công bố và ngày cấp nằm trong danh sách 38 số bị thu hồi; lý do công ty tự đề nghị thu hồi.</x:v>
      </x:c>
      <x:c r="R133" t="str">
        <x:v>https://soytequangninh.gov.vn/trang-chu/huong-dan-nghiep-vu/linh-vuc-duoc/thong-bao-ve-viec-thu-hoi-so-tiep-nhan-phieu-cong-bo-san-pha3.html</x:v>
      </x:c>
      <x:c r="S133" t="str">
        <x:v>TP. Hồ Chí Minh</x:v>
      </x:c>
      <x:c r="T133" t="str">
        <x:v>79</x:v>
      </x:c>
    </x:row>
    <x:row r="134">
      <x:c r="A134" t="n">
        <x:v>133</x:v>
      </x:c>
      <x:c r="B134" s="330" t="n">
        <x:v>45069</x:v>
      </x:c>
      <x:c r="C134" s="330" t="n">
        <x:v>45709</x:v>
      </x:c>
      <x:c r="D134" t="n">
        <x:v>2023</x:v>
      </x:c>
      <x:c r="E134" t="n">
        <x:v>5</x:v>
      </x:c>
      <x:c r="F134" t="str">
        <x:v>002113/23/CBMP-HCM</x:v>
      </x:c>
      <x:c r="G134"/>
      <x:c r="H134" t="str">
        <x:v>ELISE mặt nạ dâu dưỡng da</x:v>
      </x:c>
      <x:c r="I134" t="str">
        <x:v>ELISE</x:v>
      </x:c>
      <x:c r="J134" t="str">
        <x:v>Mặt nạ</x:v>
      </x:c>
      <x:c r="K134" t="str">
        <x:v>Mặt nạ dưỡng da</x:v>
      </x:c>
      <x:c r="L134" t="str">
        <x:v>Công ty TNHH Sản xuất Thương mại Xuất Nhập khẩu Tạ Minh Quang</x:v>
      </x:c>
      <x:c r="M134" t="str">
        <x:v>15 Đường 3C, Phường An Lạc A, Quận Bình Tân, TP.HCM</x:v>
      </x:c>
      <x:c r="N134" t="str">
        <x:v>Chi nhánh Công ty TNHH Sản xuất Thương mại Xuất Nhập khẩu Tạ Minh Quang – Nhà máy Mỹ phẩm Tạ Minh Quang</x:v>
      </x:c>
      <x:c r="O134" t="str">
        <x:v>Thu hồi số tiếp nhận (2025)</x:v>
      </x:c>
      <x:c r="P134" t="str">
        <x:v>Xác minh chính thức qua Quyết định Sở Y tế TP.HCM; nguồn đăng lại Sở Y tế Quảng Ninh</x:v>
      </x:c>
      <x:c r="Q134" t="str">
        <x:v>Số công bố và ngày cấp nằm trong danh sách 38 số bị thu hồi; lý do công ty tự đề nghị thu hồi.</x:v>
      </x:c>
      <x:c r="R134" t="str">
        <x:v>https://soytequangninh.gov.vn/trang-chu/huong-dan-nghiep-vu/linh-vuc-duoc/thong-bao-ve-viec-thu-hoi-so-tiep-nhan-phieu-cong-bo-san-pha3.html</x:v>
      </x:c>
      <x:c r="S134" t="str">
        <x:v>TP. Hồ Chí Minh</x:v>
      </x:c>
      <x:c r="T134" t="str">
        <x:v>79</x:v>
      </x:c>
    </x:row>
    <x:row r="135">
      <x:c r="A135" t="n">
        <x:v>134</x:v>
      </x:c>
      <x:c r="B135" s="330" t="n">
        <x:v>44984</x:v>
      </x:c>
      <x:c r="C135" s="330" t="n">
        <x:v>45709</x:v>
      </x:c>
      <x:c r="D135" t="n">
        <x:v>2023</x:v>
      </x:c>
      <x:c r="E135" t="n">
        <x:v>2</x:v>
      </x:c>
      <x:c r="F135" t="str">
        <x:v>000465/23/CBMP-HCM</x:v>
      </x:c>
      <x:c r="G135"/>
      <x:c r="H135" t="str">
        <x:v>ELISE mặt nạ dưa leo dưỡng da</x:v>
      </x:c>
      <x:c r="I135" t="str">
        <x:v>ELISE</x:v>
      </x:c>
      <x:c r="J135" t="str">
        <x:v>Mặt nạ</x:v>
      </x:c>
      <x:c r="K135" t="str">
        <x:v>Mặt nạ dưỡng da</x:v>
      </x:c>
      <x:c r="L135" t="str">
        <x:v>Công ty TNHH Sản xuất Thương mại Xuất Nhập khẩu Tạ Minh Quang</x:v>
      </x:c>
      <x:c r="M135" t="str">
        <x:v>15 Đường 3C, Phường An Lạc A, Quận Bình Tân, TP.HCM</x:v>
      </x:c>
      <x:c r="N135" t="str">
        <x:v>Chi nhánh Công ty TNHH Sản xuất Thương mại Xuất Nhập khẩu Tạ Minh Quang – Nhà máy Mỹ phẩm Tạ Minh Quang</x:v>
      </x:c>
      <x:c r="O135" t="str">
        <x:v>Thu hồi số tiếp nhận (2025)</x:v>
      </x:c>
      <x:c r="P135" t="str">
        <x:v>Xác minh chính thức qua Quyết định Sở Y tế TP.HCM; nguồn đăng lại Sở Y tế Quảng Ninh</x:v>
      </x:c>
      <x:c r="Q135" t="str">
        <x:v>Số công bố và ngày cấp nằm trong danh sách 38 số bị thu hồi; lý do công ty tự đề nghị thu hồi.</x:v>
      </x:c>
      <x:c r="R135" t="str">
        <x:v>https://soytequangninh.gov.vn/trang-chu/huong-dan-nghiep-vu/linh-vuc-duoc/thong-bao-ve-viec-thu-hoi-so-tiep-nhan-phieu-cong-bo-san-pha3.html</x:v>
      </x:c>
      <x:c r="S135" t="str">
        <x:v>TP. Hồ Chí Minh</x:v>
      </x:c>
      <x:c r="T135" t="str">
        <x:v>79</x:v>
      </x:c>
    </x:row>
    <x:row r="136">
      <x:c r="A136" t="n">
        <x:v>135</x:v>
      </x:c>
      <x:c r="B136" s="330" t="n">
        <x:v>45069</x:v>
      </x:c>
      <x:c r="C136" s="330" t="n">
        <x:v>45709</x:v>
      </x:c>
      <x:c r="D136" t="n">
        <x:v>2023</x:v>
      </x:c>
      <x:c r="E136" t="n">
        <x:v>5</x:v>
      </x:c>
      <x:c r="F136" t="str">
        <x:v>002109/23/CBMP-HCM</x:v>
      </x:c>
      <x:c r="G136"/>
      <x:c r="H136" t="str">
        <x:v>ELISE mặt nạ dưa leo dưỡng da</x:v>
      </x:c>
      <x:c r="I136" t="str">
        <x:v>ELISE</x:v>
      </x:c>
      <x:c r="J136" t="str">
        <x:v>Mặt nạ</x:v>
      </x:c>
      <x:c r="K136" t="str">
        <x:v>Mặt nạ dưỡng da</x:v>
      </x:c>
      <x:c r="L136" t="str">
        <x:v>Công ty TNHH Sản xuất Thương mại Xuất Nhập khẩu Tạ Minh Quang</x:v>
      </x:c>
      <x:c r="M136" t="str">
        <x:v>15 Đường 3C, Phường An Lạc A, Quận Bình Tân, TP.HCM</x:v>
      </x:c>
      <x:c r="N136" t="str">
        <x:v>Chi nhánh Công ty TNHH Sản xuất Thương mại Xuất Nhập khẩu Tạ Minh Quang – Nhà máy Mỹ phẩm Tạ Minh Quang</x:v>
      </x:c>
      <x:c r="O136" t="str">
        <x:v>Thu hồi số tiếp nhận (2025)</x:v>
      </x:c>
      <x:c r="P136" t="str">
        <x:v>Xác minh chính thức qua Quyết định Sở Y tế TP.HCM; nguồn đăng lại Sở Y tế Quảng Ninh</x:v>
      </x:c>
      <x:c r="Q136" t="str">
        <x:v>Số công bố và ngày cấp nằm trong danh sách 38 số bị thu hồi; lý do công ty tự đề nghị thu hồi.</x:v>
      </x:c>
      <x:c r="R136" t="str">
        <x:v>https://soytequangninh.gov.vn/trang-chu/huong-dan-nghiep-vu/linh-vuc-duoc/thong-bao-ve-viec-thu-hoi-so-tiep-nhan-phieu-cong-bo-san-pha3.html</x:v>
      </x:c>
      <x:c r="S136" t="str">
        <x:v>TP. Hồ Chí Minh</x:v>
      </x:c>
      <x:c r="T136" t="str">
        <x:v>79</x:v>
      </x:c>
    </x:row>
    <x:row r="137">
      <x:c r="A137" t="n">
        <x:v>136</x:v>
      </x:c>
      <x:c r="B137" s="330" t="n">
        <x:v>44995</x:v>
      </x:c>
      <x:c r="C137" s="330" t="n">
        <x:v>45709</x:v>
      </x:c>
      <x:c r="D137" t="n">
        <x:v>2023</x:v>
      </x:c>
      <x:c r="E137" t="n">
        <x:v>3</x:v>
      </x:c>
      <x:c r="F137" t="str">
        <x:v>000715/23/CBMP-HCM</x:v>
      </x:c>
      <x:c r="G137"/>
      <x:c r="H137" t="str">
        <x:v>ELISE mặt nạ hoa quả dưỡng da</x:v>
      </x:c>
      <x:c r="I137" t="str">
        <x:v>ELISE</x:v>
      </x:c>
      <x:c r="J137" t="str">
        <x:v>Mặt nạ</x:v>
      </x:c>
      <x:c r="K137" t="str">
        <x:v>Mặt nạ dưỡng da</x:v>
      </x:c>
      <x:c r="L137" t="str">
        <x:v>Công ty TNHH Sản xuất Thương mại Xuất Nhập khẩu Tạ Minh Quang</x:v>
      </x:c>
      <x:c r="M137" t="str">
        <x:v>15 Đường 3C, Phường An Lạc A, Quận Bình Tân, TP.HCM</x:v>
      </x:c>
      <x:c r="N137" t="str">
        <x:v>Chi nhánh Công ty TNHH Sản xuất Thương mại Xuất Nhập khẩu Tạ Minh Quang – Nhà máy Mỹ phẩm Tạ Minh Quang</x:v>
      </x:c>
      <x:c r="O137" t="str">
        <x:v>Thu hồi số tiếp nhận (2025)</x:v>
      </x:c>
      <x:c r="P137" t="str">
        <x:v>Xác minh chính thức qua Quyết định Sở Y tế TP.HCM; nguồn đăng lại Sở Y tế Quảng Ninh</x:v>
      </x:c>
      <x:c r="Q137" t="str">
        <x:v>Số công bố và ngày cấp nằm trong danh sách 38 số bị thu hồi; lý do công ty tự đề nghị thu hồi.</x:v>
      </x:c>
      <x:c r="R137" t="str">
        <x:v>https://soytequangninh.gov.vn/trang-chu/huong-dan-nghiep-vu/linh-vuc-duoc/thong-bao-ve-viec-thu-hoi-so-tiep-nhan-phieu-cong-bo-san-pha3.html</x:v>
      </x:c>
      <x:c r="S137" t="str">
        <x:v>TP. Hồ Chí Minh</x:v>
      </x:c>
      <x:c r="T137" t="str">
        <x:v>79</x:v>
      </x:c>
    </x:row>
    <x:row r="138">
      <x:c r="A138" t="n">
        <x:v>137</x:v>
      </x:c>
      <x:c r="B138" s="330" t="n">
        <x:v>45069</x:v>
      </x:c>
      <x:c r="C138" s="330" t="n">
        <x:v>45709</x:v>
      </x:c>
      <x:c r="D138" t="n">
        <x:v>2023</x:v>
      </x:c>
      <x:c r="E138" t="n">
        <x:v>5</x:v>
      </x:c>
      <x:c r="F138" t="str">
        <x:v>002110/23/CBMP-HCM</x:v>
      </x:c>
      <x:c r="G138"/>
      <x:c r="H138" t="str">
        <x:v>ELISE mặt nạ hoa quả dưỡng da</x:v>
      </x:c>
      <x:c r="I138" t="str">
        <x:v>ELISE</x:v>
      </x:c>
      <x:c r="J138" t="str">
        <x:v>Mặt nạ</x:v>
      </x:c>
      <x:c r="K138" t="str">
        <x:v>Mặt nạ dưỡng da</x:v>
      </x:c>
      <x:c r="L138" t="str">
        <x:v>Công ty TNHH Sản xuất Thương mại Xuất Nhập khẩu Tạ Minh Quang</x:v>
      </x:c>
      <x:c r="M138" t="str">
        <x:v>15 Đường 3C, Phường An Lạc A, Quận Bình Tân, TP.HCM</x:v>
      </x:c>
      <x:c r="N138" t="str">
        <x:v>Chi nhánh Công ty TNHH Sản xuất Thương mại Xuất Nhập khẩu Tạ Minh Quang – Nhà máy Mỹ phẩm Tạ Minh Quang</x:v>
      </x:c>
      <x:c r="O138" t="str">
        <x:v>Thu hồi số tiếp nhận (2025)</x:v>
      </x:c>
      <x:c r="P138" t="str">
        <x:v>Xác minh chính thức qua Quyết định Sở Y tế TP.HCM; nguồn đăng lại Sở Y tế Quảng Ninh</x:v>
      </x:c>
      <x:c r="Q138" t="str">
        <x:v>Số công bố và ngày cấp nằm trong danh sách 38 số bị thu hồi; lý do công ty tự đề nghị thu hồi.</x:v>
      </x:c>
      <x:c r="R138" t="str">
        <x:v>https://soytequangninh.gov.vn/trang-chu/huong-dan-nghiep-vu/linh-vuc-duoc/thong-bao-ve-viec-thu-hoi-so-tiep-nhan-phieu-cong-bo-san-pha3.html</x:v>
      </x:c>
      <x:c r="S138" t="str">
        <x:v>TP. Hồ Chí Minh</x:v>
      </x:c>
      <x:c r="T138" t="str">
        <x:v>79</x:v>
      </x:c>
    </x:row>
    <x:row r="139">
      <x:c r="A139" t="n">
        <x:v>138</x:v>
      </x:c>
      <x:c r="B139" s="330" t="n">
        <x:v>45069</x:v>
      </x:c>
      <x:c r="C139" s="330" t="n">
        <x:v>45709</x:v>
      </x:c>
      <x:c r="D139" t="n">
        <x:v>2023</x:v>
      </x:c>
      <x:c r="E139" t="n">
        <x:v>5</x:v>
      </x:c>
      <x:c r="F139" t="str">
        <x:v>002114/23/CBMP-HCM</x:v>
      </x:c>
      <x:c r="G139"/>
      <x:c r="H139" t="str">
        <x:v>ELISE mặt nạ ngọc trai dưỡng da</x:v>
      </x:c>
      <x:c r="I139" t="str">
        <x:v>ELISE</x:v>
      </x:c>
      <x:c r="J139" t="str">
        <x:v>Mặt nạ</x:v>
      </x:c>
      <x:c r="K139" t="str">
        <x:v>Mặt nạ dưỡng da</x:v>
      </x:c>
      <x:c r="L139" t="str">
        <x:v>Công ty TNHH Sản xuất Thương mại Xuất Nhập khẩu Tạ Minh Quang</x:v>
      </x:c>
      <x:c r="M139" t="str">
        <x:v>15 Đường 3C, Phường An Lạc A, Quận Bình Tân, TP.HCM</x:v>
      </x:c>
      <x:c r="N139" t="str">
        <x:v>Chi nhánh Công ty TNHH Sản xuất Thương mại Xuất Nhập khẩu Tạ Minh Quang – Nhà máy Mỹ phẩm Tạ Minh Quang</x:v>
      </x:c>
      <x:c r="O139" t="str">
        <x:v>Thu hồi số tiếp nhận (2025)</x:v>
      </x:c>
      <x:c r="P139" t="str">
        <x:v>Xác minh chính thức qua Quyết định Sở Y tế TP.HCM; nguồn đăng lại Sở Y tế Quảng Ninh</x:v>
      </x:c>
      <x:c r="Q139" t="str">
        <x:v>Số công bố và ngày cấp nằm trong danh sách 38 số bị thu hồi; lý do công ty tự đề nghị thu hồi.</x:v>
      </x:c>
      <x:c r="R139" t="str">
        <x:v>https://soytequangninh.gov.vn/trang-chu/huong-dan-nghiep-vu/linh-vuc-duoc/thong-bao-ve-viec-thu-hoi-so-tiep-nhan-phieu-cong-bo-san-pha3.html</x:v>
      </x:c>
      <x:c r="S139" t="str">
        <x:v>TP. Hồ Chí Minh</x:v>
      </x:c>
      <x:c r="T139" t="str">
        <x:v>79</x:v>
      </x:c>
    </x:row>
    <x:row r="140">
      <x:c r="A140" t="n">
        <x:v>139</x:v>
      </x:c>
      <x:c r="B140" s="330" t="n">
        <x:v>45069</x:v>
      </x:c>
      <x:c r="C140" s="330" t="n">
        <x:v>45709</x:v>
      </x:c>
      <x:c r="D140" t="n">
        <x:v>2023</x:v>
      </x:c>
      <x:c r="E140" t="n">
        <x:v>5</x:v>
      </x:c>
      <x:c r="F140" t="str">
        <x:v>002117/23/CBMP-HCM</x:v>
      </x:c>
      <x:c r="G140"/>
      <x:c r="H140" t="str">
        <x:v>ELISE mặt nạ ốc sên dưỡng da</x:v>
      </x:c>
      <x:c r="I140" t="str">
        <x:v>ELISE</x:v>
      </x:c>
      <x:c r="J140" t="str">
        <x:v>Mặt nạ</x:v>
      </x:c>
      <x:c r="K140" t="str">
        <x:v>Mặt nạ dưỡng da</x:v>
      </x:c>
      <x:c r="L140" t="str">
        <x:v>Công ty TNHH Sản xuất Thương mại Xuất Nhập khẩu Tạ Minh Quang</x:v>
      </x:c>
      <x:c r="M140" t="str">
        <x:v>15 Đường 3C, Phường An Lạc A, Quận Bình Tân, TP.HCM</x:v>
      </x:c>
      <x:c r="N140" t="str">
        <x:v>Chi nhánh Công ty TNHH Sản xuất Thương mại Xuất Nhập khẩu Tạ Minh Quang – Nhà máy Mỹ phẩm Tạ Minh Quang</x:v>
      </x:c>
      <x:c r="O140" t="str">
        <x:v>Thu hồi số tiếp nhận (2025)</x:v>
      </x:c>
      <x:c r="P140" t="str">
        <x:v>Xác minh chính thức qua Quyết định Sở Y tế TP.HCM; nguồn đăng lại Sở Y tế Quảng Ninh</x:v>
      </x:c>
      <x:c r="Q140" t="str">
        <x:v>Số công bố và ngày cấp nằm trong danh sách 38 số bị thu hồi; lý do công ty tự đề nghị thu hồi.</x:v>
      </x:c>
      <x:c r="R140" t="str">
        <x:v>https://soytequangninh.gov.vn/trang-chu/huong-dan-nghiep-vu/linh-vuc-duoc/thong-bao-ve-viec-thu-hoi-so-tiep-nhan-phieu-cong-bo-san-pha3.html</x:v>
      </x:c>
      <x:c r="S140" t="str">
        <x:v>TP. Hồ Chí Minh</x:v>
      </x:c>
      <x:c r="T140" t="str">
        <x:v>79</x:v>
      </x:c>
    </x:row>
    <x:row r="141">
      <x:c r="A141" t="n">
        <x:v>140</x:v>
      </x:c>
      <x:c r="B141" s="330" t="n">
        <x:v>45069</x:v>
      </x:c>
      <x:c r="C141" s="330" t="n">
        <x:v>45709</x:v>
      </x:c>
      <x:c r="D141" t="n">
        <x:v>2023</x:v>
      </x:c>
      <x:c r="E141" t="n">
        <x:v>5</x:v>
      </x:c>
      <x:c r="F141" t="str">
        <x:v>002116/23/CBMP-HCM</x:v>
      </x:c>
      <x:c r="G141"/>
      <x:c r="H141" t="str">
        <x:v>ELISE mặt nạ táo dưỡng da</x:v>
      </x:c>
      <x:c r="I141" t="str">
        <x:v>ELISE</x:v>
      </x:c>
      <x:c r="J141" t="str">
        <x:v>Mặt nạ</x:v>
      </x:c>
      <x:c r="K141" t="str">
        <x:v>Mặt nạ dưỡng da</x:v>
      </x:c>
      <x:c r="L141" t="str">
        <x:v>Công ty TNHH Sản xuất Thương mại Xuất Nhập khẩu Tạ Minh Quang</x:v>
      </x:c>
      <x:c r="M141" t="str">
        <x:v>15 Đường 3C, Phường An Lạc A, Quận Bình Tân, TP.HCM</x:v>
      </x:c>
      <x:c r="N141" t="str">
        <x:v>Chi nhánh Công ty TNHH Sản xuất Thương mại Xuất Nhập khẩu Tạ Minh Quang – Nhà máy Mỹ phẩm Tạ Minh Quang</x:v>
      </x:c>
      <x:c r="O141" t="str">
        <x:v>Thu hồi số tiếp nhận (2025)</x:v>
      </x:c>
      <x:c r="P141" t="str">
        <x:v>Xác minh chính thức qua Quyết định Sở Y tế TP.HCM; nguồn đăng lại Sở Y tế Quảng Ninh</x:v>
      </x:c>
      <x:c r="Q141" t="str">
        <x:v>Số công bố và ngày cấp nằm trong danh sách 38 số bị thu hồi; lý do công ty tự đề nghị thu hồi.</x:v>
      </x:c>
      <x:c r="R141" t="str">
        <x:v>https://soytequangninh.gov.vn/trang-chu/huong-dan-nghiep-vu/linh-vuc-duoc/thong-bao-ve-viec-thu-hoi-so-tiep-nhan-phieu-cong-bo-san-pha3.html</x:v>
      </x:c>
      <x:c r="S141" t="str">
        <x:v>TP. Hồ Chí Minh</x:v>
      </x:c>
      <x:c r="T141" t="str">
        <x:v>79</x:v>
      </x:c>
    </x:row>
    <x:row r="142">
      <x:c r="A142" t="n">
        <x:v>141</x:v>
      </x:c>
      <x:c r="B142" s="330" t="n">
        <x:v>45127</x:v>
      </x:c>
      <x:c r="C142" s="330" t="n">
        <x:v>45709</x:v>
      </x:c>
      <x:c r="D142" t="n">
        <x:v>2023</x:v>
      </x:c>
      <x:c r="E142" t="n">
        <x:v>7</x:v>
      </x:c>
      <x:c r="F142" t="str">
        <x:v>003036/23/CBMP-HCM</x:v>
      </x:c>
      <x:c r="G142"/>
      <x:c r="H142" t="str">
        <x:v>GEISHA kem dưỡng trắng da chống nắng</x:v>
      </x:c>
      <x:c r="I142" t="str">
        <x:v>GEISHA</x:v>
      </x:c>
      <x:c r="J142" t="str">
        <x:v>Kem dưỡng da</x:v>
      </x:c>
      <x:c r="K142" t="str">
        <x:v>Kem dưỡng/chăm sóc da</x:v>
      </x:c>
      <x:c r="L142" t="str">
        <x:v>Công ty TNHH Sản xuất Thương mại Xuất Nhập khẩu Tạ Minh Quang</x:v>
      </x:c>
      <x:c r="M142" t="str">
        <x:v>15 Đường 3C, Phường An Lạc A, Quận Bình Tân, TP.HCM</x:v>
      </x:c>
      <x:c r="N142" t="str">
        <x:v>Chi nhánh Công ty TNHH Sản xuất Thương mại Xuất Nhập khẩu Tạ Minh Quang – Nhà máy Mỹ phẩm Tạ Minh Quang</x:v>
      </x:c>
      <x:c r="O142" t="str">
        <x:v>Thu hồi số tiếp nhận (2025)</x:v>
      </x:c>
      <x:c r="P142" t="str">
        <x:v>Xác minh chính thức qua Quyết định Sở Y tế TP.HCM; nguồn đăng lại Sở Y tế Quảng Ninh</x:v>
      </x:c>
      <x:c r="Q142" t="str">
        <x:v>Số công bố và ngày cấp nằm trong danh sách 38 số bị thu hồi; lý do công ty tự đề nghị thu hồi.</x:v>
      </x:c>
      <x:c r="R142" t="str">
        <x:v>https://soytequangninh.gov.vn/trang-chu/huong-dan-nghiep-vu/linh-vuc-duoc/thong-bao-ve-viec-thu-hoi-so-tiep-nhan-phieu-cong-bo-san-pha3.html</x:v>
      </x:c>
      <x:c r="S142" t="str">
        <x:v>TP. Hồ Chí Minh</x:v>
      </x:c>
      <x:c r="T142" t="str">
        <x:v>79</x:v>
      </x:c>
    </x:row>
    <x:row r="143">
      <x:c r="A143" t="n">
        <x:v>142</x:v>
      </x:c>
      <x:c r="B143" s="330" t="n">
        <x:v>45252</x:v>
      </x:c>
      <x:c r="C143" s="330" t="n">
        <x:v>45709</x:v>
      </x:c>
      <x:c r="D143" t="n">
        <x:v>2023</x:v>
      </x:c>
      <x:c r="E143" t="n">
        <x:v>11</x:v>
      </x:c>
      <x:c r="F143" t="str">
        <x:v>005386/23/CBMP-HCM</x:v>
      </x:c>
      <x:c r="G143"/>
      <x:c r="H143" t="str">
        <x:v>LAVI mặt nạ dưa leo dưỡng da</x:v>
      </x:c>
      <x:c r="I143" t="str">
        <x:v>LAVI</x:v>
      </x:c>
      <x:c r="J143" t="str">
        <x:v>Mặt nạ</x:v>
      </x:c>
      <x:c r="K143" t="str">
        <x:v>Mặt nạ dưỡng da</x:v>
      </x:c>
      <x:c r="L143" t="str">
        <x:v>Công ty TNHH Sản xuất Thương mại Xuất Nhập khẩu Tạ Minh Quang</x:v>
      </x:c>
      <x:c r="M143" t="str">
        <x:v>15 Đường 3C, Phường An Lạc A, Quận Bình Tân, TP.HCM</x:v>
      </x:c>
      <x:c r="N143" t="str">
        <x:v>Chi nhánh Công ty TNHH Sản xuất Thương mại Xuất Nhập khẩu Tạ Minh Quang – Nhà máy Mỹ phẩm Tạ Minh Quang</x:v>
      </x:c>
      <x:c r="O143" t="str">
        <x:v>Thu hồi số tiếp nhận (2025)</x:v>
      </x:c>
      <x:c r="P143" t="str">
        <x:v>Xác minh chính thức qua Quyết định Sở Y tế TP.HCM; nguồn đăng lại Sở Y tế Quảng Ninh</x:v>
      </x:c>
      <x:c r="Q143" t="str">
        <x:v>Số công bố và ngày cấp nằm trong danh sách 38 số bị thu hồi; lý do công ty tự đề nghị thu hồi.</x:v>
      </x:c>
      <x:c r="R143" t="str">
        <x:v>https://soytequangninh.gov.vn/trang-chu/huong-dan-nghiep-vu/linh-vuc-duoc/thong-bao-ve-viec-thu-hoi-so-tiep-nhan-phieu-cong-bo-san-pha3.html</x:v>
      </x:c>
      <x:c r="S143" t="str">
        <x:v>TP. Hồ Chí Minh</x:v>
      </x:c>
      <x:c r="T143" t="str">
        <x:v>79</x:v>
      </x:c>
    </x:row>
    <x:row r="144">
      <x:c r="A144" t="n">
        <x:v>143</x:v>
      </x:c>
      <x:c r="B144" s="330" t="n">
        <x:v>45152</x:v>
      </x:c>
      <x:c r="C144" s="330" t="n">
        <x:v>45709</x:v>
      </x:c>
      <x:c r="D144" t="n">
        <x:v>2023</x:v>
      </x:c>
      <x:c r="E144" t="n">
        <x:v>8</x:v>
      </x:c>
      <x:c r="F144" t="str">
        <x:v>003450/23/CBMP-HCM</x:v>
      </x:c>
      <x:c r="G144"/>
      <x:c r="H144" t="str">
        <x:v>JOEJOE makeup remover</x:v>
      </x:c>
      <x:c r="I144" t="str">
        <x:v>JOEJOE</x:v>
      </x:c>
      <x:c r="J144" t="str">
        <x:v>Tẩy trang</x:v>
      </x:c>
      <x:c r="K144" t="str">
        <x:v>Tẩy trang</x:v>
      </x:c>
      <x:c r="L144" t="str">
        <x:v>Công ty TNHH Sản xuất Thương mại Xuất Nhập khẩu Tạ Minh Quang</x:v>
      </x:c>
      <x:c r="M144" t="str">
        <x:v>15 Đường 3C, Phường An Lạc A, Quận Bình Tân, TP.HCM</x:v>
      </x:c>
      <x:c r="N144" t="str">
        <x:v>Chi nhánh Công ty TNHH Sản xuất Thương mại Xuất Nhập khẩu Tạ Minh Quang – Nhà máy Mỹ phẩm Tạ Minh Quang</x:v>
      </x:c>
      <x:c r="O144" t="str">
        <x:v>Thu hồi số tiếp nhận (2025)</x:v>
      </x:c>
      <x:c r="P144" t="str">
        <x:v>Xác minh chính thức qua Quyết định Sở Y tế TP.HCM; nguồn đăng lại Sở Y tế Quảng Ninh</x:v>
      </x:c>
      <x:c r="Q144" t="str">
        <x:v>Số công bố và ngày cấp nằm trong danh sách 38 số bị thu hồi; lý do công ty tự đề nghị thu hồi.</x:v>
      </x:c>
      <x:c r="R144" t="str">
        <x:v>https://soytequangninh.gov.vn/trang-chu/huong-dan-nghiep-vu/linh-vuc-duoc/thong-bao-ve-viec-thu-hoi-so-tiep-nhan-phieu-cong-bo-san-pha3.html</x:v>
      </x:c>
      <x:c r="S144" t="str">
        <x:v>TP. Hồ Chí Minh</x:v>
      </x:c>
      <x:c r="T144" t="str">
        <x:v>79</x:v>
      </x:c>
    </x:row>
    <x:row r="145">
      <x:c r="A145" t="n">
        <x:v>144</x:v>
      </x:c>
      <x:c r="B145" s="330" t="n">
        <x:v>45152</x:v>
      </x:c>
      <x:c r="C145" s="330" t="n">
        <x:v>45709</x:v>
      </x:c>
      <x:c r="D145" t="n">
        <x:v>2023</x:v>
      </x:c>
      <x:c r="E145" t="n">
        <x:v>8</x:v>
      </x:c>
      <x:c r="F145" t="str">
        <x:v>003451/23/CBMP-HCM</x:v>
      </x:c>
      <x:c r="G145"/>
      <x:c r="H145" t="str">
        <x:v>JOEJOE refreshing facial cleansing gel</x:v>
      </x:c>
      <x:c r="I145" t="str">
        <x:v>JOEJOE</x:v>
      </x:c>
      <x:c r="J145" t="str">
        <x:v>Sữa rửa mặt</x:v>
      </x:c>
      <x:c r="K145" t="str">
        <x:v>Làm sạch da mặt</x:v>
      </x:c>
      <x:c r="L145" t="str">
        <x:v>Công ty TNHH Sản xuất Thương mại Xuất Nhập khẩu Tạ Minh Quang</x:v>
      </x:c>
      <x:c r="M145" t="str">
        <x:v>15 Đường 3C, Phường An Lạc A, Quận Bình Tân, TP.HCM</x:v>
      </x:c>
      <x:c r="N145" t="str">
        <x:v>Chi nhánh Công ty TNHH Sản xuất Thương mại Xuất Nhập khẩu Tạ Minh Quang – Nhà máy Mỹ phẩm Tạ Minh Quang</x:v>
      </x:c>
      <x:c r="O145" t="str">
        <x:v>Thu hồi số tiếp nhận (2025)</x:v>
      </x:c>
      <x:c r="P145" t="str">
        <x:v>Xác minh chính thức qua Quyết định Sở Y tế TP.HCM; nguồn đăng lại Sở Y tế Quảng Ninh</x:v>
      </x:c>
      <x:c r="Q145" t="str">
        <x:v>Số công bố và ngày cấp nằm trong danh sách 38 số bị thu hồi; lý do công ty tự đề nghị thu hồi.</x:v>
      </x:c>
      <x:c r="R145" t="str">
        <x:v>https://soytequangninh.gov.vn/trang-chu/huong-dan-nghiep-vu/linh-vuc-duoc/thong-bao-ve-viec-thu-hoi-so-tiep-nhan-phieu-cong-bo-san-pha3.html</x:v>
      </x:c>
      <x:c r="S145" t="str">
        <x:v>TP. Hồ Chí Minh</x:v>
      </x:c>
      <x:c r="T145" t="str">
        <x:v>79</x:v>
      </x:c>
    </x:row>
    <x:row r="146">
      <x:c r="A146" t="n">
        <x:v>145</x:v>
      </x:c>
      <x:c r="B146" s="330" t="n">
        <x:v>45152</x:v>
      </x:c>
      <x:c r="C146" s="330" t="n">
        <x:v>45709</x:v>
      </x:c>
      <x:c r="D146" t="n">
        <x:v>2023</x:v>
      </x:c>
      <x:c r="E146" t="n">
        <x:v>8</x:v>
      </x:c>
      <x:c r="F146" t="str">
        <x:v>003452/23/CBMP-HCM</x:v>
      </x:c>
      <x:c r="G146"/>
      <x:c r="H146" t="str">
        <x:v>JOEJOE skin toner</x:v>
      </x:c>
      <x:c r="I146" t="str">
        <x:v>JOEJOE</x:v>
      </x:c>
      <x:c r="J146" t="str">
        <x:v>Khác</x:v>
      </x:c>
      <x:c r="K146" t="str">
        <x:v>Toner/Nước cân bằng</x:v>
      </x:c>
      <x:c r="L146" t="str">
        <x:v>Công ty TNHH Sản xuất Thương mại Xuất Nhập khẩu Tạ Minh Quang</x:v>
      </x:c>
      <x:c r="M146" t="str">
        <x:v>15 Đường 3C, Phường An Lạc A, Quận Bình Tân, TP.HCM</x:v>
      </x:c>
      <x:c r="N146" t="str">
        <x:v>Chi nhánh Công ty TNHH Sản xuất Thương mại Xuất Nhập khẩu Tạ Minh Quang – Nhà máy Mỹ phẩm Tạ Minh Quang</x:v>
      </x:c>
      <x:c r="O146" t="str">
        <x:v>Thu hồi số tiếp nhận (2025)</x:v>
      </x:c>
      <x:c r="P146" t="str">
        <x:v>Xác minh chính thức qua Quyết định Sở Y tế TP.HCM; nguồn đăng lại Sở Y tế Quảng Ninh</x:v>
      </x:c>
      <x:c r="Q146" t="str">
        <x:v>Số công bố và ngày cấp nằm trong danh sách 38 số bị thu hồi; lý do công ty tự đề nghị thu hồi.</x:v>
      </x:c>
      <x:c r="R146" t="str">
        <x:v>https://soytequangninh.gov.vn/trang-chu/huong-dan-nghiep-vu/linh-vuc-duoc/thong-bao-ve-viec-thu-hoi-so-tiep-nhan-phieu-cong-bo-san-pha3.html</x:v>
      </x:c>
      <x:c r="S146" t="str">
        <x:v>TP. Hồ Chí Minh</x:v>
      </x:c>
      <x:c r="T146" t="str">
        <x:v>79</x:v>
      </x:c>
    </x:row>
    <x:row r="147">
      <x:c r="A147" t="n">
        <x:v>146</x:v>
      </x:c>
      <x:c r="B147" s="330" t="n">
        <x:v>45152</x:v>
      </x:c>
      <x:c r="C147" s="330" t="n">
        <x:v>45709</x:v>
      </x:c>
      <x:c r="D147" t="n">
        <x:v>2023</x:v>
      </x:c>
      <x:c r="E147" t="n">
        <x:v>8</x:v>
      </x:c>
      <x:c r="F147" t="str">
        <x:v>003449/23/CBMP-HCM</x:v>
      </x:c>
      <x:c r="G147"/>
      <x:c r="H147" t="str">
        <x:v>JOEJOE moisturizing serum</x:v>
      </x:c>
      <x:c r="I147" t="str">
        <x:v>JOEJOE</x:v>
      </x:c>
      <x:c r="J147" t="str">
        <x:v>Serum/Essence da</x:v>
      </x:c>
      <x:c r="K147" t="str">
        <x:v>Serum dưỡng da</x:v>
      </x:c>
      <x:c r="L147" t="str">
        <x:v>Công ty TNHH Sản xuất Thương mại Xuất Nhập khẩu Tạ Minh Quang</x:v>
      </x:c>
      <x:c r="M147" t="str">
        <x:v>15 Đường 3C, Phường An Lạc A, Quận Bình Tân, TP.HCM</x:v>
      </x:c>
      <x:c r="N147" t="str">
        <x:v>Chi nhánh Công ty TNHH Sản xuất Thương mại Xuất Nhập khẩu Tạ Minh Quang – Nhà máy Mỹ phẩm Tạ Minh Quang</x:v>
      </x:c>
      <x:c r="O147" t="str">
        <x:v>Thu hồi số tiếp nhận (2025)</x:v>
      </x:c>
      <x:c r="P147" t="str">
        <x:v>Xác minh chính thức qua Quyết định Sở Y tế TP.HCM; nguồn đăng lại Sở Y tế Quảng Ninh</x:v>
      </x:c>
      <x:c r="Q147" t="str">
        <x:v>Số công bố và ngày cấp nằm trong danh sách 38 số bị thu hồi; lý do công ty tự đề nghị thu hồi.</x:v>
      </x:c>
      <x:c r="R147" t="str">
        <x:v>https://soytequangninh.gov.vn/trang-chu/huong-dan-nghiep-vu/linh-vuc-duoc/thong-bao-ve-viec-thu-hoi-so-tiep-nhan-phieu-cong-bo-san-pha3.html</x:v>
      </x:c>
      <x:c r="S147" t="str">
        <x:v>TP. Hồ Chí Minh</x:v>
      </x:c>
      <x:c r="T147" t="str">
        <x:v>79</x:v>
      </x:c>
    </x:row>
    <x:row r="148">
      <x:c r="A148" t="n">
        <x:v>147</x:v>
      </x:c>
      <x:c r="B148" s="330" t="n">
        <x:v>45152</x:v>
      </x:c>
      <x:c r="C148" s="330" t="n">
        <x:v>45709</x:v>
      </x:c>
      <x:c r="D148" t="n">
        <x:v>2023</x:v>
      </x:c>
      <x:c r="E148" t="n">
        <x:v>8</x:v>
      </x:c>
      <x:c r="F148" t="str">
        <x:v>003453/23/CBMP-HCM</x:v>
      </x:c>
      <x:c r="G148"/>
      <x:c r="H148" t="str">
        <x:v>JOEJOE radiant whitening cream</x:v>
      </x:c>
      <x:c r="I148" t="str">
        <x:v>JOEJOE</x:v>
      </x:c>
      <x:c r="J148" t="str">
        <x:v>Khác</x:v>
      </x:c>
      <x:c r="K148" t="str">
        <x:v>Chưa chuẩn hóa sâu</x:v>
      </x:c>
      <x:c r="L148" t="str">
        <x:v>Công ty TNHH Sản xuất Thương mại Xuất Nhập khẩu Tạ Minh Quang</x:v>
      </x:c>
      <x:c r="M148" t="str">
        <x:v>15 Đường 3C, Phường An Lạc A, Quận Bình Tân, TP.HCM</x:v>
      </x:c>
      <x:c r="N148" t="str">
        <x:v>Chi nhánh Công ty TNHH Sản xuất Thương mại Xuất Nhập khẩu Tạ Minh Quang – Nhà máy Mỹ phẩm Tạ Minh Quang</x:v>
      </x:c>
      <x:c r="O148" t="str">
        <x:v>Thu hồi số tiếp nhận (2025)</x:v>
      </x:c>
      <x:c r="P148" t="str">
        <x:v>Xác minh chính thức qua Quyết định Sở Y tế TP.HCM; nguồn đăng lại Sở Y tế Quảng Ninh</x:v>
      </x:c>
      <x:c r="Q148" t="str">
        <x:v>Số công bố và ngày cấp nằm trong danh sách 38 số bị thu hồi; lý do công ty tự đề nghị thu hồi.</x:v>
      </x:c>
      <x:c r="R148" t="str">
        <x:v>https://soytequangninh.gov.vn/trang-chu/huong-dan-nghiep-vu/linh-vuc-duoc/thong-bao-ve-viec-thu-hoi-so-tiep-nhan-phieu-cong-bo-san-pha3.html</x:v>
      </x:c>
      <x:c r="S148" t="str">
        <x:v>TP. Hồ Chí Minh</x:v>
      </x:c>
      <x:c r="T148" t="str">
        <x:v>79</x:v>
      </x:c>
    </x:row>
    <x:row r="149">
      <x:c r="A149" t="n">
        <x:v>148</x:v>
      </x:c>
      <x:c r="B149" s="330" t="n">
        <x:v>45152</x:v>
      </x:c>
      <x:c r="C149" s="330" t="n">
        <x:v>45709</x:v>
      </x:c>
      <x:c r="D149" t="n">
        <x:v>2023</x:v>
      </x:c>
      <x:c r="E149" t="n">
        <x:v>8</x:v>
      </x:c>
      <x:c r="F149" t="str">
        <x:v>003454/23/CBMP-HCM</x:v>
      </x:c>
      <x:c r="G149"/>
      <x:c r="H149" t="str">
        <x:v>JOEJOE refreshing shower gel</x:v>
      </x:c>
      <x:c r="I149" t="str">
        <x:v>JOEJOE</x:v>
      </x:c>
      <x:c r="J149" t="str">
        <x:v>Sữa tắm/Gel tắm</x:v>
      </x:c>
      <x:c r="K149" t="str">
        <x:v>Sữa tắm/Gel tắm</x:v>
      </x:c>
      <x:c r="L149" t="str">
        <x:v>Công ty TNHH Sản xuất Thương mại Xuất Nhập khẩu Tạ Minh Quang</x:v>
      </x:c>
      <x:c r="M149" t="str">
        <x:v>15 Đường 3C, Phường An Lạc A, Quận Bình Tân, TP.HCM</x:v>
      </x:c>
      <x:c r="N149" t="str">
        <x:v>Chi nhánh Công ty TNHH Sản xuất Thương mại Xuất Nhập khẩu Tạ Minh Quang – Nhà máy Mỹ phẩm Tạ Minh Quang</x:v>
      </x:c>
      <x:c r="O149" t="str">
        <x:v>Thu hồi số tiếp nhận (2025)</x:v>
      </x:c>
      <x:c r="P149" t="str">
        <x:v>Xác minh chính thức qua Quyết định Sở Y tế TP.HCM; nguồn đăng lại Sở Y tế Quảng Ninh</x:v>
      </x:c>
      <x:c r="Q149" t="str">
        <x:v>Số công bố và ngày cấp nằm trong danh sách 38 số bị thu hồi; lý do công ty tự đề nghị thu hồi.</x:v>
      </x:c>
      <x:c r="R149" t="str">
        <x:v>https://soytequangninh.gov.vn/trang-chu/huong-dan-nghiep-vu/linh-vuc-duoc/thong-bao-ve-viec-thu-hoi-so-tiep-nhan-phieu-cong-bo-san-pha3.html</x:v>
      </x:c>
      <x:c r="S149" t="str">
        <x:v>TP. Hồ Chí Minh</x:v>
      </x:c>
      <x:c r="T149" t="str">
        <x:v>79</x:v>
      </x:c>
    </x:row>
    <x:row r="150">
      <x:c r="A150" t="n">
        <x:v>149</x:v>
      </x:c>
      <x:c r="B150" s="330" t="n">
        <x:v>44859</x:v>
      </x:c>
      <x:c r="C150" s="330" t="n">
        <x:v>45709</x:v>
      </x:c>
      <x:c r="D150" t="n">
        <x:v>2022</x:v>
      </x:c>
      <x:c r="E150" t="n">
        <x:v>10</x:v>
      </x:c>
      <x:c r="F150" t="str">
        <x:v>004103/22/CBMP-HCM</x:v>
      </x:c>
      <x:c r="G150"/>
      <x:c r="H150" t="str">
        <x:v>FOR HER intimate wash - pH - balanced / Dung dịch vệ sinh phụ nữ</x:v>
      </x:c>
      <x:c r="I150" t="str">
        <x:v>FOR HER</x:v>
      </x:c>
      <x:c r="J150" t="str">
        <x:v>Dung dịch vệ sinh</x:v>
      </x:c>
      <x:c r="K150" t="str">
        <x:v>Vệ sinh phụ nữ</x:v>
      </x:c>
      <x:c r="L150" t="str">
        <x:v>Công ty TNHH Sản xuất Thương mại Xuất Nhập khẩu Tạ Minh Quang</x:v>
      </x:c>
      <x:c r="M150" t="str">
        <x:v>15 Đường 3C, Phường An Lạc A, Quận Bình Tân, TP.HCM</x:v>
      </x:c>
      <x:c r="N150" t="str">
        <x:v>Chi nhánh Công ty TNHH Sản xuất Thương mại Xuất Nhập khẩu Tạ Minh Quang – Nhà máy Mỹ phẩm Tạ Minh Quang</x:v>
      </x:c>
      <x:c r="O150" t="str">
        <x:v>Thu hồi số tiếp nhận (2025)</x:v>
      </x:c>
      <x:c r="P150" t="str">
        <x:v>Xác minh chính thức qua Quyết định Sở Y tế TP.HCM; nguồn đăng lại Sở Y tế Quảng Ninh</x:v>
      </x:c>
      <x:c r="Q150" t="str">
        <x:v>Số công bố và ngày cấp nằm trong danh sách 38 số bị thu hồi; lý do công ty tự đề nghị thu hồi.</x:v>
      </x:c>
      <x:c r="R150" t="str">
        <x:v>https://soytequangninh.gov.vn/trang-chu/huong-dan-nghiep-vu/linh-vuc-duoc/thong-bao-ve-viec-thu-hoi-so-tiep-nhan-phieu-cong-bo-san-pha3.html</x:v>
      </x:c>
      <x:c r="S150" t="str">
        <x:v>TP. Hồ Chí Minh</x:v>
      </x:c>
      <x:c r="T150" t="str">
        <x:v>79</x:v>
      </x:c>
    </x:row>
    <x:row r="151">
      <x:c r="A151" t="n">
        <x:v>150</x:v>
      </x:c>
      <x:c r="B151" s="330" t="n">
        <x:v>45321</x:v>
      </x:c>
      <x:c r="C151" s="330" t="n">
        <x:v>45709</x:v>
      </x:c>
      <x:c r="D151" t="n">
        <x:v>2024</x:v>
      </x:c>
      <x:c r="E151" t="n">
        <x:v>1</x:v>
      </x:c>
      <x:c r="F151" t="str">
        <x:v>000430/24/CBMP-HCM</x:v>
      </x:c>
      <x:c r="G151"/>
      <x:c r="H151" t="str">
        <x:v>Perfection Sunblock Cream</x:v>
      </x:c>
      <x:c r="I151" t="str">
        <x:v>Sắc Nguyệt Hương</x:v>
      </x:c>
      <x:c r="J151" t="str">
        <x:v>Kem chống nắng</x:v>
      </x:c>
      <x:c r="K151" t="str">
        <x:v>Chống nắng</x:v>
      </x:c>
      <x:c r="L151" t="str">
        <x:v>Công ty TNHH Thương mại Dịch vụ Mỹ phẩm Đức Anh</x:v>
      </x:c>
      <x:c r="M151" t="str">
        <x:v>335 Kênh Tân Hóa, phường Hòa Thạnh, quận Tân Phú, TP.HCM</x:v>
      </x:c>
      <x:c r="N151" t="str">
        <x:v>Công ty Cổ phần Dược Mỹ phẩm Hành Tinh Xanh</x:v>
      </x:c>
      <x:c r="O151" t="str">
        <x:v>Thu hồi số tiếp nhận (2025)</x:v>
      </x:c>
      <x:c r="P151" t="str">
        <x:v>Xác minh chính thức qua Quyết định Sở Y tế TP.HCM; nguồn đăng lại Sở Y tế Quảng Ninh</x:v>
      </x:c>
      <x:c r="Q151" t="str">
        <x:v>Công ty chịu trách nhiệm tự đề nghị thu hồi số tiếp nhận Phiếu công bố.</x:v>
      </x:c>
      <x:c r="R151" t="str">
        <x:v>https://soytequangninh.gov.vn/trang-chu/huong-dan-nghiep-vu/linh-vuc-duoc/quyet-dinh-thu-hoi-so-tiep-nhan-phieu-cong-bo-san-pham-my-ph.html</x:v>
      </x:c>
      <x:c r="S151" t="str">
        <x:v>TP. Hồ Chí Minh</x:v>
      </x:c>
      <x:c r="T151" t="str">
        <x:v>79</x:v>
      </x:c>
    </x:row>
    <x:row r="152">
      <x:c r="A152" t="n">
        <x:v>151</x:v>
      </x:c>
      <x:c r="B152" s="330" t="n">
        <x:v>45321</x:v>
      </x:c>
      <x:c r="C152" s="330" t="n">
        <x:v>45709</x:v>
      </x:c>
      <x:c r="D152" t="n">
        <x:v>2024</x:v>
      </x:c>
      <x:c r="E152" t="n">
        <x:v>1</x:v>
      </x:c>
      <x:c r="F152" t="str">
        <x:v>000432/24/CBMP-HCM</x:v>
      </x:c>
      <x:c r="G152"/>
      <x:c r="H152" t="str">
        <x:v>Kem trắng da - Giúp mờ nám - Chống nắng</x:v>
      </x:c>
      <x:c r="I152" t="str">
        <x:v>Sắc Nguyệt Hương</x:v>
      </x:c>
      <x:c r="J152" t="str">
        <x:v>Kem dưỡng da</x:v>
      </x:c>
      <x:c r="K152" t="str">
        <x:v>Kem dưỡng/chăm sóc da</x:v>
      </x:c>
      <x:c r="L152" t="str">
        <x:v>Công ty TNHH Thương mại Dịch vụ Mỹ phẩm Đức Anh</x:v>
      </x:c>
      <x:c r="M152" t="str">
        <x:v>335 Kênh Tân Hóa, phường Hòa Thạnh, quận Tân Phú, TP.HCM</x:v>
      </x:c>
      <x:c r="N152" t="str">
        <x:v>Công ty Cổ phần Dược Mỹ phẩm Hành Tinh Xanh</x:v>
      </x:c>
      <x:c r="O152" t="str">
        <x:v>Thu hồi số tiếp nhận (2025)</x:v>
      </x:c>
      <x:c r="P152" t="str">
        <x:v>Xác minh chính thức qua Quyết định Sở Y tế TP.HCM; nguồn đăng lại Sở Y tế Quảng Ninh</x:v>
      </x:c>
      <x:c r="Q152" t="str">
        <x:v>Công ty chịu trách nhiệm tự đề nghị thu hồi số tiếp nhận Phiếu công bố.</x:v>
      </x:c>
      <x:c r="R152" t="str">
        <x:v>https://soytequangninh.gov.vn/trang-chu/huong-dan-nghiep-vu/linh-vuc-duoc/quyet-dinh-thu-hoi-so-tiep-nhan-phieu-cong-bo-san-pham-my-ph.html</x:v>
      </x:c>
      <x:c r="S152" t="str">
        <x:v>TP. Hồ Chí Minh</x:v>
      </x:c>
      <x:c r="T152" t="str">
        <x:v>79</x:v>
      </x:c>
    </x:row>
    <x:row r="153">
      <x:c r="A153" t="n">
        <x:v>152</x:v>
      </x:c>
      <x:c r="B153" s="330" t="n">
        <x:v>45372</x:v>
      </x:c>
      <x:c r="C153" s="330" t="n">
        <x:v>45707</x:v>
      </x:c>
      <x:c r="D153" t="n">
        <x:v>2024</x:v>
      </x:c>
      <x:c r="E153" t="n">
        <x:v>3</x:v>
      </x:c>
      <x:c r="F153" t="str">
        <x:v>001198/24/CBMP-HCM</x:v>
      </x:c>
      <x:c r="G153"/>
      <x:c r="H153" t="str">
        <x:v>VITAMIN MILK CLEANSER</x:v>
      </x:c>
      <x:c r="I153" t="str">
        <x:v>Faceplus+ HOANGDUNG COSMETICS</x:v>
      </x:c>
      <x:c r="J153" t="str">
        <x:v>Sữa rửa mặt</x:v>
      </x:c>
      <x:c r="K153" t="str">
        <x:v>Làm sạch da mặt</x:v>
      </x:c>
      <x:c r="L153" t="str">
        <x:v>Công ty TNHH Thương mại Dịch vụ Mỹ phẩm Hoàng Dũng</x:v>
      </x:c>
      <x:c r="M153" t="str">
        <x:v>41 đường 3, khu nhà ở Vạn Phúc 1, phường Hiệp Bình Phước, thành phố Thủ Đức, TP.HCM</x:v>
      </x:c>
      <x:c r="N153" t="str">
        <x:v>Công ty Cổ phần Dược mỹ phẩm Hành Tinh Xanh</x:v>
      </x:c>
      <x:c r="O153" t="str">
        <x:v>Thu hồi số tiếp nhận (2025)</x:v>
      </x:c>
      <x:c r="P153" t="str">
        <x:v>Xác minh chính thức qua Quyết định Sở Y tế TP.HCM; nguồn đăng lại Sở Y tế Quảng Ninh</x:v>
      </x:c>
      <x:c r="Q153" t="str">
        <x:v>Công ty chịu trách nhiệm tự đề nghị thu hồi số tiếp nhận Phiếu công bố.</x:v>
      </x:c>
      <x:c r="R153" t="str">
        <x:v>https://soytequangninh.gov.vn/trang-chu/huong-dan-nghiep-vu/linh-vuc-duoc/ve-viec-thu-hoi-so-tiep-nhan-phieu-cong-bo-san-pham-my-pham6.html</x:v>
      </x:c>
      <x:c r="S153" t="str">
        <x:v>TP. Hồ Chí Minh</x:v>
      </x:c>
      <x:c r="T153" t="str">
        <x:v>79</x:v>
      </x:c>
    </x:row>
    <x:row r="154">
      <x:c r="A154" t="n">
        <x:v>153</x:v>
      </x:c>
      <x:c r="B154" s="330"/>
      <x:c r="C154" s="330" t="n">
        <x:v>45643</x:v>
      </x:c>
      <x:c r="D154" t="n">
        <x:v>2022</x:v>
      </x:c>
      <x:c r="E154"/>
      <x:c r="F154" t="str">
        <x:v>2370/22/CBMP-HCM</x:v>
      </x:c>
      <x:c r="G154"/>
      <x:c r="H154" t="str">
        <x:v>Su Skin Whitening Night Cream</x:v>
      </x:c>
      <x:c r="I154" t="str">
        <x:v>Yody Phương Anh</x:v>
      </x:c>
      <x:c r="J154" t="str">
        <x:v>Kem dưỡng da</x:v>
      </x:c>
      <x:c r="K154" t="str">
        <x:v>Kem dưỡng da ban đêm</x:v>
      </x:c>
      <x:c r="L154" t="str">
        <x:v>Công ty TNHH TM - DV - thẩm mỹ Yodywhite Phương Anh</x:v>
      </x:c>
      <x:c r="M154" t="str">
        <x:v>65 Gò Xoài, Khu phố 10, phường Bình Hưng Hòa A, quận Bình Tân, TP. Hồ Chí Minh</x:v>
      </x:c>
      <x:c r="N154" t="str">
        <x:v>Công ty TNHH sản xuất dược mỹ phẩm Nhật Hàn</x:v>
      </x:c>
      <x:c r="O154" t="str">
        <x:v>Đình chỉ/thu hồi lô; Cục QLD đề nghị thu hồi số tiếp nhận (2024)</x:v>
      </x:c>
      <x:c r="P154" t="str">
        <x:v>Xác minh từ nguồn công khai cơ quan kiểm nghiệm/Sở Y tế</x:v>
      </x:c>
      <x:c r="Q154" t="str">
        <x:v>Nguồn công khai ghi số CBMP, công ty chịu trách nhiệm và nhà sản xuất. Lô Su Skin bị thu hồi do vi phạm chất lượng; ngày cấp Phiếu chưa lấy từ nguồn chính thức nên để trống.</x:v>
      </x:c>
      <x:c r="R154" t="str">
        <x:v>https://www.kiemnghiemdanang.vn/index.php?Itemid=672&amp;id=96&amp;limitstart=15&amp;option=com_content&amp;view=category</x:v>
      </x:c>
      <x:c r="S154" t="str">
        <x:v>TP. Hồ Chí Minh</x:v>
      </x:c>
      <x:c r="T154" t="str">
        <x:v>79</x:v>
      </x:c>
    </x:row>
    <x:row r="155">
      <x:c r="A155" t="n">
        <x:v>154</x:v>
      </x:c>
      <x:c r="B155" s="330"/>
      <x:c r="C155" s="330" t="n">
        <x:v>45644</x:v>
      </x:c>
      <x:c r="D155" t="n">
        <x:v>2022</x:v>
      </x:c>
      <x:c r="E155"/>
      <x:c r="F155" t="str">
        <x:v>2371/22/CBMP-HCM</x:v>
      </x:c>
      <x:c r="G155"/>
      <x:c r="H155" t="str">
        <x:v>Serum giúp tái tạo da</x:v>
      </x:c>
      <x:c r="I155" t="str">
        <x:v>Yody Phương Anh</x:v>
      </x:c>
      <x:c r="J155" t="str">
        <x:v>Serum/Essence da</x:v>
      </x:c>
      <x:c r="K155" t="str">
        <x:v>Serum da</x:v>
      </x:c>
      <x:c r="L155" t="str">
        <x:v>Công ty TNHH TM - DV - thẩm mỹ Yodywhite Phương Anh</x:v>
      </x:c>
      <x:c r="M155" t="str">
        <x:v>65 Gò Xoài, Khu phố 10, phường Bình Hưng Hòa A, quận Bình Tân, TP. Hồ Chí Minh</x:v>
      </x:c>
      <x:c r="N155" t="str">
        <x:v>Công ty TNHH sản xuất dược mỹ phẩm Nhật Hàn</x:v>
      </x:c>
      <x:c r="O155" t="str">
        <x:v>Đình chỉ/thu hồi lô (2024); chưa xác nhận thu hồi số tiếp nhận</x:v>
      </x:c>
      <x:c r="P155" t="str">
        <x:v>Xác minh từ nguồn công khai cơ quan kiểm nghiệm/Sở Y tế</x:v>
      </x:c>
      <x:c r="Q155" t="str">
        <x:v>Lô bị thu hồi do không đạt chỉ tiêu lượng thiếu cho phép. Chưa thấy quyết định công khai thu hồi chính số tiếp nhận.</x:v>
      </x:c>
      <x:c r="R155" t="str">
        <x:v>https://www.kiemnghiemdanang.vn/index.php?Itemid=672&amp;id=96&amp;limitstart=15&amp;option=com_content&amp;view=category</x:v>
      </x:c>
      <x:c r="S155" t="str">
        <x:v>TP. Hồ Chí Minh</x:v>
      </x:c>
      <x:c r="T155" t="str">
        <x:v>79</x:v>
      </x:c>
    </x:row>
    <x:row r="156">
      <x:c r="A156" t="n">
        <x:v>155</x:v>
      </x:c>
      <x:c r="B156" s="330"/>
      <x:c r="C156" s="330" t="n">
        <x:v>45644</x:v>
      </x:c>
      <x:c r="D156" t="n">
        <x:v>2022</x:v>
      </x:c>
      <x:c r="E156"/>
      <x:c r="F156" t="str">
        <x:v>004015/22/CBMP-HCM</x:v>
      </x:c>
      <x:c r="G156"/>
      <x:c r="H156" t="str">
        <x:v>Whitening Body Cream</x:v>
      </x:c>
      <x:c r="I156" t="str">
        <x:v>Yody Phương Anh</x:v>
      </x:c>
      <x:c r="J156" t="str">
        <x:v>Kem body</x:v>
      </x:c>
      <x:c r="K156" t="str">
        <x:v>Kem dưỡng cơ thể</x:v>
      </x:c>
      <x:c r="L156" t="str">
        <x:v>Công ty TNHH TM - DV - thẩm mỹ Yodywhite Phương Anh</x:v>
      </x:c>
      <x:c r="M156" t="str">
        <x:v>65 Gò Xoài, Khu phố 10, phường Bình Hưng Hòa A, quận Bình Tân, TP. Hồ Chí Minh</x:v>
      </x:c>
      <x:c r="N156" t="str">
        <x:v>Công ty TNHH sản xuất dược mỹ phẩm Nhật Hàn</x:v>
      </x:c>
      <x:c r="O156" t="str">
        <x:v>Đình chỉ/thu hồi lô (2024); chưa xác nhận thu hồi số tiếp nhận</x:v>
      </x:c>
      <x:c r="P156" t="str">
        <x:v>Xác minh từ nguồn công khai cơ quan kiểm nghiệm/Sở Y tế</x:v>
      </x:c>
      <x:c r="Q156" t="str">
        <x:v>Nguồn nêu nhãn lưu hành ghi thêm claim 'trắng bật tone sau 7 ngày' khác thông tin kê khai trên Phiếu công bố; MASTER lưu tên cơ bản Whitening Body Cream.</x:v>
      </x:c>
      <x:c r="R156" t="str">
        <x:v>https://www.kiemnghiemdanang.vn/index.php?Itemid=672&amp;id=96&amp;limitstart=15&amp;option=com_content&amp;view=category</x:v>
      </x:c>
      <x:c r="S156" t="str">
        <x:v>TP. Hồ Chí Minh</x:v>
      </x:c>
      <x:c r="T156" t="str">
        <x:v>79</x:v>
      </x:c>
    </x:row>
    <x:row r="157">
      <x:c r="A157" t="n">
        <x:v>156</x:v>
      </x:c>
      <x:c r="B157" s="330"/>
      <x:c r="C157" s="330" t="n">
        <x:v>45861</x:v>
      </x:c>
      <x:c r="D157" t="n">
        <x:v>2023</x:v>
      </x:c>
      <x:c r="E157"/>
      <x:c r="F157" t="str">
        <x:v>004405/23/CBMP-HCM</x:v>
      </x:c>
      <x:c r="G157"/>
      <x:c r="H157" t="str">
        <x:v>Dầu mù u Thái Dương</x:v>
      </x:c>
      <x:c r="I157"/>
      <x:c r="J157" t="str">
        <x:v>Khác</x:v>
      </x:c>
      <x:c r="K157" t="str">
        <x:v>Dầu bôi/chăm sóc da</x:v>
      </x:c>
      <x:c r="L157" t="str">
        <x:v>Công ty TNHH dược phẩm Đại Hưng</x:v>
      </x:c>
      <x:c r="M157" t="str">
        <x:v>Phòng 14B03 tòa nhà Ruby Land, số 58/4 Lũy Bán Bích, phường Tân Thới Hòa, quận Tân Phú, TP. Hồ Chí Minh</x:v>
      </x:c>
      <x:c r="N157" t="str">
        <x:v>Chi nhánh Công ty TNHH sản xuất thương mại dịch vụ Contra - xưởng sản xuất</x:v>
      </x:c>
      <x:c r="O157" t="str">
        <x:v>Thu hồi/tiêu hủy 04 lô; cảnh báo không rõ nguồn gốc (2025)</x:v>
      </x:c>
      <x:c r="P157" t="str">
        <x:v>Xác minh từ Sở Y tế Hà Tĩnh dẫn Công văn 2034/QLD-MP của Cục QLD</x:v>
      </x:c>
      <x:c r="Q157" t="str">
        <x:v>Nguồn thu hồi ghi số CBMP, tổ chức chịu trách nhiệm và đơn vị sản xuất trên nhãn; sự kiện liên quan 04 lô bị xác định không rõ nguồn gốc/không đạt chỉ tiêu thể tích.</x:v>
      </x:c>
      <x:c r="R157" t="str">
        <x:v>https://soyte.hatinh.gov.vn/tin-tuc-su-kien/thong-tin-y-te/duoc-my-pham-trang-thiet-bi-y-te/so-y-te-thong-bao-thu-hoi-tieu-huy-san-pham-khong-ro-nguon-g.html</x:v>
      </x:c>
      <x:c r="S157" t="str">
        <x:v>TP. Hồ Chí Minh</x:v>
      </x:c>
      <x:c r="T157" t="str">
        <x:v>79</x:v>
      </x:c>
    </x:row>
    <x:row r="158">
      <x:c r="A158" t="n">
        <x:v>157</x:v>
      </x:c>
      <x:c r="B158" s="330"/>
      <x:c r="C158" s="330" t="n">
        <x:v>46175</x:v>
      </x:c>
      <x:c r="D158" t="n">
        <x:v>2025</x:v>
      </x:c>
      <x:c r="E158"/>
      <x:c r="F158" t="str">
        <x:v>002013/25/CBMP-HCM</x:v>
      </x:c>
      <x:c r="G158"/>
      <x:c r="H158" t="str">
        <x:v>Coop Select Dung dịch vệ sinh phụ nữ</x:v>
      </x:c>
      <x:c r="I158" t="str">
        <x:v>Coop Select</x:v>
      </x:c>
      <x:c r="J158" t="str">
        <x:v>Dung dịch vệ sinh</x:v>
      </x:c>
      <x:c r="K158" t="str">
        <x:v>Vệ sinh phụ nữ</x:v>
      </x:c>
      <x:c r="L158" t="str">
        <x:v>Công ty cổ phần đầu tư thương mại Trường Dương</x:v>
      </x:c>
      <x:c r="M158" t="str">
        <x:v>160 Trương Công Định, phường Tân Bình, TP. Hồ Chí Minh</x:v>
      </x:c>
      <x:c r="N158" t="str">
        <x:v>Chi nhánh Công ty cổ phần đầu tư thương mại Trường Dương</x:v>
      </x:c>
      <x:c r="O158" t="str">
        <x:v>Đình chỉ/thu hồi lô (2026); chưa xác nhận thu hồi số tiếp nhận</x:v>
      </x:c>
      <x:c r="P158" t="str">
        <x:v>Xác minh từ cổng thông tin chính quyền dẫn Công văn 2046/QLD-MP</x:v>
      </x:c>
      <x:c r="Q158" t="str">
        <x:v>Lô S2510087 bị đình chỉ/thu hồi do không đạt giới hạn vi sinh vật; chưa thấy quyết định thu hồi chính số tiếp nhận.</x:v>
      </x:c>
      <x:c r="R158" t="str">
        <x:v>https://binhnguyen.hungyen.gov.vn/thong-bao-dinh-chi-luu-hanh-va-thu-hoi-san-pham-my-pham-c2419.html</x:v>
      </x:c>
      <x:c r="S158" t="str">
        <x:v>TP. Hồ Chí Minh</x:v>
      </x:c>
      <x:c r="T158" t="str">
        <x:v>79</x:v>
      </x:c>
    </x:row>
    <x:row r="159">
      <x:c r="A159" t="n">
        <x:v>158</x:v>
      </x:c>
      <x:c r="B159" s="330"/>
      <x:c r="C159" s="330" t="n">
        <x:v>45617</x:v>
      </x:c>
      <x:c r="D159" t="n">
        <x:v>2022</x:v>
      </x:c>
      <x:c r="E159"/>
      <x:c r="F159" t="str">
        <x:v>001513/22/CBMP-HCM</x:v>
      </x:c>
      <x:c r="G159"/>
      <x:c r="H159" t="str">
        <x:v>Élite Cream 3 in 1 Care</x:v>
      </x:c>
      <x:c r="I159"/>
      <x:c r="J159" t="str">
        <x:v>Kem dưỡng da</x:v>
      </x:c>
      <x:c r="K159" t="str">
        <x:v>Kem dưỡng/chăm sóc da</x:v>
      </x:c>
      <x:c r="L159" t="str">
        <x:v>Công ty TNHH sản xuất và thương mại Nguyễn Quách</x:v>
      </x:c>
      <x:c r="M159" t="str">
        <x:v>25 đường 4C, Khu phố 4, phường An Lạc A, quận Bình Tân, TP. Hồ Chí Minh</x:v>
      </x:c>
      <x:c r="N159" t="str">
        <x:v>Chi nhánh Công ty TNHH sản xuất và thương mại Nguyễn Quách</x:v>
      </x:c>
      <x:c r="O159" t="str">
        <x:v>Đình chỉ/thu hồi lô (2024); chưa xác nhận thu hồi số tiếp nhận</x:v>
      </x:c>
      <x:c r="P159" t="str">
        <x:v>Xác minh từ nguồn công khai cơ quan kiểm nghiệm/Sở Y tế</x:v>
      </x:c>
      <x:c r="Q159" t="str">
        <x:v>Lô bị thu hồi do chứa Propylparaben và Acid salicylic không có trong thành phần công thức đã công bố.</x:v>
      </x:c>
      <x:c r="R159" t="str">
        <x:v>https://www.kiemnghiemdanang.vn/index.php?Itemid=672&amp;id=96&amp;limitstart=15&amp;option=com_content&amp;view=category</x:v>
      </x:c>
      <x:c r="S159" t="str">
        <x:v>TP. Hồ Chí Minh</x:v>
      </x:c>
      <x:c r="T159" t="str">
        <x:v>79</x:v>
      </x:c>
    </x:row>
    <x:row r="160">
      <x:c r="A160" t="n">
        <x:v>159</x:v>
      </x:c>
      <x:c r="B160" s="330"/>
      <x:c r="C160" s="330" t="n">
        <x:v>45617</x:v>
      </x:c>
      <x:c r="D160" t="n">
        <x:v>2022</x:v>
      </x:c>
      <x:c r="E160"/>
      <x:c r="F160" t="str">
        <x:v>2147/22/CBMP-HCM</x:v>
      </x:c>
      <x:c r="G160"/>
      <x:c r="H160" t="str">
        <x:v>Kem ngừa nám, tàn nhang, đồi mồi, trắng da Mylove</x:v>
      </x:c>
      <x:c r="I160"/>
      <x:c r="J160" t="str">
        <x:v>Kem dưỡng da</x:v>
      </x:c>
      <x:c r="K160" t="str">
        <x:v>Kem dưỡng/chăm sóc da</x:v>
      </x:c>
      <x:c r="L160" t="str">
        <x:v>Công ty cổ phần mỹ phẩm Long Phụng Khang</x:v>
      </x:c>
      <x:c r="M160" t="str">
        <x:v>274/14 Quốc lộ 1K, khu phố 1, phường Linh Xuân, thành phố Thủ Đức, TP. Hồ Chí Minh</x:v>
      </x:c>
      <x:c r="N160" t="str">
        <x:v>Công ty cổ phần mỹ phẩm Long Phụng Khang</x:v>
      </x:c>
      <x:c r="O160" t="str">
        <x:v>Đình chỉ/thu hồi lô (2024); chưa xác nhận thu hồi số tiếp nhận</x:v>
      </x:c>
      <x:c r="P160" t="str">
        <x:v>Xác minh từ nguồn công khai cơ quan kiểm nghiệm/Sở Y tế</x:v>
      </x:c>
      <x:c r="Q160" t="str">
        <x:v>Lô bị thu hồi do chứa Propylparaben và Acid salicylic không có trong thành phần công thức đã công bố.</x:v>
      </x:c>
      <x:c r="R160" t="str">
        <x:v>https://www.kiemnghiemdanang.vn/index.php?Itemid=672&amp;id=96&amp;limitstart=15&amp;option=com_content&amp;view=category</x:v>
      </x:c>
      <x:c r="S160" t="str">
        <x:v>TP. Hồ Chí Minh</x:v>
      </x:c>
      <x:c r="T160" t="str">
        <x:v>79</x:v>
      </x:c>
    </x:row>
    <x:row r="161">
      <x:c r="A161" t="n">
        <x:v>160</x:v>
      </x:c>
      <x:c r="B161" s="330"/>
      <x:c r="C161" s="330" t="n">
        <x:v>45617</x:v>
      </x:c>
      <x:c r="D161" t="n">
        <x:v>2023</x:v>
      </x:c>
      <x:c r="E161"/>
      <x:c r="F161" t="str">
        <x:v>002094/23/CBMP-HCM</x:v>
      </x:c>
      <x:c r="G161"/>
      <x:c r="H161" t="str">
        <x:v>Kem nám, trắng da Mủ trôm Tân Gia Khang</x:v>
      </x:c>
      <x:c r="I161"/>
      <x:c r="J161" t="str">
        <x:v>Kem dưỡng da</x:v>
      </x:c>
      <x:c r="K161" t="str">
        <x:v>Kem dưỡng/chăm sóc da</x:v>
      </x:c>
      <x:c r="L161" t="str">
        <x:v>Công ty TNHH sản xuất và thương mại mỹ phẩm Đăng Dương</x:v>
      </x:c>
      <x:c r="M161" t="str">
        <x:v>59 đường 1B, Khu phố 8, phường Bình Trị Đông B, quận Bình Tân, TP. Hồ Chí Minh</x:v>
      </x:c>
      <x:c r="N161" t="str">
        <x:v>Chi nhánh Công ty TNHH sản xuất và thương mại mỹ phẩm Đăng Dương</x:v>
      </x:c>
      <x:c r="O161" t="str">
        <x:v>Đình chỉ/thu hồi lô (2024); chưa xác nhận thu hồi số tiếp nhận</x:v>
      </x:c>
      <x:c r="P161" t="str">
        <x:v>Xác minh từ nguồn công khai cơ quan kiểm nghiệm/Sở Y tế</x:v>
      </x:c>
      <x:c r="Q161" t="str">
        <x:v>Nhà máy: Lô 9A đường số 8, KCN Tân Tạo mở rộng, phường Tân Tạo A, quận Bình Tân. Lô bị thu hồi do Propylparaben và Acid salicylic không có trong công thức đã công bố.</x:v>
      </x:c>
      <x:c r="R161" t="str">
        <x:v>https://www.kiemnghiemdanang.vn/index.php?Itemid=672&amp;id=96&amp;limitstart=15&amp;option=com_content&amp;view=category</x:v>
      </x:c>
      <x:c r="S161" t="str">
        <x:v>TP. Hồ Chí Minh</x:v>
      </x:c>
      <x:c r="T161" t="str">
        <x:v>79</x:v>
      </x:c>
    </x:row>
    <x:row r="162">
      <x:c r="A162" t="n">
        <x:v>161</x:v>
      </x:c>
      <x:c r="B162" s="330" t="n">
        <x:v>45013</x:v>
      </x:c>
      <x:c r="C162" s="330" t="n">
        <x:v>45936</x:v>
      </x:c>
      <x:c r="D162" t="n">
        <x:v>2023</x:v>
      </x:c>
      <x:c r="E162" t="n">
        <x:v>3</x:v>
      </x:c>
      <x:c r="F162" t="str">
        <x:v>001053/23/CBMP-HCM</x:v>
      </x:c>
      <x:c r="G162"/>
      <x:c r="H162" t="str">
        <x:v>Kem ngừa nám cao cấp</x:v>
      </x:c>
      <x:c r="I162"/>
      <x:c r="J162" t="str">
        <x:v>Kem dưỡng da</x:v>
      </x:c>
      <x:c r="K162" t="str">
        <x:v>Kem dưỡng/chăm sóc da</x:v>
      </x:c>
      <x:c r="L162" t="str">
        <x:v>Công ty TNHH sản xuất và thương mại mỹ phẩm Đăng Dương</x:v>
      </x:c>
      <x:c r="M162" t="str">
        <x:v>59 Đường số 1B, Khu phố 8, Phường Bình Trị Đông B, Quận Bình Tân, TP. Hồ Chí Minh</x:v>
      </x:c>
      <x:c r="N162" t="str">
        <x:v>Chi nhánh - Công ty TNHH sản xuất và thương mại mỹ phẩm Đăng Dương</x:v>
      </x:c>
      <x:c r="O162" t="str">
        <x:v>Đình chỉ/thu hồi toàn bộ sản phẩm (2025)</x:v>
      </x:c>
      <x:c r="P162" t="str">
        <x:v>Nguồn chính quyền địa phương dẫn Văn bản Sở Y tế; có số CBMP, ngày cấp, company, manufacturer</x:v>
      </x:c>
      <x:c r="Q162" t="str">
        <x:v>Có thành phần công thức không đúng với thành phần công thức hồ sơ đã công bố.</x:v>
      </x:c>
      <x:c r="R162" t="str">
        <x:v>https://songray.dongnai.gov.vn/vi/news/canh-bao/dinh-chi-luu-hanh-thu-hoi-tren-toan-quoc-doi-voi-05-san-pham-cua-cong-ty-tnhh-san-xuat-va-thuong-mai-my-pham-dang-duong-120.html</x:v>
      </x:c>
      <x:c r="S162" t="str">
        <x:v>TP. Hồ Chí Minh</x:v>
      </x:c>
      <x:c r="T162" t="str">
        <x:v>79</x:v>
      </x:c>
    </x:row>
    <x:row r="163">
      <x:c r="A163" t="n">
        <x:v>162</x:v>
      </x:c>
      <x:c r="B163" s="330" t="n">
        <x:v>45013</x:v>
      </x:c>
      <x:c r="C163" s="330" t="n">
        <x:v>45936</x:v>
      </x:c>
      <x:c r="D163" t="n">
        <x:v>2023</x:v>
      </x:c>
      <x:c r="E163" t="n">
        <x:v>3</x:v>
      </x:c>
      <x:c r="F163" t="str">
        <x:v>001048/23/CBMP-HCM</x:v>
      </x:c>
      <x:c r="G163"/>
      <x:c r="H163" t="str">
        <x:v>Kem dưỡng trắng giúp tái tạo da</x:v>
      </x:c>
      <x:c r="I163"/>
      <x:c r="J163" t="str">
        <x:v>Kem dưỡng da</x:v>
      </x:c>
      <x:c r="K163" t="str">
        <x:v>Kem dưỡng/chăm sóc da</x:v>
      </x:c>
      <x:c r="L163" t="str">
        <x:v>Công ty TNHH sản xuất và thương mại mỹ phẩm Đăng Dương</x:v>
      </x:c>
      <x:c r="M163" t="str">
        <x:v>59 Đường số 1B, Khu phố 8, Phường Bình Trị Đông B, Quận Bình Tân, TP. Hồ Chí Minh</x:v>
      </x:c>
      <x:c r="N163" t="str">
        <x:v>Chi nhánh - Công ty TNHH sản xuất và thương mại mỹ phẩm Đăng Dương</x:v>
      </x:c>
      <x:c r="O163" t="str">
        <x:v>Đình chỉ/thu hồi toàn bộ sản phẩm (2025)</x:v>
      </x:c>
      <x:c r="P163" t="str">
        <x:v>Nguồn chính quyền địa phương dẫn Văn bản Sở Y tế; có số CBMP, ngày cấp, company, manufacturer</x:v>
      </x:c>
      <x:c r="Q163" t="str">
        <x:v>Có thành phần công thức không đúng với thành phần công thức hồ sơ đã công bố.</x:v>
      </x:c>
      <x:c r="R163" t="str">
        <x:v>https://songray.dongnai.gov.vn/vi/news/canh-bao/dinh-chi-luu-hanh-thu-hoi-tren-toan-quoc-doi-voi-05-san-pham-cua-cong-ty-tnhh-san-xuat-va-thuong-mai-my-pham-dang-duong-120.html</x:v>
      </x:c>
      <x:c r="S163" t="str">
        <x:v>TP. Hồ Chí Minh</x:v>
      </x:c>
      <x:c r="T163" t="str">
        <x:v>79</x:v>
      </x:c>
    </x:row>
    <x:row r="164">
      <x:c r="A164" t="n">
        <x:v>163</x:v>
      </x:c>
      <x:c r="B164" s="330" t="n">
        <x:v>45013</x:v>
      </x:c>
      <x:c r="C164" s="330" t="n">
        <x:v>45936</x:v>
      </x:c>
      <x:c r="D164" t="n">
        <x:v>2023</x:v>
      </x:c>
      <x:c r="E164" t="n">
        <x:v>3</x:v>
      </x:c>
      <x:c r="F164" t="str">
        <x:v>001047/23/CBMP-HCM</x:v>
      </x:c>
      <x:c r="G164"/>
      <x:c r="H164" t="str">
        <x:v>Kem dưỡng trắng giúp phục hồi da</x:v>
      </x:c>
      <x:c r="I164"/>
      <x:c r="J164" t="str">
        <x:v>Kem dưỡng da</x:v>
      </x:c>
      <x:c r="K164" t="str">
        <x:v>Kem dưỡng/chăm sóc da</x:v>
      </x:c>
      <x:c r="L164" t="str">
        <x:v>Công ty TNHH sản xuất và thương mại mỹ phẩm Đăng Dương</x:v>
      </x:c>
      <x:c r="M164" t="str">
        <x:v>59 Đường số 1B, Khu phố 8, Phường Bình Trị Đông B, Quận Bình Tân, TP. Hồ Chí Minh</x:v>
      </x:c>
      <x:c r="N164" t="str">
        <x:v>Chi nhánh - Công ty TNHH sản xuất và thương mại mỹ phẩm Đăng Dương</x:v>
      </x:c>
      <x:c r="O164" t="str">
        <x:v>Đình chỉ/thu hồi toàn bộ sản phẩm (2025)</x:v>
      </x:c>
      <x:c r="P164" t="str">
        <x:v>Nguồn chính quyền địa phương dẫn Văn bản Sở Y tế; có số CBMP, ngày cấp, company, manufacturer</x:v>
      </x:c>
      <x:c r="Q164" t="str">
        <x:v>Có thành phần công thức không đúng với thành phần công thức hồ sơ đã công bố.</x:v>
      </x:c>
      <x:c r="R164" t="str">
        <x:v>https://songray.dongnai.gov.vn/vi/news/canh-bao/dinh-chi-luu-hanh-thu-hoi-tren-toan-quoc-doi-voi-05-san-pham-cua-cong-ty-tnhh-san-xuat-va-thuong-mai-my-pham-dang-duong-120.html</x:v>
      </x:c>
      <x:c r="S164" t="str">
        <x:v>TP. Hồ Chí Minh</x:v>
      </x:c>
      <x:c r="T164" t="str">
        <x:v>79</x:v>
      </x:c>
    </x:row>
    <x:row r="165">
      <x:c r="A165" t="n">
        <x:v>164</x:v>
      </x:c>
      <x:c r="B165" s="330" t="n">
        <x:v>45013</x:v>
      </x:c>
      <x:c r="C165" s="330" t="n">
        <x:v>45936</x:v>
      </x:c>
      <x:c r="D165" t="n">
        <x:v>2023</x:v>
      </x:c>
      <x:c r="E165" t="n">
        <x:v>3</x:v>
      </x:c>
      <x:c r="F165" t="str">
        <x:v>001011/23/CBMP-HCM</x:v>
      </x:c>
      <x:c r="G165"/>
      <x:c r="H165" t="str">
        <x:v>Kem dưỡng trắng giúp ngừa lão hóa da</x:v>
      </x:c>
      <x:c r="I165"/>
      <x:c r="J165" t="str">
        <x:v>Kem dưỡng da</x:v>
      </x:c>
      <x:c r="K165" t="str">
        <x:v>Kem dưỡng/chăm sóc da</x:v>
      </x:c>
      <x:c r="L165" t="str">
        <x:v>Công ty TNHH sản xuất và thương mại mỹ phẩm Đăng Dương</x:v>
      </x:c>
      <x:c r="M165" t="str">
        <x:v>59 Đường số 1B, Khu phố 8, Phường Bình Trị Đông B, Quận Bình Tân, TP. Hồ Chí Minh</x:v>
      </x:c>
      <x:c r="N165" t="str">
        <x:v>Chi nhánh - Công ty TNHH sản xuất và thương mại mỹ phẩm Đăng Dương</x:v>
      </x:c>
      <x:c r="O165" t="str">
        <x:v>Đình chỉ/thu hồi toàn bộ sản phẩm (2025)</x:v>
      </x:c>
      <x:c r="P165" t="str">
        <x:v>Nguồn chính quyền địa phương dẫn Văn bản Sở Y tế; có số CBMP, ngày cấp, company, manufacturer</x:v>
      </x:c>
      <x:c r="Q165" t="str">
        <x:v>Có thành phần công thức không đúng với thành phần công thức hồ sơ đã công bố.</x:v>
      </x:c>
      <x:c r="R165" t="str">
        <x:v>https://songray.dongnai.gov.vn/vi/news/canh-bao/dinh-chi-luu-hanh-thu-hoi-tren-toan-quoc-doi-voi-05-san-pham-cua-cong-ty-tnhh-san-xuat-va-thuong-mai-my-pham-dang-duong-120.html</x:v>
      </x:c>
      <x:c r="S165" t="str">
        <x:v>TP. Hồ Chí Minh</x:v>
      </x:c>
      <x:c r="T165" t="str">
        <x:v>79</x:v>
      </x:c>
    </x:row>
    <x:row r="166">
      <x:c r="A166" t="n">
        <x:v>165</x:v>
      </x:c>
      <x:c r="B166" s="330" t="n">
        <x:v>45042</x:v>
      </x:c>
      <x:c r="C166" s="330" t="n">
        <x:v>45936</x:v>
      </x:c>
      <x:c r="D166" t="n">
        <x:v>2023</x:v>
      </x:c>
      <x:c r="E166" t="n">
        <x:v>4</x:v>
      </x:c>
      <x:c r="F166" t="str">
        <x:v>001680/23/CBMP-HCM</x:v>
      </x:c>
      <x:c r="G166"/>
      <x:c r="H166" t="str">
        <x:v>Kem nám tàn nhang đồi mồi</x:v>
      </x:c>
      <x:c r="I166"/>
      <x:c r="J166" t="str">
        <x:v>Kem dưỡng da</x:v>
      </x:c>
      <x:c r="K166" t="str">
        <x:v>Kem dưỡng/chăm sóc da</x:v>
      </x:c>
      <x:c r="L166" t="str">
        <x:v>Công ty TNHH sản xuất và thương mại mỹ phẩm Đăng Dương</x:v>
      </x:c>
      <x:c r="M166" t="str">
        <x:v>59 Đường số 1B, Khu phố 8, Phường Bình Trị Đông B, Quận Bình Tân, TP. Hồ Chí Minh</x:v>
      </x:c>
      <x:c r="N166" t="str">
        <x:v>Chi nhánh - Công ty TNHH sản xuất và thương mại mỹ phẩm Đăng Dương</x:v>
      </x:c>
      <x:c r="O166" t="str">
        <x:v>Đình chỉ/thu hồi toàn bộ sản phẩm (2025)</x:v>
      </x:c>
      <x:c r="P166" t="str">
        <x:v>Nguồn chính quyền địa phương dẫn Văn bản Sở Y tế; có số CBMP, ngày cấp, company, manufacturer</x:v>
      </x:c>
      <x:c r="Q166" t="str">
        <x:v>Có thành phần công thức không đúng với thành phần công thức hồ sơ đã công bố.</x:v>
      </x:c>
      <x:c r="R166" t="str">
        <x:v>https://songray.dongnai.gov.vn/vi/news/canh-bao/dinh-chi-luu-hanh-thu-hoi-tren-toan-quoc-doi-voi-05-san-pham-cua-cong-ty-tnhh-san-xuat-va-thuong-mai-my-pham-dang-duong-120.html</x:v>
      </x:c>
      <x:c r="S166" t="str">
        <x:v>TP. Hồ Chí Minh</x:v>
      </x:c>
      <x:c r="T166" t="str">
        <x:v>79</x:v>
      </x:c>
    </x:row>
    <x:row r="167">
      <x:c r="A167" t="n">
        <x:v>166</x:v>
      </x:c>
      <x:c r="B167" s="330"/>
      <x:c r="C167" s="330" t="n">
        <x:v>46020</x:v>
      </x:c>
      <x:c r="D167" t="n">
        <x:v>2022</x:v>
      </x:c>
      <x:c r="E167"/>
      <x:c r="F167" t="str">
        <x:v>003402/22/CBMP-HCM</x:v>
      </x:c>
      <x:c r="G167"/>
      <x:c r="H167" t="str">
        <x:v>Kem trắng da, ngừa mụn, mờ vết thâm LYNSHAO</x:v>
      </x:c>
      <x:c r="I167" t="str">
        <x:v>LYNSHAO</x:v>
      </x:c>
      <x:c r="J167" t="str">
        <x:v>Kem dưỡng da</x:v>
      </x:c>
      <x:c r="K167" t="str">
        <x:v>Kem dưỡng/chăm sóc da</x:v>
      </x:c>
      <x:c r="L167" t="str">
        <x:v>Công ty cổ phần mỹ phẩm Long Phụng Khang</x:v>
      </x:c>
      <x:c r="M167" t="str">
        <x:v>274/14 Quốc lộ 1K, khu phố 1, phường Linh Xuân, TP. Hồ Chí Minh</x:v>
      </x:c>
      <x:c r="N167" t="str">
        <x:v>Công ty cổ phần mỹ phẩm Long Phụng Khang</x:v>
      </x:c>
      <x:c r="O167" t="str">
        <x:v>Đình chỉ/thu hồi lô (2025)</x:v>
      </x:c>
      <x:c r="P167" t="str">
        <x:v>Sở Y tế Hà Nội công khai số CBMP + company</x:v>
      </x:c>
      <x:c r="Q167" t="str">
        <x:v>Lô 02324QN bị thu hồi do mẫu chứa Dexamethason.</x:v>
      </x:c>
      <x:c r="R167" t="str">
        <x:v>https://soyte.hanoi.gov.vn/duoc-pham-65229/dinh-chi-luu-hanh-thu-hoi-tren-toan-quoc-lo-san-pham-kem-trang-da-ngua-mun-mo-vet-tham-lynshao-2849251228164739661.htm</x:v>
      </x:c>
      <x:c r="S167" t="str">
        <x:v>TP. Hồ Chí Minh</x:v>
      </x:c>
      <x:c r="T167" t="str">
        <x:v>79</x:v>
      </x:c>
    </x:row>
    <x:row r="168">
      <x:c r="A168" t="n">
        <x:v>167</x:v>
      </x:c>
      <x:c r="B168" s="330"/>
      <x:c r="C168" s="330" t="n">
        <x:v>45873</x:v>
      </x:c>
      <x:c r="D168" t="n">
        <x:v>2022</x:v>
      </x:c>
      <x:c r="E168"/>
      <x:c r="F168" t="str">
        <x:v>000330/22/CBMP-HCM</x:v>
      </x:c>
      <x:c r="G168"/>
      <x:c r="H168" t="str">
        <x:v>Y lang Dầu gội đầu Y lang chí</x:v>
      </x:c>
      <x:c r="I168" t="str">
        <x:v>Y lang</x:v>
      </x:c>
      <x:c r="J168" t="str">
        <x:v>Dầu gội</x:v>
      </x:c>
      <x:c r="K168" t="str">
        <x:v>Dầu gội</x:v>
      </x:c>
      <x:c r="L168" t="str">
        <x:v>Công ty cổ phần Nam Đô</x:v>
      </x:c>
      <x:c r="M168" t="str">
        <x:v>117 Lê Hồng Phong, Phường 2, Quận 5, TP. Hồ Chí Minh</x:v>
      </x:c>
      <x:c r="N168" t="str">
        <x:v>Công ty cổ phần Nam Đô</x:v>
      </x:c>
      <x:c r="O168" t="str">
        <x:v>Đình chỉ/thu hồi lô; sản phẩm không được phân loại là mỹ phẩm (2025)</x:v>
      </x:c>
      <x:c r="P168" t="str">
        <x:v>Nguồn chính quyền công khai số CBMP + company</x:v>
      </x:c>
      <x:c r="Q168" t="str">
        <x:v>Lô 011024:1; cơ quan quản lý kết luận sản phẩm không được phân loại là sản phẩm mỹ phẩm.</x:v>
      </x:c>
      <x:c r="R168" t="str">
        <x:v>https://thanhsen.hatinh.gov.vn/vi/bai-viet/uy-ban-nhan-dan-phuong-thanh-sen-thong-bao-ve-viec-dinh-chi-luu-hanh-thu-hoi-va-tieu-huy-san-pham-vi-pham</x:v>
      </x:c>
      <x:c r="S168" t="str">
        <x:v>TP. Hồ Chí Minh</x:v>
      </x:c>
      <x:c r="T168" t="str">
        <x:v>79</x:v>
      </x:c>
    </x:row>
    <x:row r="169">
      <x:c r="A169" t="n">
        <x:v>168</x:v>
      </x:c>
      <x:c r="B169" s="330"/>
      <x:c r="C169" s="330" t="n">
        <x:v>45377</x:v>
      </x:c>
      <x:c r="D169" t="n">
        <x:v>2022</x:v>
      </x:c>
      <x:c r="E169"/>
      <x:c r="F169" t="str">
        <x:v>001052/22/CBMP-HCM</x:v>
      </x:c>
      <x:c r="G169"/>
      <x:c r="H169" t="str">
        <x:v>Kem dưỡng trắng da Young One</x:v>
      </x:c>
      <x:c r="I169" t="str">
        <x:v>Young One</x:v>
      </x:c>
      <x:c r="J169" t="str">
        <x:v>Kem dưỡng da</x:v>
      </x:c>
      <x:c r="K169" t="str">
        <x:v>Kem dưỡng/chăm sóc da</x:v>
      </x:c>
      <x:c r="L169" t="str">
        <x:v>Công ty TNHH hóa mỹ phẩm Chi Chi</x:v>
      </x:c>
      <x:c r="M169" t="str">
        <x:v>240/13/18D Nguyễn Văn Luông, phường 11, quận 6, TP. Hồ Chí Minh</x:v>
      </x:c>
      <x:c r="N169" t="str">
        <x:v>Công ty TNHH hóa mỹ phẩm Chi Chi</x:v>
      </x:c>
      <x:c r="O169" t="str">
        <x:v>Đình chỉ/thu hồi lô (2024)</x:v>
      </x:c>
      <x:c r="P169" t="str">
        <x:v>Sở Y tế Hà Tĩnh công khai số CBMP + company + manufacturer</x:v>
      </x:c>
      <x:c r="Q169" t="str">
        <x:v>Lô TYO.0123 bị thu hồi do chứa Propylparaben không có trong thành phần công thức đã công bố.</x:v>
      </x:c>
      <x:c r="R169" t="str">
        <x:v>https://soyte.hatinh.gov.vn/tin-tuc-su-kien/thong-tin-y-te/duoc-my-pham-trang-thiet-bi-y-te/dinh-chi-luu-hanh-thu-hoi-va-tieu-huy-my-pham-kem-duong-tran.html</x:v>
      </x:c>
      <x:c r="S169" t="str">
        <x:v>TP. Hồ Chí Minh</x:v>
      </x:c>
      <x:c r="T169" t="str">
        <x:v>79</x:v>
      </x:c>
    </x:row>
    <x:row r="170">
      <x:c r="A170" t="n">
        <x:v>169</x:v>
      </x:c>
      <x:c r="B170" s="330"/>
      <x:c r="C170" s="330" t="n">
        <x:v>45503</x:v>
      </x:c>
      <x:c r="D170" t="n">
        <x:v>2023</x:v>
      </x:c>
      <x:c r="E170"/>
      <x:c r="F170" t="str">
        <x:v>003167/23/CBMP-HCM</x:v>
      </x:c>
      <x:c r="G170"/>
      <x:c r="H170" t="str">
        <x:v>Conditioner</x:v>
      </x:c>
      <x:c r="I170" t="str">
        <x:v>Intasilk</x:v>
      </x:c>
      <x:c r="J170" t="str">
        <x:v>Dầu xả</x:v>
      </x:c>
      <x:c r="K170" t="str">
        <x:v>Dầu xả</x:v>
      </x:c>
      <x:c r="L170" t="str">
        <x:v>Công ty TNHH Hùng Đông Tinh</x:v>
      </x:c>
      <x:c r="M170" t="str">
        <x:v>10/6 Nguyễn Ảnh Thủ, xã Bà Điểm, huyện Hóc Môn, TP. Hồ Chí Minh</x:v>
      </x:c>
      <x:c r="N170" t="str">
        <x:v>Công ty TNHH mỹ phẩm Dạ Thảo Lan – Chi nhánh 2</x:v>
      </x:c>
      <x:c r="O170" t="str">
        <x:v>Đình chỉ/thu hồi toàn bộ sản phẩm (2024)</x:v>
      </x:c>
      <x:c r="P170" t="str">
        <x:v>Cổng tỉnh công khai số CBMP + company + manufacturer</x:v>
      </x:c>
      <x:c r="Q170" t="str">
        <x:v>Sản phẩm có công thức không đúng như hồ sơ công bố sản phẩm mỹ phẩm.</x:v>
      </x:c>
      <x:c r="R170" t="str">
        <x:v>https://binhphuoc.gov.vn/vi/syt/tra-cuu-thong-tin-hanh-nghe/dinh-chi-luu-hanh-thu-hoi-va-tieu-huy-my-pham-san-pham-conditioner-3840.html</x:v>
      </x:c>
      <x:c r="S170" t="str">
        <x:v>TP. Hồ Chí Minh</x:v>
      </x:c>
      <x:c r="T170" t="str">
        <x:v>79</x:v>
      </x:c>
    </x:row>
    <x:row r="171">
      <x:c r="A171" t="n">
        <x:v>170</x:v>
      </x:c>
      <x:c r="B171" s="330"/>
      <x:c r="C171" s="330" t="n">
        <x:v>45907</x:v>
      </x:c>
      <x:c r="D171" t="n">
        <x:v>2022</x:v>
      </x:c>
      <x:c r="E171"/>
      <x:c r="F171" t="str">
        <x:v>2083/22/CBMP-HCM</x:v>
      </x:c>
      <x:c r="G171"/>
      <x:c r="H171" t="str">
        <x:v>Nước súc miệng Lesgo trẻ em</x:v>
      </x:c>
      <x:c r="I171"/>
      <x:c r="J171" t="str">
        <x:v>Chăm sóc răng miệng</x:v>
      </x:c>
      <x:c r="K171" t="str">
        <x:v>Nước súc miệng trẻ em</x:v>
      </x:c>
      <x:c r="L171" t="str">
        <x:v>Công ty cổ phần Ellie</x:v>
      </x:c>
      <x:c r="M171" t="str">
        <x:v>Lô C6-2, đường D2, khu công nghiệp Tân Phú Trung, xã Củ Chi, TP. Hồ Chí Minh</x:v>
      </x:c>
      <x:c r="N171" t="str">
        <x:v>Công ty cổ phần Ellie</x:v>
      </x:c>
      <x:c r="O171" t="str">
        <x:v>Đình chỉ/thu hồi lô (2025)</x:v>
      </x:c>
      <x:c r="P171" t="str">
        <x:v>Cổng chính quyền Đắk Lắk công khai số CBMP + company + manufacturer; source literal ghi 2083/22/CBMPHCM</x:v>
      </x:c>
      <x:c r="Q171" t="str">
        <x:v>Lô 0426230724 bị thu hồi do Methylparaben không có trong thành phần công thức công bố.</x:v>
      </x:c>
      <x:c r="R171" t="str">
        <x:v>https://thanhnhat.daklak.gov.vn/cuc-quan-ly-duoc-bo-y-te-thong-bao-dinh-chi-luu-hanh-thu-hoi-va-tieu-huy-my-pham-khong-dat-chat-luong-2420-2400-2399-2308-11212.html</x:v>
      </x:c>
      <x:c r="S171" t="str">
        <x:v>TP. Hồ Chí Minh</x:v>
      </x:c>
      <x:c r="T171" t="str">
        <x:v>79</x:v>
      </x:c>
    </x:row>
    <x:row r="172">
      <x:c r="A172" t="n">
        <x:v>171</x:v>
      </x:c>
      <x:c r="B172" s="330" t="n">
        <x:v>44923</x:v>
      </x:c>
      <x:c r="C172" s="330" t="n">
        <x:v>45925</x:v>
      </x:c>
      <x:c r="D172" t="n">
        <x:v>2022</x:v>
      </x:c>
      <x:c r="E172" t="n">
        <x:v>12</x:v>
      </x:c>
      <x:c r="F172" t="str">
        <x:v>005294/22/CBMP-HCM</x:v>
      </x:c>
      <x:c r="G172"/>
      <x:c r="H172" t="str">
        <x:v>Lucci</x:v>
      </x:c>
      <x:c r="I172"/>
      <x:c r="J172" t="str">
        <x:v>Khác</x:v>
      </x:c>
      <x:c r="K172" t="str">
        <x:v>Tên nguồn chỉ ghi 'Lucci'</x:v>
      </x:c>
      <x:c r="L172" t="str">
        <x:v>Công ty TNHH MTV sản xuất dược - mỹ phẩm GAMMA</x:v>
      </x:c>
      <x:c r="M172" t="str">
        <x:v>18 đường Nguyễn Hậu, phường Tân Thành, quận Tân Phú, TP. Hồ Chí Minh</x:v>
      </x:c>
      <x:c r="N172" t="str">
        <x:v>Chi nhánh - Công ty TNHH MTV sản xuất dược - mỹ phẩm GAMMA</x:v>
      </x:c>
      <x:c r="O172" t="str">
        <x:v>Đình chỉ/thu hồi toàn bộ sản phẩm (2025)</x:v>
      </x:c>
      <x:c r="P172" t="str">
        <x:v>Sở Y tế Hà Nội công khai số CBMP, ngày cấp, company/manufacturer</x:v>
      </x:c>
      <x:c r="Q172" t="str">
        <x:v>Công dụng trên sản phẩm lưu thông không đúng với công dụng trong hồ sơ đã công bố.</x:v>
      </x:c>
      <x:c r="R172" t="str">
        <x:v>https://soyte.hanoi.gov.vn/duoc-pham-65229/dinh-chi-luu-hanh-thu-hoi-doi-voi-9-san-pham-my-pham-vi-pham-2849250925092345442.htm</x:v>
      </x:c>
      <x:c r="S172" t="str">
        <x:v>TP. Hồ Chí Minh</x:v>
      </x:c>
      <x:c r="T172" t="str">
        <x:v>79</x:v>
      </x:c>
    </x:row>
    <x:row r="173">
      <x:c r="A173" t="n">
        <x:v>172</x:v>
      </x:c>
      <x:c r="B173" s="330"/>
      <x:c r="C173" s="330" t="n">
        <x:v>46174</x:v>
      </x:c>
      <x:c r="D173" t="n">
        <x:v>2024</x:v>
      </x:c>
      <x:c r="E173"/>
      <x:c r="F173" t="str">
        <x:v>695/24/CBMP-BD</x:v>
      </x:c>
      <x:c r="G173"/>
      <x:c r="H173" t="str">
        <x:v>NƯỚC RỬA TAY BẢO VỆ DA SẠCH TAY LÀM BẾP BOTANIKA</x:v>
      </x:c>
      <x:c r="I173" t="str">
        <x:v>BOTANIKA</x:v>
      </x:c>
      <x:c r="J173" t="str">
        <x:v>Khác</x:v>
      </x:c>
      <x:c r="K173" t="str">
        <x:v>Nước rửa tay</x:v>
      </x:c>
      <x:c r="L173" t="str">
        <x:v>CÔNG TY CỔ PHẦN MARICO SOUTH EAST ASIA</x:v>
      </x:c>
      <x:c r="M173" t="str">
        <x:v>Số 3, đường số 5, KCN Sóng Thần 1, phường Dĩ An, TP. Hồ Chí Minh (trước đây: TP. Dĩ An, tỉnh Bình Dương)</x:v>
      </x:c>
      <x:c r="N173" t="str">
        <x:v>CÔNG TY CỔ PHẦN MARICO SOUTH EAST ASIA</x:v>
      </x:c>
      <x:c r="O173" t="str">
        <x:v>Thu hồi số tiếp nhận (2026)</x:v>
      </x:c>
      <x:c r="P173" t="str">
        <x:v>Xác minh qua Báo Sức khỏe &amp; Đời sống dẫn văn bản Cục Quản lý Dược - Bộ Y tế</x:v>
      </x:c>
      <x:c r="Q173" t="str">
        <x:v>Cục QLD yêu cầu Sở Y tế TP.HCM thu hồi số tiếp nhận; công ty chịu trách nhiệm và sản xuất là Marico South East Asia. Ngày cấp phiếu chưa thấy trong nguồn nên để trống.</x:v>
      </x:c>
      <x:c r="R173" t="str">
        <x:v>https://suckhoedoisong.vn/bo-y-te-thu-hoi-va-yeu-cau-tieu-huy-lo-sua-tam-nuoc-hoa-xmen-for-boss-intense-16926060122105492.htm</x:v>
      </x:c>
      <x:c r="S173" t="str">
        <x:v>TP. Hồ Chí Minh</x:v>
      </x:c>
      <x:c r="T173" t="str">
        <x:v>79</x:v>
      </x:c>
    </x:row>
    <x:row r="174">
      <x:c r="A174" t="n">
        <x:v>173</x:v>
      </x:c>
      <x:c r="B174" s="330"/>
      <x:c r="C174" s="330" t="n">
        <x:v>46174</x:v>
      </x:c>
      <x:c r="D174" t="n">
        <x:v>2025</x:v>
      </x:c>
      <x:c r="E174"/>
      <x:c r="F174" t="str">
        <x:v>295/25/CBMP-BD</x:v>
      </x:c>
      <x:c r="G174"/>
      <x:c r="H174" t="str">
        <x:v>SỮA TẮM NƯỚC HOA XMEN FOR BOSS INTENSE</x:v>
      </x:c>
      <x:c r="I174" t="str">
        <x:v>X-MEN FOR BOSS</x:v>
      </x:c>
      <x:c r="J174" t="str">
        <x:v>Sữa tắm/Gel tắm</x:v>
      </x:c>
      <x:c r="K174" t="str">
        <x:v>Sữa tắm nước hoa nam</x:v>
      </x:c>
      <x:c r="L174" t="str">
        <x:v>CÔNG TY CỔ PHẦN MARICO SOUTH EAST ASIA</x:v>
      </x:c>
      <x:c r="M174" t="str">
        <x:v>Số 3, đường số 5, KCN Sóng Thần 1, phường Dĩ An, TP. Hồ Chí Minh (trước đây: TP. Dĩ An, tỉnh Bình Dương)</x:v>
      </x:c>
      <x:c r="N174" t="str">
        <x:v>CÔNG TY CỔ PHẦN MARICO SOUTH EAST ASIA</x:v>
      </x:c>
      <x:c r="O174" t="str">
        <x:v>Thu hồi số tiếp nhận (2026)</x:v>
      </x:c>
      <x:c r="P174" t="str">
        <x:v>Xác minh qua Báo Sức khỏe &amp; Đời sống dẫn văn bản Cục Quản lý Dược - Bộ Y tế</x:v>
      </x:c>
      <x:c r="Q174" t="str">
        <x:v>Cục QLD yêu cầu Sở Y tế TP.HCM thu hồi số tiếp nhận; công ty chịu trách nhiệm và sản xuất là Marico South East Asia. Ngày cấp phiếu chưa thấy trong nguồn nên để trống.</x:v>
      </x:c>
      <x:c r="R174" t="str">
        <x:v>https://suckhoedoisong.vn/bo-y-te-thu-hoi-va-yeu-cau-tieu-huy-lo-sua-tam-nuoc-hoa-xmen-for-boss-intense-16926060122105492.htm</x:v>
      </x:c>
      <x:c r="S174" t="str">
        <x:v>TP. Hồ Chí Minh</x:v>
      </x:c>
      <x:c r="T174" t="str">
        <x:v>79</x:v>
      </x:c>
    </x:row>
    <x:row r="175">
      <x:c r="A175" t="n">
        <x:v>174</x:v>
      </x:c>
      <x:c r="B175" s="330" t="n">
        <x:v>44942</x:v>
      </x:c>
      <x:c r="C175" s="330" t="n">
        <x:v>46007</x:v>
      </x:c>
      <x:c r="D175" t="n">
        <x:v>2023</x:v>
      </x:c>
      <x:c r="E175" t="n">
        <x:v>1</x:v>
      </x:c>
      <x:c r="F175" t="str">
        <x:v>15077/23/CBMP-HN</x:v>
      </x:c>
      <x:c r="G175"/>
      <x:c r="H175" t="str">
        <x:v>Dầu gội đầu suôn mượt</x:v>
      </x:c>
      <x:c r="I175"/>
      <x:c r="J175" t="str">
        <x:v>Dầu gội</x:v>
      </x:c>
      <x:c r="K175" t="str">
        <x:v>Dầu gội</x:v>
      </x:c>
      <x:c r="L175" t="str">
        <x:v>Công ty cổ phần mỹ phẩm Vimac</x:v>
      </x:c>
      <x:c r="M175" t="str">
        <x:v>Tầng 5, Tòa nhà 74 Miếu Đầm, phường Từ Liêm, TP. Hà Nội</x:v>
      </x:c>
      <x:c r="N175" t="str">
        <x:v>Công ty cổ phần mỹ phẩm Vimac</x:v>
      </x:c>
      <x:c r="O175" t="str">
        <x:v>Đình chỉ/thu hồi toàn bộ sản phẩm (2025)</x:v>
      </x:c>
      <x:c r="P175" t="str">
        <x:v>Có số CBMP, ngày cấp, company, địa chỉ sản xuất</x:v>
      </x:c>
      <x:c r="Q175" t="str">
        <x:v>SX tại Ô CN08 CCN Nguyên Khê, xã Phúc Thịnh, Hà Nội.</x:v>
      </x:c>
      <x:c r="R175" t="str">
        <x:v>https://bachonglinh.hatinh.gov.vn/tin-tuc/dinh-chi-luu-hanh-thu-hoi-va-tieu-huy-my-pham-vi-pham-doi-voi-03-san-pham-cua-cong-ty-co-phan-my-pham-vimac</x:v>
      </x:c>
      <x:c r="S175" t="str">
        <x:v>Hà Nội</x:v>
      </x:c>
      <x:c r="T175" t="str">
        <x:v>01</x:v>
      </x:c>
    </x:row>
    <x:row r="176">
      <x:c r="A176" t="n">
        <x:v>175</x:v>
      </x:c>
      <x:c r="B176" s="330" t="n">
        <x:v>44942</x:v>
      </x:c>
      <x:c r="C176" s="330" t="n">
        <x:v>46007</x:v>
      </x:c>
      <x:c r="D176" t="n">
        <x:v>2023</x:v>
      </x:c>
      <x:c r="E176" t="n">
        <x:v>1</x:v>
      </x:c>
      <x:c r="F176" t="str">
        <x:v>15078/23/CBMP-HN</x:v>
      </x:c>
      <x:c r="G176"/>
      <x:c r="H176" t="str">
        <x:v>Dầu sả suôn mượt</x:v>
      </x:c>
      <x:c r="I176"/>
      <x:c r="J176" t="str">
        <x:v>Dầu xả</x:v>
      </x:c>
      <x:c r="K176" t="str">
        <x:v>Dầu xả</x:v>
      </x:c>
      <x:c r="L176" t="str">
        <x:v>Công ty cổ phần mỹ phẩm Vimac</x:v>
      </x:c>
      <x:c r="M176" t="str">
        <x:v>Tầng 5, Tòa nhà 74 Miếu Đầm, phường Từ Liêm, TP. Hà Nội</x:v>
      </x:c>
      <x:c r="N176" t="str">
        <x:v>Công ty cổ phần mỹ phẩm Vimac</x:v>
      </x:c>
      <x:c r="O176" t="str">
        <x:v>Đình chỉ/thu hồi toàn bộ sản phẩm (2025)</x:v>
      </x:c>
      <x:c r="P176" t="str">
        <x:v>Có số CBMP, ngày cấp, company, địa chỉ sản xuất</x:v>
      </x:c>
      <x:c r="Q176" t="str">
        <x:v>SX tại Ô CN08 CCN Nguyên Khê, xã Phúc Thịnh, Hà Nội.</x:v>
      </x:c>
      <x:c r="R176" t="str">
        <x:v>https://bachonglinh.hatinh.gov.vn/tin-tuc/dinh-chi-luu-hanh-thu-hoi-va-tieu-huy-my-pham-vi-pham-doi-voi-03-san-pham-cua-cong-ty-co-phan-my-pham-vimac</x:v>
      </x:c>
      <x:c r="S176" t="str">
        <x:v>Hà Nội</x:v>
      </x:c>
      <x:c r="T176" t="str">
        <x:v>01</x:v>
      </x:c>
    </x:row>
    <x:row r="177">
      <x:c r="A177" t="n">
        <x:v>176</x:v>
      </x:c>
      <x:c r="B177" s="330" t="n">
        <x:v>44942</x:v>
      </x:c>
      <x:c r="C177" s="330" t="n">
        <x:v>46007</x:v>
      </x:c>
      <x:c r="D177" t="n">
        <x:v>2023</x:v>
      </x:c>
      <x:c r="E177" t="n">
        <x:v>1</x:v>
      </x:c>
      <x:c r="F177" t="str">
        <x:v>15079/23/CBMP-HN</x:v>
      </x:c>
      <x:c r="G177"/>
      <x:c r="H177" t="str">
        <x:v>Gel tắm dưỡng da</x:v>
      </x:c>
      <x:c r="I177"/>
      <x:c r="J177" t="str">
        <x:v>Sữa tắm/Gel tắm</x:v>
      </x:c>
      <x:c r="K177" t="str">
        <x:v>Gel tắm</x:v>
      </x:c>
      <x:c r="L177" t="str">
        <x:v>Công ty cổ phần mỹ phẩm Vimac</x:v>
      </x:c>
      <x:c r="M177" t="str">
        <x:v>Tầng 5, Tòa nhà 74 Miếu Đầm, phường Từ Liêm, TP. Hà Nội</x:v>
      </x:c>
      <x:c r="N177" t="str">
        <x:v>Công ty cổ phần mỹ phẩm Vimac</x:v>
      </x:c>
      <x:c r="O177" t="str">
        <x:v>Đình chỉ/thu hồi toàn bộ sản phẩm (2025)</x:v>
      </x:c>
      <x:c r="P177" t="str">
        <x:v>Có số CBMP, ngày cấp, company, địa chỉ sản xuất</x:v>
      </x:c>
      <x:c r="Q177" t="str">
        <x:v>SX tại Ô CN08 CCN Nguyên Khê, xã Phúc Thịnh, Hà Nội.</x:v>
      </x:c>
      <x:c r="R177" t="str">
        <x:v>https://bachonglinh.hatinh.gov.vn/tin-tuc/dinh-chi-luu-hanh-thu-hoi-va-tieu-huy-my-pham-vi-pham-doi-voi-03-san-pham-cua-cong-ty-co-phan-my-pham-vimac</x:v>
      </x:c>
      <x:c r="S177" t="str">
        <x:v>Hà Nội</x:v>
      </x:c>
      <x:c r="T177" t="str">
        <x:v>01</x:v>
      </x:c>
    </x:row>
    <x:row r="178">
      <x:c r="A178" t="n">
        <x:v>177</x:v>
      </x:c>
      <x:c r="B178" s="330"/>
      <x:c r="C178" s="330" t="n">
        <x:v>46133</x:v>
      </x:c>
      <x:c r="D178" t="n">
        <x:v>2023</x:v>
      </x:c>
      <x:c r="E178"/>
      <x:c r="F178" t="str">
        <x:v>16717/23/CBMP-HN</x:v>
      </x:c>
      <x:c r="G178"/>
      <x:c r="H178" t="str">
        <x:v>THERAPY 3M</x:v>
      </x:c>
      <x:c r="I178" t="str">
        <x:v>THERAPY 3M</x:v>
      </x:c>
      <x:c r="J178" t="str">
        <x:v>Khác</x:v>
      </x:c>
      <x:c r="K178" t="str">
        <x:v>Mỹ phẩm chăm sóc da/gel</x:v>
      </x:c>
      <x:c r="L178" t="str">
        <x:v>Công ty cổ phần dược mỹ phẩm 3M PHARMA</x:v>
      </x:c>
      <x:c r="M178" t="str">
        <x:v>TT6-23, khu đấu giá Tứ Hiệp - Thanh Trì, Hà Nội</x:v>
      </x:c>
      <x:c r="N178" t="str">
        <x:v>Công ty TNHH liên doanh dược mỹ phẩm IVYPHARMA</x:v>
      </x:c>
      <x:c r="O178" t="str">
        <x:v>Đình chỉ/thu hồi sản phẩm (2026)</x:v>
      </x:c>
      <x:c r="P178" t="str">
        <x:v>Gov source dẫn Cục QLD; có CBMP + company + manufacturer</x:v>
      </x:c>
      <x:c r="Q178" t="str">
        <x:v>SX tại Hồng Vân, Hà Nội.</x:v>
      </x:c>
      <x:c r="R178" t="str">
        <x:v>https://phuhoa.dongnai.gov.vn/vi/news/hoat-dong-chinh-quyen-nha-nuoc/dinh-chi-luu-hanh-va-thu-hoi-va-tieu-huy-my-pham-vi-pham-379.html</x:v>
      </x:c>
      <x:c r="S178" t="str">
        <x:v>Hà Nội</x:v>
      </x:c>
      <x:c r="T178" t="str">
        <x:v>01</x:v>
      </x:c>
    </x:row>
    <x:row r="179">
      <x:c r="A179" t="n">
        <x:v>178</x:v>
      </x:c>
      <x:c r="B179" s="330"/>
      <x:c r="C179" s="330" t="n">
        <x:v>45806</x:v>
      </x:c>
      <x:c r="D179" t="n">
        <x:v>2023</x:v>
      </x:c>
      <x:c r="E179"/>
      <x:c r="F179" t="str">
        <x:v>18185/23/CBMP-HN</x:v>
      </x:c>
      <x:c r="G179"/>
      <x:c r="H179" t="str">
        <x:v>Evit mù U</x:v>
      </x:c>
      <x:c r="I179"/>
      <x:c r="J179" t="str">
        <x:v>Khác</x:v>
      </x:c>
      <x:c r="K179" t="str">
        <x:v>Dầu bôi/chăm sóc da</x:v>
      </x:c>
      <x:c r="L179" t="str">
        <x:v>Công ty cổ phần Hóa dược Việt Nam</x:v>
      </x:c>
      <x:c r="M179" t="str">
        <x:v>273 phố Tây Sơn, Đống Đa, Hà Nội</x:v>
      </x:c>
      <x:c r="N179" t="str">
        <x:v>Công ty cổ phần Hóa dược Việt Nam</x:v>
      </x:c>
      <x:c r="O179" t="str">
        <x:v>Đình chỉ/thu hồi lô (2025)</x:v>
      </x:c>
      <x:c r="P179" t="str">
        <x:v>Sở Y tế tỉnh công khai CBMP + company + manufacturer</x:v>
      </x:c>
      <x:c r="Q179" t="str">
        <x:v>SX tại 192 Đức Giang, Long Biên, Hà Nội.</x:v>
      </x:c>
      <x:c r="R179" t="str">
        <x:v>https://binhphuoc.gov.vn/vi/syt/duoc-pham-my-pham/dinh-chi-luu-hanh-thu-hoi-va-tieu-huy-my-pham-khong-dat-tieu-chuan-chat-luong-5381.html</x:v>
      </x:c>
      <x:c r="S179" t="str">
        <x:v>Hà Nội</x:v>
      </x:c>
      <x:c r="T179" t="str">
        <x:v>01</x:v>
      </x:c>
    </x:row>
    <x:row r="180">
      <x:c r="A180" t="n">
        <x:v>179</x:v>
      </x:c>
      <x:c r="B180" s="330"/>
      <x:c r="C180" s="330" t="n">
        <x:v>45889</x:v>
      </x:c>
      <x:c r="D180" t="n">
        <x:v>2023</x:v>
      </x:c>
      <x:c r="E180"/>
      <x:c r="F180" t="str">
        <x:v>15527/23/CBMP-HN</x:v>
      </x:c>
      <x:c r="G180"/>
      <x:c r="H180" t="str">
        <x:v>Gel nhiệt miệng Fobe Mouth Ulcer</x:v>
      </x:c>
      <x:c r="I180" t="str">
        <x:v>Fobe</x:v>
      </x:c>
      <x:c r="J180" t="str">
        <x:v>Khác</x:v>
      </x:c>
      <x:c r="K180" t="str">
        <x:v>Gel chăm sóc miệng</x:v>
      </x:c>
      <x:c r="L180" t="str">
        <x:v>Công ty cổ phần Fobelife</x:v>
      </x:c>
      <x:c r="M180" t="str">
        <x:v>137/1A Nguyễn Quý Anh, Tân Sơn Nhì, TP.HCM</x:v>
      </x:c>
      <x:c r="N180" t="str">
        <x:v>Công ty TNHH công nghệ sinh học dược mỹ phẩm SJK</x:v>
      </x:c>
      <x:c r="O180" t="str">
        <x:v>Đình chỉ/thu hồi lô (2025)</x:v>
      </x:c>
      <x:c r="P180" t="str">
        <x:v>Sở Y tế/Cổng tỉnh công khai CBMP + company + manufacturer</x:v>
      </x:c>
      <x:c r="Q180" t="str">
        <x:v>SX tại KCN Phú Nghĩa, Hà Nội.</x:v>
      </x:c>
      <x:c r="R180" t="str">
        <x:v>https://syt.bacninh.gov.vn/news/-/details/184573/-inh-chi-luu-hanh-thu-hoi-va-tieu-huy-my-pham-khong-at-chat-luong-13578617</x:v>
      </x:c>
      <x:c r="S180" t="str">
        <x:v>Hà Nội</x:v>
      </x:c>
      <x:c r="T180" t="str">
        <x:v>01</x:v>
      </x:c>
    </x:row>
    <x:row r="181">
      <x:c r="A181" t="n">
        <x:v>180</x:v>
      </x:c>
      <x:c r="B181" s="330"/>
      <x:c r="C181" s="330" t="n">
        <x:v>45910</x:v>
      </x:c>
      <x:c r="D181" t="n">
        <x:v>2024</x:v>
      </x:c>
      <x:c r="E181"/>
      <x:c r="F181" t="str">
        <x:v>19052/24/CBMP-HN</x:v>
      </x:c>
      <x:c r="G181"/>
      <x:c r="H181" t="str">
        <x:v>Dung dịch vệ sinh phụ nữ Ori Women Pluss</x:v>
      </x:c>
      <x:c r="I181" t="str">
        <x:v>Ori Women Pluss</x:v>
      </x:c>
      <x:c r="J181" t="str">
        <x:v>Dung dịch vệ sinh</x:v>
      </x:c>
      <x:c r="K181" t="str">
        <x:v>Vệ sinh phụ nữ</x:v>
      </x:c>
      <x:c r="L181" t="str">
        <x:v>Công ty cổ phần thảo dược và thiết bị y tế Bảo Minh Châu</x:v>
      </x:c>
      <x:c r="M181" t="str">
        <x:v>392 Nguyễn Lương Bằng, Phù Liễn, Hải Phòng</x:v>
      </x:c>
      <x:c r="N181" t="str">
        <x:v>Công ty TNHH công nghệ sinh học dược mỹ phẩm SJK</x:v>
      </x:c>
      <x:c r="O181" t="str">
        <x:v>Đình chỉ/thu hồi lô (2025)</x:v>
      </x:c>
      <x:c r="P181" t="str">
        <x:v>Gov/Bộ Y tế công khai CBMP + company + manufacturer</x:v>
      </x:c>
      <x:c r="Q181" t="str">
        <x:v>SX tại KCN Phú Nghĩa, Hà Nội.</x:v>
      </x:c>
      <x:c r="R181" t="str">
        <x:v>https://phuhoa.dongnai.gov.vn/vi/news/thong-bao/dinh-chi-luu-hanh-va-thu-hoi-my-pham-khong-dat-tieu-chuan-chat-luong-126.html</x:v>
      </x:c>
      <x:c r="S181" t="str">
        <x:v>Hà Nội</x:v>
      </x:c>
      <x:c r="T181" t="str">
        <x:v>01</x:v>
      </x:c>
    </x:row>
    <x:row r="182">
      <x:c r="A182" t="n">
        <x:v>181</x:v>
      </x:c>
      <x:c r="B182" s="330"/>
      <x:c r="C182" s="330" t="n">
        <x:v>45868</x:v>
      </x:c>
      <x:c r="D182" t="n">
        <x:v>2023</x:v>
      </x:c>
      <x:c r="E182"/>
      <x:c r="F182" t="str">
        <x:v>16682/23/CBMP-HN</x:v>
      </x:c>
      <x:c r="G182"/>
      <x:c r="H182" t="str">
        <x:v>Sữa chống nắng DSK UV</x:v>
      </x:c>
      <x:c r="I182" t="str">
        <x:v>DSK</x:v>
      </x:c>
      <x:c r="J182" t="str">
        <x:v>Kem chống nắng</x:v>
      </x:c>
      <x:c r="K182" t="str">
        <x:v>Sữa chống nắng</x:v>
      </x:c>
      <x:c r="L182" t="str">
        <x:v>Công ty cổ phần dược phẩm VSHINE</x:v>
      </x:c>
      <x:c r="M182" t="str">
        <x:v>24 ngõ 118 Nguyễn Khánh Toàn, Cầu Giấy, Hà Nội</x:v>
      </x:c>
      <x:c r="N182" t="str">
        <x:v>Công ty cổ phần dược mỹ phẩm Kosna Việt Nam</x:v>
      </x:c>
      <x:c r="O182" t="str">
        <x:v>Đình chỉ/thu hồi lô (2025)</x:v>
      </x:c>
      <x:c r="P182" t="str">
        <x:v>Gov source công khai CBMP + company + manufacturer</x:v>
      </x:c>
      <x:c r="Q182" t="str">
        <x:v>SX tại Dương Liễu, Hoài Đức, Hà Nội.</x:v>
      </x:c>
      <x:c r="R182" t="str">
        <x:v>https://iako.gialai.gov.vn/tin-tuc/ve-viec-dinh-chi-luu-hanh-thu-hoi-va-tieu-huy-my-pham-khong-dat-tieu-chuan-chat-luong.html</x:v>
      </x:c>
      <x:c r="S182" t="str">
        <x:v>Hà Nội</x:v>
      </x:c>
      <x:c r="T182" t="str">
        <x:v>01</x:v>
      </x:c>
    </x:row>
    <x:row r="183">
      <x:c r="A183" t="n">
        <x:v>182</x:v>
      </x:c>
      <x:c r="B183" s="330" t="n">
        <x:v>45168</x:v>
      </x:c>
      <x:c r="C183" s="330" t="n">
        <x:v>45399</x:v>
      </x:c>
      <x:c r="D183" t="n">
        <x:v>2023</x:v>
      </x:c>
      <x:c r="E183" t="n">
        <x:v>8</x:v>
      </x:c>
      <x:c r="F183" t="str">
        <x:v>3735/CBMP-HCM</x:v>
      </x:c>
      <x:c r="G183" t="str">
        <x:v>H29.19-230819-0073</x:v>
      </x:c>
      <x:c r="H183" t="str">
        <x:v>Olee - Dầu xả</x:v>
      </x:c>
      <x:c r="I183" t="str">
        <x:v>Olee</x:v>
      </x:c>
      <x:c r="J183" t="str">
        <x:v>Dầu xả</x:v>
      </x:c>
      <x:c r="K183" t="str">
        <x:v>Dầu xả tóc</x:v>
      </x:c>
      <x:c r="L183" t="str">
        <x:v>Công ty TNHH MTV Sản xuất Thương mại Mỹ phẩm Seven Nine</x:v>
      </x:c>
      <x:c r="M183"/>
      <x:c r="N183"/>
      <x:c r="O183" t="str">
        <x:v>Chưa đối chiếu</x:v>
      </x:c>
      <x:c r="P183" t="str">
        <x:v>Đã xác minh từ chỉ mục MEDINET</x:v>
      </x:c>
      <x:c r="Q183"/>
      <x:c r="R183" t="str">
        <x:v>https://qldichvuyte.medinet.gov.vn/my-pham/so-cong-bo-my-pham-cap-nhat-tu-01082023-den-17042024-cmobile4606-70522.aspx</x:v>
      </x:c>
      <x:c r="S183" t="str">
        <x:v>TP. Hồ Chí Minh</x:v>
      </x:c>
      <x:c r="T183" t="str">
        <x:v>79</x:v>
      </x:c>
    </x:row>
    <x:row r="184">
      <x:c r="A184" t="n">
        <x:v>183</x:v>
      </x:c>
      <x:c r="B184" s="330" t="n">
        <x:v>45887</x:v>
      </x:c>
      <x:c r="C184" s="330" t="n">
        <x:v>46080</x:v>
      </x:c>
      <x:c r="D184" t="n">
        <x:v>2025</x:v>
      </x:c>
      <x:c r="E184" t="n">
        <x:v>8</x:v>
      </x:c>
      <x:c r="F184" t="str">
        <x:v>285987/25/CBMP-QLD</x:v>
      </x:c>
      <x:c r="G184"/>
      <x:c r="H184" t="str">
        <x:v>Attachment HAIR REPAIR ESSENCE LOTION</x:v>
      </x:c>
      <x:c r="I184" t="str">
        <x:v>ATTachme nt</x:v>
      </x:c>
      <x:c r="J184" t="str">
        <x:v>Serum/Essence da</x:v>
      </x:c>
      <x:c r="K184"/>
      <x:c r="L184" t="str">
        <x:v>Công ty Cổ Phần Attachment Việt Nam</x:v>
      </x:c>
      <x:c r="M184" t="str">
        <x:v>Số nhà 6, ngõ 188/35/31, phố Tư Đình, phường Long Biên, quận Long Biên, TP. Hà Nội, Việt Nam. Mã số doanh nghiệp: 0110474605</x:v>
      </x:c>
      <x:c r="N184"/>
      <x:c r="O184" t="str">
        <x:v>Thu hồi số tiếp nhận; đình chỉ lưu hành và thu hồi (QĐ 126/QĐ-QLD)</x:v>
      </x:c>
      <x:c r="P184" t="str">
        <x:v>A++ – Cục Quản lý Dược; company responsibility explicit</x:v>
      </x:c>
      <x:c r="Q184" t="str">
        <x:v>QĐ126/2026, STT 1, trang 3.</x:v>
      </x:c>
      <x:c r="R184" t="str">
        <x:v>https://dav.gov.vn/quyet-dinh-so-126qd-qld-ve-viec-thu-hoi-so-tiep-nhan-phieu-cong-bo-san-pham-my-pham-dinh-chi-luu-hanh-va-thu-hoi-san-pham-my-pham-theo-kl-cua-hd-my-pham-asean-doi-voi-san-pham-my-pham-co-chua-chat-cyclotetrasiloxane-octamethylcyclotetrasiloxane-n5224.html</x:v>
      </x:c>
      <x:c r="S184" t="str">
        <x:v>Hà Nội</x:v>
      </x:c>
      <x:c r="T184" t="str">
        <x:v>01</x:v>
      </x:c>
    </x:row>
    <x:row r="185">
      <x:c r="A185" t="n">
        <x:v>184</x:v>
      </x:c>
      <x:c r="B185" s="330" t="n">
        <x:v>45887</x:v>
      </x:c>
      <x:c r="C185" s="330" t="n">
        <x:v>46080</x:v>
      </x:c>
      <x:c r="D185" t="n">
        <x:v>2025</x:v>
      </x:c>
      <x:c r="E185" t="n">
        <x:v>8</x:v>
      </x:c>
      <x:c r="F185" t="str">
        <x:v>285989/25/CBMP-QLD</x:v>
      </x:c>
      <x:c r="G185"/>
      <x:c r="H185" t="str">
        <x:v>Atbling Advanced Hair Repair Treatment Lotion</x:v>
      </x:c>
      <x:c r="I185" t="str">
        <x:v>ATBLING</x:v>
      </x:c>
      <x:c r="J185" t="str">
        <x:v>Kem dưỡng da</x:v>
      </x:c>
      <x:c r="K185"/>
      <x:c r="L185" t="str">
        <x:v>Công ty Cổ Phần Attachment Việt Nam</x:v>
      </x:c>
      <x:c r="M185" t="str">
        <x:v>Số nhà 6, ngõ 188/35/31, phố Tư Đình, phường Long Biên, quận Long Biên, TP. Hà Nội, Việt Nam. Mã số doanh nghiệp: 0110474605</x:v>
      </x:c>
      <x:c r="N185"/>
      <x:c r="O185" t="str">
        <x:v>Thu hồi số tiếp nhận; đình chỉ lưu hành và thu hồi (QĐ 126/QĐ-QLD)</x:v>
      </x:c>
      <x:c r="P185" t="str">
        <x:v>A++ – Cục Quản lý Dược; company responsibility explicit</x:v>
      </x:c>
      <x:c r="Q185" t="str">
        <x:v>QĐ126/2026, STT 2, trang 3.</x:v>
      </x:c>
      <x:c r="R185" t="str">
        <x:v>https://dav.gov.vn/quyet-dinh-so-126qd-qld-ve-viec-thu-hoi-so-tiep-nhan-phieu-cong-bo-san-pham-my-pham-dinh-chi-luu-hanh-va-thu-hoi-san-pham-my-pham-theo-kl-cua-hd-my-pham-asean-doi-voi-san-pham-my-pham-co-chua-chat-cyclotetrasiloxane-octamethylcyclotetrasiloxane-n5224.html</x:v>
      </x:c>
      <x:c r="S185" t="str">
        <x:v>Hà Nội</x:v>
      </x:c>
      <x:c r="T185" t="str">
        <x:v>01</x:v>
      </x:c>
    </x:row>
    <x:row r="186">
      <x:c r="A186" t="n">
        <x:v>185</x:v>
      </x:c>
      <x:c r="B186" s="330" t="n">
        <x:v>45427</x:v>
      </x:c>
      <x:c r="C186" s="330" t="n">
        <x:v>46080</x:v>
      </x:c>
      <x:c r="D186" t="n">
        <x:v>2024</x:v>
      </x:c>
      <x:c r="E186" t="n">
        <x:v>5</x:v>
      </x:c>
      <x:c r="F186" t="str">
        <x:v>236089/24/CBMP-QLD</x:v>
      </x:c>
      <x:c r="G186"/>
      <x:c r="H186" t="str">
        <x:v>Paula's Choice Gentle Touch Makeup Remover</x:v>
      </x:c>
      <x:c r="I186" t="str">
        <x:v>Paula's Choice</x:v>
      </x:c>
      <x:c r="J186" t="str">
        <x:v>Tẩy trang</x:v>
      </x:c>
      <x:c r="K186"/>
      <x:c r="L186" t="str">
        <x:v>Công ty Cổ Phần Bệnh Viện Hữu Nghị Quốc Tế Hà Nội</x:v>
      </x:c>
      <x:c r="M186" t="str">
        <x:v>Tầng 44, toà C5, khu đô thị D'Capitale, 224 Trần Duy Hưng, phường Trung Hoà, quận Cầu Giấy, TP. Hà Nội, Việt Nam. Mã số doanh nghiệp: 02462579898</x:v>
      </x:c>
      <x:c r="N186"/>
      <x:c r="O186" t="str">
        <x:v>Thu hồi số tiếp nhận; đình chỉ lưu hành và thu hồi (QĐ 126/QĐ-QLD)</x:v>
      </x:c>
      <x:c r="P186" t="str">
        <x:v>A++ – Cục Quản lý Dược; company responsibility explicit</x:v>
      </x:c>
      <x:c r="Q186" t="str">
        <x:v>QĐ126/2026, STT 3, trang 3.</x:v>
      </x:c>
      <x:c r="R186" t="str">
        <x:v>https://dav.gov.vn/quyet-dinh-so-126qd-qld-ve-viec-thu-hoi-so-tiep-nhan-phieu-cong-bo-san-pham-my-pham-dinh-chi-luu-hanh-va-thu-hoi-san-pham-my-pham-theo-kl-cua-hd-my-pham-asean-doi-voi-san-pham-my-pham-co-chua-chat-cyclotetrasiloxane-octamethylcyclotetrasiloxane-n5224.html</x:v>
      </x:c>
      <x:c r="S186" t="str">
        <x:v>Hà Nội</x:v>
      </x:c>
      <x:c r="T186" t="str">
        <x:v>01</x:v>
      </x:c>
    </x:row>
    <x:row r="187">
      <x:c r="A187" t="n">
        <x:v>186</x:v>
      </x:c>
      <x:c r="B187" s="330" t="n">
        <x:v>45427</x:v>
      </x:c>
      <x:c r="C187" s="330" t="n">
        <x:v>46080</x:v>
      </x:c>
      <x:c r="D187" t="n">
        <x:v>2024</x:v>
      </x:c>
      <x:c r="E187" t="n">
        <x:v>5</x:v>
      </x:c>
      <x:c r="F187" t="str">
        <x:v>236091/24/CBMP-QLD</x:v>
      </x:c>
      <x:c r="G187"/>
      <x:c r="H187" t="str">
        <x:v>Paula's Choice Gentle Touch Makeup Remover</x:v>
      </x:c>
      <x:c r="I187" t="str">
        <x:v>Paula's Choice</x:v>
      </x:c>
      <x:c r="J187" t="str">
        <x:v>Tẩy trang</x:v>
      </x:c>
      <x:c r="K187"/>
      <x:c r="L187" t="str">
        <x:v>Công ty Cổ Phần Bệnh Viện Hữu Nghị Quốc Tế Hà Nội</x:v>
      </x:c>
      <x:c r="M187" t="str">
        <x:v>Tầng 44, toà C5, khu đô thị D'Capitale, 224 Trần Duy Hưng, phường Trung Hoà, quận Cầu Giấy, TP. Hà Nội, Việt Nam. Mã số doanh nghiệp: 02462579898</x:v>
      </x:c>
      <x:c r="N187"/>
      <x:c r="O187" t="str">
        <x:v>Thu hồi số tiếp nhận; đình chỉ lưu hành và thu hồi (QĐ 126/QĐ-QLD)</x:v>
      </x:c>
      <x:c r="P187" t="str">
        <x:v>A++ – Cục Quản lý Dược; company responsibility explicit</x:v>
      </x:c>
      <x:c r="Q187" t="str">
        <x:v>QĐ126/2026, STT 4, trang 3.</x:v>
      </x:c>
      <x:c r="R187" t="str">
        <x:v>https://dav.gov.vn/quyet-dinh-so-126qd-qld-ve-viec-thu-hoi-so-tiep-nhan-phieu-cong-bo-san-pham-my-pham-dinh-chi-luu-hanh-va-thu-hoi-san-pham-my-pham-theo-kl-cua-hd-my-pham-asean-doi-voi-san-pham-my-pham-co-chua-chat-cyclotetrasiloxane-octamethylcyclotetrasiloxane-n5224.html</x:v>
      </x:c>
      <x:c r="S187" t="str">
        <x:v>Hà Nội</x:v>
      </x:c>
      <x:c r="T187" t="str">
        <x:v>01</x:v>
      </x:c>
    </x:row>
    <x:row r="188">
      <x:c r="A188" t="n">
        <x:v>187</x:v>
      </x:c>
      <x:c r="B188" s="330" t="n">
        <x:v>44707</x:v>
      </x:c>
      <x:c r="C188" s="330" t="n">
        <x:v>46080</x:v>
      </x:c>
      <x:c r="D188" t="n">
        <x:v>2022</x:v>
      </x:c>
      <x:c r="E188" t="n">
        <x:v>5</x:v>
      </x:c>
      <x:c r="F188" t="str">
        <x:v>170880/22/CBMP-QLD</x:v>
      </x:c>
      <x:c r="G188"/>
      <x:c r="H188" t="str">
        <x:v>Nitipon Nitipon Physical Sunscreen Spf50 Pa+++</x:v>
      </x:c>
      <x:c r="I188" t="str">
        <x:v>NITIPON</x:v>
      </x:c>
      <x:c r="J188" t="str">
        <x:v>Kem chống nắng</x:v>
      </x:c>
      <x:c r="K188"/>
      <x:c r="L188" t="str">
        <x:v>Công ty Cổ Phần Đại Lý Vận Tải Safi</x:v>
      </x:c>
      <x:c r="M188" t="str">
        <x:v>Số 209 Nguyễn Văn Thủ, phường Đa Kao, Quận 1, TP. Hồ Chí Minh. Mã số doanh nghiệp: 0301471330</x:v>
      </x:c>
      <x:c r="N188"/>
      <x:c r="O188" t="str">
        <x:v>Thu hồi số tiếp nhận; đình chỉ lưu hành và thu hồi (QĐ 126/QĐ-QLD)</x:v>
      </x:c>
      <x:c r="P188" t="str">
        <x:v>A++ – Cục Quản lý Dược; company responsibility explicit</x:v>
      </x:c>
      <x:c r="Q188" t="str">
        <x:v>QĐ126/2026, STT 5, trang 3.</x:v>
      </x:c>
      <x:c r="R188" t="str">
        <x:v>https://dav.gov.vn/quyet-dinh-so-126qd-qld-ve-viec-thu-hoi-so-tiep-nhan-phieu-cong-bo-san-pham-my-pham-dinh-chi-luu-hanh-va-thu-hoi-san-pham-my-pham-theo-kl-cua-hd-my-pham-asean-doi-voi-san-pham-my-pham-co-chua-chat-cyclotetrasiloxane-octamethylcyclotetrasiloxane-n5224.html</x:v>
      </x:c>
      <x:c r="S188" t="str">
        <x:v>TP. Hồ Chí Minh</x:v>
      </x:c>
      <x:c r="T188" t="str">
        <x:v>79</x:v>
      </x:c>
    </x:row>
    <x:row r="189">
      <x:c r="A189" t="n">
        <x:v>188</x:v>
      </x:c>
      <x:c r="B189" s="330" t="n">
        <x:v>44613</x:v>
      </x:c>
      <x:c r="C189" s="330" t="n">
        <x:v>46080</x:v>
      </x:c>
      <x:c r="D189" t="n">
        <x:v>2022</x:v>
      </x:c>
      <x:c r="E189" t="n">
        <x:v>2</x:v>
      </x:c>
      <x:c r="F189" t="str">
        <x:v>166127/22/CBMP-QLD</x:v>
      </x:c>
      <x:c r="G189"/>
      <x:c r="H189" t="str">
        <x:v>Bio Cell Collagen Uv Protect</x:v>
      </x:c>
      <x:c r="I189" t="str">
        <x:v>BIO CELL</x:v>
      </x:c>
      <x:c r="J189" t="str">
        <x:v>Khác</x:v>
      </x:c>
      <x:c r="K189"/>
      <x:c r="L189" t="str">
        <x:v>Công ty Cổ Phần Đào Tạo Và Truyền Thông Quốc Tế MGK</x:v>
      </x:c>
      <x:c r="M189" t="str">
        <x:v>Số 7 Đường Trần Quang Diệu, Phường 14, Quận 3, TP. Hồ Chí Minh, Việt Nam. Mã số doanh nghiệp: 0314832665</x:v>
      </x:c>
      <x:c r="N189"/>
      <x:c r="O189" t="str">
        <x:v>Thu hồi số tiếp nhận; đình chỉ lưu hành và thu hồi (QĐ 126/QĐ-QLD)</x:v>
      </x:c>
      <x:c r="P189" t="str">
        <x:v>A++ – Cục Quản lý Dược; company responsibility explicit</x:v>
      </x:c>
      <x:c r="Q189" t="str">
        <x:v>QĐ126/2026, STT 6, trang 3.</x:v>
      </x:c>
      <x:c r="R189" t="str">
        <x:v>https://dav.gov.vn/quyet-dinh-so-126qd-qld-ve-viec-thu-hoi-so-tiep-nhan-phieu-cong-bo-san-pham-my-pham-dinh-chi-luu-hanh-va-thu-hoi-san-pham-my-pham-theo-kl-cua-hd-my-pham-asean-doi-voi-san-pham-my-pham-co-chua-chat-cyclotetrasiloxane-octamethylcyclotetrasiloxane-n5224.html</x:v>
      </x:c>
      <x:c r="S189" t="str">
        <x:v>TP. Hồ Chí Minh</x:v>
      </x:c>
      <x:c r="T189" t="str">
        <x:v>79</x:v>
      </x:c>
    </x:row>
    <x:row r="190">
      <x:c r="A190" t="n">
        <x:v>189</x:v>
      </x:c>
      <x:c r="B190" s="330" t="n">
        <x:v>44831</x:v>
      </x:c>
      <x:c r="C190" s="330" t="n">
        <x:v>46080</x:v>
      </x:c>
      <x:c r="D190" t="n">
        <x:v>2022</x:v>
      </x:c>
      <x:c r="E190" t="n">
        <x:v>9</x:v>
      </x:c>
      <x:c r="F190" t="str">
        <x:v>183995/22/CBMP-QLD</x:v>
      </x:c>
      <x:c r="G190"/>
      <x:c r="H190" t="str">
        <x:v>Leo Fragrant Straight Cream</x:v>
      </x:c>
      <x:c r="I190" t="str">
        <x:v>LEO</x:v>
      </x:c>
      <x:c r="J190" t="str">
        <x:v>Uốn/duỗi/giữ nếp tóc</x:v>
      </x:c>
      <x:c r="K190"/>
      <x:c r="L190" t="str">
        <x:v>Công ty Cổ phần Đầu tư và Thương mại Nhật Hưng. Địa chỉ Thôn Bằng Sở</x:v>
      </x:c>
      <x:c r="M190" t="str">
        <x:v>Xã Ninh Sở, Huyện Thường Tín, Thành phố Hà Nội, Việt Nam. Mã số doanh nghiệp: 0104265811</x:v>
      </x:c>
      <x:c r="N190"/>
      <x:c r="O190" t="str">
        <x:v>Thu hồi số tiếp nhận; đình chỉ lưu hành và thu hồi (QĐ 126/QĐ-QLD)</x:v>
      </x:c>
      <x:c r="P190" t="str">
        <x:v>A++ – Cục Quản lý Dược; company responsibility explicit</x:v>
      </x:c>
      <x:c r="Q190" t="str">
        <x:v>QĐ126/2026, STT 7, trang 3.</x:v>
      </x:c>
      <x:c r="R190" t="str">
        <x:v>https://dav.gov.vn/quyet-dinh-so-126qd-qld-ve-viec-thu-hoi-so-tiep-nhan-phieu-cong-bo-san-pham-my-pham-dinh-chi-luu-hanh-va-thu-hoi-san-pham-my-pham-theo-kl-cua-hd-my-pham-asean-doi-voi-san-pham-my-pham-co-chua-chat-cyclotetrasiloxane-octamethylcyclotetrasiloxane-n5224.html</x:v>
      </x:c>
      <x:c r="S190" t="str">
        <x:v>Hà Nội</x:v>
      </x:c>
      <x:c r="T190" t="str">
        <x:v>01</x:v>
      </x:c>
    </x:row>
    <x:row r="191">
      <x:c r="A191" t="n">
        <x:v>190</x:v>
      </x:c>
      <x:c r="B191" s="330" t="n">
        <x:v>44831</x:v>
      </x:c>
      <x:c r="C191" s="330" t="n">
        <x:v>46080</x:v>
      </x:c>
      <x:c r="D191" t="n">
        <x:v>2022</x:v>
      </x:c>
      <x:c r="E191" t="n">
        <x:v>9</x:v>
      </x:c>
      <x:c r="F191" t="str">
        <x:v>183996/22/CBMP-QLD</x:v>
      </x:c>
      <x:c r="G191"/>
      <x:c r="H191" t="str">
        <x:v>Leo Hair Perm</x:v>
      </x:c>
      <x:c r="I191" t="str">
        <x:v>LEO</x:v>
      </x:c>
      <x:c r="J191" t="str">
        <x:v>Uốn/duỗi/giữ nếp tóc</x:v>
      </x:c>
      <x:c r="K191"/>
      <x:c r="L191" t="str">
        <x:v>Công ty Cổ phần Đầu tư và Thương mại Nhật Hưng. Địa chỉ Thôn Bằng Sở</x:v>
      </x:c>
      <x:c r="M191" t="str">
        <x:v>Xã Ninh Sở, Huyện Thường Tín, Thành phố Hà Nội, Việt Nam. Mã số doanh nghiệp: 0104265811</x:v>
      </x:c>
      <x:c r="N191"/>
      <x:c r="O191" t="str">
        <x:v>Thu hồi số tiếp nhận; đình chỉ lưu hành và thu hồi (QĐ 126/QĐ-QLD)</x:v>
      </x:c>
      <x:c r="P191" t="str">
        <x:v>A++ – Cục Quản lý Dược; company responsibility explicit</x:v>
      </x:c>
      <x:c r="Q191" t="str">
        <x:v>QĐ126/2026, STT 8, trang 3.</x:v>
      </x:c>
      <x:c r="R191" t="str">
        <x:v>https://dav.gov.vn/quyet-dinh-so-126qd-qld-ve-viec-thu-hoi-so-tiep-nhan-phieu-cong-bo-san-pham-my-pham-dinh-chi-luu-hanh-va-thu-hoi-san-pham-my-pham-theo-kl-cua-hd-my-pham-asean-doi-voi-san-pham-my-pham-co-chua-chat-cyclotetrasiloxane-octamethylcyclotetrasiloxane-n5224.html</x:v>
      </x:c>
      <x:c r="S191" t="str">
        <x:v>Hà Nội</x:v>
      </x:c>
      <x:c r="T191" t="str">
        <x:v>01</x:v>
      </x:c>
    </x:row>
    <x:row r="192">
      <x:c r="A192" t="n">
        <x:v>191</x:v>
      </x:c>
      <x:c r="B192" s="330" t="n">
        <x:v>44781</x:v>
      </x:c>
      <x:c r="C192" s="330" t="n">
        <x:v>46080</x:v>
      </x:c>
      <x:c r="D192" t="n">
        <x:v>2022</x:v>
      </x:c>
      <x:c r="E192" t="n">
        <x:v>8</x:v>
      </x:c>
      <x:c r="F192" t="str">
        <x:v>176973/22/CBMP-QLD</x:v>
      </x:c>
      <x:c r="G192"/>
      <x:c r="H192" t="str">
        <x:v>Vin21 Melasma Extra Treatment Cream</x:v>
      </x:c>
      <x:c r="I192" t="str">
        <x:v>VIN21</x:v>
      </x:c>
      <x:c r="J192" t="str">
        <x:v>Kem dưỡng da</x:v>
      </x:c>
      <x:c r="K192"/>
      <x:c r="L192" t="str">
        <x:v>Công ty Cổ Phần Dược Phẩm Vạn Phước</x:v>
      </x:c>
      <x:c r="M192" t="str">
        <x:v>506/15/36 Ba Tháng Hai, Phường 14, Quận 10, TP. Hồ Chí Minh, Việt Nam. Mã số doanh nghiệp: 0310299968</x:v>
      </x:c>
      <x:c r="N192"/>
      <x:c r="O192" t="str">
        <x:v>Thu hồi số tiếp nhận; đình chỉ lưu hành và thu hồi (QĐ 126/QĐ-QLD)</x:v>
      </x:c>
      <x:c r="P192" t="str">
        <x:v>A++ – Cục Quản lý Dược; company responsibility explicit</x:v>
      </x:c>
      <x:c r="Q192" t="str">
        <x:v>QĐ126/2026, STT 9, trang 3.</x:v>
      </x:c>
      <x:c r="R192" t="str">
        <x:v>https://dav.gov.vn/quyet-dinh-so-126qd-qld-ve-viec-thu-hoi-so-tiep-nhan-phieu-cong-bo-san-pham-my-pham-dinh-chi-luu-hanh-va-thu-hoi-san-pham-my-pham-theo-kl-cua-hd-my-pham-asean-doi-voi-san-pham-my-pham-co-chua-chat-cyclotetrasiloxane-octamethylcyclotetrasiloxane-n5224.html</x:v>
      </x:c>
      <x:c r="S192" t="str">
        <x:v>TP. Hồ Chí Minh</x:v>
      </x:c>
      <x:c r="T192" t="str">
        <x:v>79</x:v>
      </x:c>
    </x:row>
    <x:row r="193">
      <x:c r="A193" t="n">
        <x:v>192</x:v>
      </x:c>
      <x:c r="B193" s="330" t="n">
        <x:v>44784</x:v>
      </x:c>
      <x:c r="C193" s="330" t="n">
        <x:v>46080</x:v>
      </x:c>
      <x:c r="D193" t="n">
        <x:v>2022</x:v>
      </x:c>
      <x:c r="E193" t="n">
        <x:v>8</x:v>
      </x:c>
      <x:c r="F193" t="str">
        <x:v>177560/22/CBMP-QLD</x:v>
      </x:c>
      <x:c r="G193"/>
      <x:c r="H193" t="str">
        <x:v>Kenzkunz Collagen &amp; Keratin Conditioner/Soin</x:v>
      </x:c>
      <x:c r="I193" t="str">
        <x:v>KENZKU NZ</x:v>
      </x:c>
      <x:c r="J193" t="str">
        <x:v>Dầu xả</x:v>
      </x:c>
      <x:c r="K193"/>
      <x:c r="L193" t="str">
        <x:v>Công ty Cổ Phần Liên Minh Mỹ Phẩm Việt Nam</x:v>
      </x:c>
      <x:c r="M193" t="str">
        <x:v>Số 174 đường Vườn Lài, phường Tân Thành, quận Tân Phú, TP. Hồ Chí Minh, Việt Nam. Mã số doanh nghiệp: 0317034583</x:v>
      </x:c>
      <x:c r="N193"/>
      <x:c r="O193" t="str">
        <x:v>Thu hồi số tiếp nhận; đình chỉ lưu hành và thu hồi (QĐ 126/QĐ-QLD)</x:v>
      </x:c>
      <x:c r="P193" t="str">
        <x:v>A++ – Cục Quản lý Dược; company responsibility explicit</x:v>
      </x:c>
      <x:c r="Q193" t="str">
        <x:v>QĐ126/2026, STT 19, trang 4.</x:v>
      </x:c>
      <x:c r="R193" t="str">
        <x:v>https://dav.gov.vn/quyet-dinh-so-126qd-qld-ve-viec-thu-hoi-so-tiep-nhan-phieu-cong-bo-san-pham-my-pham-dinh-chi-luu-hanh-va-thu-hoi-san-pham-my-pham-theo-kl-cua-hd-my-pham-asean-doi-voi-san-pham-my-pham-co-chua-chat-cyclotetrasiloxane-octamethylcyclotetrasiloxane-n5224.html</x:v>
      </x:c>
      <x:c r="S193" t="str">
        <x:v>TP. Hồ Chí Minh</x:v>
      </x:c>
      <x:c r="T193" t="str">
        <x:v>79</x:v>
      </x:c>
    </x:row>
    <x:row r="194">
      <x:c r="A194" t="n">
        <x:v>193</x:v>
      </x:c>
      <x:c r="B194" s="330" t="n">
        <x:v>44784</x:v>
      </x:c>
      <x:c r="C194" s="330" t="n">
        <x:v>46080</x:v>
      </x:c>
      <x:c r="D194" t="n">
        <x:v>2022</x:v>
      </x:c>
      <x:c r="E194" t="n">
        <x:v>8</x:v>
      </x:c>
      <x:c r="F194" t="str">
        <x:v>177561/22/CBMP-QLD</x:v>
      </x:c>
      <x:c r="G194"/>
      <x:c r="H194" t="str">
        <x:v>Kenzkunz Maca Essence Repair Collagen &amp; Keratin For Dry &amp; Damaged Hair</x:v>
      </x:c>
      <x:c r="I194" t="str">
        <x:v>KENZKU NZ</x:v>
      </x:c>
      <x:c r="J194" t="str">
        <x:v>Serum/Essence da</x:v>
      </x:c>
      <x:c r="K194"/>
      <x:c r="L194" t="str">
        <x:v>Công ty Cổ Phần Liên Minh Mỹ Phẩm Việt Nam</x:v>
      </x:c>
      <x:c r="M194" t="str">
        <x:v>Số 174 đường Vườn Lài, phường Tân Thành, quận Tân Phú, TP. Hồ Chí Minh, Việt Nam. Mã số doanh nghiệp: 0317034583</x:v>
      </x:c>
      <x:c r="N194"/>
      <x:c r="O194" t="str">
        <x:v>Thu hồi số tiếp nhận; đình chỉ lưu hành và thu hồi (QĐ 126/QĐ-QLD)</x:v>
      </x:c>
      <x:c r="P194" t="str">
        <x:v>A++ – Cục Quản lý Dược; company responsibility explicit</x:v>
      </x:c>
      <x:c r="Q194" t="str">
        <x:v>QĐ126/2026, STT 20, trang 4.</x:v>
      </x:c>
      <x:c r="R194" t="str">
        <x:v>https://dav.gov.vn/quyet-dinh-so-126qd-qld-ve-viec-thu-hoi-so-tiep-nhan-phieu-cong-bo-san-pham-my-pham-dinh-chi-luu-hanh-va-thu-hoi-san-pham-my-pham-theo-kl-cua-hd-my-pham-asean-doi-voi-san-pham-my-pham-co-chua-chat-cyclotetrasiloxane-octamethylcyclotetrasiloxane-n5224.html</x:v>
      </x:c>
      <x:c r="S194" t="str">
        <x:v>TP. Hồ Chí Minh</x:v>
      </x:c>
      <x:c r="T194" t="str">
        <x:v>79</x:v>
      </x:c>
    </x:row>
    <x:row r="195">
      <x:c r="A195" t="n">
        <x:v>194</x:v>
      </x:c>
      <x:c r="B195" s="330" t="n">
        <x:v>44784</x:v>
      </x:c>
      <x:c r="C195" s="330" t="n">
        <x:v>46080</x:v>
      </x:c>
      <x:c r="D195" t="n">
        <x:v>2022</x:v>
      </x:c>
      <x:c r="E195" t="n">
        <x:v>8</x:v>
      </x:c>
      <x:c r="F195" t="str">
        <x:v>177563/22/CBMP-QLD</x:v>
      </x:c>
      <x:c r="G195"/>
      <x:c r="H195" t="str">
        <x:v>Kallena Reflection Repair Treatment Hair Conditioner</x:v>
      </x:c>
      <x:c r="I195" t="str">
        <x:v>KALLEN A</x:v>
      </x:c>
      <x:c r="J195" t="str">
        <x:v>Dầu xả</x:v>
      </x:c>
      <x:c r="K195"/>
      <x:c r="L195" t="str">
        <x:v>Công ty Cổ Phần Liên Minh Mỹ Phẩm Việt Nam</x:v>
      </x:c>
      <x:c r="M195" t="str">
        <x:v>Số 174 đường Vườn Lài, phường Tân Thành, quận Tân Phú, TP. Hồ Chí Minh, Việt Nam. Mã số doanh nghiệp: 0317034583</x:v>
      </x:c>
      <x:c r="N195"/>
      <x:c r="O195" t="str">
        <x:v>Thu hồi số tiếp nhận; đình chỉ lưu hành và thu hồi (QĐ 126/QĐ-QLD)</x:v>
      </x:c>
      <x:c r="P195" t="str">
        <x:v>A++ – Cục Quản lý Dược; company responsibility explicit</x:v>
      </x:c>
      <x:c r="Q195" t="str">
        <x:v>QĐ126/2026, STT 21, trang 5.</x:v>
      </x:c>
      <x:c r="R195" t="str">
        <x:v>https://dav.gov.vn/quyet-dinh-so-126qd-qld-ve-viec-thu-hoi-so-tiep-nhan-phieu-cong-bo-san-pham-my-pham-dinh-chi-luu-hanh-va-thu-hoi-san-pham-my-pham-theo-kl-cua-hd-my-pham-asean-doi-voi-san-pham-my-pham-co-chua-chat-cyclotetrasiloxane-octamethylcyclotetrasiloxane-n5224.html</x:v>
      </x:c>
      <x:c r="S195" t="str">
        <x:v>TP. Hồ Chí Minh</x:v>
      </x:c>
      <x:c r="T195" t="str">
        <x:v>79</x:v>
      </x:c>
    </x:row>
    <x:row r="196">
      <x:c r="A196" t="n">
        <x:v>195</x:v>
      </x:c>
      <x:c r="B196" s="330" t="n">
        <x:v>44817</x:v>
      </x:c>
      <x:c r="C196" s="330" t="n">
        <x:v>46080</x:v>
      </x:c>
      <x:c r="D196" t="n">
        <x:v>2022</x:v>
      </x:c>
      <x:c r="E196" t="n">
        <x:v>9</x:v>
      </x:c>
      <x:c r="F196" t="str">
        <x:v>181345/22/CBMP-QLD</x:v>
      </x:c>
      <x:c r="G196"/>
      <x:c r="H196" t="str">
        <x:v>Ciracle Oil Free Moisturizing Lotion</x:v>
      </x:c>
      <x:c r="I196" t="str">
        <x:v>Ciracle</x:v>
      </x:c>
      <x:c r="J196" t="str">
        <x:v>Kem dưỡng da</x:v>
      </x:c>
      <x:c r="K196"/>
      <x:c r="L196" t="str">
        <x:v>CÔNG TY CỔ PHẦN MIRAI CARE</x:v>
      </x:c>
      <x:c r="M196" t="str">
        <x:v>Tầng 1, số 170 Đê La Thành, phường Ô Chợ Dừa, quận Đống Đa, TP. Hà Nội, Việt Nam. Mã số doanh nghiệp: 0109873757</x:v>
      </x:c>
      <x:c r="N196"/>
      <x:c r="O196" t="str">
        <x:v>Thu hồi số tiếp nhận; đình chỉ lưu hành và thu hồi (QĐ 126/QĐ-QLD)</x:v>
      </x:c>
      <x:c r="P196" t="str">
        <x:v>A++ – Cục Quản lý Dược; company responsibility explicit</x:v>
      </x:c>
      <x:c r="Q196" t="str">
        <x:v>QĐ126/2026, STT 22, trang 5.</x:v>
      </x:c>
      <x:c r="R196" t="str">
        <x:v>https://dav.gov.vn/quyet-dinh-so-126qd-qld-ve-viec-thu-hoi-so-tiep-nhan-phieu-cong-bo-san-pham-my-pham-dinh-chi-luu-hanh-va-thu-hoi-san-pham-my-pham-theo-kl-cua-hd-my-pham-asean-doi-voi-san-pham-my-pham-co-chua-chat-cyclotetrasiloxane-octamethylcyclotetrasiloxane-n5224.html</x:v>
      </x:c>
      <x:c r="S196" t="str">
        <x:v>Hà Nội</x:v>
      </x:c>
      <x:c r="T196" t="str">
        <x:v>01</x:v>
      </x:c>
    </x:row>
    <x:row r="197">
      <x:c r="A197" t="n">
        <x:v>196</x:v>
      </x:c>
      <x:c r="B197" s="330" t="n">
        <x:v>45588</x:v>
      </x:c>
      <x:c r="C197" s="330" t="n">
        <x:v>46080</x:v>
      </x:c>
      <x:c r="D197" t="n">
        <x:v>2024</x:v>
      </x:c>
      <x:c r="E197" t="n">
        <x:v>10</x:v>
      </x:c>
      <x:c r="F197" t="str">
        <x:v>253547/24/CBMP-QLD</x:v>
      </x:c>
      <x:c r="G197"/>
      <x:c r="H197" t="str">
        <x:v>Beau Shop Whitening C.C New Cream</x:v>
      </x:c>
      <x:c r="I197" t="str">
        <x:v>Beau Shop</x:v>
      </x:c>
      <x:c r="J197" t="str">
        <x:v>Kem dưỡng da</x:v>
      </x:c>
      <x:c r="K197"/>
      <x:c r="L197" t="str">
        <x:v>Công ty Cổ Phần Mỹ Phẩm Hưng Vượng. Địa chỉ Số 83/20/13 Phạm Văn Bạch</x:v>
      </x:c>
      <x:c r="M197" t="str">
        <x:v>Phường 15, quận Tân Bình, TP. Hồ Chí Minh, Việt Nam. Mã số doanh nghiệp: 0312123208</x:v>
      </x:c>
      <x:c r="N197"/>
      <x:c r="O197" t="str">
        <x:v>Thu hồi số tiếp nhận; đình chỉ lưu hành và thu hồi (QĐ 126/QĐ-QLD)</x:v>
      </x:c>
      <x:c r="P197" t="str">
        <x:v>A++ – Cục Quản lý Dược; company responsibility explicit</x:v>
      </x:c>
      <x:c r="Q197" t="str">
        <x:v>QĐ126/2026, STT 23, trang 5.</x:v>
      </x:c>
      <x:c r="R197" t="str">
        <x:v>https://dav.gov.vn/quyet-dinh-so-126qd-qld-ve-viec-thu-hoi-so-tiep-nhan-phieu-cong-bo-san-pham-my-pham-dinh-chi-luu-hanh-va-thu-hoi-san-pham-my-pham-theo-kl-cua-hd-my-pham-asean-doi-voi-san-pham-my-pham-co-chua-chat-cyclotetrasiloxane-octamethylcyclotetrasiloxane-n5224.html</x:v>
      </x:c>
      <x:c r="S197" t="str">
        <x:v>TP. Hồ Chí Minh</x:v>
      </x:c>
      <x:c r="T197" t="str">
        <x:v>79</x:v>
      </x:c>
    </x:row>
    <x:row r="198">
      <x:c r="A198" t="n">
        <x:v>197</x:v>
      </x:c>
      <x:c r="B198" s="330" t="n">
        <x:v>45072</x:v>
      </x:c>
      <x:c r="C198" s="330" t="n">
        <x:v>46080</x:v>
      </x:c>
      <x:c r="D198" t="n">
        <x:v>2023</x:v>
      </x:c>
      <x:c r="E198" t="n">
        <x:v>5</x:v>
      </x:c>
      <x:c r="F198" t="str">
        <x:v>202341/23/CBMP-QLD</x:v>
      </x:c>
      <x:c r="G198"/>
      <x:c r="H198" t="str">
        <x:v>Zeesea Dreamland Eyeshadow 11</x:v>
      </x:c>
      <x:c r="I198" t="str">
        <x:v>ZEESEA</x:v>
      </x:c>
      <x:c r="J198" t="str">
        <x:v>Khác</x:v>
      </x:c>
      <x:c r="K198"/>
      <x:c r="L198" t="str">
        <x:v>Công ty Cổ Phần Mỹ Phẩm Quốc Tế Thùy Dung</x:v>
      </x:c>
      <x:c r="M198" t="str">
        <x:v>Số 5 Ngõ Hoàng An A, Đường Lê Duẩn, phường Trung Phụng, quận Đống Đa, TP. Hà Nội, Việt Nam. Mã số doanh nghiệp: 0106639692</x:v>
      </x:c>
      <x:c r="N198"/>
      <x:c r="O198" t="str">
        <x:v>Thu hồi số tiếp nhận; đình chỉ lưu hành và thu hồi (QĐ 126/QĐ-QLD)</x:v>
      </x:c>
      <x:c r="P198" t="str">
        <x:v>A++ – Cục Quản lý Dược; company responsibility explicit</x:v>
      </x:c>
      <x:c r="Q198" t="str">
        <x:v>QĐ126/2026, STT 24, trang 5.</x:v>
      </x:c>
      <x:c r="R198" t="str">
        <x:v>https://dav.gov.vn/quyet-dinh-so-126qd-qld-ve-viec-thu-hoi-so-tiep-nhan-phieu-cong-bo-san-pham-my-pham-dinh-chi-luu-hanh-va-thu-hoi-san-pham-my-pham-theo-kl-cua-hd-my-pham-asean-doi-voi-san-pham-my-pham-co-chua-chat-cyclotetrasiloxane-octamethylcyclotetrasiloxane-n5224.html</x:v>
      </x:c>
      <x:c r="S198" t="str">
        <x:v>Hà Nội</x:v>
      </x:c>
      <x:c r="T198" t="str">
        <x:v>01</x:v>
      </x:c>
    </x:row>
    <x:row r="199">
      <x:c r="A199" t="n">
        <x:v>198</x:v>
      </x:c>
      <x:c r="B199" s="330" t="n">
        <x:v>45072</x:v>
      </x:c>
      <x:c r="C199" s="330" t="n">
        <x:v>46080</x:v>
      </x:c>
      <x:c r="D199" t="n">
        <x:v>2023</x:v>
      </x:c>
      <x:c r="E199" t="n">
        <x:v>5</x:v>
      </x:c>
      <x:c r="F199" t="str">
        <x:v>202353/23/CBMP-QLD</x:v>
      </x:c>
      <x:c r="G199"/>
      <x:c r="H199" t="str">
        <x:v>Zeesea Dreamland Eyeshadow 12</x:v>
      </x:c>
      <x:c r="I199" t="str">
        <x:v>ZEESEA</x:v>
      </x:c>
      <x:c r="J199" t="str">
        <x:v>Khác</x:v>
      </x:c>
      <x:c r="K199"/>
      <x:c r="L199" t="str">
        <x:v>Công ty Cổ Phần Mỹ Phẩm Quốc Tế Thùy Dung</x:v>
      </x:c>
      <x:c r="M199" t="str">
        <x:v>Số 5 Ngõ Hoàng An A, Đường Lê Duẩn, phường Trung Phụng, quận Đống Đa, TP. Hà Nội, Việt Nam. Mã số doanh nghiệp: 0106639692</x:v>
      </x:c>
      <x:c r="N199"/>
      <x:c r="O199" t="str">
        <x:v>Thu hồi số tiếp nhận; đình chỉ lưu hành và thu hồi (QĐ 126/QĐ-QLD)</x:v>
      </x:c>
      <x:c r="P199" t="str">
        <x:v>A++ – Cục Quản lý Dược; company responsibility explicit</x:v>
      </x:c>
      <x:c r="Q199" t="str">
        <x:v>QĐ126/2026, STT 25, trang 5.</x:v>
      </x:c>
      <x:c r="R199" t="str">
        <x:v>https://dav.gov.vn/quyet-dinh-so-126qd-qld-ve-viec-thu-hoi-so-tiep-nhan-phieu-cong-bo-san-pham-my-pham-dinh-chi-luu-hanh-va-thu-hoi-san-pham-my-pham-theo-kl-cua-hd-my-pham-asean-doi-voi-san-pham-my-pham-co-chua-chat-cyclotetrasiloxane-octamethylcyclotetrasiloxane-n5224.html</x:v>
      </x:c>
      <x:c r="S199" t="str">
        <x:v>Hà Nội</x:v>
      </x:c>
      <x:c r="T199" t="str">
        <x:v>01</x:v>
      </x:c>
    </x:row>
    <x:row r="200">
      <x:c r="A200" t="n">
        <x:v>199</x:v>
      </x:c>
      <x:c r="B200" s="330" t="n">
        <x:v>44621</x:v>
      </x:c>
      <x:c r="C200" s="330" t="n">
        <x:v>46080</x:v>
      </x:c>
      <x:c r="D200" t="n">
        <x:v>2022</x:v>
      </x:c>
      <x:c r="E200" t="n">
        <x:v>3</x:v>
      </x:c>
      <x:c r="F200" t="str">
        <x:v>166743/22/CBMP-QLD</x:v>
      </x:c>
      <x:c r="G200"/>
      <x:c r="H200" t="str">
        <x:v>Alonzo Brilliant Care Mask</x:v>
      </x:c>
      <x:c r="I200" t="str">
        <x:v>ALONZO</x:v>
      </x:c>
      <x:c r="J200" t="str">
        <x:v>Mặt nạ</x:v>
      </x:c>
      <x:c r="K200"/>
      <x:c r="L200" t="str">
        <x:v>Công ty Cổ Phần Mỹ Phẩm Salonzo</x:v>
      </x:c>
      <x:c r="M200" t="str">
        <x:v>Số nhà 933C, Đường Đê La Thành, phường Ngọc Khánh, quận Ba Đình, TP. Hà Nội, Việt Nam. Mã số doanh nghiệp: 0102289415</x:v>
      </x:c>
      <x:c r="N200"/>
      <x:c r="O200" t="str">
        <x:v>Thu hồi số tiếp nhận; đình chỉ lưu hành và thu hồi (QĐ 126/QĐ-QLD)</x:v>
      </x:c>
      <x:c r="P200" t="str">
        <x:v>A++ – Cục Quản lý Dược; company responsibility explicit</x:v>
      </x:c>
      <x:c r="Q200" t="str">
        <x:v>QĐ126/2026, STT 27, trang 5.</x:v>
      </x:c>
      <x:c r="R200" t="str">
        <x:v>https://dav.gov.vn/quyet-dinh-so-126qd-qld-ve-viec-thu-hoi-so-tiep-nhan-phieu-cong-bo-san-pham-my-pham-dinh-chi-luu-hanh-va-thu-hoi-san-pham-my-pham-theo-kl-cua-hd-my-pham-asean-doi-voi-san-pham-my-pham-co-chua-chat-cyclotetrasiloxane-octamethylcyclotetrasiloxane-n5224.html</x:v>
      </x:c>
      <x:c r="S200" t="str">
        <x:v>Hà Nội</x:v>
      </x:c>
      <x:c r="T200" t="str">
        <x:v>01</x:v>
      </x:c>
    </x:row>
    <x:row r="201">
      <x:c r="A201" t="n">
        <x:v>200</x:v>
      </x:c>
      <x:c r="B201" s="330" t="n">
        <x:v>44624</x:v>
      </x:c>
      <x:c r="C201" s="330" t="n">
        <x:v>46080</x:v>
      </x:c>
      <x:c r="D201" t="n">
        <x:v>2022</x:v>
      </x:c>
      <x:c r="E201" t="n">
        <x:v>3</x:v>
      </x:c>
      <x:c r="F201" t="str">
        <x:v>167218/22/CBMP-QLD</x:v>
      </x:c>
      <x:c r="G201"/>
      <x:c r="H201" t="str">
        <x:v>Alonzo Keratin Spray</x:v>
      </x:c>
      <x:c r="I201" t="str">
        <x:v>ALONZO</x:v>
      </x:c>
      <x:c r="J201" t="str">
        <x:v>Khác</x:v>
      </x:c>
      <x:c r="K201"/>
      <x:c r="L201" t="str">
        <x:v>Công ty Cổ Phần Mỹ Phẩm Salonzo</x:v>
      </x:c>
      <x:c r="M201" t="str">
        <x:v>Số nhà 933C, Đường Đê La Thành, phường Ngọc Khánh, quận Ba Đình, TP. Hà Nội, Việt Nam. Mã số doanh nghiệp: 0102289415</x:v>
      </x:c>
      <x:c r="N201"/>
      <x:c r="O201" t="str">
        <x:v>Thu hồi số tiếp nhận; đình chỉ lưu hành và thu hồi (QĐ 126/QĐ-QLD)</x:v>
      </x:c>
      <x:c r="P201" t="str">
        <x:v>A++ – Cục Quản lý Dược; company responsibility explicit</x:v>
      </x:c>
      <x:c r="Q201" t="str">
        <x:v>QĐ126/2026, STT 28, trang 5.</x:v>
      </x:c>
      <x:c r="R201" t="str">
        <x:v>https://dav.gov.vn/quyet-dinh-so-126qd-qld-ve-viec-thu-hoi-so-tiep-nhan-phieu-cong-bo-san-pham-my-pham-dinh-chi-luu-hanh-va-thu-hoi-san-pham-my-pham-theo-kl-cua-hd-my-pham-asean-doi-voi-san-pham-my-pham-co-chua-chat-cyclotetrasiloxane-octamethylcyclotetrasiloxane-n5224.html</x:v>
      </x:c>
      <x:c r="S201" t="str">
        <x:v>Hà Nội</x:v>
      </x:c>
      <x:c r="T201" t="str">
        <x:v>01</x:v>
      </x:c>
    </x:row>
    <x:row r="202">
      <x:c r="A202" t="n">
        <x:v>201</x:v>
      </x:c>
      <x:c r="B202" s="330" t="n">
        <x:v>44624</x:v>
      </x:c>
      <x:c r="C202" s="330" t="n">
        <x:v>46080</x:v>
      </x:c>
      <x:c r="D202" t="n">
        <x:v>2022</x:v>
      </x:c>
      <x:c r="E202" t="n">
        <x:v>3</x:v>
      </x:c>
      <x:c r="F202" t="str">
        <x:v>167228/22/CBMP-QLD</x:v>
      </x:c>
      <x:c r="G202"/>
      <x:c r="H202" t="str">
        <x:v>Alonzo Recover Care Mask</x:v>
      </x:c>
      <x:c r="I202" t="str">
        <x:v>ALONZO</x:v>
      </x:c>
      <x:c r="J202" t="str">
        <x:v>Mặt nạ</x:v>
      </x:c>
      <x:c r="K202"/>
      <x:c r="L202" t="str">
        <x:v>Công ty Cổ Phần Mỹ Phẩm Salonzo</x:v>
      </x:c>
      <x:c r="M202" t="str">
        <x:v>Số nhà 933C, Đường Đê La Thành, phường Ngọc Khánh, quận Ba Đình, TP. Hà Nội, Việt Nam. Mã số doanh nghiệp: 0102289415</x:v>
      </x:c>
      <x:c r="N202"/>
      <x:c r="O202" t="str">
        <x:v>Thu hồi số tiếp nhận; đình chỉ lưu hành và thu hồi (QĐ 126/QĐ-QLD)</x:v>
      </x:c>
      <x:c r="P202" t="str">
        <x:v>A++ – Cục Quản lý Dược; company responsibility explicit</x:v>
      </x:c>
      <x:c r="Q202" t="str">
        <x:v>QĐ126/2026, STT 29, trang 5.</x:v>
      </x:c>
      <x:c r="R202" t="str">
        <x:v>https://dav.gov.vn/quyet-dinh-so-126qd-qld-ve-viec-thu-hoi-so-tiep-nhan-phieu-cong-bo-san-pham-my-pham-dinh-chi-luu-hanh-va-thu-hoi-san-pham-my-pham-theo-kl-cua-hd-my-pham-asean-doi-voi-san-pham-my-pham-co-chua-chat-cyclotetrasiloxane-octamethylcyclotetrasiloxane-n5224.html</x:v>
      </x:c>
      <x:c r="S202" t="str">
        <x:v>Hà Nội</x:v>
      </x:c>
      <x:c r="T202" t="str">
        <x:v>01</x:v>
      </x:c>
    </x:row>
    <x:row r="203">
      <x:c r="A203" t="n">
        <x:v>202</x:v>
      </x:c>
      <x:c r="B203" s="330" t="n">
        <x:v>44846</x:v>
      </x:c>
      <x:c r="C203" s="330" t="n">
        <x:v>46080</x:v>
      </x:c>
      <x:c r="D203" t="n">
        <x:v>2022</x:v>
      </x:c>
      <x:c r="E203" t="n">
        <x:v>10</x:v>
      </x:c>
      <x:c r="F203" t="str">
        <x:v>185403/22/CBMP-QLD</x:v>
      </x:c>
      <x:c r="G203"/>
      <x:c r="H203" t="str">
        <x:v>Alonzo Premium Regener Conditioner</x:v>
      </x:c>
      <x:c r="I203" t="str">
        <x:v>ALONZO</x:v>
      </x:c>
      <x:c r="J203" t="str">
        <x:v>Dầu xả</x:v>
      </x:c>
      <x:c r="K203"/>
      <x:c r="L203" t="str">
        <x:v>Công ty Cổ Phần Mỹ Phẩm Salonzo</x:v>
      </x:c>
      <x:c r="M203" t="str">
        <x:v>Số nhà 933C, Đường Đê La Thành, phường Ngọc Khánh, quận Ba Đình, TP. Hà Nội, Việt Nam. Mã số doanh nghiệp: 0102289415</x:v>
      </x:c>
      <x:c r="N203"/>
      <x:c r="O203" t="str">
        <x:v>Thu hồi số tiếp nhận; đình chỉ lưu hành và thu hồi (QĐ 126/QĐ-QLD)</x:v>
      </x:c>
      <x:c r="P203" t="str">
        <x:v>A++ – Cục Quản lý Dược; company responsibility explicit</x:v>
      </x:c>
      <x:c r="Q203" t="str">
        <x:v>QĐ126/2026, STT 30, trang 5.</x:v>
      </x:c>
      <x:c r="R203" t="str">
        <x:v>https://dav.gov.vn/quyet-dinh-so-126qd-qld-ve-viec-thu-hoi-so-tiep-nhan-phieu-cong-bo-san-pham-my-pham-dinh-chi-luu-hanh-va-thu-hoi-san-pham-my-pham-theo-kl-cua-hd-my-pham-asean-doi-voi-san-pham-my-pham-co-chua-chat-cyclotetrasiloxane-octamethylcyclotetrasiloxane-n5224.html</x:v>
      </x:c>
      <x:c r="S203" t="str">
        <x:v>Hà Nội</x:v>
      </x:c>
      <x:c r="T203" t="str">
        <x:v>01</x:v>
      </x:c>
    </x:row>
    <x:row r="204">
      <x:c r="A204" t="n">
        <x:v>203</x:v>
      </x:c>
      <x:c r="B204" s="330" t="n">
        <x:v>45803</x:v>
      </x:c>
      <x:c r="C204" s="330" t="n">
        <x:v>46080</x:v>
      </x:c>
      <x:c r="D204" t="n">
        <x:v>2025</x:v>
      </x:c>
      <x:c r="E204" t="n">
        <x:v>5</x:v>
      </x:c>
      <x:c r="F204" t="str">
        <x:v>277086/25/CBMP-QLD</x:v>
      </x:c>
      <x:c r="G204"/>
      <x:c r="H204" t="str">
        <x:v>Milan Shine Hair Repair Lotion</x:v>
      </x:c>
      <x:c r="I204" t="str">
        <x:v>MILAN SHINE</x:v>
      </x:c>
      <x:c r="J204" t="str">
        <x:v>Kem dưỡng da</x:v>
      </x:c>
      <x:c r="K204"/>
      <x:c r="L204" t="str">
        <x:v>Công ty Cổ Phần Mỹ Phẩm Thiên Nhiên Tân Hương Phát</x:v>
      </x:c>
      <x:c r="M204" t="str">
        <x:v>A75/6E/15 Bạch Đằng, Phường 2, quận Tân Bình, TP. Hồ Chí Minh, Việt Nam. Mã số doanh nghiệp 0316656581</x:v>
      </x:c>
      <x:c r="N204"/>
      <x:c r="O204" t="str">
        <x:v>Thu hồi số tiếp nhận; đình chỉ lưu hành và thu hồi (QĐ 126/QĐ-QLD)</x:v>
      </x:c>
      <x:c r="P204" t="str">
        <x:v>A++ – Cục Quản lý Dược; company responsibility explicit</x:v>
      </x:c>
      <x:c r="Q204" t="str">
        <x:v>QĐ126/2026, STT 31, trang 5.</x:v>
      </x:c>
      <x:c r="R204" t="str">
        <x:v>https://dav.gov.vn/quyet-dinh-so-126qd-qld-ve-viec-thu-hoi-so-tiep-nhan-phieu-cong-bo-san-pham-my-pham-dinh-chi-luu-hanh-va-thu-hoi-san-pham-my-pham-theo-kl-cua-hd-my-pham-asean-doi-voi-san-pham-my-pham-co-chua-chat-cyclotetrasiloxane-octamethylcyclotetrasiloxane-n5224.html</x:v>
      </x:c>
      <x:c r="S204" t="str">
        <x:v>TP. Hồ Chí Minh</x:v>
      </x:c>
      <x:c r="T204" t="str">
        <x:v>79</x:v>
      </x:c>
    </x:row>
    <x:row r="205">
      <x:c r="A205" t="n">
        <x:v>204</x:v>
      </x:c>
      <x:c r="B205" s="330" t="n">
        <x:v>45296</x:v>
      </x:c>
      <x:c r="C205" s="330" t="n">
        <x:v>46080</x:v>
      </x:c>
      <x:c r="D205" t="n">
        <x:v>2024</x:v>
      </x:c>
      <x:c r="E205" t="n">
        <x:v>1</x:v>
      </x:c>
      <x:c r="F205" t="str">
        <x:v>220954/24/CBMP-QLD</x:v>
      </x:c>
      <x:c r="G205"/>
      <x:c r="H205" t="str">
        <x:v>Liphip Gel Eyeliner Pencil, 05. Pink Beige</x:v>
      </x:c>
      <x:c r="I205" t="str">
        <x:v>LIPHIP</x:v>
      </x:c>
      <x:c r="J205" t="str">
        <x:v>Sản phẩm môi</x:v>
      </x:c>
      <x:c r="K205"/>
      <x:c r="L205" t="str">
        <x:v>Công ty Cổ phần Phát Triển Hoàng Dương</x:v>
      </x:c>
      <x:c r="M205" t="str">
        <x:v>Thôn Dền, xã Di Trạch, huyện Hoài Đức, TP. Hà Nội, Việt Nam. Mã số doanh nghiệp: 0107505388</x:v>
      </x:c>
      <x:c r="N205"/>
      <x:c r="O205" t="str">
        <x:v>Thu hồi số tiếp nhận; đình chỉ lưu hành và thu hồi (QĐ 126/QĐ-QLD)</x:v>
      </x:c>
      <x:c r="P205" t="str">
        <x:v>A++ – Cục Quản lý Dược; company responsibility explicit</x:v>
      </x:c>
      <x:c r="Q205" t="str">
        <x:v>QĐ126/2026, STT 32, trang 5.</x:v>
      </x:c>
      <x:c r="R205" t="str">
        <x:v>https://dav.gov.vn/quyet-dinh-so-126qd-qld-ve-viec-thu-hoi-so-tiep-nhan-phieu-cong-bo-san-pham-my-pham-dinh-chi-luu-hanh-va-thu-hoi-san-pham-my-pham-theo-kl-cua-hd-my-pham-asean-doi-voi-san-pham-my-pham-co-chua-chat-cyclotetrasiloxane-octamethylcyclotetrasiloxane-n5224.html</x:v>
      </x:c>
      <x:c r="S205" t="str">
        <x:v>Hà Nội</x:v>
      </x:c>
      <x:c r="T205" t="str">
        <x:v>01</x:v>
      </x:c>
    </x:row>
    <x:row r="206">
      <x:c r="A206" t="n">
        <x:v>205</x:v>
      </x:c>
      <x:c r="B206" s="330" t="n">
        <x:v>45296</x:v>
      </x:c>
      <x:c r="C206" s="330" t="n">
        <x:v>46080</x:v>
      </x:c>
      <x:c r="D206" t="n">
        <x:v>2024</x:v>
      </x:c>
      <x:c r="E206" t="n">
        <x:v>1</x:v>
      </x:c>
      <x:c r="F206" t="str">
        <x:v>220955/24/CBMP-QLD</x:v>
      </x:c>
      <x:c r="G206"/>
      <x:c r="H206" t="str">
        <x:v>Liphip Gel Eyeliner Pencil, 04. Bronze Gold</x:v>
      </x:c>
      <x:c r="I206" t="str">
        <x:v>LIPHIP</x:v>
      </x:c>
      <x:c r="J206" t="str">
        <x:v>Sản phẩm môi</x:v>
      </x:c>
      <x:c r="K206"/>
      <x:c r="L206" t="str">
        <x:v>Công ty Cổ phần Phát Triển Hoàng Dương</x:v>
      </x:c>
      <x:c r="M206" t="str">
        <x:v>Thôn Dền, xã Di Trạch, huyện Hoài Đức, TP. Hà Nội, Việt Nam. Mã số doanh nghiệp: 0107505388</x:v>
      </x:c>
      <x:c r="N206"/>
      <x:c r="O206" t="str">
        <x:v>Thu hồi số tiếp nhận; đình chỉ lưu hành và thu hồi (QĐ 126/QĐ-QLD)</x:v>
      </x:c>
      <x:c r="P206" t="str">
        <x:v>A++ – Cục Quản lý Dược; company responsibility explicit</x:v>
      </x:c>
      <x:c r="Q206" t="str">
        <x:v>QĐ126/2026, STT 33, trang 5.</x:v>
      </x:c>
      <x:c r="R206" t="str">
        <x:v>https://dav.gov.vn/quyet-dinh-so-126qd-qld-ve-viec-thu-hoi-so-tiep-nhan-phieu-cong-bo-san-pham-my-pham-dinh-chi-luu-hanh-va-thu-hoi-san-pham-my-pham-theo-kl-cua-hd-my-pham-asean-doi-voi-san-pham-my-pham-co-chua-chat-cyclotetrasiloxane-octamethylcyclotetrasiloxane-n5224.html</x:v>
      </x:c>
      <x:c r="S206" t="str">
        <x:v>Hà Nội</x:v>
      </x:c>
      <x:c r="T206" t="str">
        <x:v>01</x:v>
      </x:c>
    </x:row>
    <x:row r="207">
      <x:c r="A207" t="n">
        <x:v>206</x:v>
      </x:c>
      <x:c r="B207" s="330" t="n">
        <x:v>45296</x:v>
      </x:c>
      <x:c r="C207" s="330" t="n">
        <x:v>46080</x:v>
      </x:c>
      <x:c r="D207" t="n">
        <x:v>2024</x:v>
      </x:c>
      <x:c r="E207" t="n">
        <x:v>1</x:v>
      </x:c>
      <x:c r="F207" t="str">
        <x:v>220957/24/CBMP-QLD</x:v>
      </x:c>
      <x:c r="G207"/>
      <x:c r="H207" t="str">
        <x:v>Liphip Gel Eyeliner Pencil, 03. Pearl Brown</x:v>
      </x:c>
      <x:c r="I207" t="str">
        <x:v>LIPHIP</x:v>
      </x:c>
      <x:c r="J207" t="str">
        <x:v>Sản phẩm môi</x:v>
      </x:c>
      <x:c r="K207"/>
      <x:c r="L207" t="str">
        <x:v>Công ty Cổ phần Phát Triển Hoàng Dương</x:v>
      </x:c>
      <x:c r="M207" t="str">
        <x:v>Thôn Dền, xã Di Trạch, huyện Hoài Đức, TP. Hà Nội, Việt Nam. Mã số doanh nghiệp: 0107505388</x:v>
      </x:c>
      <x:c r="N207"/>
      <x:c r="O207" t="str">
        <x:v>Thu hồi số tiếp nhận; đình chỉ lưu hành và thu hồi (QĐ 126/QĐ-QLD)</x:v>
      </x:c>
      <x:c r="P207" t="str">
        <x:v>A++ – Cục Quản lý Dược; company responsibility explicit</x:v>
      </x:c>
      <x:c r="Q207" t="str">
        <x:v>QĐ126/2026, STT 34, trang 5.</x:v>
      </x:c>
      <x:c r="R207" t="str">
        <x:v>https://dav.gov.vn/quyet-dinh-so-126qd-qld-ve-viec-thu-hoi-so-tiep-nhan-phieu-cong-bo-san-pham-my-pham-dinh-chi-luu-hanh-va-thu-hoi-san-pham-my-pham-theo-kl-cua-hd-my-pham-asean-doi-voi-san-pham-my-pham-co-chua-chat-cyclotetrasiloxane-octamethylcyclotetrasiloxane-n5224.html</x:v>
      </x:c>
      <x:c r="S207" t="str">
        <x:v>Hà Nội</x:v>
      </x:c>
      <x:c r="T207" t="str">
        <x:v>01</x:v>
      </x:c>
    </x:row>
    <x:row r="208">
      <x:c r="A208" t="n">
        <x:v>207</x:v>
      </x:c>
      <x:c r="B208" s="330" t="n">
        <x:v>45296</x:v>
      </x:c>
      <x:c r="C208" s="330" t="n">
        <x:v>46080</x:v>
      </x:c>
      <x:c r="D208" t="n">
        <x:v>2024</x:v>
      </x:c>
      <x:c r="E208" t="n">
        <x:v>1</x:v>
      </x:c>
      <x:c r="F208" t="str">
        <x:v>220958/24/CBMP-QLD</x:v>
      </x:c>
      <x:c r="G208"/>
      <x:c r="H208" t="str">
        <x:v>Liphip Gel Eyeliner Pencil, 01. Real Black</x:v>
      </x:c>
      <x:c r="I208" t="str">
        <x:v>LIPHIP</x:v>
      </x:c>
      <x:c r="J208" t="str">
        <x:v>Sản phẩm môi</x:v>
      </x:c>
      <x:c r="K208"/>
      <x:c r="L208" t="str">
        <x:v>Công ty Cổ phần Phát Triển Hoàng Dương</x:v>
      </x:c>
      <x:c r="M208" t="str">
        <x:v>Thôn Dền, xã Di Trạch, huyện Hoài Đức, TP. Hà Nội, Việt Nam. Mã số doanh nghiệp: 0107505388</x:v>
      </x:c>
      <x:c r="N208"/>
      <x:c r="O208" t="str">
        <x:v>Thu hồi số tiếp nhận; đình chỉ lưu hành và thu hồi (QĐ 126/QĐ-QLD)</x:v>
      </x:c>
      <x:c r="P208" t="str">
        <x:v>A++ – Cục Quản lý Dược; company responsibility explicit</x:v>
      </x:c>
      <x:c r="Q208" t="str">
        <x:v>QĐ126/2026, STT 35, trang 6.</x:v>
      </x:c>
      <x:c r="R208" t="str">
        <x:v>https://dav.gov.vn/quyet-dinh-so-126qd-qld-ve-viec-thu-hoi-so-tiep-nhan-phieu-cong-bo-san-pham-my-pham-dinh-chi-luu-hanh-va-thu-hoi-san-pham-my-pham-theo-kl-cua-hd-my-pham-asean-doi-voi-san-pham-my-pham-co-chua-chat-cyclotetrasiloxane-octamethylcyclotetrasiloxane-n5224.html</x:v>
      </x:c>
      <x:c r="S208" t="str">
        <x:v>Hà Nội</x:v>
      </x:c>
      <x:c r="T208" t="str">
        <x:v>01</x:v>
      </x:c>
    </x:row>
    <x:row r="209">
      <x:c r="A209" t="n">
        <x:v>208</x:v>
      </x:c>
      <x:c r="B209" s="330" t="n">
        <x:v>45296</x:v>
      </x:c>
      <x:c r="C209" s="330" t="n">
        <x:v>46080</x:v>
      </x:c>
      <x:c r="D209" t="n">
        <x:v>2024</x:v>
      </x:c>
      <x:c r="E209" t="n">
        <x:v>1</x:v>
      </x:c>
      <x:c r="F209" t="str">
        <x:v>220961/24/CBMP-QLD</x:v>
      </x:c>
      <x:c r="G209"/>
      <x:c r="H209" t="str">
        <x:v>Liphip Gel Eyeliner Pencil, 02. Mocha Brown</x:v>
      </x:c>
      <x:c r="I209" t="str">
        <x:v>LIPHIP</x:v>
      </x:c>
      <x:c r="J209" t="str">
        <x:v>Sản phẩm môi</x:v>
      </x:c>
      <x:c r="K209"/>
      <x:c r="L209" t="str">
        <x:v>Công ty Cổ phần Phát Triển Hoàng Dương</x:v>
      </x:c>
      <x:c r="M209" t="str">
        <x:v>Thôn Dền, xã Di Trạch, huyện Hoài Đức, TP. Hà Nội, Việt Nam. Mã số doanh nghiệp: 0107505388</x:v>
      </x:c>
      <x:c r="N209"/>
      <x:c r="O209" t="str">
        <x:v>Thu hồi số tiếp nhận; đình chỉ lưu hành và thu hồi (QĐ 126/QĐ-QLD)</x:v>
      </x:c>
      <x:c r="P209" t="str">
        <x:v>A++ – Cục Quản lý Dược; company responsibility explicit</x:v>
      </x:c>
      <x:c r="Q209" t="str">
        <x:v>QĐ126/2026, STT 36, trang 6.</x:v>
      </x:c>
      <x:c r="R209" t="str">
        <x:v>https://dav.gov.vn/quyet-dinh-so-126qd-qld-ve-viec-thu-hoi-so-tiep-nhan-phieu-cong-bo-san-pham-my-pham-dinh-chi-luu-hanh-va-thu-hoi-san-pham-my-pham-theo-kl-cua-hd-my-pham-asean-doi-voi-san-pham-my-pham-co-chua-chat-cyclotetrasiloxane-octamethylcyclotetrasiloxane-n5224.html</x:v>
      </x:c>
      <x:c r="S209" t="str">
        <x:v>Hà Nội</x:v>
      </x:c>
      <x:c r="T209" t="str">
        <x:v>01</x:v>
      </x:c>
    </x:row>
    <x:row r="210">
      <x:c r="A210" t="n">
        <x:v>209</x:v>
      </x:c>
      <x:c r="B210" s="330" t="n">
        <x:v>44942</x:v>
      </x:c>
      <x:c r="C210" s="330" t="n">
        <x:v>46080</x:v>
      </x:c>
      <x:c r="D210" t="n">
        <x:v>2023</x:v>
      </x:c>
      <x:c r="E210" t="n">
        <x:v>1</x:v>
      </x:c>
      <x:c r="F210" t="str">
        <x:v>192936/23/CBMP-QLD</x:v>
      </x:c>
      <x:c r="G210"/>
      <x:c r="H210" t="str">
        <x:v>Pittoresco Volufiline Eyeserum</x:v>
      </x:c>
      <x:c r="I210" t="str">
        <x:v>Pittoresco</x:v>
      </x:c>
      <x:c r="J210" t="str">
        <x:v>Serum/Essence da</x:v>
      </x:c>
      <x:c r="K210"/>
      <x:c r="L210" t="str">
        <x:v>Công ty Cổ Phần Tập Đoàn Mỹ Phẩm IPIA</x:v>
      </x:c>
      <x:c r="M210" t="str">
        <x:v>Số 25 Manor 2 STR Sunrise E - Khu biệt thự The Manor Central Pack, Đường Nguyễn Xiển, phường Đại Kim, quận Hoàng Mai, TP. Hà Nội, Việt Nam. Mã số doanh nghiệp: 0110042080</x:v>
      </x:c>
      <x:c r="N210"/>
      <x:c r="O210" t="str">
        <x:v>Thu hồi số tiếp nhận; đình chỉ lưu hành và thu hồi (QĐ 126/QĐ-QLD)</x:v>
      </x:c>
      <x:c r="P210" t="str">
        <x:v>A++ – Cục Quản lý Dược; company responsibility explicit</x:v>
      </x:c>
      <x:c r="Q210" t="str">
        <x:v>QĐ126/2026, STT 37, trang 6.</x:v>
      </x:c>
      <x:c r="R210" t="str">
        <x:v>https://dav.gov.vn/quyet-dinh-so-126qd-qld-ve-viec-thu-hoi-so-tiep-nhan-phieu-cong-bo-san-pham-my-pham-dinh-chi-luu-hanh-va-thu-hoi-san-pham-my-pham-theo-kl-cua-hd-my-pham-asean-doi-voi-san-pham-my-pham-co-chua-chat-cyclotetrasiloxane-octamethylcyclotetrasiloxane-n5224.html</x:v>
      </x:c>
      <x:c r="S210" t="str">
        <x:v>Hà Nội</x:v>
      </x:c>
      <x:c r="T210" t="str">
        <x:v>01</x:v>
      </x:c>
    </x:row>
    <x:row r="211">
      <x:c r="A211" t="n">
        <x:v>210</x:v>
      </x:c>
      <x:c r="B211" s="330" t="n">
        <x:v>44998</x:v>
      </x:c>
      <x:c r="C211" s="330" t="n">
        <x:v>46080</x:v>
      </x:c>
      <x:c r="D211" t="n">
        <x:v>2023</x:v>
      </x:c>
      <x:c r="E211" t="n">
        <x:v>3</x:v>
      </x:c>
      <x:c r="F211" t="str">
        <x:v>197263/23/CBMP-QLD</x:v>
      </x:c>
      <x:c r="G211"/>
      <x:c r="H211" t="str">
        <x:v>Thann Oriental Essence Aromatherapy Conditioner</x:v>
      </x:c>
      <x:c r="I211" t="str">
        <x:v>THANN</x:v>
      </x:c>
      <x:c r="J211" t="str">
        <x:v>Dầu xả</x:v>
      </x:c>
      <x:c r="K211"/>
      <x:c r="L211" t="str">
        <x:v>Công ty Cổ Phần Thiên Nhiên (Natural Joint Stock Company)</x:v>
      </x:c>
      <x:c r="M211" t="str">
        <x:v>Số 67 (Gian hàng số L2-K1) Toà nhà Sai Gon Centre, Lê Lợi, phường Bến Nghé, Quận 1, TP. Hồ Chí Minh, Việt Nam. Mã số doanh nghiệp: 0304189149</x:v>
      </x:c>
      <x:c r="N211"/>
      <x:c r="O211" t="str">
        <x:v>Thu hồi số tiếp nhận; đình chỉ lưu hành và thu hồi (QĐ 126/QĐ-QLD)</x:v>
      </x:c>
      <x:c r="P211" t="str">
        <x:v>A++ – Cục Quản lý Dược; company responsibility explicit</x:v>
      </x:c>
      <x:c r="Q211" t="str">
        <x:v>QĐ126/2026, STT 38, trang 6.</x:v>
      </x:c>
      <x:c r="R211" t="str">
        <x:v>https://dav.gov.vn/quyet-dinh-so-126qd-qld-ve-viec-thu-hoi-so-tiep-nhan-phieu-cong-bo-san-pham-my-pham-dinh-chi-luu-hanh-va-thu-hoi-san-pham-my-pham-theo-kl-cua-hd-my-pham-asean-doi-voi-san-pham-my-pham-co-chua-chat-cyclotetrasiloxane-octamethylcyclotetrasiloxane-n5224.html</x:v>
      </x:c>
      <x:c r="S211" t="str">
        <x:v>TP. Hồ Chí Minh</x:v>
      </x:c>
      <x:c r="T211" t="str">
        <x:v>79</x:v>
      </x:c>
    </x:row>
    <x:row r="212">
      <x:c r="A212" t="n">
        <x:v>211</x:v>
      </x:c>
      <x:c r="B212" s="330" t="n">
        <x:v>44998</x:v>
      </x:c>
      <x:c r="C212" s="330" t="n">
        <x:v>46080</x:v>
      </x:c>
      <x:c r="D212" t="n">
        <x:v>2023</x:v>
      </x:c>
      <x:c r="E212" t="n">
        <x:v>3</x:v>
      </x:c>
      <x:c r="F212" t="str">
        <x:v>197276/23/CBMP-QLD</x:v>
      </x:c>
      <x:c r="G212"/>
      <x:c r="H212" t="str">
        <x:v>Thann Aromatic Wood Aromatherapy Conditioner</x:v>
      </x:c>
      <x:c r="I212" t="str">
        <x:v>THANN</x:v>
      </x:c>
      <x:c r="J212" t="str">
        <x:v>Dầu xả</x:v>
      </x:c>
      <x:c r="K212"/>
      <x:c r="L212" t="str">
        <x:v>Công ty Cổ Phần Thiên Nhiên (Natural Joint Stock Company)</x:v>
      </x:c>
      <x:c r="M212" t="str">
        <x:v>Số 67 (Gian hàng số L2-K1) Toà nhà Sai Gon Centre, Lê Lợi, phường Bến Nghé, Quận 1, TP. Hồ Chí Minh, Việt Nam. Mã số doanh nghiệp: 0304189149</x:v>
      </x:c>
      <x:c r="N212"/>
      <x:c r="O212" t="str">
        <x:v>Thu hồi số tiếp nhận; đình chỉ lưu hành và thu hồi (QĐ 126/QĐ-QLD)</x:v>
      </x:c>
      <x:c r="P212" t="str">
        <x:v>A++ – Cục Quản lý Dược; company responsibility explicit</x:v>
      </x:c>
      <x:c r="Q212" t="str">
        <x:v>QĐ126/2026, STT 39, trang 6.</x:v>
      </x:c>
      <x:c r="R212" t="str">
        <x:v>https://dav.gov.vn/quyet-dinh-so-126qd-qld-ve-viec-thu-hoi-so-tiep-nhan-phieu-cong-bo-san-pham-my-pham-dinh-chi-luu-hanh-va-thu-hoi-san-pham-my-pham-theo-kl-cua-hd-my-pham-asean-doi-voi-san-pham-my-pham-co-chua-chat-cyclotetrasiloxane-octamethylcyclotetrasiloxane-n5224.html</x:v>
      </x:c>
      <x:c r="S212" t="str">
        <x:v>TP. Hồ Chí Minh</x:v>
      </x:c>
      <x:c r="T212" t="str">
        <x:v>79</x:v>
      </x:c>
    </x:row>
    <x:row r="213">
      <x:c r="A213" t="n">
        <x:v>212</x:v>
      </x:c>
      <x:c r="B213" s="330" t="n">
        <x:v>45363</x:v>
      </x:c>
      <x:c r="C213" s="330" t="n">
        <x:v>46080</x:v>
      </x:c>
      <x:c r="D213" t="n">
        <x:v>2024</x:v>
      </x:c>
      <x:c r="E213" t="n">
        <x:v>3</x:v>
      </x:c>
      <x:c r="F213" t="str">
        <x:v>228428/24/CBMP-QLD</x:v>
      </x:c>
      <x:c r="G213"/>
      <x:c r="H213" t="str">
        <x:v>Thann Eden Breeze Aromatherapy Conditioner (Travel Size)</x:v>
      </x:c>
      <x:c r="I213" t="str">
        <x:v>THANN</x:v>
      </x:c>
      <x:c r="J213" t="str">
        <x:v>Dầu xả</x:v>
      </x:c>
      <x:c r="K213"/>
      <x:c r="L213" t="str">
        <x:v>Công ty Cổ Phần Thiên Nhiên (Natural Joint Stock Company)</x:v>
      </x:c>
      <x:c r="M213" t="str">
        <x:v>Số 67 (Gian hàng số L2-K1) Toà nhà Sai Gon Centre, Lê Lợi, phường Bến Nghé, Quận 1, TP. Hồ Chí Minh, Việt Nam. Mã số doanh nghiệp: 0304189149</x:v>
      </x:c>
      <x:c r="N213"/>
      <x:c r="O213" t="str">
        <x:v>Thu hồi số tiếp nhận; đình chỉ lưu hành và thu hồi (QĐ 126/QĐ-QLD)</x:v>
      </x:c>
      <x:c r="P213" t="str">
        <x:v>A++ – Cục Quản lý Dược; company responsibility explicit</x:v>
      </x:c>
      <x:c r="Q213" t="str">
        <x:v>QĐ126/2026, STT 40, trang 6.</x:v>
      </x:c>
      <x:c r="R213" t="str">
        <x:v>https://dav.gov.vn/quyet-dinh-so-126qd-qld-ve-viec-thu-hoi-so-tiep-nhan-phieu-cong-bo-san-pham-my-pham-dinh-chi-luu-hanh-va-thu-hoi-san-pham-my-pham-theo-kl-cua-hd-my-pham-asean-doi-voi-san-pham-my-pham-co-chua-chat-cyclotetrasiloxane-octamethylcyclotetrasiloxane-n5224.html</x:v>
      </x:c>
      <x:c r="S213" t="str">
        <x:v>TP. Hồ Chí Minh</x:v>
      </x:c>
      <x:c r="T213" t="str">
        <x:v>79</x:v>
      </x:c>
    </x:row>
    <x:row r="214">
      <x:c r="A214" t="n">
        <x:v>213</x:v>
      </x:c>
      <x:c r="B214" s="330" t="n">
        <x:v>44792</x:v>
      </x:c>
      <x:c r="C214" s="330" t="n">
        <x:v>46080</x:v>
      </x:c>
      <x:c r="D214" t="n">
        <x:v>2022</x:v>
      </x:c>
      <x:c r="E214" t="n">
        <x:v>8</x:v>
      </x:c>
      <x:c r="F214" t="str">
        <x:v>178804/22/CBMP-QLD</x:v>
      </x:c>
      <x:c r="G214"/>
      <x:c r="H214" t="str">
        <x:v>Peripera Ink Airy Velvet</x:v>
      </x:c>
      <x:c r="I214" t="str">
        <x:v>PERIPER A</x:v>
      </x:c>
      <x:c r="J214" t="str">
        <x:v>Khác</x:v>
      </x:c>
      <x:c r="K214"/>
      <x:c r="L214" t="str">
        <x:v>Công ty Cổ Phần Thương Mại Dịch Vụ Tổng Hợp Hoàn Vũ</x:v>
      </x:c>
      <x:c r="M214" t="str">
        <x:v>HD Tower 25Bis, Nguyễn Thị Minh Khai, phường Bến Nghé, Quận 1, TP. Hồ Chí Minh, Việt Nam. Mã số doanh nghiệp: 0309802418</x:v>
      </x:c>
      <x:c r="N214"/>
      <x:c r="O214" t="str">
        <x:v>Thu hồi số tiếp nhận; đình chỉ lưu hành và thu hồi (QĐ 126/QĐ-QLD)</x:v>
      </x:c>
      <x:c r="P214" t="str">
        <x:v>A++ – Cục Quản lý Dược; company responsibility explicit</x:v>
      </x:c>
      <x:c r="Q214" t="str">
        <x:v>QĐ126/2026, STT 41, trang 6.</x:v>
      </x:c>
      <x:c r="R214" t="str">
        <x:v>https://dav.gov.vn/quyet-dinh-so-126qd-qld-ve-viec-thu-hoi-so-tiep-nhan-phieu-cong-bo-san-pham-my-pham-dinh-chi-luu-hanh-va-thu-hoi-san-pham-my-pham-theo-kl-cua-hd-my-pham-asean-doi-voi-san-pham-my-pham-co-chua-chat-cyclotetrasiloxane-octamethylcyclotetrasiloxane-n5224.html</x:v>
      </x:c>
      <x:c r="S214" t="str">
        <x:v>TP. Hồ Chí Minh</x:v>
      </x:c>
      <x:c r="T214" t="str">
        <x:v>79</x:v>
      </x:c>
    </x:row>
    <x:row r="215">
      <x:c r="A215" t="n">
        <x:v>214</x:v>
      </x:c>
      <x:c r="B215" s="330" t="n">
        <x:v>44873</x:v>
      </x:c>
      <x:c r="C215" s="330" t="n">
        <x:v>46080</x:v>
      </x:c>
      <x:c r="D215" t="n">
        <x:v>2022</x:v>
      </x:c>
      <x:c r="E215" t="n">
        <x:v>11</x:v>
      </x:c>
      <x:c r="F215" t="str">
        <x:v>187901/22/CBMP-QLD</x:v>
      </x:c>
      <x:c r="G215"/>
      <x:c r="H215" t="str">
        <x:v>Merzy The First Velvet Tint V6. Firenze Negroni</x:v>
      </x:c>
      <x:c r="I215" t="str">
        <x:v>MERZY</x:v>
      </x:c>
      <x:c r="J215" t="str">
        <x:v>Khác</x:v>
      </x:c>
      <x:c r="K215"/>
      <x:c r="L215" t="str">
        <x:v>Công ty Cổ Phần Thương Mại Dịch Vụ UNICORN</x:v>
      </x:c>
      <x:c r="M215" t="str">
        <x:v>Tầng 10, tòa nhà Dreamplex, số 195 Điện Biên Phủ, Phường 15, quận Bình Thạnh, TP. Hồ Chí Minh, Việt Nam. Mã số doanh nghiệp: 0315627066</x:v>
      </x:c>
      <x:c r="N215"/>
      <x:c r="O215" t="str">
        <x:v>Thu hồi số tiếp nhận; đình chỉ lưu hành và thu hồi (QĐ 126/QĐ-QLD)</x:v>
      </x:c>
      <x:c r="P215" t="str">
        <x:v>A++ – Cục Quản lý Dược; company responsibility explicit</x:v>
      </x:c>
      <x:c r="Q215" t="str">
        <x:v>QĐ126/2026, STT 46, trang 6.</x:v>
      </x:c>
      <x:c r="R215" t="str">
        <x:v>https://dav.gov.vn/quyet-dinh-so-126qd-qld-ve-viec-thu-hoi-so-tiep-nhan-phieu-cong-bo-san-pham-my-pham-dinh-chi-luu-hanh-va-thu-hoi-san-pham-my-pham-theo-kl-cua-hd-my-pham-asean-doi-voi-san-pham-my-pham-co-chua-chat-cyclotetrasiloxane-octamethylcyclotetrasiloxane-n5224.html</x:v>
      </x:c>
      <x:c r="S215" t="str">
        <x:v>TP. Hồ Chí Minh</x:v>
      </x:c>
      <x:c r="T215" t="str">
        <x:v>79</x:v>
      </x:c>
    </x:row>
    <x:row r="216">
      <x:c r="A216" t="n">
        <x:v>215</x:v>
      </x:c>
      <x:c r="B216" s="330" t="n">
        <x:v>45051</x:v>
      </x:c>
      <x:c r="C216" s="330" t="n">
        <x:v>46080</x:v>
      </x:c>
      <x:c r="D216" t="n">
        <x:v>2023</x:v>
      </x:c>
      <x:c r="E216" t="n">
        <x:v>5</x:v>
      </x:c>
      <x:c r="F216" t="str">
        <x:v>200948/23/CBMP-QLD</x:v>
      </x:c>
      <x:c r="G216"/>
      <x:c r="H216" t="str">
        <x:v>Zeesea Dreamland Eyeshadow 11</x:v>
      </x:c>
      <x:c r="I216" t="str">
        <x:v>ZEESEA</x:v>
      </x:c>
      <x:c r="J216" t="str">
        <x:v>Khác</x:v>
      </x:c>
      <x:c r="K216"/>
      <x:c r="L216" t="str">
        <x:v>Công ty Cổ Phần Thương Mại Dịch Vụ UNICORN</x:v>
      </x:c>
      <x:c r="M216" t="str">
        <x:v>Tầng 10, tòa nhà Dreamplex, số 195 Điện Biên Phủ, Phường 15, quận Bình Thạnh, TP. Hồ Chí Minh, Việt Nam. Mã số doanh nghiệp: 0315627066</x:v>
      </x:c>
      <x:c r="N216"/>
      <x:c r="O216" t="str">
        <x:v>Thu hồi số tiếp nhận; đình chỉ lưu hành và thu hồi (QĐ 126/QĐ-QLD)</x:v>
      </x:c>
      <x:c r="P216" t="str">
        <x:v>A++ – Cục Quản lý Dược; company responsibility explicit</x:v>
      </x:c>
      <x:c r="Q216" t="str">
        <x:v>QĐ126/2026, STT 47, trang 7.</x:v>
      </x:c>
      <x:c r="R216" t="str">
        <x:v>https://dav.gov.vn/quyet-dinh-so-126qd-qld-ve-viec-thu-hoi-so-tiep-nhan-phieu-cong-bo-san-pham-my-pham-dinh-chi-luu-hanh-va-thu-hoi-san-pham-my-pham-theo-kl-cua-hd-my-pham-asean-doi-voi-san-pham-my-pham-co-chua-chat-cyclotetrasiloxane-octamethylcyclotetrasiloxane-n5224.html</x:v>
      </x:c>
      <x:c r="S216" t="str">
        <x:v>TP. Hồ Chí Minh</x:v>
      </x:c>
      <x:c r="T216" t="str">
        <x:v>79</x:v>
      </x:c>
    </x:row>
    <x:row r="217">
      <x:c r="A217" t="n">
        <x:v>216</x:v>
      </x:c>
      <x:c r="B217" s="330" t="n">
        <x:v>45051</x:v>
      </x:c>
      <x:c r="C217" s="330" t="n">
        <x:v>46080</x:v>
      </x:c>
      <x:c r="D217" t="n">
        <x:v>2023</x:v>
      </x:c>
      <x:c r="E217" t="n">
        <x:v>5</x:v>
      </x:c>
      <x:c r="F217" t="str">
        <x:v>200969/23/CBMP-QLD</x:v>
      </x:c>
      <x:c r="G217"/>
      <x:c r="H217" t="str">
        <x:v>Zeesea Dreamland Eyeshadow 12</x:v>
      </x:c>
      <x:c r="I217" t="str">
        <x:v>ZEESEA</x:v>
      </x:c>
      <x:c r="J217" t="str">
        <x:v>Khác</x:v>
      </x:c>
      <x:c r="K217"/>
      <x:c r="L217" t="str">
        <x:v>Công ty Cổ Phần Thương Mại Dịch Vụ UNICORN</x:v>
      </x:c>
      <x:c r="M217" t="str">
        <x:v>Tầng 10, tòa nhà Dreamplex, số 195 Điện Biên Phủ, Phường 15, quận Bình Thạnh, TP. Hồ Chí Minh, Việt Nam. Mã số doanh nghiệp: 0315627066</x:v>
      </x:c>
      <x:c r="N217"/>
      <x:c r="O217" t="str">
        <x:v>Thu hồi số tiếp nhận; đình chỉ lưu hành và thu hồi (QĐ 126/QĐ-QLD)</x:v>
      </x:c>
      <x:c r="P217" t="str">
        <x:v>A++ – Cục Quản lý Dược; company responsibility explicit</x:v>
      </x:c>
      <x:c r="Q217" t="str">
        <x:v>QĐ126/2026, STT 48, trang 7.</x:v>
      </x:c>
      <x:c r="R217" t="str">
        <x:v>https://dav.gov.vn/quyet-dinh-so-126qd-qld-ve-viec-thu-hoi-so-tiep-nhan-phieu-cong-bo-san-pham-my-pham-dinh-chi-luu-hanh-va-thu-hoi-san-pham-my-pham-theo-kl-cua-hd-my-pham-asean-doi-voi-san-pham-my-pham-co-chua-chat-cyclotetrasiloxane-octamethylcyclotetrasiloxane-n5224.html</x:v>
      </x:c>
      <x:c r="S217" t="str">
        <x:v>TP. Hồ Chí Minh</x:v>
      </x:c>
      <x:c r="T217" t="str">
        <x:v>79</x:v>
      </x:c>
    </x:row>
    <x:row r="218">
      <x:c r="A218" t="n">
        <x:v>217</x:v>
      </x:c>
      <x:c r="B218" s="330" t="n">
        <x:v>45216</x:v>
      </x:c>
      <x:c r="C218" s="330" t="n">
        <x:v>46080</x:v>
      </x:c>
      <x:c r="D218" t="n">
        <x:v>2023</x:v>
      </x:c>
      <x:c r="E218" t="n">
        <x:v>10</x:v>
      </x:c>
      <x:c r="F218" t="str">
        <x:v>214483/23/CBMP-QLD</x:v>
      </x:c>
      <x:c r="G218"/>
      <x:c r="H218" t="str">
        <x:v>Merzy The First Velvet Tint V6. Firenze Negroni</x:v>
      </x:c>
      <x:c r="I218" t="str">
        <x:v>MERZY</x:v>
      </x:c>
      <x:c r="J218" t="str">
        <x:v>Khác</x:v>
      </x:c>
      <x:c r="K218"/>
      <x:c r="L218" t="str">
        <x:v>Công ty Cổ Phần Thương Mại Dịch Vụ UNICORN</x:v>
      </x:c>
      <x:c r="M218" t="str">
        <x:v>Tầng 10, tòa nhà Dreamplex, số 195 Điện Biên Phủ, Phường 15, quận Bình Thạnh, TP. Hồ Chí Minh, Việt Nam. Mã số doanh nghiệp: 0315627066</x:v>
      </x:c>
      <x:c r="N218"/>
      <x:c r="O218" t="str">
        <x:v>Thu hồi số tiếp nhận; đình chỉ lưu hành và thu hồi (QĐ 126/QĐ-QLD)</x:v>
      </x:c>
      <x:c r="P218" t="str">
        <x:v>A++ – Cục Quản lý Dược; company responsibility explicit</x:v>
      </x:c>
      <x:c r="Q218" t="str">
        <x:v>QĐ126/2026, STT 49, trang 7.</x:v>
      </x:c>
      <x:c r="R218" t="str">
        <x:v>https://dav.gov.vn/quyet-dinh-so-126qd-qld-ve-viec-thu-hoi-so-tiep-nhan-phieu-cong-bo-san-pham-my-pham-dinh-chi-luu-hanh-va-thu-hoi-san-pham-my-pham-theo-kl-cua-hd-my-pham-asean-doi-voi-san-pham-my-pham-co-chua-chat-cyclotetrasiloxane-octamethylcyclotetrasiloxane-n5224.html</x:v>
      </x:c>
      <x:c r="S218" t="str">
        <x:v>TP. Hồ Chí Minh</x:v>
      </x:c>
      <x:c r="T218" t="str">
        <x:v>79</x:v>
      </x:c>
    </x:row>
    <x:row r="219">
      <x:c r="A219" t="n">
        <x:v>218</x:v>
      </x:c>
      <x:c r="B219" s="330" t="n">
        <x:v>45216</x:v>
      </x:c>
      <x:c r="C219" s="330" t="n">
        <x:v>46080</x:v>
      </x:c>
      <x:c r="D219" t="n">
        <x:v>2023</x:v>
      </x:c>
      <x:c r="E219" t="n">
        <x:v>10</x:v>
      </x:c>
      <x:c r="F219" t="str">
        <x:v>214486/23/CBMP-QLD</x:v>
      </x:c>
      <x:c r="G219"/>
      <x:c r="H219" t="str">
        <x:v>Merzy The First Velvet Tint V6. Firenze Negroni</x:v>
      </x:c>
      <x:c r="I219" t="str">
        <x:v>MERZY</x:v>
      </x:c>
      <x:c r="J219" t="str">
        <x:v>Khác</x:v>
      </x:c>
      <x:c r="K219"/>
      <x:c r="L219" t="str">
        <x:v>Công ty Cổ Phần Thương Mại Dịch Vụ UNICORN</x:v>
      </x:c>
      <x:c r="M219" t="str">
        <x:v>Tầng 10, tòa nhà Dreamplex, số 195 Điện Biên Phủ, Phường 15, quận Bình Thạnh, TP. Hồ Chí Minh, Việt Nam. Mã số doanh nghiệp: 0315627066</x:v>
      </x:c>
      <x:c r="N219"/>
      <x:c r="O219" t="str">
        <x:v>Thu hồi số tiếp nhận; đình chỉ lưu hành và thu hồi (QĐ 126/QĐ-QLD)</x:v>
      </x:c>
      <x:c r="P219" t="str">
        <x:v>A++ – Cục Quản lý Dược; company responsibility explicit</x:v>
      </x:c>
      <x:c r="Q219" t="str">
        <x:v>QĐ126/2026, STT 50, trang 7.</x:v>
      </x:c>
      <x:c r="R219" t="str">
        <x:v>https://dav.gov.vn/quyet-dinh-so-126qd-qld-ve-viec-thu-hoi-so-tiep-nhan-phieu-cong-bo-san-pham-my-pham-dinh-chi-luu-hanh-va-thu-hoi-san-pham-my-pham-theo-kl-cua-hd-my-pham-asean-doi-voi-san-pham-my-pham-co-chua-chat-cyclotetrasiloxane-octamethylcyclotetrasiloxane-n5224.html</x:v>
      </x:c>
      <x:c r="S219" t="str">
        <x:v>TP. Hồ Chí Minh</x:v>
      </x:c>
      <x:c r="T219" t="str">
        <x:v>79</x:v>
      </x:c>
    </x:row>
    <x:row r="220">
      <x:c r="A220" t="n">
        <x:v>219</x:v>
      </x:c>
      <x:c r="B220" s="330" t="n">
        <x:v>45496</x:v>
      </x:c>
      <x:c r="C220" s="330" t="n">
        <x:v>46080</x:v>
      </x:c>
      <x:c r="D220" t="n">
        <x:v>2024</x:v>
      </x:c>
      <x:c r="E220" t="n">
        <x:v>7</x:v>
      </x:c>
      <x:c r="F220" t="str">
        <x:v>244638/24/CBMP-QLD</x:v>
      </x:c>
      <x:c r="G220"/>
      <x:c r="H220" t="str">
        <x:v>Merzy The First Velvet Tint V6. Firenze Negroni</x:v>
      </x:c>
      <x:c r="I220" t="str">
        <x:v>MERZY</x:v>
      </x:c>
      <x:c r="J220" t="str">
        <x:v>Khác</x:v>
      </x:c>
      <x:c r="K220"/>
      <x:c r="L220" t="str">
        <x:v>Công ty Cổ Phần Thương Mại Dịch Vụ UNICORN</x:v>
      </x:c>
      <x:c r="M220" t="str">
        <x:v>Tầng 10, tòa nhà Dreamplex, số 195 Điện Biên Phủ, Phường 15, quận Bình Thạnh, TP. Hồ Chí Minh, Việt Nam. Mã số doanh nghiệp: 0315627066</x:v>
      </x:c>
      <x:c r="N220"/>
      <x:c r="O220" t="str">
        <x:v>Thu hồi số tiếp nhận; đình chỉ lưu hành và thu hồi (QĐ 126/QĐ-QLD)</x:v>
      </x:c>
      <x:c r="P220" t="str">
        <x:v>A++ – Cục Quản lý Dược; company responsibility explicit</x:v>
      </x:c>
      <x:c r="Q220" t="str">
        <x:v>QĐ126/2026, STT 51, trang 7.</x:v>
      </x:c>
      <x:c r="R220" t="str">
        <x:v>https://dav.gov.vn/quyet-dinh-so-126qd-qld-ve-viec-thu-hoi-so-tiep-nhan-phieu-cong-bo-san-pham-my-pham-dinh-chi-luu-hanh-va-thu-hoi-san-pham-my-pham-theo-kl-cua-hd-my-pham-asean-doi-voi-san-pham-my-pham-co-chua-chat-cyclotetrasiloxane-octamethylcyclotetrasiloxane-n5224.html</x:v>
      </x:c>
      <x:c r="S220" t="str">
        <x:v>TP. Hồ Chí Minh</x:v>
      </x:c>
      <x:c r="T220" t="str">
        <x:v>79</x:v>
      </x:c>
    </x:row>
    <x:row r="221">
      <x:c r="A221" t="n">
        <x:v>220</x:v>
      </x:c>
      <x:c r="B221" s="330" t="n">
        <x:v>45595</x:v>
      </x:c>
      <x:c r="C221" s="330" t="n">
        <x:v>46080</x:v>
      </x:c>
      <x:c r="D221" t="n">
        <x:v>2024</x:v>
      </x:c>
      <x:c r="E221" t="n">
        <x:v>10</x:v>
      </x:c>
      <x:c r="F221" t="str">
        <x:v>254077/24/CBMP-QLD</x:v>
      </x:c>
      <x:c r="G221"/>
      <x:c r="H221" t="str">
        <x:v>Merzy The First Velvet Tint V6. Firenze Negroni</x:v>
      </x:c>
      <x:c r="I221" t="str">
        <x:v>MERZY</x:v>
      </x:c>
      <x:c r="J221" t="str">
        <x:v>Khác</x:v>
      </x:c>
      <x:c r="K221"/>
      <x:c r="L221" t="str">
        <x:v>Công ty Cổ Phần Thương Mại Dịch Vụ UNICORN</x:v>
      </x:c>
      <x:c r="M221" t="str">
        <x:v>Tầng 10, tòa nhà Dreamplex, số 195 Điện Biên Phủ, Phường 15, quận Bình Thạnh, TP. Hồ Chí Minh, Việt Nam. Mã số doanh nghiệp: 0315627066</x:v>
      </x:c>
      <x:c r="N221"/>
      <x:c r="O221" t="str">
        <x:v>Thu hồi số tiếp nhận; đình chỉ lưu hành và thu hồi (QĐ 126/QĐ-QLD)</x:v>
      </x:c>
      <x:c r="P221" t="str">
        <x:v>A++ – Cục Quản lý Dược; company responsibility explicit</x:v>
      </x:c>
      <x:c r="Q221" t="str">
        <x:v>QĐ126/2026, STT 52, trang 7.</x:v>
      </x:c>
      <x:c r="R221" t="str">
        <x:v>https://dav.gov.vn/quyet-dinh-so-126qd-qld-ve-viec-thu-hoi-so-tiep-nhan-phieu-cong-bo-san-pham-my-pham-dinh-chi-luu-hanh-va-thu-hoi-san-pham-my-pham-theo-kl-cua-hd-my-pham-asean-doi-voi-san-pham-my-pham-co-chua-chat-cyclotetrasiloxane-octamethylcyclotetrasiloxane-n5224.html</x:v>
      </x:c>
      <x:c r="S221" t="str">
        <x:v>TP. Hồ Chí Minh</x:v>
      </x:c>
      <x:c r="T221" t="str">
        <x:v>79</x:v>
      </x:c>
    </x:row>
    <x:row r="222">
      <x:c r="A222" t="n">
        <x:v>221</x:v>
      </x:c>
      <x:c r="B222" s="330" t="n">
        <x:v>45494</x:v>
      </x:c>
      <x:c r="C222" s="330" t="n">
        <x:v>46080</x:v>
      </x:c>
      <x:c r="D222" t="n">
        <x:v>2024</x:v>
      </x:c>
      <x:c r="E222" t="n">
        <x:v>7</x:v>
      </x:c>
      <x:c r="F222" t="str">
        <x:v>244606/24/CBMP-QLD</x:v>
      </x:c>
      <x:c r="G222"/>
      <x:c r="H222" t="str">
        <x:v>Jmella In France Sparkling Rose Hair Treatment</x:v>
      </x:c>
      <x:c r="I222" t="str">
        <x:v>JMELLA</x:v>
      </x:c>
      <x:c r="J222" t="str">
        <x:v>Khác</x:v>
      </x:c>
      <x:c r="K222"/>
      <x:c r="L222" t="str">
        <x:v>Công ty Cổ Phần Thương Mại KOJA VIỆT NAM</x:v>
      </x:c>
      <x:c r="M222" t="str">
        <x:v>Số 5, Ngõ 267, Đường Trần Khát Chân, phường Thanh Nhàn, quận Hai Bà Trưng, TP. Hà Nội, Việt Nam. Mã số doanh nghiệp: 110185459</x:v>
      </x:c>
      <x:c r="N222"/>
      <x:c r="O222" t="str">
        <x:v>Thu hồi số tiếp nhận; đình chỉ lưu hành và thu hồi (QĐ 126/QĐ-QLD)</x:v>
      </x:c>
      <x:c r="P222" t="str">
        <x:v>A++ – Cục Quản lý Dược; company responsibility explicit</x:v>
      </x:c>
      <x:c r="Q222" t="str">
        <x:v>QĐ126/2026, STT 53, trang 7.</x:v>
      </x:c>
      <x:c r="R222" t="str">
        <x:v>https://dav.gov.vn/quyet-dinh-so-126qd-qld-ve-viec-thu-hoi-so-tiep-nhan-phieu-cong-bo-san-pham-my-pham-dinh-chi-luu-hanh-va-thu-hoi-san-pham-my-pham-theo-kl-cua-hd-my-pham-asean-doi-voi-san-pham-my-pham-co-chua-chat-cyclotetrasiloxane-octamethylcyclotetrasiloxane-n5224.html</x:v>
      </x:c>
      <x:c r="S222" t="str">
        <x:v>Hà Nội</x:v>
      </x:c>
      <x:c r="T222" t="str">
        <x:v>01</x:v>
      </x:c>
    </x:row>
    <x:row r="223">
      <x:c r="A223" t="n">
        <x:v>222</x:v>
      </x:c>
      <x:c r="B223" s="330" t="n">
        <x:v>45494</x:v>
      </x:c>
      <x:c r="C223" s="330" t="n">
        <x:v>46080</x:v>
      </x:c>
      <x:c r="D223" t="n">
        <x:v>2024</x:v>
      </x:c>
      <x:c r="E223" t="n">
        <x:v>7</x:v>
      </x:c>
      <x:c r="F223" t="str">
        <x:v>244610/24/CBMP-QLD</x:v>
      </x:c>
      <x:c r="G223"/>
      <x:c r="H223" t="str">
        <x:v>Jmella In France Blooming Peony Hair Treatment</x:v>
      </x:c>
      <x:c r="I223" t="str">
        <x:v>JMELLA</x:v>
      </x:c>
      <x:c r="J223" t="str">
        <x:v>Khác</x:v>
      </x:c>
      <x:c r="K223"/>
      <x:c r="L223" t="str">
        <x:v>Công ty Cổ Phần Thương Mại KOJA VIỆT NAM</x:v>
      </x:c>
      <x:c r="M223" t="str">
        <x:v>Số 5, Ngõ 267, Đường Trần Khát Chân, phường Thanh Nhàn, quận Hai Bà Trưng, TP. Hà Nội, Việt Nam. Mã số doanh nghiệp: 110185459</x:v>
      </x:c>
      <x:c r="N223"/>
      <x:c r="O223" t="str">
        <x:v>Thu hồi số tiếp nhận; đình chỉ lưu hành và thu hồi (QĐ 126/QĐ-QLD)</x:v>
      </x:c>
      <x:c r="P223" t="str">
        <x:v>A++ – Cục Quản lý Dược; company responsibility explicit</x:v>
      </x:c>
      <x:c r="Q223" t="str">
        <x:v>QĐ126/2026, STT 54, trang 7.</x:v>
      </x:c>
      <x:c r="R223" t="str">
        <x:v>https://dav.gov.vn/quyet-dinh-so-126qd-qld-ve-viec-thu-hoi-so-tiep-nhan-phieu-cong-bo-san-pham-my-pham-dinh-chi-luu-hanh-va-thu-hoi-san-pham-my-pham-theo-kl-cua-hd-my-pham-asean-doi-voi-san-pham-my-pham-co-chua-chat-cyclotetrasiloxane-octamethylcyclotetrasiloxane-n5224.html</x:v>
      </x:c>
      <x:c r="S223" t="str">
        <x:v>Hà Nội</x:v>
      </x:c>
      <x:c r="T223" t="str">
        <x:v>01</x:v>
      </x:c>
    </x:row>
    <x:row r="224">
      <x:c r="A224" t="n">
        <x:v>223</x:v>
      </x:c>
      <x:c r="B224" s="330" t="n">
        <x:v>45496</x:v>
      </x:c>
      <x:c r="C224" s="330" t="n">
        <x:v>46080</x:v>
      </x:c>
      <x:c r="D224" t="n">
        <x:v>2024</x:v>
      </x:c>
      <x:c r="E224" t="n">
        <x:v>7</x:v>
      </x:c>
      <x:c r="F224" t="str">
        <x:v>244675/24/CBMP-QLD</x:v>
      </x:c>
      <x:c r="G224"/>
      <x:c r="H224" t="str">
        <x:v>Jmella In France Queen 5 Hair Treatment</x:v>
      </x:c>
      <x:c r="I224" t="str">
        <x:v>JMELLA</x:v>
      </x:c>
      <x:c r="J224" t="str">
        <x:v>Khác</x:v>
      </x:c>
      <x:c r="K224"/>
      <x:c r="L224" t="str">
        <x:v>Công ty Cổ Phần Thương Mại KOJA VIỆT NAM</x:v>
      </x:c>
      <x:c r="M224" t="str">
        <x:v>Số 5, Ngõ 267, Đường Trần Khát Chân, phường Thanh Nhàn, quận Hai Bà Trưng, TP. Hà Nội, Việt Nam. Mã số doanh nghiệp: 110185459</x:v>
      </x:c>
      <x:c r="N224"/>
      <x:c r="O224" t="str">
        <x:v>Thu hồi số tiếp nhận; đình chỉ lưu hành và thu hồi (QĐ 126/QĐ-QLD)</x:v>
      </x:c>
      <x:c r="P224" t="str">
        <x:v>A++ – Cục Quản lý Dược; company responsibility explicit</x:v>
      </x:c>
      <x:c r="Q224" t="str">
        <x:v>QĐ126/2026, STT 55, trang 7.</x:v>
      </x:c>
      <x:c r="R224" t="str">
        <x:v>https://dav.gov.vn/quyet-dinh-so-126qd-qld-ve-viec-thu-hoi-so-tiep-nhan-phieu-cong-bo-san-pham-my-pham-dinh-chi-luu-hanh-va-thu-hoi-san-pham-my-pham-theo-kl-cua-hd-my-pham-asean-doi-voi-san-pham-my-pham-co-chua-chat-cyclotetrasiloxane-octamethylcyclotetrasiloxane-n5224.html</x:v>
      </x:c>
      <x:c r="S224" t="str">
        <x:v>Hà Nội</x:v>
      </x:c>
      <x:c r="T224" t="str">
        <x:v>01</x:v>
      </x:c>
    </x:row>
    <x:row r="225">
      <x:c r="A225" t="n">
        <x:v>224</x:v>
      </x:c>
      <x:c r="B225" s="330" t="n">
        <x:v>45496</x:v>
      </x:c>
      <x:c r="C225" s="330" t="n">
        <x:v>46080</x:v>
      </x:c>
      <x:c r="D225" t="n">
        <x:v>2024</x:v>
      </x:c>
      <x:c r="E225" t="n">
        <x:v>7</x:v>
      </x:c>
      <x:c r="F225" t="str">
        <x:v>244681/24/CBMP-QLD</x:v>
      </x:c>
      <x:c r="G225"/>
      <x:c r="H225" t="str">
        <x:v>Jmella In France Lime &amp; Basil Hair Treatment</x:v>
      </x:c>
      <x:c r="I225" t="str">
        <x:v>JMELLA</x:v>
      </x:c>
      <x:c r="J225" t="str">
        <x:v>Khác</x:v>
      </x:c>
      <x:c r="K225"/>
      <x:c r="L225" t="str">
        <x:v>Công ty Cổ Phần Thương Mại KOJA VIỆT NAM</x:v>
      </x:c>
      <x:c r="M225" t="str">
        <x:v>Số 5, Ngõ 267, Đường Trần Khát Chân, phường Thanh Nhàn, quận Hai Bà Trưng, TP. Hà Nội, Việt Nam. Mã số doanh nghiệp: 110185459</x:v>
      </x:c>
      <x:c r="N225"/>
      <x:c r="O225" t="str">
        <x:v>Thu hồi số tiếp nhận; đình chỉ lưu hành và thu hồi (QĐ 126/QĐ-QLD)</x:v>
      </x:c>
      <x:c r="P225" t="str">
        <x:v>A++ – Cục Quản lý Dược; company responsibility explicit</x:v>
      </x:c>
      <x:c r="Q225" t="str">
        <x:v>QĐ126/2026, STT 56, trang 7.</x:v>
      </x:c>
      <x:c r="R225" t="str">
        <x:v>https://dav.gov.vn/quyet-dinh-so-126qd-qld-ve-viec-thu-hoi-so-tiep-nhan-phieu-cong-bo-san-pham-my-pham-dinh-chi-luu-hanh-va-thu-hoi-san-pham-my-pham-theo-kl-cua-hd-my-pham-asean-doi-voi-san-pham-my-pham-co-chua-chat-cyclotetrasiloxane-octamethylcyclotetrasiloxane-n5224.html</x:v>
      </x:c>
      <x:c r="S225" t="str">
        <x:v>Hà Nội</x:v>
      </x:c>
      <x:c r="T225" t="str">
        <x:v>01</x:v>
      </x:c>
    </x:row>
    <x:row r="226">
      <x:c r="A226" t="n">
        <x:v>225</x:v>
      </x:c>
      <x:c r="B226" s="330" t="n">
        <x:v>45496</x:v>
      </x:c>
      <x:c r="C226" s="330" t="n">
        <x:v>46080</x:v>
      </x:c>
      <x:c r="D226" t="n">
        <x:v>2024</x:v>
      </x:c>
      <x:c r="E226" t="n">
        <x:v>7</x:v>
      </x:c>
      <x:c r="F226" t="str">
        <x:v>244699/24/CBMP-QLD</x:v>
      </x:c>
      <x:c r="G226"/>
      <x:c r="H226" t="str">
        <x:v>Jmella In France Femme Fatale Hair Treatment</x:v>
      </x:c>
      <x:c r="I226" t="str">
        <x:v>JMELLA</x:v>
      </x:c>
      <x:c r="J226" t="str">
        <x:v>Khác</x:v>
      </x:c>
      <x:c r="K226"/>
      <x:c r="L226" t="str">
        <x:v>Công ty Cổ Phần Thương Mại KOJA VIỆT NAM</x:v>
      </x:c>
      <x:c r="M226" t="str">
        <x:v>Số 5, Ngõ 267, Đường Trần Khát Chân, phường Thanh Nhàn, quận Hai Bà Trưng, TP. Hà Nội, Việt Nam. Mã số doanh nghiệp: 110185459</x:v>
      </x:c>
      <x:c r="N226"/>
      <x:c r="O226" t="str">
        <x:v>Thu hồi số tiếp nhận; đình chỉ lưu hành và thu hồi (QĐ 126/QĐ-QLD)</x:v>
      </x:c>
      <x:c r="P226" t="str">
        <x:v>A++ – Cục Quản lý Dược; company responsibility explicit</x:v>
      </x:c>
      <x:c r="Q226" t="str">
        <x:v>QĐ126/2026, STT 57, trang 7.</x:v>
      </x:c>
      <x:c r="R226" t="str">
        <x:v>https://dav.gov.vn/quyet-dinh-so-126qd-qld-ve-viec-thu-hoi-so-tiep-nhan-phieu-cong-bo-san-pham-my-pham-dinh-chi-luu-hanh-va-thu-hoi-san-pham-my-pham-theo-kl-cua-hd-my-pham-asean-doi-voi-san-pham-my-pham-co-chua-chat-cyclotetrasiloxane-octamethylcyclotetrasiloxane-n5224.html</x:v>
      </x:c>
      <x:c r="S226" t="str">
        <x:v>Hà Nội</x:v>
      </x:c>
      <x:c r="T226" t="str">
        <x:v>01</x:v>
      </x:c>
    </x:row>
    <x:row r="227">
      <x:c r="A227" t="n">
        <x:v>226</x:v>
      </x:c>
      <x:c r="B227" s="330" t="n">
        <x:v>44712</x:v>
      </x:c>
      <x:c r="C227" s="330" t="n">
        <x:v>46080</x:v>
      </x:c>
      <x:c r="D227" t="n">
        <x:v>2022</x:v>
      </x:c>
      <x:c r="E227" t="n">
        <x:v>5</x:v>
      </x:c>
      <x:c r="F227" t="str">
        <x:v>171373/22/CBMP-QLD</x:v>
      </x:c>
      <x:c r="G227"/>
      <x:c r="H227" t="str">
        <x:v>Sea Salt Conditioner</x:v>
      </x:c>
      <x:c r="I227" t="str">
        <x:v>FIVE GRAINS</x:v>
      </x:c>
      <x:c r="J227" t="str">
        <x:v>Dầu xả</x:v>
      </x:c>
      <x:c r="K227"/>
      <x:c r="L227" t="str">
        <x:v>Công ty Cổ Phần Thương Mại Và Đầu Tư Five Grains</x:v>
      </x:c>
      <x:c r="M227" t="str">
        <x:v>Số 2 TT30 Khu đô thị Văn Phú, phường Phú La, quận Hà Đông, TP. Hà Nội, Việt Nam. Mã số doanh nghiệp: 0109699883</x:v>
      </x:c>
      <x:c r="N227"/>
      <x:c r="O227" t="str">
        <x:v>Thu hồi số tiếp nhận; đình chỉ lưu hành và thu hồi (QĐ 126/QĐ-QLD)</x:v>
      </x:c>
      <x:c r="P227" t="str">
        <x:v>A++ – Cục Quản lý Dược; company responsibility explicit</x:v>
      </x:c>
      <x:c r="Q227" t="str">
        <x:v>QĐ126/2026, STT 58, trang 7.</x:v>
      </x:c>
      <x:c r="R227" t="str">
        <x:v>https://dav.gov.vn/quyet-dinh-so-126qd-qld-ve-viec-thu-hoi-so-tiep-nhan-phieu-cong-bo-san-pham-my-pham-dinh-chi-luu-hanh-va-thu-hoi-san-pham-my-pham-theo-kl-cua-hd-my-pham-asean-doi-voi-san-pham-my-pham-co-chua-chat-cyclotetrasiloxane-octamethylcyclotetrasiloxane-n5224.html</x:v>
      </x:c>
      <x:c r="S227" t="str">
        <x:v>Hà Nội</x:v>
      </x:c>
      <x:c r="T227" t="str">
        <x:v>01</x:v>
      </x:c>
    </x:row>
    <x:row r="228">
      <x:c r="A228" t="n">
        <x:v>227</x:v>
      </x:c>
      <x:c r="B228" s="330" t="n">
        <x:v>44820</x:v>
      </x:c>
      <x:c r="C228" s="330" t="n">
        <x:v>46080</x:v>
      </x:c>
      <x:c r="D228" t="n">
        <x:v>2022</x:v>
      </x:c>
      <x:c r="E228" t="n">
        <x:v>9</x:v>
      </x:c>
      <x:c r="F228" t="str">
        <x:v>181792/22/CBMP-QLD</x:v>
      </x:c>
      <x:c r="G228"/>
      <x:c r="H228" t="str">
        <x:v>Dermaquest Sunarmor Spf 50</x:v>
      </x:c>
      <x:c r="I228" t="str">
        <x:v>DermaQue st</x:v>
      </x:c>
      <x:c r="J228" t="str">
        <x:v>Kem chống nắng</x:v>
      </x:c>
      <x:c r="K228"/>
      <x:c r="L228" t="str">
        <x:v>Công ty Cổ Phần Tuấn Vân</x:v>
      </x:c>
      <x:c r="M228" t="str">
        <x:v>Xóm 2 đường 10, xã Đông Sơn, huyện Thuỷ Nguyên, TP. Hải Phòng, Việt Nam. Mã số doanh nghiệp: 0200783767</x:v>
      </x:c>
      <x:c r="N228"/>
      <x:c r="O228" t="str">
        <x:v>Thu hồi số tiếp nhận; đình chỉ lưu hành và thu hồi (QĐ 126/QĐ-QLD)</x:v>
      </x:c>
      <x:c r="P228" t="str">
        <x:v>A++ – Cục Quản lý Dược; company responsibility explicit</x:v>
      </x:c>
      <x:c r="Q228" t="str">
        <x:v>QĐ126/2026, STT 60, trang 8.</x:v>
      </x:c>
      <x:c r="R228" t="str">
        <x:v>https://dav.gov.vn/quyet-dinh-so-126qd-qld-ve-viec-thu-hoi-so-tiep-nhan-phieu-cong-bo-san-pham-my-pham-dinh-chi-luu-hanh-va-thu-hoi-san-pham-my-pham-theo-kl-cua-hd-my-pham-asean-doi-voi-san-pham-my-pham-co-chua-chat-cyclotetrasiloxane-octamethylcyclotetrasiloxane-n5224.html</x:v>
      </x:c>
      <x:c r="S228" t="str">
        <x:v>Hải Phòng</x:v>
      </x:c>
      <x:c r="T228" t="str">
        <x:v>31</x:v>
      </x:c>
    </x:row>
    <x:row r="229">
      <x:c r="A229" t="n">
        <x:v>228</x:v>
      </x:c>
      <x:c r="B229" s="330" t="n">
        <x:v>45497</x:v>
      </x:c>
      <x:c r="C229" s="330" t="n">
        <x:v>46080</x:v>
      </x:c>
      <x:c r="D229" t="n">
        <x:v>2024</x:v>
      </x:c>
      <x:c r="E229" t="n">
        <x:v>7</x:v>
      </x:c>
      <x:c r="F229" t="str">
        <x:v>244976/24/CBMP-QLD</x:v>
      </x:c>
      <x:c r="G229"/>
      <x:c r="H229" t="str">
        <x:v>Dok Bua Ku Golden Silk Collagen Lotion</x:v>
      </x:c>
      <x:c r="I229" t="str">
        <x:v>DOK BUA KU</x:v>
      </x:c>
      <x:c r="J229" t="str">
        <x:v>Kem dưỡng da</x:v>
      </x:c>
      <x:c r="K229"/>
      <x:c r="L229" t="str">
        <x:v>Công ty Cổ Phần Xuất Nhập Khẩu Quốc Tế Phạm Nguyên</x:v>
      </x:c>
      <x:c r="M229" t="str">
        <x:v>Số 3-5 Thành Công, phường Tân Thành, quận Tân Phú, TP. Hồ Chí Minh, Việt Nam. Mã số doanh nghiệp: 0315009574</x:v>
      </x:c>
      <x:c r="N229"/>
      <x:c r="O229" t="str">
        <x:v>Thu hồi số tiếp nhận; đình chỉ lưu hành và thu hồi (QĐ 126/QĐ-QLD)</x:v>
      </x:c>
      <x:c r="P229" t="str">
        <x:v>A++ – Cục Quản lý Dược; company responsibility explicit</x:v>
      </x:c>
      <x:c r="Q229" t="str">
        <x:v>QĐ126/2026, STT 61, trang 8.</x:v>
      </x:c>
      <x:c r="R229" t="str">
        <x:v>https://dav.gov.vn/quyet-dinh-so-126qd-qld-ve-viec-thu-hoi-so-tiep-nhan-phieu-cong-bo-san-pham-my-pham-dinh-chi-luu-hanh-va-thu-hoi-san-pham-my-pham-theo-kl-cua-hd-my-pham-asean-doi-voi-san-pham-my-pham-co-chua-chat-cyclotetrasiloxane-octamethylcyclotetrasiloxane-n5224.html</x:v>
      </x:c>
      <x:c r="S229" t="str">
        <x:v>TP. Hồ Chí Minh</x:v>
      </x:c>
      <x:c r="T229" t="str">
        <x:v>79</x:v>
      </x:c>
    </x:row>
    <x:row r="230">
      <x:c r="A230" t="n">
        <x:v>229</x:v>
      </x:c>
      <x:c r="B230" s="330" t="n">
        <x:v>45099</x:v>
      </x:c>
      <x:c r="C230" s="330" t="n">
        <x:v>46080</x:v>
      </x:c>
      <x:c r="D230" t="n">
        <x:v>2023</x:v>
      </x:c>
      <x:c r="E230" t="n">
        <x:v>6</x:v>
      </x:c>
      <x:c r="F230" t="str">
        <x:v>204298/23/CBMP-QLD</x:v>
      </x:c>
      <x:c r="G230"/>
      <x:c r="H230" t="str">
        <x:v>Dr.Pong 101 Acne Clear Concealer</x:v>
      </x:c>
      <x:c r="I230" t="str">
        <x:v>DR.PONG</x:v>
      </x:c>
      <x:c r="J230" t="str">
        <x:v>Khác</x:v>
      </x:c>
      <x:c r="K230"/>
      <x:c r="L230" t="str">
        <x:v>CÔNG TY CP THƯƠNG MẠI LIT</x:v>
      </x:c>
      <x:c r="M230" t="str">
        <x:v>Tầng 12B, tòa nhà Cienco4, 180 Nguyễn Thị Minh Khai, Phường Võ Thị Sáu, Quận 3, TP. Hồ Chí Minh, Việt Nam. Mã số doanh nghiệp: 0317591792</x:v>
      </x:c>
      <x:c r="N230"/>
      <x:c r="O230" t="str">
        <x:v>Thu hồi số tiếp nhận; đình chỉ lưu hành và thu hồi (QĐ 126/QĐ-QLD)</x:v>
      </x:c>
      <x:c r="P230" t="str">
        <x:v>A++ – Cục Quản lý Dược; company responsibility explicit</x:v>
      </x:c>
      <x:c r="Q230" t="str">
        <x:v>QĐ126/2026, STT 62, trang 8.</x:v>
      </x:c>
      <x:c r="R230" t="str">
        <x:v>https://dav.gov.vn/quyet-dinh-so-126qd-qld-ve-viec-thu-hoi-so-tiep-nhan-phieu-cong-bo-san-pham-my-pham-dinh-chi-luu-hanh-va-thu-hoi-san-pham-my-pham-theo-kl-cua-hd-my-pham-asean-doi-voi-san-pham-my-pham-co-chua-chat-cyclotetrasiloxane-octamethylcyclotetrasiloxane-n5224.html</x:v>
      </x:c>
      <x:c r="S230" t="str">
        <x:v>TP. Hồ Chí Minh</x:v>
      </x:c>
      <x:c r="T230" t="str">
        <x:v>79</x:v>
      </x:c>
    </x:row>
    <x:row r="231">
      <x:c r="A231" t="n">
        <x:v>230</x:v>
      </x:c>
      <x:c r="B231" s="330" t="n">
        <x:v>44637</x:v>
      </x:c>
      <x:c r="C231" s="330" t="n">
        <x:v>46080</x:v>
      </x:c>
      <x:c r="D231" t="n">
        <x:v>2022</x:v>
      </x:c>
      <x:c r="E231" t="n">
        <x:v>3</x:v>
      </x:c>
      <x:c r="F231" t="str">
        <x:v>168173/22/CBMP-QLD</x:v>
      </x:c>
      <x:c r="G231"/>
      <x:c r="H231" t="str">
        <x:v>Ziiit White Facial Whitening Moisturizer Cream</x:v>
      </x:c>
      <x:c r="I231" t="str">
        <x:v>ZIIIT</x:v>
      </x:c>
      <x:c r="J231" t="str">
        <x:v>Kem dưỡng da</x:v>
      </x:c>
      <x:c r="K231"/>
      <x:c r="L231" t="str">
        <x:v>Công ty TNHH Advance Cosmetics Việt Nam</x:v>
      </x:c>
      <x:c r="M231" t="str">
        <x:v>Lô III-2a Nhóm Công Nghiệp III, Đường Số 11, Khu Công Nghiệp Tân Bình, phường Tây Thạnh, quận Tân Phú, TP. Hồ Chí Minh, Việt Nam. Mã số doanh nghiệp: 0301831897</x:v>
      </x:c>
      <x:c r="N231"/>
      <x:c r="O231" t="str">
        <x:v>Thu hồi số tiếp nhận; đình chỉ lưu hành và thu hồi (QĐ 126/QĐ-QLD)</x:v>
      </x:c>
      <x:c r="P231" t="str">
        <x:v>A++ – Cục Quản lý Dược; company responsibility explicit</x:v>
      </x:c>
      <x:c r="Q231" t="str">
        <x:v>QĐ126/2026, STT 63, trang 8.</x:v>
      </x:c>
      <x:c r="R231" t="str">
        <x:v>https://dav.gov.vn/quyet-dinh-so-126qd-qld-ve-viec-thu-hoi-so-tiep-nhan-phieu-cong-bo-san-pham-my-pham-dinh-chi-luu-hanh-va-thu-hoi-san-pham-my-pham-theo-kl-cua-hd-my-pham-asean-doi-voi-san-pham-my-pham-co-chua-chat-cyclotetrasiloxane-octamethylcyclotetrasiloxane-n5224.html</x:v>
      </x:c>
      <x:c r="S231" t="str">
        <x:v>TP. Hồ Chí Minh</x:v>
      </x:c>
      <x:c r="T231" t="str">
        <x:v>79</x:v>
      </x:c>
    </x:row>
    <x:row r="232">
      <x:c r="A232" t="n">
        <x:v>231</x:v>
      </x:c>
      <x:c r="B232" s="330" t="n">
        <x:v>44792</x:v>
      </x:c>
      <x:c r="C232" s="330" t="n">
        <x:v>46080</x:v>
      </x:c>
      <x:c r="D232" t="n">
        <x:v>2022</x:v>
      </x:c>
      <x:c r="E232" t="n">
        <x:v>8</x:v>
      </x:c>
      <x:c r="F232" t="str">
        <x:v>178961/22/CBMP-QLD</x:v>
      </x:c>
      <x:c r="G232"/>
      <x:c r="H232" t="str">
        <x:v>Monday Smooth Shampoo 354ml/798ml</x:v>
      </x:c>
      <x:c r="I232" t="str">
        <x:v>MONDAY</x:v>
      </x:c>
      <x:c r="J232" t="str">
        <x:v>Dầu gội</x:v>
      </x:c>
      <x:c r="K232"/>
      <x:c r="L232" t="str">
        <x:v>Công ty TNHH All Asia Connect</x:v>
      </x:c>
      <x:c r="M232" t="str">
        <x:v>Tầng 6 Tòa nhà Me Linh Point, Số 2 Ngô Đức Kế, phường Bến Nghé, Quận 1, TP. Hồ Chí Minh, Việt Nam. Mã số doanh nghiệp: 0313717074</x:v>
      </x:c>
      <x:c r="N232"/>
      <x:c r="O232" t="str">
        <x:v>Thu hồi số tiếp nhận; đình chỉ lưu hành và thu hồi (QĐ 126/QĐ-QLD)</x:v>
      </x:c>
      <x:c r="P232" t="str">
        <x:v>A++ – Cục Quản lý Dược; company responsibility explicit</x:v>
      </x:c>
      <x:c r="Q232" t="str">
        <x:v>QĐ126/2026, STT 64, trang 8.</x:v>
      </x:c>
      <x:c r="R232" t="str">
        <x:v>https://dav.gov.vn/quyet-dinh-so-126qd-qld-ve-viec-thu-hoi-so-tiep-nhan-phieu-cong-bo-san-pham-my-pham-dinh-chi-luu-hanh-va-thu-hoi-san-pham-my-pham-theo-kl-cua-hd-my-pham-asean-doi-voi-san-pham-my-pham-co-chua-chat-cyclotetrasiloxane-octamethylcyclotetrasiloxane-n5224.html</x:v>
      </x:c>
      <x:c r="S232" t="str">
        <x:v>TP. Hồ Chí Minh</x:v>
      </x:c>
      <x:c r="T232" t="str">
        <x:v>79</x:v>
      </x:c>
    </x:row>
    <x:row r="233">
      <x:c r="A233" t="n">
        <x:v>232</x:v>
      </x:c>
      <x:c r="B233" s="330" t="n">
        <x:v>45572</x:v>
      </x:c>
      <x:c r="C233" s="330" t="n">
        <x:v>46080</x:v>
      </x:c>
      <x:c r="D233" t="n">
        <x:v>2024</x:v>
      </x:c>
      <x:c r="E233" t="n">
        <x:v>10</x:v>
      </x:c>
      <x:c r="F233" t="str">
        <x:v>252185/24/CBMP-QLD</x:v>
      </x:c>
      <x:c r="G233"/>
      <x:c r="H233" t="str">
        <x:v>Pure Care Bsc Day &amp; Night Revital Set</x:v>
      </x:c>
      <x:c r="I233" t="str">
        <x:v>PURE CARE BSC</x:v>
      </x:c>
      <x:c r="J233" t="str">
        <x:v>Khác</x:v>
      </x:c>
      <x:c r="K233"/>
      <x:c r="L233" t="str">
        <x:v>Công ty TNHH Arata Việt Nam</x:v>
      </x:c>
      <x:c r="M233" t="str">
        <x:v>Lầu 2, Tòa nhà The Landmark, 5B Tôn Đức Thắng, phường Bến Nghé, Quận 1, TP. Hồ Chí Minh, Việt Nam. Mã số doanh nghiệp: 0316532233</x:v>
      </x:c>
      <x:c r="N233"/>
      <x:c r="O233" t="str">
        <x:v>Thu hồi số tiếp nhận; đình chỉ lưu hành và thu hồi (QĐ 126/QĐ-QLD)</x:v>
      </x:c>
      <x:c r="P233" t="str">
        <x:v>A++ – Cục Quản lý Dược; company responsibility explicit</x:v>
      </x:c>
      <x:c r="Q233" t="str">
        <x:v>QĐ126/2026, STT 65, trang 8.</x:v>
      </x:c>
      <x:c r="R233" t="str">
        <x:v>https://dav.gov.vn/quyet-dinh-so-126qd-qld-ve-viec-thu-hoi-so-tiep-nhan-phieu-cong-bo-san-pham-my-pham-dinh-chi-luu-hanh-va-thu-hoi-san-pham-my-pham-theo-kl-cua-hd-my-pham-asean-doi-voi-san-pham-my-pham-co-chua-chat-cyclotetrasiloxane-octamethylcyclotetrasiloxane-n5224.html</x:v>
      </x:c>
      <x:c r="S233" t="str">
        <x:v>TP. Hồ Chí Minh</x:v>
      </x:c>
      <x:c r="T233" t="str">
        <x:v>79</x:v>
      </x:c>
    </x:row>
    <x:row r="234">
      <x:c r="A234" t="n">
        <x:v>233</x:v>
      </x:c>
      <x:c r="B234" s="330" t="n">
        <x:v>44903</x:v>
      </x:c>
      <x:c r="C234" s="330" t="n">
        <x:v>46080</x:v>
      </x:c>
      <x:c r="D234" t="n">
        <x:v>2022</x:v>
      </x:c>
      <x:c r="E234" t="n">
        <x:v>12</x:v>
      </x:c>
      <x:c r="F234" t="str">
        <x:v>191081/22/CBMP-QLD</x:v>
      </x:c>
      <x:c r="G234"/>
      <x:c r="H234" t="str">
        <x:v>Hold Live Flower Sakura Velvet Matte Lip Glaze</x:v>
      </x:c>
      <x:c r="I234" t="str">
        <x:v>HOLD LIVE</x:v>
      </x:c>
      <x:c r="J234" t="str">
        <x:v>Sản phẩm môi</x:v>
      </x:c>
      <x:c r="K234"/>
      <x:c r="L234" t="str">
        <x:v>Công ty TNHH Benyo Global</x:v>
      </x:c>
      <x:c r="M234" t="str">
        <x:v>Số nhà 17, Đường Đoàn Kết, Cụm 1, xã Đan Phượng, huyện Đan Phượng, TP. Hà Nội, Việt Nam. Mã số doanh nghiệp: 0110134711</x:v>
      </x:c>
      <x:c r="N234"/>
      <x:c r="O234" t="str">
        <x:v>Thu hồi số tiếp nhận; đình chỉ lưu hành và thu hồi (QĐ 126/QĐ-QLD)</x:v>
      </x:c>
      <x:c r="P234" t="str">
        <x:v>A++ – Cục Quản lý Dược; company responsibility explicit</x:v>
      </x:c>
      <x:c r="Q234" t="str">
        <x:v>QĐ126/2026, STT 67, trang 8.</x:v>
      </x:c>
      <x:c r="R234" t="str">
        <x:v>https://dav.gov.vn/quyet-dinh-so-126qd-qld-ve-viec-thu-hoi-so-tiep-nhan-phieu-cong-bo-san-pham-my-pham-dinh-chi-luu-hanh-va-thu-hoi-san-pham-my-pham-theo-kl-cua-hd-my-pham-asean-doi-voi-san-pham-my-pham-co-chua-chat-cyclotetrasiloxane-octamethylcyclotetrasiloxane-n5224.html</x:v>
      </x:c>
      <x:c r="S234" t="str">
        <x:v>Hà Nội</x:v>
      </x:c>
      <x:c r="T234" t="str">
        <x:v>01</x:v>
      </x:c>
    </x:row>
    <x:row r="235">
      <x:c r="A235" t="n">
        <x:v>234</x:v>
      </x:c>
      <x:c r="B235" s="330" t="n">
        <x:v>44890</x:v>
      </x:c>
      <x:c r="C235" s="330" t="n">
        <x:v>46080</x:v>
      </x:c>
      <x:c r="D235" t="n">
        <x:v>2022</x:v>
      </x:c>
      <x:c r="E235" t="n">
        <x:v>11</x:v>
      </x:c>
      <x:c r="F235" t="str">
        <x:v>189433/22/CBMP-QLD</x:v>
      </x:c>
      <x:c r="G235"/>
      <x:c r="H235" t="str">
        <x:v>Viktovia's Series Comprehensive Nourishing Conditioner</x:v>
      </x:c>
      <x:c r="I235" t="str">
        <x:v>VIKTOVI A'S SERIES</x:v>
      </x:c>
      <x:c r="J235" t="str">
        <x:v>Dầu xả</x:v>
      </x:c>
      <x:c r="K235"/>
      <x:c r="L235" t="str">
        <x:v>CÔNG TY TNHH BIHAMI MINH NGUYÊN</x:v>
      </x:c>
      <x:c r="M235" t="str">
        <x:v>Số 46 phố Đức Giang, phường Đức Giang, quận Long Biên, TP. Hà Nội, Việt Nam. Mã số doanh nghiệp: 0110036337</x:v>
      </x:c>
      <x:c r="N235"/>
      <x:c r="O235" t="str">
        <x:v>Thu hồi số tiếp nhận; đình chỉ lưu hành và thu hồi (QĐ 126/QĐ-QLD)</x:v>
      </x:c>
      <x:c r="P235" t="str">
        <x:v>A++ – Cục Quản lý Dược; company responsibility explicit</x:v>
      </x:c>
      <x:c r="Q235" t="str">
        <x:v>QĐ126/2026, STT 72, trang 9.</x:v>
      </x:c>
      <x:c r="R235" t="str">
        <x:v>https://dav.gov.vn/quyet-dinh-so-126qd-qld-ve-viec-thu-hoi-so-tiep-nhan-phieu-cong-bo-san-pham-my-pham-dinh-chi-luu-hanh-va-thu-hoi-san-pham-my-pham-theo-kl-cua-hd-my-pham-asean-doi-voi-san-pham-my-pham-co-chua-chat-cyclotetrasiloxane-octamethylcyclotetrasiloxane-n5224.html</x:v>
      </x:c>
      <x:c r="S235" t="str">
        <x:v>Hà Nội</x:v>
      </x:c>
      <x:c r="T235" t="str">
        <x:v>01</x:v>
      </x:c>
    </x:row>
    <x:row r="236">
      <x:c r="A236" t="n">
        <x:v>235</x:v>
      </x:c>
      <x:c r="B236" s="330" t="n">
        <x:v>44762</x:v>
      </x:c>
      <x:c r="C236" s="330" t="n">
        <x:v>46080</x:v>
      </x:c>
      <x:c r="D236" t="n">
        <x:v>2022</x:v>
      </x:c>
      <x:c r="E236" t="n">
        <x:v>7</x:v>
      </x:c>
      <x:c r="F236" t="str">
        <x:v>175341/22/CBMP-QLD</x:v>
      </x:c>
      <x:c r="G236"/>
      <x:c r="H236" t="str">
        <x:v>Derma-7 Repair Cream</x:v>
      </x:c>
      <x:c r="I236"/>
      <x:c r="J236" t="str">
        <x:v>Kem dưỡng da</x:v>
      </x:c>
      <x:c r="K236"/>
      <x:c r="L236" t="str">
        <x:v>CÔNG TY TNHH BLING BY KIM</x:v>
      </x:c>
      <x:c r="M236" t="str">
        <x:v>C11/15A Phạm Hùng nối dài, xã Bình Hưng, huyện Bình Chánh, TP. Hồ Chí Minh, Việt Nam. Mã số doanh nghiệp: 0316512300</x:v>
      </x:c>
      <x:c r="N236"/>
      <x:c r="O236" t="str">
        <x:v>Thu hồi số tiếp nhận; đình chỉ lưu hành và thu hồi (QĐ 126/QĐ-QLD)</x:v>
      </x:c>
      <x:c r="P236" t="str">
        <x:v>A++ – Cục Quản lý Dược; company responsibility explicit</x:v>
      </x:c>
      <x:c r="Q236" t="str">
        <x:v>QĐ126/2026, STT 73, trang 9.</x:v>
      </x:c>
      <x:c r="R236" t="str">
        <x:v>https://dav.gov.vn/quyet-dinh-so-126qd-qld-ve-viec-thu-hoi-so-tiep-nhan-phieu-cong-bo-san-pham-my-pham-dinh-chi-luu-hanh-va-thu-hoi-san-pham-my-pham-theo-kl-cua-hd-my-pham-asean-doi-voi-san-pham-my-pham-co-chua-chat-cyclotetrasiloxane-octamethylcyclotetrasiloxane-n5224.html</x:v>
      </x:c>
      <x:c r="S236" t="str">
        <x:v>TP. Hồ Chí Minh</x:v>
      </x:c>
      <x:c r="T236" t="str">
        <x:v>79</x:v>
      </x:c>
    </x:row>
    <x:row r="237">
      <x:c r="A237" t="n">
        <x:v>236</x:v>
      </x:c>
      <x:c r="B237" s="330" t="n">
        <x:v>45904</x:v>
      </x:c>
      <x:c r="C237" s="330" t="n">
        <x:v>46080</x:v>
      </x:c>
      <x:c r="D237" t="n">
        <x:v>2025</x:v>
      </x:c>
      <x:c r="E237" t="n">
        <x:v>9</x:v>
      </x:c>
      <x:c r="F237" t="str">
        <x:v>288931/25/CBMP-QLD</x:v>
      </x:c>
      <x:c r="G237"/>
      <x:c r="H237" t="str">
        <x:v>Aily Complex Fragrance Soft &amp; Silky Conditioner</x:v>
      </x:c>
      <x:c r="I237" t="str">
        <x:v>aily</x:v>
      </x:c>
      <x:c r="J237" t="str">
        <x:v>Dầu xả</x:v>
      </x:c>
      <x:c r="K237"/>
      <x:c r="L237" t="str">
        <x:v>CÔNG TY TNHH CÔNG NGHỆ SINH HỌC LE LIN VIỆT NAM</x:v>
      </x:c>
      <x:c r="M237" t="str">
        <x:v>Số 273, đường Lý Anh Tông, khu đô thị Đại Hoàng Long liền kề 11, phường Võ Cường, TP. Bắc Ninh, tỉnh Bắc Ninh, Việt Nam. Mã số doanh nghiệp: 2301308698</x:v>
      </x:c>
      <x:c r="N237"/>
      <x:c r="O237" t="str">
        <x:v>Thu hồi số tiếp nhận; đình chỉ lưu hành và thu hồi (QĐ 126/QĐ-QLD)</x:v>
      </x:c>
      <x:c r="P237" t="str">
        <x:v>A++ – Cục Quản lý Dược; company responsibility explicit</x:v>
      </x:c>
      <x:c r="Q237" t="str">
        <x:v>QĐ126/2026, STT 76, trang 9.</x:v>
      </x:c>
      <x:c r="R237" t="str">
        <x:v>https://dav.gov.vn/quyet-dinh-so-126qd-qld-ve-viec-thu-hoi-so-tiep-nhan-phieu-cong-bo-san-pham-my-pham-dinh-chi-luu-hanh-va-thu-hoi-san-pham-my-pham-theo-kl-cua-hd-my-pham-asean-doi-voi-san-pham-my-pham-co-chua-chat-cyclotetrasiloxane-octamethylcyclotetrasiloxane-n5224.html</x:v>
      </x:c>
      <x:c r="S237" t="str">
        <x:v>Bắc Ninh</x:v>
      </x:c>
      <x:c r="T237" t="str">
        <x:v>24</x:v>
      </x:c>
    </x:row>
    <x:row r="238">
      <x:c r="A238" t="n">
        <x:v>237</x:v>
      </x:c>
      <x:c r="B238" s="330" t="n">
        <x:v>45296</x:v>
      </x:c>
      <x:c r="C238" s="330" t="n">
        <x:v>46080</x:v>
      </x:c>
      <x:c r="D238" t="n">
        <x:v>2024</x:v>
      </x:c>
      <x:c r="E238" t="n">
        <x:v>1</x:v>
      </x:c>
      <x:c r="F238" t="str">
        <x:v>221068/24/CBMP-QLD</x:v>
      </x:c>
      <x:c r="G238"/>
      <x:c r="H238" t="str">
        <x:v>Dermaline Hydro Refresh Cream</x:v>
      </x:c>
      <x:c r="I238" t="str">
        <x:v>DERMALI NE</x:v>
      </x:c>
      <x:c r="J238" t="str">
        <x:v>Kem dưỡng da</x:v>
      </x:c>
      <x:c r="K238"/>
      <x:c r="L238" t="str">
        <x:v>CÔNG TY TNHH CÔNG NGHỆ SINH HỌC SARAH LE</x:v>
      </x:c>
      <x:c r="M238" t="str">
        <x:v>Số 24A ngõ 36 phố Đào Tấn, phường Cống Vị, quận Ba Đình, TP. Hà Nội, Việt Nam. Mã số doanh nghiệp: 0110319783</x:v>
      </x:c>
      <x:c r="N238"/>
      <x:c r="O238" t="str">
        <x:v>Thu hồi số tiếp nhận; đình chỉ lưu hành và thu hồi (QĐ 126/QĐ-QLD)</x:v>
      </x:c>
      <x:c r="P238" t="str">
        <x:v>A++ – Cục Quản lý Dược; company responsibility explicit</x:v>
      </x:c>
      <x:c r="Q238" t="str">
        <x:v>QĐ126/2026, STT 77, trang 9.</x:v>
      </x:c>
      <x:c r="R238" t="str">
        <x:v>https://dav.gov.vn/quyet-dinh-so-126qd-qld-ve-viec-thu-hoi-so-tiep-nhan-phieu-cong-bo-san-pham-my-pham-dinh-chi-luu-hanh-va-thu-hoi-san-pham-my-pham-theo-kl-cua-hd-my-pham-asean-doi-voi-san-pham-my-pham-co-chua-chat-cyclotetrasiloxane-octamethylcyclotetrasiloxane-n5224.html</x:v>
      </x:c>
      <x:c r="S238" t="str">
        <x:v>Hà Nội</x:v>
      </x:c>
      <x:c r="T238" t="str">
        <x:v>01</x:v>
      </x:c>
    </x:row>
    <x:row r="239">
      <x:c r="A239" t="n">
        <x:v>238</x:v>
      </x:c>
      <x:c r="B239" s="330" t="n">
        <x:v>44956</x:v>
      </x:c>
      <x:c r="C239" s="330" t="n">
        <x:v>46080</x:v>
      </x:c>
      <x:c r="D239" t="n">
        <x:v>2023</x:v>
      </x:c>
      <x:c r="E239" t="n">
        <x:v>1</x:v>
      </x:c>
      <x:c r="F239" t="str">
        <x:v>193946/23/CBMP-QLD</x:v>
      </x:c>
      <x:c r="G239"/>
      <x:c r="H239" t="str">
        <x:v>Jnn-Ii Illuminate Tone Up Cream</x:v>
      </x:c>
      <x:c r="I239" t="str">
        <x:v>JNN-II</x:v>
      </x:c>
      <x:c r="J239" t="str">
        <x:v>Kem dưỡng da</x:v>
      </x:c>
      <x:c r="K239"/>
      <x:c r="L239" t="str">
        <x:v>Công ty TNHH Coral Vine</x:v>
      </x:c>
      <x:c r="M239" t="str">
        <x:v>33 Bạch Đằng, Phường 2, quận Tân Bình, TP. Hồ Chí Minh, Việt Nam. Mã số doanh nghiệp: 0317235064</x:v>
      </x:c>
      <x:c r="N239"/>
      <x:c r="O239" t="str">
        <x:v>Thu hồi số tiếp nhận; đình chỉ lưu hành và thu hồi (QĐ 126/QĐ-QLD)</x:v>
      </x:c>
      <x:c r="P239" t="str">
        <x:v>A++ – Cục Quản lý Dược; company responsibility explicit</x:v>
      </x:c>
      <x:c r="Q239" t="str">
        <x:v>QĐ126/2026, STT 79, trang 10.</x:v>
      </x:c>
      <x:c r="R239" t="str">
        <x:v>https://dav.gov.vn/quyet-dinh-so-126qd-qld-ve-viec-thu-hoi-so-tiep-nhan-phieu-cong-bo-san-pham-my-pham-dinh-chi-luu-hanh-va-thu-hoi-san-pham-my-pham-theo-kl-cua-hd-my-pham-asean-doi-voi-san-pham-my-pham-co-chua-chat-cyclotetrasiloxane-octamethylcyclotetrasiloxane-n5224.html</x:v>
      </x:c>
      <x:c r="S239" t="str">
        <x:v>TP. Hồ Chí Minh</x:v>
      </x:c>
      <x:c r="T239" t="str">
        <x:v>79</x:v>
      </x:c>
    </x:row>
    <x:row r="240">
      <x:c r="A240" t="n">
        <x:v>239</x:v>
      </x:c>
      <x:c r="B240" s="330" t="n">
        <x:v>45131</x:v>
      </x:c>
      <x:c r="C240" s="330" t="n">
        <x:v>46080</x:v>
      </x:c>
      <x:c r="D240" t="n">
        <x:v>2023</x:v>
      </x:c>
      <x:c r="E240" t="n">
        <x:v>7</x:v>
      </x:c>
      <x:c r="F240" t="str">
        <x:v>207242/23/CBMP-QLD</x:v>
      </x:c>
      <x:c r="G240"/>
      <x:c r="H240" t="str">
        <x:v>Harnn Mystique Revitalizing Conditioner</x:v>
      </x:c>
      <x:c r="I240" t="str">
        <x:v>HARNN</x:v>
      </x:c>
      <x:c r="J240" t="str">
        <x:v>Dầu xả</x:v>
      </x:c>
      <x:c r="K240"/>
      <x:c r="L240" t="str">
        <x:v>Công ty TNHH Cung ứng Cây Ô Liu</x:v>
      </x:c>
      <x:c r="M240" t="str">
        <x:v>165 Đỗ Pháp Thuận, Phường An Phú, TP. Thủ Đức, TP. Hồ Chí Minh, Việt Nam. Mã số doanh nghiệp: 0305938538</x:v>
      </x:c>
      <x:c r="N240"/>
      <x:c r="O240" t="str">
        <x:v>Thu hồi số tiếp nhận; đình chỉ lưu hành và thu hồi (QĐ 126/QĐ-QLD)</x:v>
      </x:c>
      <x:c r="P240" t="str">
        <x:v>A++ – Cục Quản lý Dược; company responsibility explicit</x:v>
      </x:c>
      <x:c r="Q240" t="str">
        <x:v>QĐ126/2026, STT 81, trang 10.</x:v>
      </x:c>
      <x:c r="R240" t="str">
        <x:v>https://dav.gov.vn/quyet-dinh-so-126qd-qld-ve-viec-thu-hoi-so-tiep-nhan-phieu-cong-bo-san-pham-my-pham-dinh-chi-luu-hanh-va-thu-hoi-san-pham-my-pham-theo-kl-cua-hd-my-pham-asean-doi-voi-san-pham-my-pham-co-chua-chat-cyclotetrasiloxane-octamethylcyclotetrasiloxane-n5224.html</x:v>
      </x:c>
      <x:c r="S240" t="str">
        <x:v>TP. Hồ Chí Minh</x:v>
      </x:c>
      <x:c r="T240" t="str">
        <x:v>79</x:v>
      </x:c>
    </x:row>
    <x:row r="241">
      <x:c r="A241" t="n">
        <x:v>240</x:v>
      </x:c>
      <x:c r="B241" s="330" t="n">
        <x:v>45204</x:v>
      </x:c>
      <x:c r="C241" s="330" t="n">
        <x:v>46080</x:v>
      </x:c>
      <x:c r="D241" t="n">
        <x:v>2023</x:v>
      </x:c>
      <x:c r="E241" t="n">
        <x:v>10</x:v>
      </x:c>
      <x:c r="F241" t="str">
        <x:v>213653/23/CBMP-QLD</x:v>
      </x:c>
      <x:c r="G241"/>
      <x:c r="H241" t="str">
        <x:v>Harnn White Mulberry &amp; Cica Anti-Aging Suncreen Spf50+/Pa++++</x:v>
      </x:c>
      <x:c r="I241" t="str">
        <x:v>HARNN</x:v>
      </x:c>
      <x:c r="J241" t="str">
        <x:v>Kem chống nắng</x:v>
      </x:c>
      <x:c r="K241"/>
      <x:c r="L241" t="str">
        <x:v>Công ty TNHH Cung ứng Cây Ô Liu</x:v>
      </x:c>
      <x:c r="M241" t="str">
        <x:v>165 Đỗ Pháp Thuận, Phường An Phú, TP. Thủ Đức, TP. Hồ Chí Minh, Việt Nam. Mã số doanh nghiệp: 0305938538</x:v>
      </x:c>
      <x:c r="N241"/>
      <x:c r="O241" t="str">
        <x:v>Thu hồi số tiếp nhận; đình chỉ lưu hành và thu hồi (QĐ 126/QĐ-QLD)</x:v>
      </x:c>
      <x:c r="P241" t="str">
        <x:v>A++ – Cục Quản lý Dược; company responsibility explicit</x:v>
      </x:c>
      <x:c r="Q241" t="str">
        <x:v>QĐ126/2026, STT 82, trang 10.</x:v>
      </x:c>
      <x:c r="R241" t="str">
        <x:v>https://dav.gov.vn/quyet-dinh-so-126qd-qld-ve-viec-thu-hoi-so-tiep-nhan-phieu-cong-bo-san-pham-my-pham-dinh-chi-luu-hanh-va-thu-hoi-san-pham-my-pham-theo-kl-cua-hd-my-pham-asean-doi-voi-san-pham-my-pham-co-chua-chat-cyclotetrasiloxane-octamethylcyclotetrasiloxane-n5224.html</x:v>
      </x:c>
      <x:c r="S241" t="str">
        <x:v>TP. Hồ Chí Minh</x:v>
      </x:c>
      <x:c r="T241" t="str">
        <x:v>79</x:v>
      </x:c>
    </x:row>
    <x:row r="242">
      <x:c r="A242" t="n">
        <x:v>241</x:v>
      </x:c>
      <x:c r="B242" s="330" t="n">
        <x:v>44979</x:v>
      </x:c>
      <x:c r="C242" s="330" t="n">
        <x:v>46080</x:v>
      </x:c>
      <x:c r="D242" t="n">
        <x:v>2023</x:v>
      </x:c>
      <x:c r="E242" t="n">
        <x:v>2</x:v>
      </x:c>
      <x:c r="F242" t="str">
        <x:v>195571/23/CBMP-QLD</x:v>
      </x:c>
      <x:c r="G242"/>
      <x:c r="H242" t="str">
        <x:v>NARUKO Raw Job ‘S Tears Brightening Lotion 120ml</x:v>
      </x:c>
      <x:c r="I242" t="str">
        <x:v>Naruko</x:v>
      </x:c>
      <x:c r="J242" t="str">
        <x:v>Kem dưỡng da</x:v>
      </x:c>
      <x:c r="K242"/>
      <x:c r="L242" t="str">
        <x:v>Công ty TNHH Đào Minh Tiên</x:v>
      </x:c>
      <x:c r="M242" t="str">
        <x:v>6A đường Nguyễn Ngọc Nhựt, phường Tân Quý, quận Tân Phú, TP. Hồ Chí Minh, Việt Nam. Mã số doanh nghiệp: 0314552749</x:v>
      </x:c>
      <x:c r="N242"/>
      <x:c r="O242" t="str">
        <x:v>Thu hồi số tiếp nhận; đình chỉ lưu hành và thu hồi (QĐ 126/QĐ-QLD)</x:v>
      </x:c>
      <x:c r="P242" t="str">
        <x:v>A++ – Cục Quản lý Dược; company responsibility explicit</x:v>
      </x:c>
      <x:c r="Q242" t="str">
        <x:v>QĐ126/2026, STT 84, trang 10.</x:v>
      </x:c>
      <x:c r="R242" t="str">
        <x:v>https://dav.gov.vn/quyet-dinh-so-126qd-qld-ve-viec-thu-hoi-so-tiep-nhan-phieu-cong-bo-san-pham-my-pham-dinh-chi-luu-hanh-va-thu-hoi-san-pham-my-pham-theo-kl-cua-hd-my-pham-asean-doi-voi-san-pham-my-pham-co-chua-chat-cyclotetrasiloxane-octamethylcyclotetrasiloxane-n5224.html</x:v>
      </x:c>
      <x:c r="S242" t="str">
        <x:v>TP. Hồ Chí Minh</x:v>
      </x:c>
      <x:c r="T242" t="str">
        <x:v>79</x:v>
      </x:c>
    </x:row>
    <x:row r="243">
      <x:c r="A243" t="n">
        <x:v>242</x:v>
      </x:c>
      <x:c r="B243" s="330" t="n">
        <x:v>45417</x:v>
      </x:c>
      <x:c r="C243" s="330" t="n">
        <x:v>46080</x:v>
      </x:c>
      <x:c r="D243" t="n">
        <x:v>2024</x:v>
      </x:c>
      <x:c r="E243" t="n">
        <x:v>5</x:v>
      </x:c>
      <x:c r="F243" t="str">
        <x:v>234949/24/CBMP-QLD</x:v>
      </x:c>
      <x:c r="G243"/>
      <x:c r="H243" t="str">
        <x:v>Naruko Taiwan Magnolia Up &amp; Firm Hydra Mask</x:v>
      </x:c>
      <x:c r="I243" t="str">
        <x:v>Naruko</x:v>
      </x:c>
      <x:c r="J243" t="str">
        <x:v>Mặt nạ</x:v>
      </x:c>
      <x:c r="K243"/>
      <x:c r="L243" t="str">
        <x:v>Công ty TNHH Đào Minh Tiên</x:v>
      </x:c>
      <x:c r="M243" t="str">
        <x:v>6A đường Nguyễn Ngọc Nhựt, phường Tân Quý, quận Tân Phú, TP. Hồ Chí Minh, Việt Nam. Mã số doanh nghiệp: 0314552749</x:v>
      </x:c>
      <x:c r="N243"/>
      <x:c r="O243" t="str">
        <x:v>Thu hồi số tiếp nhận; đình chỉ lưu hành và thu hồi (QĐ 126/QĐ-QLD)</x:v>
      </x:c>
      <x:c r="P243" t="str">
        <x:v>A++ – Cục Quản lý Dược; company responsibility explicit</x:v>
      </x:c>
      <x:c r="Q243" t="str">
        <x:v>QĐ126/2026, STT 85, trang 10.</x:v>
      </x:c>
      <x:c r="R243" t="str">
        <x:v>https://dav.gov.vn/quyet-dinh-so-126qd-qld-ve-viec-thu-hoi-so-tiep-nhan-phieu-cong-bo-san-pham-my-pham-dinh-chi-luu-hanh-va-thu-hoi-san-pham-my-pham-theo-kl-cua-hd-my-pham-asean-doi-voi-san-pham-my-pham-co-chua-chat-cyclotetrasiloxane-octamethylcyclotetrasiloxane-n5224.html</x:v>
      </x:c>
      <x:c r="S243" t="str">
        <x:v>TP. Hồ Chí Minh</x:v>
      </x:c>
      <x:c r="T243" t="str">
        <x:v>79</x:v>
      </x:c>
    </x:row>
    <x:row r="244">
      <x:c r="A244" t="n">
        <x:v>243</x:v>
      </x:c>
      <x:c r="B244" s="330" t="n">
        <x:v>45603</x:v>
      </x:c>
      <x:c r="C244" s="330" t="n">
        <x:v>46080</x:v>
      </x:c>
      <x:c r="D244" t="n">
        <x:v>2024</x:v>
      </x:c>
      <x:c r="E244" t="n">
        <x:v>11</x:v>
      </x:c>
      <x:c r="F244" t="str">
        <x:v>254778/24/CBMP-QLD</x:v>
      </x:c>
      <x:c r="G244"/>
      <x:c r="H244" t="str">
        <x:v>Naruko Raw Job’s Tears Brightening Lotion</x:v>
      </x:c>
      <x:c r="I244" t="str">
        <x:v>Naruko</x:v>
      </x:c>
      <x:c r="J244" t="str">
        <x:v>Kem dưỡng da</x:v>
      </x:c>
      <x:c r="K244"/>
      <x:c r="L244" t="str">
        <x:v>Công ty TNHH Đào Minh Tiên</x:v>
      </x:c>
      <x:c r="M244" t="str">
        <x:v>6A đường Nguyễn Ngọc Nhựt, phường Tân Quý, quận Tân Phú, TP. Hồ Chí Minh, Việt Nam. Mã số doanh nghiệp: 0314552749</x:v>
      </x:c>
      <x:c r="N244"/>
      <x:c r="O244" t="str">
        <x:v>Thu hồi số tiếp nhận; đình chỉ lưu hành và thu hồi (QĐ 126/QĐ-QLD)</x:v>
      </x:c>
      <x:c r="P244" t="str">
        <x:v>A++ – Cục Quản lý Dược; company responsibility explicit</x:v>
      </x:c>
      <x:c r="Q244" t="str">
        <x:v>QĐ126/2026, STT 86, trang 10.</x:v>
      </x:c>
      <x:c r="R244" t="str">
        <x:v>https://dav.gov.vn/quyet-dinh-so-126qd-qld-ve-viec-thu-hoi-so-tiep-nhan-phieu-cong-bo-san-pham-my-pham-dinh-chi-luu-hanh-va-thu-hoi-san-pham-my-pham-theo-kl-cua-hd-my-pham-asean-doi-voi-san-pham-my-pham-co-chua-chat-cyclotetrasiloxane-octamethylcyclotetrasiloxane-n5224.html</x:v>
      </x:c>
      <x:c r="S244" t="str">
        <x:v>TP. Hồ Chí Minh</x:v>
      </x:c>
      <x:c r="T244" t="str">
        <x:v>79</x:v>
      </x:c>
    </x:row>
    <x:row r="245">
      <x:c r="A245" t="n">
        <x:v>244</x:v>
      </x:c>
      <x:c r="B245" s="330" t="n">
        <x:v>45475</x:v>
      </x:c>
      <x:c r="C245" s="330" t="n">
        <x:v>46080</x:v>
      </x:c>
      <x:c r="D245" t="n">
        <x:v>2024</x:v>
      </x:c>
      <x:c r="E245" t="n">
        <x:v>7</x:v>
      </x:c>
      <x:c r="F245" t="str">
        <x:v>241617/24/CBMP-QLD</x:v>
      </x:c>
      <x:c r="G245"/>
      <x:c r="H245" t="str">
        <x:v>Pattrena Trio Blossom Conditioner</x:v>
      </x:c>
      <x:c r="I245" t="str">
        <x:v>PATTREN A</x:v>
      </x:c>
      <x:c r="J245" t="str">
        <x:v>Dầu xả</x:v>
      </x:c>
      <x:c r="K245"/>
      <x:c r="L245" t="str">
        <x:v>Công ty TNHH Đầu Tư Á Âu</x:v>
      </x:c>
      <x:c r="M245" t="str">
        <x:v>06, A7, phường Ngọc Khánh, quận Ba Đình, TP. Hà Nội, Việt Nam. Mã số doanh nghiệp: 0106007051</x:v>
      </x:c>
      <x:c r="N245"/>
      <x:c r="O245" t="str">
        <x:v>Thu hồi số tiếp nhận; đình chỉ lưu hành và thu hồi (QĐ 126/QĐ-QLD)</x:v>
      </x:c>
      <x:c r="P245" t="str">
        <x:v>A++ – Cục Quản lý Dược; company responsibility explicit</x:v>
      </x:c>
      <x:c r="Q245" t="str">
        <x:v>QĐ126/2026, STT 87, trang 10.</x:v>
      </x:c>
      <x:c r="R245" t="str">
        <x:v>https://dav.gov.vn/quyet-dinh-so-126qd-qld-ve-viec-thu-hoi-so-tiep-nhan-phieu-cong-bo-san-pham-my-pham-dinh-chi-luu-hanh-va-thu-hoi-san-pham-my-pham-theo-kl-cua-hd-my-pham-asean-doi-voi-san-pham-my-pham-co-chua-chat-cyclotetrasiloxane-octamethylcyclotetrasiloxane-n5224.html</x:v>
      </x:c>
      <x:c r="S245" t="str">
        <x:v>Hà Nội</x:v>
      </x:c>
      <x:c r="T245" t="str">
        <x:v>01</x:v>
      </x:c>
    </x:row>
    <x:row r="246">
      <x:c r="A246" t="n">
        <x:v>245</x:v>
      </x:c>
      <x:c r="B246" s="330" t="n">
        <x:v>45848</x:v>
      </x:c>
      <x:c r="C246" s="330" t="n">
        <x:v>46080</x:v>
      </x:c>
      <x:c r="D246" t="n">
        <x:v>2025</x:v>
      </x:c>
      <x:c r="E246" t="n">
        <x:v>7</x:v>
      </x:c>
      <x:c r="F246" t="str">
        <x:v>280628/25/CBMP-QLD</x:v>
      </x:c>
      <x:c r="G246"/>
      <x:c r="H246" t="str">
        <x:v>Lyciina N.H Hydrozinc Collagen Complex Cream</x:v>
      </x:c>
      <x:c r="I246" t="str">
        <x:v>LYCIINA N.H</x:v>
      </x:c>
      <x:c r="J246" t="str">
        <x:v>Kem dưỡng da</x:v>
      </x:c>
      <x:c r="K246"/>
      <x:c r="L246" t="str">
        <x:v>Công ty TNHH Đầu tư phát triển thương mại và Dịch vụ Thiên Phúc</x:v>
      </x:c>
      <x:c r="M246" t="str">
        <x:v>Số 32 T2 Ngõ Hàng Gà, phường An Biên, quận Lê Chân, TP. Hải Phòng, Việt Nam. Mã số doanh nghiệp: 0201896770</x:v>
      </x:c>
      <x:c r="N246"/>
      <x:c r="O246" t="str">
        <x:v>Thu hồi số tiếp nhận; đình chỉ lưu hành và thu hồi (QĐ 126/QĐ-QLD)</x:v>
      </x:c>
      <x:c r="P246" t="str">
        <x:v>A++ – Cục Quản lý Dược; company responsibility explicit</x:v>
      </x:c>
      <x:c r="Q246" t="str">
        <x:v>QĐ126/2026, STT 88, trang 10.</x:v>
      </x:c>
      <x:c r="R246" t="str">
        <x:v>https://dav.gov.vn/quyet-dinh-so-126qd-qld-ve-viec-thu-hoi-so-tiep-nhan-phieu-cong-bo-san-pham-my-pham-dinh-chi-luu-hanh-va-thu-hoi-san-pham-my-pham-theo-kl-cua-hd-my-pham-asean-doi-voi-san-pham-my-pham-co-chua-chat-cyclotetrasiloxane-octamethylcyclotetrasiloxane-n5224.html</x:v>
      </x:c>
      <x:c r="S246" t="str">
        <x:v>Hải Phòng</x:v>
      </x:c>
      <x:c r="T246" t="str">
        <x:v>31</x:v>
      </x:c>
    </x:row>
    <x:row r="247">
      <x:c r="A247" t="n">
        <x:v>246</x:v>
      </x:c>
      <x:c r="B247" s="330" t="n">
        <x:v>45362</x:v>
      </x:c>
      <x:c r="C247" s="330" t="n">
        <x:v>46080</x:v>
      </x:c>
      <x:c r="D247" t="n">
        <x:v>2024</x:v>
      </x:c>
      <x:c r="E247" t="n">
        <x:v>3</x:v>
      </x:c>
      <x:c r="F247" t="str">
        <x:v>228126/24/CBMP-QLD</x:v>
      </x:c>
      <x:c r="G247"/>
      <x:c r="H247" t="str">
        <x:v>Feeblin Primer</x:v>
      </x:c>
      <x:c r="I247"/>
      <x:c r="J247" t="str">
        <x:v>Khác</x:v>
      </x:c>
      <x:c r="K247"/>
      <x:c r="L247" t="str">
        <x:v>Công ty TNHH đầu tư thiết bị công nghệ NTN GLOBAL</x:v>
      </x:c>
      <x:c r="M247" t="str">
        <x:v>Số 10 phố Nghĩa Đô, tổ 18, phường Nghĩa Đô, quận Cầu Giấy, TP. Hà Nội, Việt Nam. Mã số doanh nghiệp: 0106021017</x:v>
      </x:c>
      <x:c r="N247"/>
      <x:c r="O247" t="str">
        <x:v>Thu hồi số tiếp nhận; đình chỉ lưu hành và thu hồi (QĐ 126/QĐ-QLD)</x:v>
      </x:c>
      <x:c r="P247" t="str">
        <x:v>A++ – Cục Quản lý Dược; company responsibility explicit</x:v>
      </x:c>
      <x:c r="Q247" t="str">
        <x:v>QĐ126/2026, STT 89, trang 10.</x:v>
      </x:c>
      <x:c r="R247" t="str">
        <x:v>https://dav.gov.vn/quyet-dinh-so-126qd-qld-ve-viec-thu-hoi-so-tiep-nhan-phieu-cong-bo-san-pham-my-pham-dinh-chi-luu-hanh-va-thu-hoi-san-pham-my-pham-theo-kl-cua-hd-my-pham-asean-doi-voi-san-pham-my-pham-co-chua-chat-cyclotetrasiloxane-octamethylcyclotetrasiloxane-n5224.html</x:v>
      </x:c>
      <x:c r="S247" t="str">
        <x:v>Hà Nội</x:v>
      </x:c>
      <x:c r="T247" t="str">
        <x:v>01</x:v>
      </x:c>
    </x:row>
    <x:row r="248">
      <x:c r="A248" t="n">
        <x:v>247</x:v>
      </x:c>
      <x:c r="B248" s="330" t="n">
        <x:v>44777</x:v>
      </x:c>
      <x:c r="C248" s="330" t="n">
        <x:v>46080</x:v>
      </x:c>
      <x:c r="D248" t="n">
        <x:v>2022</x:v>
      </x:c>
      <x:c r="E248" t="n">
        <x:v>8</x:v>
      </x:c>
      <x:c r="F248" t="str">
        <x:v>176496/22/CBMP-QLD</x:v>
      </x:c>
      <x:c r="G248"/>
      <x:c r="H248" t="str">
        <x:v>Kandaneisi Hydrating Hair Treatment Hair Mask</x:v>
      </x:c>
      <x:c r="I248" t="str">
        <x:v>KANDAN EISI</x:v>
      </x:c>
      <x:c r="J248" t="str">
        <x:v>Mặt nạ</x:v>
      </x:c>
      <x:c r="K248"/>
      <x:c r="L248" t="str">
        <x:v>Công ty TNHH đầu tư thương mại Ngọc Hân</x:v>
      </x:c>
      <x:c r="M248" t="str">
        <x:v>Số 732, đường Hùng Vương, phường Đồng Tâm, TP. Vĩnh Yên, tỉnh Vĩnh Phúc, Việt Nam. Mã số doanh nghiệp: 2500677523</x:v>
      </x:c>
      <x:c r="N248"/>
      <x:c r="O248" t="str">
        <x:v>Thu hồi số tiếp nhận; đình chỉ lưu hành và thu hồi (QĐ 126/QĐ-QLD)</x:v>
      </x:c>
      <x:c r="P248" t="str">
        <x:v>A++ – Cục Quản lý Dược; company responsibility explicit</x:v>
      </x:c>
      <x:c r="Q248" t="str">
        <x:v>QĐ126/2026, STT 90, trang 11.</x:v>
      </x:c>
      <x:c r="R248" t="str">
        <x:v>https://dav.gov.vn/quyet-dinh-so-126qd-qld-ve-viec-thu-hoi-so-tiep-nhan-phieu-cong-bo-san-pham-my-pham-dinh-chi-luu-hanh-va-thu-hoi-san-pham-my-pham-theo-kl-cua-hd-my-pham-asean-doi-voi-san-pham-my-pham-co-chua-chat-cyclotetrasiloxane-octamethylcyclotetrasiloxane-n5224.html</x:v>
      </x:c>
      <x:c r="S248" t="str">
        <x:v>Phú Thọ</x:v>
      </x:c>
      <x:c r="T248" t="str">
        <x:v>25</x:v>
      </x:c>
    </x:row>
    <x:row r="249">
      <x:c r="A249" t="n">
        <x:v>248</x:v>
      </x:c>
      <x:c r="B249" s="330" t="n">
        <x:v>44809</x:v>
      </x:c>
      <x:c r="C249" s="330" t="n">
        <x:v>46080</x:v>
      </x:c>
      <x:c r="D249" t="n">
        <x:v>2022</x:v>
      </x:c>
      <x:c r="E249" t="n">
        <x:v>9</x:v>
      </x:c>
      <x:c r="F249" t="str">
        <x:v>180806/22/CBMP-QLD</x:v>
      </x:c>
      <x:c r="G249"/>
      <x:c r="H249" t="str">
        <x:v>Kandaneisi Hydration Supple Conditioner</x:v>
      </x:c>
      <x:c r="I249" t="str">
        <x:v>KANDAN EISI</x:v>
      </x:c>
      <x:c r="J249" t="str">
        <x:v>Dầu xả</x:v>
      </x:c>
      <x:c r="K249"/>
      <x:c r="L249" t="str">
        <x:v>Công ty TNHH đầu tư thương mại Ngọc Hân</x:v>
      </x:c>
      <x:c r="M249" t="str">
        <x:v>Số 732, đường Hùng Vương, phường Đồng Tâm, TP. Vĩnh Yên, tỉnh Vĩnh Phúc, Việt Nam. Mã số doanh nghiệp: 2500677523</x:v>
      </x:c>
      <x:c r="N249"/>
      <x:c r="O249" t="str">
        <x:v>Thu hồi số tiếp nhận; đình chỉ lưu hành và thu hồi (QĐ 126/QĐ-QLD)</x:v>
      </x:c>
      <x:c r="P249" t="str">
        <x:v>A++ – Cục Quản lý Dược; company responsibility explicit</x:v>
      </x:c>
      <x:c r="Q249" t="str">
        <x:v>QĐ126/2026, STT 91, trang 11.</x:v>
      </x:c>
      <x:c r="R249" t="str">
        <x:v>https://dav.gov.vn/quyet-dinh-so-126qd-qld-ve-viec-thu-hoi-so-tiep-nhan-phieu-cong-bo-san-pham-my-pham-dinh-chi-luu-hanh-va-thu-hoi-san-pham-my-pham-theo-kl-cua-hd-my-pham-asean-doi-voi-san-pham-my-pham-co-chua-chat-cyclotetrasiloxane-octamethylcyclotetrasiloxane-n5224.html</x:v>
      </x:c>
      <x:c r="S249" t="str">
        <x:v>Phú Thọ</x:v>
      </x:c>
      <x:c r="T249" t="str">
        <x:v>25</x:v>
      </x:c>
    </x:row>
    <x:row r="250">
      <x:c r="A250" t="n">
        <x:v>249</x:v>
      </x:c>
      <x:c r="B250" s="330" t="n">
        <x:v>44848</x:v>
      </x:c>
      <x:c r="C250" s="330" t="n">
        <x:v>46080</x:v>
      </x:c>
      <x:c r="D250" t="n">
        <x:v>2022</x:v>
      </x:c>
      <x:c r="E250" t="n">
        <x:v>10</x:v>
      </x:c>
      <x:c r="F250" t="str">
        <x:v>185803/22/CBMP-QLD</x:v>
      </x:c>
      <x:c r="G250"/>
      <x:c r="H250" t="str">
        <x:v>Carebeau Vitamin E Moisturizing Cream Green</x:v>
      </x:c>
      <x:c r="I250" t="str">
        <x:v>CAREBEA U</x:v>
      </x:c>
      <x:c r="J250" t="str">
        <x:v>Kem dưỡng da</x:v>
      </x:c>
      <x:c r="K250"/>
      <x:c r="L250" t="str">
        <x:v>Công ty TNHH đầu tư thương mại và dịch vụ Thương Tín</x:v>
      </x:c>
      <x:c r="M250" t="str">
        <x:v>Số nhà 17 ngách 351/81/3 thôn Đại Đồng, phường Thụy Phương, quận Bắc Từ Liêm, TP. Hà Nội, Việt Nam. Mã số doanh nghiệp: 0106292176</x:v>
      </x:c>
      <x:c r="N250"/>
      <x:c r="O250" t="str">
        <x:v>Thu hồi số tiếp nhận; đình chỉ lưu hành và thu hồi (QĐ 126/QĐ-QLD)</x:v>
      </x:c>
      <x:c r="P250" t="str">
        <x:v>A++ – Cục Quản lý Dược; company responsibility explicit</x:v>
      </x:c>
      <x:c r="Q250" t="str">
        <x:v>QĐ126/2026, STT 97, trang 11.</x:v>
      </x:c>
      <x:c r="R250" t="str">
        <x:v>https://dav.gov.vn/quyet-dinh-so-126qd-qld-ve-viec-thu-hoi-so-tiep-nhan-phieu-cong-bo-san-pham-my-pham-dinh-chi-luu-hanh-va-thu-hoi-san-pham-my-pham-theo-kl-cua-hd-my-pham-asean-doi-voi-san-pham-my-pham-co-chua-chat-cyclotetrasiloxane-octamethylcyclotetrasiloxane-n5224.html</x:v>
      </x:c>
      <x:c r="S250" t="str">
        <x:v>Hà Nội</x:v>
      </x:c>
      <x:c r="T250" t="str">
        <x:v>01</x:v>
      </x:c>
    </x:row>
    <x:row r="251">
      <x:c r="A251" t="n">
        <x:v>250</x:v>
      </x:c>
      <x:c r="B251" s="330" t="n">
        <x:v>44848</x:v>
      </x:c>
      <x:c r="C251" s="330" t="n">
        <x:v>46080</x:v>
      </x:c>
      <x:c r="D251" t="n">
        <x:v>2022</x:v>
      </x:c>
      <x:c r="E251" t="n">
        <x:v>10</x:v>
      </x:c>
      <x:c r="F251" t="str">
        <x:v>185804/22/CBMP-QLD</x:v>
      </x:c>
      <x:c r="G251"/>
      <x:c r="H251" t="str">
        <x:v>Carebeau Vitamin E Moisturizing Cream Pink</x:v>
      </x:c>
      <x:c r="I251" t="str">
        <x:v>CAREBEA U</x:v>
      </x:c>
      <x:c r="J251" t="str">
        <x:v>Kem dưỡng da</x:v>
      </x:c>
      <x:c r="K251"/>
      <x:c r="L251" t="str">
        <x:v>Công ty TNHH đầu tư thương mại và dịch vụ Thương Tín</x:v>
      </x:c>
      <x:c r="M251" t="str">
        <x:v>Số nhà 17 ngách 351/81/3 thôn Đại Đồng, phường Thụy Phương, quận Bắc Từ Liêm, TP. Hà Nội, Việt Nam. Mã số doanh nghiệp: 0106292176</x:v>
      </x:c>
      <x:c r="N251"/>
      <x:c r="O251" t="str">
        <x:v>Thu hồi số tiếp nhận; đình chỉ lưu hành và thu hồi (QĐ 126/QĐ-QLD)</x:v>
      </x:c>
      <x:c r="P251" t="str">
        <x:v>A++ – Cục Quản lý Dược; company responsibility explicit</x:v>
      </x:c>
      <x:c r="Q251" t="str">
        <x:v>QĐ126/2026, STT 98, trang 11.</x:v>
      </x:c>
      <x:c r="R251" t="str">
        <x:v>https://dav.gov.vn/quyet-dinh-so-126qd-qld-ve-viec-thu-hoi-so-tiep-nhan-phieu-cong-bo-san-pham-my-pham-dinh-chi-luu-hanh-va-thu-hoi-san-pham-my-pham-theo-kl-cua-hd-my-pham-asean-doi-voi-san-pham-my-pham-co-chua-chat-cyclotetrasiloxane-octamethylcyclotetrasiloxane-n5224.html</x:v>
      </x:c>
      <x:c r="S251" t="str">
        <x:v>Hà Nội</x:v>
      </x:c>
      <x:c r="T251" t="str">
        <x:v>01</x:v>
      </x:c>
    </x:row>
    <x:row r="252">
      <x:c r="A252" t="n">
        <x:v>251</x:v>
      </x:c>
      <x:c r="B252" s="330" t="n">
        <x:v>44848</x:v>
      </x:c>
      <x:c r="C252" s="330" t="n">
        <x:v>46080</x:v>
      </x:c>
      <x:c r="D252" t="n">
        <x:v>2022</x:v>
      </x:c>
      <x:c r="E252" t="n">
        <x:v>10</x:v>
      </x:c>
      <x:c r="F252" t="str">
        <x:v>185808/22/CBMP-QLD</x:v>
      </x:c>
      <x:c r="G252"/>
      <x:c r="H252" t="str">
        <x:v>Carebeau Keratin Shampoo</x:v>
      </x:c>
      <x:c r="I252" t="str">
        <x:v>CAREBEA U</x:v>
      </x:c>
      <x:c r="J252" t="str">
        <x:v>Dầu gội</x:v>
      </x:c>
      <x:c r="K252"/>
      <x:c r="L252" t="str">
        <x:v>Công ty TNHH đầu tư thương mại và dịch vụ Thương Tín</x:v>
      </x:c>
      <x:c r="M252" t="str">
        <x:v>Số nhà 17 ngách 351/81/3 thôn Đại Đồng, phường Thụy Phương, quận Bắc Từ Liêm, TP. Hà Nội, Việt Nam. Mã số doanh nghiệp: 0106292176</x:v>
      </x:c>
      <x:c r="N252"/>
      <x:c r="O252" t="str">
        <x:v>Thu hồi số tiếp nhận; đình chỉ lưu hành và thu hồi (QĐ 126/QĐ-QLD)</x:v>
      </x:c>
      <x:c r="P252" t="str">
        <x:v>A++ – Cục Quản lý Dược; company responsibility explicit</x:v>
      </x:c>
      <x:c r="Q252" t="str">
        <x:v>QĐ126/2026, STT 99, trang 11.</x:v>
      </x:c>
      <x:c r="R252" t="str">
        <x:v>https://dav.gov.vn/quyet-dinh-so-126qd-qld-ve-viec-thu-hoi-so-tiep-nhan-phieu-cong-bo-san-pham-my-pham-dinh-chi-luu-hanh-va-thu-hoi-san-pham-my-pham-theo-kl-cua-hd-my-pham-asean-doi-voi-san-pham-my-pham-co-chua-chat-cyclotetrasiloxane-octamethylcyclotetrasiloxane-n5224.html</x:v>
      </x:c>
      <x:c r="S252" t="str">
        <x:v>Hà Nội</x:v>
      </x:c>
      <x:c r="T252" t="str">
        <x:v>01</x:v>
      </x:c>
    </x:row>
    <x:row r="253">
      <x:c r="A253" t="n">
        <x:v>252</x:v>
      </x:c>
      <x:c r="B253" s="330" t="n">
        <x:v>44848</x:v>
      </x:c>
      <x:c r="C253" s="330" t="n">
        <x:v>46080</x:v>
      </x:c>
      <x:c r="D253" t="n">
        <x:v>2022</x:v>
      </x:c>
      <x:c r="E253" t="n">
        <x:v>10</x:v>
      </x:c>
      <x:c r="F253" t="str">
        <x:v>185820/22/CBMP-QLD</x:v>
      </x:c>
      <x:c r="G253"/>
      <x:c r="H253" t="str">
        <x:v>Carebeau Vitamin E Moisturizing Cream White</x:v>
      </x:c>
      <x:c r="I253" t="str">
        <x:v>CAREBEA U</x:v>
      </x:c>
      <x:c r="J253" t="str">
        <x:v>Kem dưỡng da</x:v>
      </x:c>
      <x:c r="K253"/>
      <x:c r="L253" t="str">
        <x:v>Công ty TNHH đầu tư thương mại và dịch vụ Thương Tín</x:v>
      </x:c>
      <x:c r="M253" t="str">
        <x:v>Số nhà 17 ngách 351/81/3 thôn Đại Đồng, phường Thụy Phương, quận Bắc Từ Liêm, TP. Hà Nội, Việt Nam. Mã số doanh nghiệp: 0106292176</x:v>
      </x:c>
      <x:c r="N253"/>
      <x:c r="O253" t="str">
        <x:v>Thu hồi số tiếp nhận; đình chỉ lưu hành và thu hồi (QĐ 126/QĐ-QLD)</x:v>
      </x:c>
      <x:c r="P253" t="str">
        <x:v>A++ – Cục Quản lý Dược; company responsibility explicit</x:v>
      </x:c>
      <x:c r="Q253" t="str">
        <x:v>QĐ126/2026, STT 100, trang 11.</x:v>
      </x:c>
      <x:c r="R253" t="str">
        <x:v>https://dav.gov.vn/quyet-dinh-so-126qd-qld-ve-viec-thu-hoi-so-tiep-nhan-phieu-cong-bo-san-pham-my-pham-dinh-chi-luu-hanh-va-thu-hoi-san-pham-my-pham-theo-kl-cua-hd-my-pham-asean-doi-voi-san-pham-my-pham-co-chua-chat-cyclotetrasiloxane-octamethylcyclotetrasiloxane-n5224.html</x:v>
      </x:c>
      <x:c r="S253" t="str">
        <x:v>Hà Nội</x:v>
      </x:c>
      <x:c r="T253" t="str">
        <x:v>01</x:v>
      </x:c>
    </x:row>
    <x:row r="254">
      <x:c r="A254" t="n">
        <x:v>253</x:v>
      </x:c>
      <x:c r="B254" s="330" t="n">
        <x:v>45362</x:v>
      </x:c>
      <x:c r="C254" s="330" t="n">
        <x:v>46080</x:v>
      </x:c>
      <x:c r="D254" t="n">
        <x:v>2024</x:v>
      </x:c>
      <x:c r="E254" t="n">
        <x:v>3</x:v>
      </x:c>
      <x:c r="F254" t="str">
        <x:v>228360/24/CBMP-QLD</x:v>
      </x:c>
      <x:c r="G254"/>
      <x:c r="H254" t="str">
        <x:v>Carebeau Botanical Lotion</x:v>
      </x:c>
      <x:c r="I254" t="str">
        <x:v>CAREBEA U</x:v>
      </x:c>
      <x:c r="J254" t="str">
        <x:v>Kem dưỡng da</x:v>
      </x:c>
      <x:c r="K254"/>
      <x:c r="L254" t="str">
        <x:v>Công ty TNHH đầu tư thương mại và dịch vụ Thương Tín</x:v>
      </x:c>
      <x:c r="M254" t="str">
        <x:v>Số nhà 17 ngách 351/81/3 thôn Đại Đồng, phường Thụy Phương, quận Bắc Từ Liêm, TP. Hà Nội, Việt Nam. Mã số doanh nghiệp: 0106292176</x:v>
      </x:c>
      <x:c r="N254"/>
      <x:c r="O254" t="str">
        <x:v>Thu hồi số tiếp nhận; đình chỉ lưu hành và thu hồi (QĐ 126/QĐ-QLD)</x:v>
      </x:c>
      <x:c r="P254" t="str">
        <x:v>A++ – Cục Quản lý Dược; company responsibility explicit</x:v>
      </x:c>
      <x:c r="Q254" t="str">
        <x:v>QĐ126/2026, STT 101, trang 11.</x:v>
      </x:c>
      <x:c r="R254" t="str">
        <x:v>https://dav.gov.vn/quyet-dinh-so-126qd-qld-ve-viec-thu-hoi-so-tiep-nhan-phieu-cong-bo-san-pham-my-pham-dinh-chi-luu-hanh-va-thu-hoi-san-pham-my-pham-theo-kl-cua-hd-my-pham-asean-doi-voi-san-pham-my-pham-co-chua-chat-cyclotetrasiloxane-octamethylcyclotetrasiloxane-n5224.html</x:v>
      </x:c>
      <x:c r="S254" t="str">
        <x:v>Hà Nội</x:v>
      </x:c>
      <x:c r="T254" t="str">
        <x:v>01</x:v>
      </x:c>
    </x:row>
    <x:row r="255">
      <x:c r="A255" t="n">
        <x:v>254</x:v>
      </x:c>
      <x:c r="B255" s="330" t="n">
        <x:v>45362</x:v>
      </x:c>
      <x:c r="C255" s="330" t="n">
        <x:v>46080</x:v>
      </x:c>
      <x:c r="D255" t="n">
        <x:v>2024</x:v>
      </x:c>
      <x:c r="E255" t="n">
        <x:v>3</x:v>
      </x:c>
      <x:c r="F255" t="str">
        <x:v>228361/24/CBMP-QLD</x:v>
      </x:c>
      <x:c r="G255"/>
      <x:c r="H255" t="str">
        <x:v>Deya Body Cream Vitamin E 10x</x:v>
      </x:c>
      <x:c r="I255" t="str">
        <x:v>DEYA</x:v>
      </x:c>
      <x:c r="J255" t="str">
        <x:v>Kem body</x:v>
      </x:c>
      <x:c r="K255"/>
      <x:c r="L255" t="str">
        <x:v>Công ty TNHH đầu tư thương mại và dịch vụ Thương Tín</x:v>
      </x:c>
      <x:c r="M255" t="str">
        <x:v>Số nhà 17 ngách 351/81/3 thôn Đại Đồng, phường Thụy Phương, quận Bắc Từ Liêm, TP. Hà Nội, Việt Nam. Mã số doanh nghiệp: 0106292176</x:v>
      </x:c>
      <x:c r="N255"/>
      <x:c r="O255" t="str">
        <x:v>Thu hồi số tiếp nhận; đình chỉ lưu hành và thu hồi (QĐ 126/QĐ-QLD)</x:v>
      </x:c>
      <x:c r="P255" t="str">
        <x:v>A++ – Cục Quản lý Dược; company responsibility explicit</x:v>
      </x:c>
      <x:c r="Q255" t="str">
        <x:v>QĐ126/2026, STT 102, trang 11.</x:v>
      </x:c>
      <x:c r="R255" t="str">
        <x:v>https://dav.gov.vn/quyet-dinh-so-126qd-qld-ve-viec-thu-hoi-so-tiep-nhan-phieu-cong-bo-san-pham-my-pham-dinh-chi-luu-hanh-va-thu-hoi-san-pham-my-pham-theo-kl-cua-hd-my-pham-asean-doi-voi-san-pham-my-pham-co-chua-chat-cyclotetrasiloxane-octamethylcyclotetrasiloxane-n5224.html</x:v>
      </x:c>
      <x:c r="S255" t="str">
        <x:v>Hà Nội</x:v>
      </x:c>
      <x:c r="T255" t="str">
        <x:v>01</x:v>
      </x:c>
    </x:row>
    <x:row r="256">
      <x:c r="A256" t="n">
        <x:v>255</x:v>
      </x:c>
      <x:c r="B256" s="330" t="n">
        <x:v>45362</x:v>
      </x:c>
      <x:c r="C256" s="330" t="n">
        <x:v>46080</x:v>
      </x:c>
      <x:c r="D256" t="n">
        <x:v>2024</x:v>
      </x:c>
      <x:c r="E256" t="n">
        <x:v>3</x:v>
      </x:c>
      <x:c r="F256" t="str">
        <x:v>228370/24/CBMP-QLD</x:v>
      </x:c>
      <x:c r="G256"/>
      <x:c r="H256" t="str">
        <x:v>Carebeau Vitamin E Milky Care Strawberry</x:v>
      </x:c>
      <x:c r="I256" t="str">
        <x:v>CAREBEA U</x:v>
      </x:c>
      <x:c r="J256" t="str">
        <x:v>Khác</x:v>
      </x:c>
      <x:c r="K256"/>
      <x:c r="L256" t="str">
        <x:v>Công ty TNHH đầu tư thương mại và dịch vụ Thương Tín</x:v>
      </x:c>
      <x:c r="M256" t="str">
        <x:v>Số nhà 17 ngách 351/81/3 thôn Đại Đồng, phường Thụy Phương, quận Bắc Từ Liêm, TP. Hà Nội, Việt Nam. Mã số doanh nghiệp: 0106292176</x:v>
      </x:c>
      <x:c r="N256"/>
      <x:c r="O256" t="str">
        <x:v>Thu hồi số tiếp nhận; đình chỉ lưu hành và thu hồi (QĐ 126/QĐ-QLD)</x:v>
      </x:c>
      <x:c r="P256" t="str">
        <x:v>A++ – Cục Quản lý Dược; company responsibility explicit</x:v>
      </x:c>
      <x:c r="Q256" t="str">
        <x:v>QĐ126/2026, STT 103, trang 12.</x:v>
      </x:c>
      <x:c r="R256" t="str">
        <x:v>https://dav.gov.vn/quyet-dinh-so-126qd-qld-ve-viec-thu-hoi-so-tiep-nhan-phieu-cong-bo-san-pham-my-pham-dinh-chi-luu-hanh-va-thu-hoi-san-pham-my-pham-theo-kl-cua-hd-my-pham-asean-doi-voi-san-pham-my-pham-co-chua-chat-cyclotetrasiloxane-octamethylcyclotetrasiloxane-n5224.html</x:v>
      </x:c>
      <x:c r="S256" t="str">
        <x:v>Hà Nội</x:v>
      </x:c>
      <x:c r="T256" t="str">
        <x:v>01</x:v>
      </x:c>
    </x:row>
    <x:row r="257">
      <x:c r="A257" t="n">
        <x:v>256</x:v>
      </x:c>
      <x:c r="B257" s="330" t="n">
        <x:v>45362</x:v>
      </x:c>
      <x:c r="C257" s="330" t="n">
        <x:v>46080</x:v>
      </x:c>
      <x:c r="D257" t="n">
        <x:v>2024</x:v>
      </x:c>
      <x:c r="E257" t="n">
        <x:v>3</x:v>
      </x:c>
      <x:c r="F257" t="str">
        <x:v>228380/24/CBMP-QLD</x:v>
      </x:c>
      <x:c r="G257"/>
      <x:c r="H257" t="str">
        <x:v>Deya Body Cream Vitamin C&amp;E 10x</x:v>
      </x:c>
      <x:c r="I257" t="str">
        <x:v>DEYA</x:v>
      </x:c>
      <x:c r="J257" t="str">
        <x:v>Kem body</x:v>
      </x:c>
      <x:c r="K257"/>
      <x:c r="L257" t="str">
        <x:v>Công ty TNHH đầu tư thương mại và dịch vụ Thương Tín</x:v>
      </x:c>
      <x:c r="M257" t="str">
        <x:v>Số nhà 17 ngách 351/81/3 thôn Đại Đồng, phường Thụy Phương, quận Bắc Từ Liêm, TP. Hà Nội, Việt Nam. Mã số doanh nghiệp: 0106292176</x:v>
      </x:c>
      <x:c r="N257"/>
      <x:c r="O257" t="str">
        <x:v>Thu hồi số tiếp nhận; đình chỉ lưu hành và thu hồi (QĐ 126/QĐ-QLD)</x:v>
      </x:c>
      <x:c r="P257" t="str">
        <x:v>A++ – Cục Quản lý Dược; company responsibility explicit</x:v>
      </x:c>
      <x:c r="Q257" t="str">
        <x:v>QĐ126/2026, STT 104, trang 12.</x:v>
      </x:c>
      <x:c r="R257" t="str">
        <x:v>https://dav.gov.vn/quyet-dinh-so-126qd-qld-ve-viec-thu-hoi-so-tiep-nhan-phieu-cong-bo-san-pham-my-pham-dinh-chi-luu-hanh-va-thu-hoi-san-pham-my-pham-theo-kl-cua-hd-my-pham-asean-doi-voi-san-pham-my-pham-co-chua-chat-cyclotetrasiloxane-octamethylcyclotetrasiloxane-n5224.html</x:v>
      </x:c>
      <x:c r="S257" t="str">
        <x:v>Hà Nội</x:v>
      </x:c>
      <x:c r="T257" t="str">
        <x:v>01</x:v>
      </x:c>
    </x:row>
    <x:row r="258">
      <x:c r="A258" t="n">
        <x:v>257</x:v>
      </x:c>
      <x:c r="B258" s="330" t="n">
        <x:v>45363</x:v>
      </x:c>
      <x:c r="C258" s="330" t="n">
        <x:v>46080</x:v>
      </x:c>
      <x:c r="D258" t="n">
        <x:v>2024</x:v>
      </x:c>
      <x:c r="E258" t="n">
        <x:v>3</x:v>
      </x:c>
      <x:c r="F258" t="str">
        <x:v>228408/24/CBMP-QLD</x:v>
      </x:c>
      <x:c r="G258"/>
      <x:c r="H258" t="str">
        <x:v>Carebeau Vitamin E Milky Care Aloe Vera</x:v>
      </x:c>
      <x:c r="I258" t="str">
        <x:v>CAREBEA U</x:v>
      </x:c>
      <x:c r="J258" t="str">
        <x:v>Khác</x:v>
      </x:c>
      <x:c r="K258"/>
      <x:c r="L258" t="str">
        <x:v>Công ty TNHH đầu tư thương mại và dịch vụ Thương Tín</x:v>
      </x:c>
      <x:c r="M258" t="str">
        <x:v>Số nhà 17 ngách 351/81/3 thôn Đại Đồng, phường Thụy Phương, quận Bắc Từ Liêm, TP. Hà Nội, Việt Nam. Mã số doanh nghiệp: 0106292176</x:v>
      </x:c>
      <x:c r="N258"/>
      <x:c r="O258" t="str">
        <x:v>Thu hồi số tiếp nhận; đình chỉ lưu hành và thu hồi (QĐ 126/QĐ-QLD)</x:v>
      </x:c>
      <x:c r="P258" t="str">
        <x:v>A++ – Cục Quản lý Dược; company responsibility explicit</x:v>
      </x:c>
      <x:c r="Q258" t="str">
        <x:v>QĐ126/2026, STT 105, trang 12.</x:v>
      </x:c>
      <x:c r="R258" t="str">
        <x:v>https://dav.gov.vn/quyet-dinh-so-126qd-qld-ve-viec-thu-hoi-so-tiep-nhan-phieu-cong-bo-san-pham-my-pham-dinh-chi-luu-hanh-va-thu-hoi-san-pham-my-pham-theo-kl-cua-hd-my-pham-asean-doi-voi-san-pham-my-pham-co-chua-chat-cyclotetrasiloxane-octamethylcyclotetrasiloxane-n5224.html</x:v>
      </x:c>
      <x:c r="S258" t="str">
        <x:v>Hà Nội</x:v>
      </x:c>
      <x:c r="T258" t="str">
        <x:v>01</x:v>
      </x:c>
    </x:row>
    <x:row r="259">
      <x:c r="A259" t="n">
        <x:v>258</x:v>
      </x:c>
      <x:c r="B259" s="330" t="n">
        <x:v>44872</x:v>
      </x:c>
      <x:c r="C259" s="330" t="n">
        <x:v>46080</x:v>
      </x:c>
      <x:c r="D259" t="n">
        <x:v>2022</x:v>
      </x:c>
      <x:c r="E259" t="n">
        <x:v>11</x:v>
      </x:c>
      <x:c r="F259" t="str">
        <x:v>187710/22/CBMP-QLD</x:v>
      </x:c>
      <x:c r="G259"/>
      <x:c r="H259" t="str">
        <x:v>Pepplus+ Wrinkle Eye Cream</x:v>
      </x:c>
      <x:c r="I259" t="str">
        <x:v>PEPPLUS +</x:v>
      </x:c>
      <x:c r="J259" t="str">
        <x:v>Kem dưỡng da</x:v>
      </x:c>
      <x:c r="K259"/>
      <x:c r="L259" t="str">
        <x:v>Công ty TNHH đầu tư thương mại và sản xuất thiết bị y tế Thiên Phúc</x:v>
      </x:c>
      <x:c r="M259" t="str">
        <x:v>Số nhà 85 hẻm 17/63/173 đường Hoàng Hoa Thám, phường Ngọc Hà, quận Ba Đình, TP. Hà Nội, Việt Nam. Mã số doanh nghiệp: 0108586453</x:v>
      </x:c>
      <x:c r="N259"/>
      <x:c r="O259" t="str">
        <x:v>Thu hồi số tiếp nhận; đình chỉ lưu hành và thu hồi (QĐ 126/QĐ-QLD)</x:v>
      </x:c>
      <x:c r="P259" t="str">
        <x:v>A++ – Cục Quản lý Dược; company responsibility explicit</x:v>
      </x:c>
      <x:c r="Q259" t="str">
        <x:v>QĐ126/2026, STT 106, trang 12.</x:v>
      </x:c>
      <x:c r="R259" t="str">
        <x:v>https://dav.gov.vn/quyet-dinh-so-126qd-qld-ve-viec-thu-hoi-so-tiep-nhan-phieu-cong-bo-san-pham-my-pham-dinh-chi-luu-hanh-va-thu-hoi-san-pham-my-pham-theo-kl-cua-hd-my-pham-asean-doi-voi-san-pham-my-pham-co-chua-chat-cyclotetrasiloxane-octamethylcyclotetrasiloxane-n5224.html</x:v>
      </x:c>
      <x:c r="S259" t="str">
        <x:v>Hà Nội</x:v>
      </x:c>
      <x:c r="T259" t="str">
        <x:v>01</x:v>
      </x:c>
    </x:row>
    <x:row r="260">
      <x:c r="A260" t="n">
        <x:v>259</x:v>
      </x:c>
      <x:c r="B260" s="330" t="n">
        <x:v>45909</x:v>
      </x:c>
      <x:c r="C260" s="330" t="n">
        <x:v>46080</x:v>
      </x:c>
      <x:c r="D260" t="n">
        <x:v>2025</x:v>
      </x:c>
      <x:c r="E260" t="n">
        <x:v>9</x:v>
      </x:c>
      <x:c r="F260" t="str">
        <x:v>289729/25/CBMP-QLD</x:v>
      </x:c>
      <x:c r="G260"/>
      <x:c r="H260" t="str">
        <x:v>Good Green Silk Plant Dandruff Shampoo</x:v>
      </x:c>
      <x:c r="I260" t="str">
        <x:v>Haoqingsi</x:v>
      </x:c>
      <x:c r="J260" t="str">
        <x:v>Dầu gội</x:v>
      </x:c>
      <x:c r="K260"/>
      <x:c r="L260" t="str">
        <x:v>Công ty TNHH đầu tư và phát triển GCOM</x:v>
      </x:c>
      <x:c r="M260" t="str">
        <x:v>Số nhà 2/15 ngõ 380 đường Ngọc Thụy, phường Ngọc Thụy, quận Long Biên, TP. Hà Nội, Việt Nam. Mã số doanh nghiệp: 0110124569</x:v>
      </x:c>
      <x:c r="N260"/>
      <x:c r="O260" t="str">
        <x:v>Thu hồi số tiếp nhận; đình chỉ lưu hành và thu hồi (QĐ 126/QĐ-QLD)</x:v>
      </x:c>
      <x:c r="P260" t="str">
        <x:v>A++ – Cục Quản lý Dược; company responsibility explicit</x:v>
      </x:c>
      <x:c r="Q260" t="str">
        <x:v>QĐ126/2026, STT 107, trang 12.</x:v>
      </x:c>
      <x:c r="R260" t="str">
        <x:v>https://dav.gov.vn/quyet-dinh-so-126qd-qld-ve-viec-thu-hoi-so-tiep-nhan-phieu-cong-bo-san-pham-my-pham-dinh-chi-luu-hanh-va-thu-hoi-san-pham-my-pham-theo-kl-cua-hd-my-pham-asean-doi-voi-san-pham-my-pham-co-chua-chat-cyclotetrasiloxane-octamethylcyclotetrasiloxane-n5224.html</x:v>
      </x:c>
      <x:c r="S260" t="str">
        <x:v>Hà Nội</x:v>
      </x:c>
      <x:c r="T260" t="str">
        <x:v>01</x:v>
      </x:c>
    </x:row>
    <x:row r="261">
      <x:c r="A261" t="n">
        <x:v>260</x:v>
      </x:c>
      <x:c r="B261" s="330" t="n">
        <x:v>45125</x:v>
      </x:c>
      <x:c r="C261" s="330" t="n">
        <x:v>46080</x:v>
      </x:c>
      <x:c r="D261" t="n">
        <x:v>2023</x:v>
      </x:c>
      <x:c r="E261" t="n">
        <x:v>7</x:v>
      </x:c>
      <x:c r="F261" t="str">
        <x:v>206500/23/CBMP-QLD</x:v>
      </x:c>
      <x:c r="G261"/>
      <x:c r="H261" t="str">
        <x:v>Dok Bua Ku Golden Silk Collagen Lotion</x:v>
      </x:c>
      <x:c r="I261" t="str">
        <x:v>DOK BUA KU</x:v>
      </x:c>
      <x:c r="J261" t="str">
        <x:v>Kem dưỡng da</x:v>
      </x:c>
      <x:c r="K261"/>
      <x:c r="L261" t="str">
        <x:v>Công ty TNHH dịch vụ thương mại xuất nhập khẩu Trường Sơn</x:v>
      </x:c>
      <x:c r="M261" t="str">
        <x:v>2/33 đường 147, KP5, phường Tăng Nhơn Phú B, TP. Thủ Đức, TP. Hồ Chí Minh, Việt Nam. Mã số doanh nghiệp: 0317589659</x:v>
      </x:c>
      <x:c r="N261"/>
      <x:c r="O261" t="str">
        <x:v>Thu hồi số tiếp nhận; đình chỉ lưu hành và thu hồi (QĐ 126/QĐ-QLD)</x:v>
      </x:c>
      <x:c r="P261" t="str">
        <x:v>A++ – Cục Quản lý Dược; company responsibility explicit</x:v>
      </x:c>
      <x:c r="Q261" t="str">
        <x:v>QĐ126/2026, STT 111, trang 12.</x:v>
      </x:c>
      <x:c r="R261" t="str">
        <x:v>https://dav.gov.vn/quyet-dinh-so-126qd-qld-ve-viec-thu-hoi-so-tiep-nhan-phieu-cong-bo-san-pham-my-pham-dinh-chi-luu-hanh-va-thu-hoi-san-pham-my-pham-theo-kl-cua-hd-my-pham-asean-doi-voi-san-pham-my-pham-co-chua-chat-cyclotetrasiloxane-octamethylcyclotetrasiloxane-n5224.html</x:v>
      </x:c>
      <x:c r="S261" t="str">
        <x:v>TP. Hồ Chí Minh</x:v>
      </x:c>
      <x:c r="T261" t="str">
        <x:v>79</x:v>
      </x:c>
    </x:row>
    <x:row r="262">
      <x:c r="A262" t="n">
        <x:v>261</x:v>
      </x:c>
      <x:c r="B262" s="330" t="n">
        <x:v>44784</x:v>
      </x:c>
      <x:c r="C262" s="330" t="n">
        <x:v>46080</x:v>
      </x:c>
      <x:c r="D262" t="n">
        <x:v>2022</x:v>
      </x:c>
      <x:c r="E262" t="n">
        <x:v>8</x:v>
      </x:c>
      <x:c r="F262" t="str">
        <x:v>177480/22/CBMP-QLD</x:v>
      </x:c>
      <x:c r="G262"/>
      <x:c r="H262" t="str">
        <x:v>Kiakiamia Professional Hydration Supple Conditioner</x:v>
      </x:c>
      <x:c r="I262" t="str">
        <x:v>KIAKIAM IA</x:v>
      </x:c>
      <x:c r="J262" t="str">
        <x:v>Dầu xả</x:v>
      </x:c>
      <x:c r="K262"/>
      <x:c r="L262" t="str">
        <x:v>CÔNG TY TNHH ĐỈNH TÍN</x:v>
      </x:c>
      <x:c r="M262" t="str">
        <x:v>Số nhà 71A, KĐT Phú Điền, phường Tân Hồng, TP. Từ Sơn, tỉnh Bắc Ninh, Việt Nam. Mã số doanh nghiệp: 2301085427</x:v>
      </x:c>
      <x:c r="N262"/>
      <x:c r="O262" t="str">
        <x:v>Thu hồi số tiếp nhận; đình chỉ lưu hành và thu hồi (QĐ 126/QĐ-QLD)</x:v>
      </x:c>
      <x:c r="P262" t="str">
        <x:v>A++ – Cục Quản lý Dược; company responsibility explicit</x:v>
      </x:c>
      <x:c r="Q262" t="str">
        <x:v>QĐ126/2026, STT 112, trang 12.</x:v>
      </x:c>
      <x:c r="R262" t="str">
        <x:v>https://dav.gov.vn/quyet-dinh-so-126qd-qld-ve-viec-thu-hoi-so-tiep-nhan-phieu-cong-bo-san-pham-my-pham-dinh-chi-luu-hanh-va-thu-hoi-san-pham-my-pham-theo-kl-cua-hd-my-pham-asean-doi-voi-san-pham-my-pham-co-chua-chat-cyclotetrasiloxane-octamethylcyclotetrasiloxane-n5224.html</x:v>
      </x:c>
      <x:c r="S262" t="str">
        <x:v>Bắc Ninh</x:v>
      </x:c>
      <x:c r="T262" t="str">
        <x:v>24</x:v>
      </x:c>
    </x:row>
    <x:row r="263">
      <x:c r="A263" t="n">
        <x:v>262</x:v>
      </x:c>
      <x:c r="B263" s="330" t="n">
        <x:v>44784</x:v>
      </x:c>
      <x:c r="C263" s="330" t="n">
        <x:v>46080</x:v>
      </x:c>
      <x:c r="D263" t="n">
        <x:v>2022</x:v>
      </x:c>
      <x:c r="E263" t="n">
        <x:v>8</x:v>
      </x:c>
      <x:c r="F263" t="str">
        <x:v>177481/22/CBMP-QLD</x:v>
      </x:c>
      <x:c r="G263"/>
      <x:c r="H263" t="str">
        <x:v>Kiakiamia Professional Repairing And Hydrating Hair Mask</x:v>
      </x:c>
      <x:c r="I263" t="str">
        <x:v>KIAKIAM IA</x:v>
      </x:c>
      <x:c r="J263" t="str">
        <x:v>Mặt nạ</x:v>
      </x:c>
      <x:c r="K263"/>
      <x:c r="L263" t="str">
        <x:v>CÔNG TY TNHH ĐỈNH TÍN</x:v>
      </x:c>
      <x:c r="M263" t="str">
        <x:v>Số nhà 71A, KĐT Phú Điền, phường Tân Hồng, TP. Từ Sơn, tỉnh Bắc Ninh, Việt Nam. Mã số doanh nghiệp: 2301085427</x:v>
      </x:c>
      <x:c r="N263"/>
      <x:c r="O263" t="str">
        <x:v>Thu hồi số tiếp nhận; đình chỉ lưu hành và thu hồi (QĐ 126/QĐ-QLD)</x:v>
      </x:c>
      <x:c r="P263" t="str">
        <x:v>A++ – Cục Quản lý Dược; company responsibility explicit</x:v>
      </x:c>
      <x:c r="Q263" t="str">
        <x:v>QĐ126/2026, STT 113, trang 12.</x:v>
      </x:c>
      <x:c r="R263" t="str">
        <x:v>https://dav.gov.vn/quyet-dinh-so-126qd-qld-ve-viec-thu-hoi-so-tiep-nhan-phieu-cong-bo-san-pham-my-pham-dinh-chi-luu-hanh-va-thu-hoi-san-pham-my-pham-theo-kl-cua-hd-my-pham-asean-doi-voi-san-pham-my-pham-co-chua-chat-cyclotetrasiloxane-octamethylcyclotetrasiloxane-n5224.html</x:v>
      </x:c>
      <x:c r="S263" t="str">
        <x:v>Bắc Ninh</x:v>
      </x:c>
      <x:c r="T263" t="str">
        <x:v>24</x:v>
      </x:c>
    </x:row>
    <x:row r="264">
      <x:c r="A264" t="n">
        <x:v>263</x:v>
      </x:c>
      <x:c r="B264" s="330" t="n">
        <x:v>44784</x:v>
      </x:c>
      <x:c r="C264" s="330" t="n">
        <x:v>46080</x:v>
      </x:c>
      <x:c r="D264" t="n">
        <x:v>2022</x:v>
      </x:c>
      <x:c r="E264" t="n">
        <x:v>8</x:v>
      </x:c>
      <x:c r="F264" t="str">
        <x:v>177490/22/CBMP-QLD</x:v>
      </x:c>
      <x:c r="G264"/>
      <x:c r="H264" t="str">
        <x:v>Huige Hydration Supple Conditioner</x:v>
      </x:c>
      <x:c r="I264" t="str">
        <x:v>HUIGE</x:v>
      </x:c>
      <x:c r="J264" t="str">
        <x:v>Dầu xả</x:v>
      </x:c>
      <x:c r="K264"/>
      <x:c r="L264" t="str">
        <x:v>CÔNG TY TNHH ĐỈNH TÍN</x:v>
      </x:c>
      <x:c r="M264" t="str">
        <x:v>Số nhà 71A, KĐT Phú Điền, phường Tân Hồng, TP. Từ Sơn, tỉnh Bắc Ninh, Việt Nam. Mã số doanh nghiệp: 2301085427</x:v>
      </x:c>
      <x:c r="N264"/>
      <x:c r="O264" t="str">
        <x:v>Thu hồi số tiếp nhận; đình chỉ lưu hành và thu hồi (QĐ 126/QĐ-QLD)</x:v>
      </x:c>
      <x:c r="P264" t="str">
        <x:v>A++ – Cục Quản lý Dược; company responsibility explicit</x:v>
      </x:c>
      <x:c r="Q264" t="str">
        <x:v>QĐ126/2026, STT 114, trang 12.</x:v>
      </x:c>
      <x:c r="R264" t="str">
        <x:v>https://dav.gov.vn/quyet-dinh-so-126qd-qld-ve-viec-thu-hoi-so-tiep-nhan-phieu-cong-bo-san-pham-my-pham-dinh-chi-luu-hanh-va-thu-hoi-san-pham-my-pham-theo-kl-cua-hd-my-pham-asean-doi-voi-san-pham-my-pham-co-chua-chat-cyclotetrasiloxane-octamethylcyclotetrasiloxane-n5224.html</x:v>
      </x:c>
      <x:c r="S264" t="str">
        <x:v>Bắc Ninh</x:v>
      </x:c>
      <x:c r="T264" t="str">
        <x:v>24</x:v>
      </x:c>
    </x:row>
    <x:row r="265">
      <x:c r="A265" t="n">
        <x:v>264</x:v>
      </x:c>
      <x:c r="B265" s="330" t="n">
        <x:v>44784</x:v>
      </x:c>
      <x:c r="C265" s="330" t="n">
        <x:v>46080</x:v>
      </x:c>
      <x:c r="D265" t="n">
        <x:v>2022</x:v>
      </x:c>
      <x:c r="E265" t="n">
        <x:v>8</x:v>
      </x:c>
      <x:c r="F265" t="str">
        <x:v>177491/22/CBMP-QLD</x:v>
      </x:c>
      <x:c r="G265"/>
      <x:c r="H265" t="str">
        <x:v>Huige Smooth Nourish Conditioner</x:v>
      </x:c>
      <x:c r="I265" t="str">
        <x:v>HUIGE</x:v>
      </x:c>
      <x:c r="J265" t="str">
        <x:v>Dầu xả</x:v>
      </x:c>
      <x:c r="K265"/>
      <x:c r="L265" t="str">
        <x:v>CÔNG TY TNHH ĐỈNH TÍN</x:v>
      </x:c>
      <x:c r="M265" t="str">
        <x:v>Số nhà 71A, KĐT Phú Điền, phường Tân Hồng, TP. Từ Sơn, tỉnh Bắc Ninh, Việt Nam. Mã số doanh nghiệp: 2301085427</x:v>
      </x:c>
      <x:c r="N265"/>
      <x:c r="O265" t="str">
        <x:v>Thu hồi số tiếp nhận; đình chỉ lưu hành và thu hồi (QĐ 126/QĐ-QLD)</x:v>
      </x:c>
      <x:c r="P265" t="str">
        <x:v>A++ – Cục Quản lý Dược; company responsibility explicit</x:v>
      </x:c>
      <x:c r="Q265" t="str">
        <x:v>QĐ126/2026, STT 115, trang 13.</x:v>
      </x:c>
      <x:c r="R265" t="str">
        <x:v>https://dav.gov.vn/quyet-dinh-so-126qd-qld-ve-viec-thu-hoi-so-tiep-nhan-phieu-cong-bo-san-pham-my-pham-dinh-chi-luu-hanh-va-thu-hoi-san-pham-my-pham-theo-kl-cua-hd-my-pham-asean-doi-voi-san-pham-my-pham-co-chua-chat-cyclotetrasiloxane-octamethylcyclotetrasiloxane-n5224.html</x:v>
      </x:c>
      <x:c r="S265" t="str">
        <x:v>Bắc Ninh</x:v>
      </x:c>
      <x:c r="T265" t="str">
        <x:v>24</x:v>
      </x:c>
    </x:row>
    <x:row r="266">
      <x:c r="A266" t="n">
        <x:v>265</x:v>
      </x:c>
      <x:c r="B266" s="330" t="n">
        <x:v>44784</x:v>
      </x:c>
      <x:c r="C266" s="330" t="n">
        <x:v>46080</x:v>
      </x:c>
      <x:c r="D266" t="n">
        <x:v>2022</x:v>
      </x:c>
      <x:c r="E266" t="n">
        <x:v>8</x:v>
      </x:c>
      <x:c r="F266" t="str">
        <x:v>177493/22/CBMP-QLD</x:v>
      </x:c>
      <x:c r="G266"/>
      <x:c r="H266" t="str">
        <x:v>Cabyseen Moisturizing And Smoothing Conditioner</x:v>
      </x:c>
      <x:c r="I266" t="str">
        <x:v>CABYSEE N</x:v>
      </x:c>
      <x:c r="J266" t="str">
        <x:v>Dầu xả</x:v>
      </x:c>
      <x:c r="K266"/>
      <x:c r="L266" t="str">
        <x:v>CÔNG TY TNHH ĐỈNH TÍN</x:v>
      </x:c>
      <x:c r="M266" t="str">
        <x:v>Số nhà 71A, KĐT Phú Điền, phường Tân Hồng, TP. Từ Sơn, tỉnh Bắc Ninh, Việt Nam. Mã số doanh nghiệp: 2301085427</x:v>
      </x:c>
      <x:c r="N266"/>
      <x:c r="O266" t="str">
        <x:v>Thu hồi số tiếp nhận; đình chỉ lưu hành và thu hồi (QĐ 126/QĐ-QLD)</x:v>
      </x:c>
      <x:c r="P266" t="str">
        <x:v>A++ – Cục Quản lý Dược; company responsibility explicit</x:v>
      </x:c>
      <x:c r="Q266" t="str">
        <x:v>QĐ126/2026, STT 116, trang 13.</x:v>
      </x:c>
      <x:c r="R266" t="str">
        <x:v>https://dav.gov.vn/quyet-dinh-so-126qd-qld-ve-viec-thu-hoi-so-tiep-nhan-phieu-cong-bo-san-pham-my-pham-dinh-chi-luu-hanh-va-thu-hoi-san-pham-my-pham-theo-kl-cua-hd-my-pham-asean-doi-voi-san-pham-my-pham-co-chua-chat-cyclotetrasiloxane-octamethylcyclotetrasiloxane-n5224.html</x:v>
      </x:c>
      <x:c r="S266" t="str">
        <x:v>Bắc Ninh</x:v>
      </x:c>
      <x:c r="T266" t="str">
        <x:v>24</x:v>
      </x:c>
    </x:row>
    <x:row r="267">
      <x:c r="A267" t="n">
        <x:v>266</x:v>
      </x:c>
      <x:c r="B267" s="330" t="n">
        <x:v>44784</x:v>
      </x:c>
      <x:c r="C267" s="330" t="n">
        <x:v>46080</x:v>
      </x:c>
      <x:c r="D267" t="n">
        <x:v>2022</x:v>
      </x:c>
      <x:c r="E267" t="n">
        <x:v>8</x:v>
      </x:c>
      <x:c r="F267" t="str">
        <x:v>177494/22/CBMP-QLD</x:v>
      </x:c>
      <x:c r="G267"/>
      <x:c r="H267" t="str">
        <x:v>Cabyseen Collagen Hair Mask</x:v>
      </x:c>
      <x:c r="I267" t="str">
        <x:v>CABYSEE N</x:v>
      </x:c>
      <x:c r="J267" t="str">
        <x:v>Mặt nạ</x:v>
      </x:c>
      <x:c r="K267"/>
      <x:c r="L267" t="str">
        <x:v>CÔNG TY TNHH ĐỈNH TÍN</x:v>
      </x:c>
      <x:c r="M267" t="str">
        <x:v>Số nhà 71A, KĐT Phú Điền, phường Tân Hồng, TP. Từ Sơn, tỉnh Bắc Ninh, Việt Nam. Mã số doanh nghiệp: 2301085427</x:v>
      </x:c>
      <x:c r="N267"/>
      <x:c r="O267" t="str">
        <x:v>Thu hồi số tiếp nhận; đình chỉ lưu hành và thu hồi (QĐ 126/QĐ-QLD)</x:v>
      </x:c>
      <x:c r="P267" t="str">
        <x:v>A++ – Cục Quản lý Dược; company responsibility explicit</x:v>
      </x:c>
      <x:c r="Q267" t="str">
        <x:v>QĐ126/2026, STT 117, trang 13.</x:v>
      </x:c>
      <x:c r="R267" t="str">
        <x:v>https://dav.gov.vn/quyet-dinh-so-126qd-qld-ve-viec-thu-hoi-so-tiep-nhan-phieu-cong-bo-san-pham-my-pham-dinh-chi-luu-hanh-va-thu-hoi-san-pham-my-pham-theo-kl-cua-hd-my-pham-asean-doi-voi-san-pham-my-pham-co-chua-chat-cyclotetrasiloxane-octamethylcyclotetrasiloxane-n5224.html</x:v>
      </x:c>
      <x:c r="S267" t="str">
        <x:v>Bắc Ninh</x:v>
      </x:c>
      <x:c r="T267" t="str">
        <x:v>24</x:v>
      </x:c>
    </x:row>
    <x:row r="268">
      <x:c r="A268" t="n">
        <x:v>267</x:v>
      </x:c>
      <x:c r="B268" s="330" t="n">
        <x:v>44784</x:v>
      </x:c>
      <x:c r="C268" s="330" t="n">
        <x:v>46080</x:v>
      </x:c>
      <x:c r="D268" t="n">
        <x:v>2022</x:v>
      </x:c>
      <x:c r="E268" t="n">
        <x:v>8</x:v>
      </x:c>
      <x:c r="F268" t="str">
        <x:v>177496/22/CBMP-QLD</x:v>
      </x:c>
      <x:c r="G268"/>
      <x:c r="H268" t="str">
        <x:v>Huige Meisailafei Supplement Water Conditioner</x:v>
      </x:c>
      <x:c r="I268" t="str">
        <x:v>HUIGE</x:v>
      </x:c>
      <x:c r="J268" t="str">
        <x:v>Dầu xả</x:v>
      </x:c>
      <x:c r="K268"/>
      <x:c r="L268" t="str">
        <x:v>CÔNG TY TNHH ĐỈNH TÍN</x:v>
      </x:c>
      <x:c r="M268" t="str">
        <x:v>Số nhà 71A, KĐT Phú Điền, phường Tân Hồng, TP. Từ Sơn, tỉnh Bắc Ninh, Việt Nam. Mã số doanh nghiệp: 2301085427</x:v>
      </x:c>
      <x:c r="N268"/>
      <x:c r="O268" t="str">
        <x:v>Thu hồi số tiếp nhận; đình chỉ lưu hành và thu hồi (QĐ 126/QĐ-QLD)</x:v>
      </x:c>
      <x:c r="P268" t="str">
        <x:v>A++ – Cục Quản lý Dược; company responsibility explicit</x:v>
      </x:c>
      <x:c r="Q268" t="str">
        <x:v>QĐ126/2026, STT 118, trang 13.</x:v>
      </x:c>
      <x:c r="R268" t="str">
        <x:v>https://dav.gov.vn/quyet-dinh-so-126qd-qld-ve-viec-thu-hoi-so-tiep-nhan-phieu-cong-bo-san-pham-my-pham-dinh-chi-luu-hanh-va-thu-hoi-san-pham-my-pham-theo-kl-cua-hd-my-pham-asean-doi-voi-san-pham-my-pham-co-chua-chat-cyclotetrasiloxane-octamethylcyclotetrasiloxane-n5224.html</x:v>
      </x:c>
      <x:c r="S268" t="str">
        <x:v>Bắc Ninh</x:v>
      </x:c>
      <x:c r="T268" t="str">
        <x:v>24</x:v>
      </x:c>
    </x:row>
    <x:row r="269">
      <x:c r="A269" t="n">
        <x:v>268</x:v>
      </x:c>
      <x:c r="B269" s="330" t="n">
        <x:v>44784</x:v>
      </x:c>
      <x:c r="C269" s="330" t="n">
        <x:v>46080</x:v>
      </x:c>
      <x:c r="D269" t="n">
        <x:v>2022</x:v>
      </x:c>
      <x:c r="E269" t="n">
        <x:v>8</x:v>
      </x:c>
      <x:c r="F269" t="str">
        <x:v>177497/22/CBMP-QLD</x:v>
      </x:c>
      <x:c r="G269"/>
      <x:c r="H269" t="str">
        <x:v>Huige Moisturizing Add Water Conditioner</x:v>
      </x:c>
      <x:c r="I269" t="str">
        <x:v>HUIGE</x:v>
      </x:c>
      <x:c r="J269" t="str">
        <x:v>Dầu xả</x:v>
      </x:c>
      <x:c r="K269"/>
      <x:c r="L269" t="str">
        <x:v>CÔNG TY TNHH ĐỈNH TÍN</x:v>
      </x:c>
      <x:c r="M269" t="str">
        <x:v>Số nhà 71A, KĐT Phú Điền, phường Tân Hồng, TP. Từ Sơn, tỉnh Bắc Ninh, Việt Nam. Mã số doanh nghiệp: 2301085427</x:v>
      </x:c>
      <x:c r="N269"/>
      <x:c r="O269" t="str">
        <x:v>Thu hồi số tiếp nhận; đình chỉ lưu hành và thu hồi (QĐ 126/QĐ-QLD)</x:v>
      </x:c>
      <x:c r="P269" t="str">
        <x:v>A++ – Cục Quản lý Dược; company responsibility explicit</x:v>
      </x:c>
      <x:c r="Q269" t="str">
        <x:v>QĐ126/2026, STT 119, trang 13.</x:v>
      </x:c>
      <x:c r="R269" t="str">
        <x:v>https://dav.gov.vn/quyet-dinh-so-126qd-qld-ve-viec-thu-hoi-so-tiep-nhan-phieu-cong-bo-san-pham-my-pham-dinh-chi-luu-hanh-va-thu-hoi-san-pham-my-pham-theo-kl-cua-hd-my-pham-asean-doi-voi-san-pham-my-pham-co-chua-chat-cyclotetrasiloxane-octamethylcyclotetrasiloxane-n5224.html</x:v>
      </x:c>
      <x:c r="S269" t="str">
        <x:v>Bắc Ninh</x:v>
      </x:c>
      <x:c r="T269" t="str">
        <x:v>24</x:v>
      </x:c>
    </x:row>
    <x:row r="270">
      <x:c r="A270" t="n">
        <x:v>269</x:v>
      </x:c>
      <x:c r="B270" s="330" t="n">
        <x:v>44784</x:v>
      </x:c>
      <x:c r="C270" s="330" t="n">
        <x:v>46080</x:v>
      </x:c>
      <x:c r="D270" t="n">
        <x:v>2022</x:v>
      </x:c>
      <x:c r="E270" t="n">
        <x:v>8</x:v>
      </x:c>
      <x:c r="F270" t="str">
        <x:v>177502/22/CBMP-QLD</x:v>
      </x:c>
      <x:c r="G270"/>
      <x:c r="H270" t="str">
        <x:v>Moontube Hydration Supple Conditioner</x:v>
      </x:c>
      <x:c r="I270" t="str">
        <x:v>MOONTU BE</x:v>
      </x:c>
      <x:c r="J270" t="str">
        <x:v>Dầu xả</x:v>
      </x:c>
      <x:c r="K270"/>
      <x:c r="L270" t="str">
        <x:v>CÔNG TY TNHH ĐỈNH TÍN</x:v>
      </x:c>
      <x:c r="M270" t="str">
        <x:v>Số nhà 71A, KĐT Phú Điền, phường Tân Hồng, TP. Từ Sơn, tỉnh Bắc Ninh, Việt Nam. Mã số doanh nghiệp: 2301085427</x:v>
      </x:c>
      <x:c r="N270"/>
      <x:c r="O270" t="str">
        <x:v>Thu hồi số tiếp nhận; đình chỉ lưu hành và thu hồi (QĐ 126/QĐ-QLD)</x:v>
      </x:c>
      <x:c r="P270" t="str">
        <x:v>A++ – Cục Quản lý Dược; company responsibility explicit</x:v>
      </x:c>
      <x:c r="Q270" t="str">
        <x:v>QĐ126/2026, STT 120, trang 13.</x:v>
      </x:c>
      <x:c r="R270" t="str">
        <x:v>https://dav.gov.vn/quyet-dinh-so-126qd-qld-ve-viec-thu-hoi-so-tiep-nhan-phieu-cong-bo-san-pham-my-pham-dinh-chi-luu-hanh-va-thu-hoi-san-pham-my-pham-theo-kl-cua-hd-my-pham-asean-doi-voi-san-pham-my-pham-co-chua-chat-cyclotetrasiloxane-octamethylcyclotetrasiloxane-n5224.html</x:v>
      </x:c>
      <x:c r="S270" t="str">
        <x:v>Bắc Ninh</x:v>
      </x:c>
      <x:c r="T270" t="str">
        <x:v>24</x:v>
      </x:c>
    </x:row>
    <x:row r="271">
      <x:c r="A271" t="n">
        <x:v>270</x:v>
      </x:c>
      <x:c r="B271" s="330" t="n">
        <x:v>44784</x:v>
      </x:c>
      <x:c r="C271" s="330" t="n">
        <x:v>46080</x:v>
      </x:c>
      <x:c r="D271" t="n">
        <x:v>2022</x:v>
      </x:c>
      <x:c r="E271" t="n">
        <x:v>8</x:v>
      </x:c>
      <x:c r="F271" t="str">
        <x:v>177504/22/CBMP-QLD</x:v>
      </x:c>
      <x:c r="G271"/>
      <x:c r="H271" t="str">
        <x:v>Huige Pearl Cream Nutrition Smooth Conditioner</x:v>
      </x:c>
      <x:c r="I271" t="str">
        <x:v>HUIGE</x:v>
      </x:c>
      <x:c r="J271" t="str">
        <x:v>Dầu xả</x:v>
      </x:c>
      <x:c r="K271"/>
      <x:c r="L271" t="str">
        <x:v>CÔNG TY TNHH ĐỈNH TÍN</x:v>
      </x:c>
      <x:c r="M271" t="str">
        <x:v>Số nhà 71A, KĐT Phú Điền, phường Tân Hồng, TP. Từ Sơn, tỉnh Bắc Ninh, Việt Nam. Mã số doanh nghiệp: 2301085427</x:v>
      </x:c>
      <x:c r="N271"/>
      <x:c r="O271" t="str">
        <x:v>Thu hồi số tiếp nhận; đình chỉ lưu hành và thu hồi (QĐ 126/QĐ-QLD)</x:v>
      </x:c>
      <x:c r="P271" t="str">
        <x:v>A++ – Cục Quản lý Dược; company responsibility explicit</x:v>
      </x:c>
      <x:c r="Q271" t="str">
        <x:v>QĐ126/2026, STT 121, trang 13.</x:v>
      </x:c>
      <x:c r="R271" t="str">
        <x:v>https://dav.gov.vn/quyet-dinh-so-126qd-qld-ve-viec-thu-hoi-so-tiep-nhan-phieu-cong-bo-san-pham-my-pham-dinh-chi-luu-hanh-va-thu-hoi-san-pham-my-pham-theo-kl-cua-hd-my-pham-asean-doi-voi-san-pham-my-pham-co-chua-chat-cyclotetrasiloxane-octamethylcyclotetrasiloxane-n5224.html</x:v>
      </x:c>
      <x:c r="S271" t="str">
        <x:v>Bắc Ninh</x:v>
      </x:c>
      <x:c r="T271" t="str">
        <x:v>24</x:v>
      </x:c>
    </x:row>
    <x:row r="272">
      <x:c r="A272" t="n">
        <x:v>271</x:v>
      </x:c>
      <x:c r="B272" s="330" t="n">
        <x:v>44784</x:v>
      </x:c>
      <x:c r="C272" s="330" t="n">
        <x:v>46080</x:v>
      </x:c>
      <x:c r="D272" t="n">
        <x:v>2022</x:v>
      </x:c>
      <x:c r="E272" t="n">
        <x:v>8</x:v>
      </x:c>
      <x:c r="F272" t="str">
        <x:v>177512/22/CBMP-QLD</x:v>
      </x:c>
      <x:c r="G272"/>
      <x:c r="H272" t="str">
        <x:v>Blueeskyy Repair Hair Mask</x:v>
      </x:c>
      <x:c r="I272" t="str">
        <x:v>BLUEESK YY</x:v>
      </x:c>
      <x:c r="J272" t="str">
        <x:v>Mặt nạ</x:v>
      </x:c>
      <x:c r="K272"/>
      <x:c r="L272" t="str">
        <x:v>CÔNG TY TNHH ĐỈNH TÍN</x:v>
      </x:c>
      <x:c r="M272" t="str">
        <x:v>Số nhà 71A, KĐT Phú Điền, phường Tân Hồng, TP. Từ Sơn, tỉnh Bắc Ninh, Việt Nam. Mã số doanh nghiệp: 2301085427</x:v>
      </x:c>
      <x:c r="N272"/>
      <x:c r="O272" t="str">
        <x:v>Thu hồi số tiếp nhận; đình chỉ lưu hành và thu hồi (QĐ 126/QĐ-QLD)</x:v>
      </x:c>
      <x:c r="P272" t="str">
        <x:v>A++ – Cục Quản lý Dược; company responsibility explicit</x:v>
      </x:c>
      <x:c r="Q272" t="str">
        <x:v>QĐ126/2026, STT 122, trang 13.</x:v>
      </x:c>
      <x:c r="R272" t="str">
        <x:v>https://dav.gov.vn/quyet-dinh-so-126qd-qld-ve-viec-thu-hoi-so-tiep-nhan-phieu-cong-bo-san-pham-my-pham-dinh-chi-luu-hanh-va-thu-hoi-san-pham-my-pham-theo-kl-cua-hd-my-pham-asean-doi-voi-san-pham-my-pham-co-chua-chat-cyclotetrasiloxane-octamethylcyclotetrasiloxane-n5224.html</x:v>
      </x:c>
      <x:c r="S272" t="str">
        <x:v>Bắc Ninh</x:v>
      </x:c>
      <x:c r="T272" t="str">
        <x:v>24</x:v>
      </x:c>
    </x:row>
    <x:row r="273">
      <x:c r="A273" t="n">
        <x:v>272</x:v>
      </x:c>
      <x:c r="B273" s="330" t="n">
        <x:v>44796</x:v>
      </x:c>
      <x:c r="C273" s="330" t="n">
        <x:v>46080</x:v>
      </x:c>
      <x:c r="D273" t="n">
        <x:v>2022</x:v>
      </x:c>
      <x:c r="E273" t="n">
        <x:v>8</x:v>
      </x:c>
      <x:c r="F273" t="str">
        <x:v>179497/22/CBMP-QLD</x:v>
      </x:c>
      <x:c r="G273"/>
      <x:c r="H273" t="str">
        <x:v>Plueeskyyvn Moisture &amp; Smoothing Hair Conditioner</x:v>
      </x:c>
      <x:c r="I273" t="str">
        <x:v>PLUEESK YYVN</x:v>
      </x:c>
      <x:c r="J273" t="str">
        <x:v>Dầu xả</x:v>
      </x:c>
      <x:c r="K273"/>
      <x:c r="L273" t="str">
        <x:v>CÔNG TY TNHH ĐỈNH TÍN</x:v>
      </x:c>
      <x:c r="M273" t="str">
        <x:v>Số nhà 71A, KĐT Phú Điền, phường Tân Hồng, TP. Từ Sơn, tỉnh Bắc Ninh, Việt Nam. Mã số doanh nghiệp: 2301085427</x:v>
      </x:c>
      <x:c r="N273"/>
      <x:c r="O273" t="str">
        <x:v>Thu hồi số tiếp nhận; đình chỉ lưu hành và thu hồi (QĐ 126/QĐ-QLD)</x:v>
      </x:c>
      <x:c r="P273" t="str">
        <x:v>A++ – Cục Quản lý Dược; company responsibility explicit</x:v>
      </x:c>
      <x:c r="Q273" t="str">
        <x:v>QĐ126/2026, STT 123, trang 13.</x:v>
      </x:c>
      <x:c r="R273" t="str">
        <x:v>https://dav.gov.vn/quyet-dinh-so-126qd-qld-ve-viec-thu-hoi-so-tiep-nhan-phieu-cong-bo-san-pham-my-pham-dinh-chi-luu-hanh-va-thu-hoi-san-pham-my-pham-theo-kl-cua-hd-my-pham-asean-doi-voi-san-pham-my-pham-co-chua-chat-cyclotetrasiloxane-octamethylcyclotetrasiloxane-n5224.html</x:v>
      </x:c>
      <x:c r="S273" t="str">
        <x:v>Bắc Ninh</x:v>
      </x:c>
      <x:c r="T273" t="str">
        <x:v>24</x:v>
      </x:c>
    </x:row>
    <x:row r="274">
      <x:c r="A274" t="n">
        <x:v>273</x:v>
      </x:c>
      <x:c r="B274" s="330" t="n">
        <x:v>44820</x:v>
      </x:c>
      <x:c r="C274" s="330" t="n">
        <x:v>46080</x:v>
      </x:c>
      <x:c r="D274" t="n">
        <x:v>2022</x:v>
      </x:c>
      <x:c r="E274" t="n">
        <x:v>9</x:v>
      </x:c>
      <x:c r="F274" t="str">
        <x:v>182042/22/CBMP-QLD</x:v>
      </x:c>
      <x:c r="G274"/>
      <x:c r="H274" t="str">
        <x:v>Plueeskyyvn Moisture &amp; Smoothing Hair Conditioner</x:v>
      </x:c>
      <x:c r="I274" t="str">
        <x:v>PLUEESK YYVN</x:v>
      </x:c>
      <x:c r="J274" t="str">
        <x:v>Dầu xả</x:v>
      </x:c>
      <x:c r="K274"/>
      <x:c r="L274" t="str">
        <x:v>CÔNG TY TNHH ĐỈNH TÍN</x:v>
      </x:c>
      <x:c r="M274" t="str">
        <x:v>Số nhà 71A, KĐT Phú Điền, phường Tân Hồng, TP. Từ Sơn, tỉnh Bắc Ninh, Việt Nam. Mã số doanh nghiệp: 2301085427</x:v>
      </x:c>
      <x:c r="N274"/>
      <x:c r="O274" t="str">
        <x:v>Thu hồi số tiếp nhận; đình chỉ lưu hành và thu hồi (QĐ 126/QĐ-QLD)</x:v>
      </x:c>
      <x:c r="P274" t="str">
        <x:v>A++ – Cục Quản lý Dược; company responsibility explicit</x:v>
      </x:c>
      <x:c r="Q274" t="str">
        <x:v>QĐ126/2026, STT 124, trang 13.</x:v>
      </x:c>
      <x:c r="R274" t="str">
        <x:v>https://dav.gov.vn/quyet-dinh-so-126qd-qld-ve-viec-thu-hoi-so-tiep-nhan-phieu-cong-bo-san-pham-my-pham-dinh-chi-luu-hanh-va-thu-hoi-san-pham-my-pham-theo-kl-cua-hd-my-pham-asean-doi-voi-san-pham-my-pham-co-chua-chat-cyclotetrasiloxane-octamethylcyclotetrasiloxane-n5224.html</x:v>
      </x:c>
      <x:c r="S274" t="str">
        <x:v>Bắc Ninh</x:v>
      </x:c>
      <x:c r="T274" t="str">
        <x:v>24</x:v>
      </x:c>
    </x:row>
    <x:row r="275">
      <x:c r="A275" t="n">
        <x:v>274</x:v>
      </x:c>
      <x:c r="B275" s="330" t="n">
        <x:v>45042</x:v>
      </x:c>
      <x:c r="C275" s="330" t="n">
        <x:v>46080</x:v>
      </x:c>
      <x:c r="D275" t="n">
        <x:v>2023</x:v>
      </x:c>
      <x:c r="E275" t="n">
        <x:v>4</x:v>
      </x:c>
      <x:c r="F275" t="str">
        <x:v>200268/23/CBMP-QLD</x:v>
      </x:c>
      <x:c r="G275"/>
      <x:c r="H275" t="str">
        <x:v>Huige Meisailafei Silky Fragrance Essence Hair Mask</x:v>
      </x:c>
      <x:c r="I275" t="str">
        <x:v>HUIGE</x:v>
      </x:c>
      <x:c r="J275" t="str">
        <x:v>Mặt nạ</x:v>
      </x:c>
      <x:c r="K275"/>
      <x:c r="L275" t="str">
        <x:v>CÔNG TY TNHH ĐỈNH TÍN</x:v>
      </x:c>
      <x:c r="M275" t="str">
        <x:v>Số nhà 71A, KĐT Phú Điền, phường Tân Hồng, TP. Từ Sơn, tỉnh Bắc Ninh, Việt Nam. Mã số doanh nghiệp: 2301085427</x:v>
      </x:c>
      <x:c r="N275"/>
      <x:c r="O275" t="str">
        <x:v>Thu hồi số tiếp nhận; đình chỉ lưu hành và thu hồi (QĐ 126/QĐ-QLD)</x:v>
      </x:c>
      <x:c r="P275" t="str">
        <x:v>A++ – Cục Quản lý Dược; company responsibility explicit</x:v>
      </x:c>
      <x:c r="Q275" t="str">
        <x:v>QĐ126/2026, STT 125, trang 13.</x:v>
      </x:c>
      <x:c r="R275" t="str">
        <x:v>https://dav.gov.vn/quyet-dinh-so-126qd-qld-ve-viec-thu-hoi-so-tiep-nhan-phieu-cong-bo-san-pham-my-pham-dinh-chi-luu-hanh-va-thu-hoi-san-pham-my-pham-theo-kl-cua-hd-my-pham-asean-doi-voi-san-pham-my-pham-co-chua-chat-cyclotetrasiloxane-octamethylcyclotetrasiloxane-n5224.html</x:v>
      </x:c>
      <x:c r="S275" t="str">
        <x:v>Bắc Ninh</x:v>
      </x:c>
      <x:c r="T275" t="str">
        <x:v>24</x:v>
      </x:c>
    </x:row>
    <x:row r="276">
      <x:c r="A276" t="n">
        <x:v>275</x:v>
      </x:c>
      <x:c r="B276" s="330" t="n">
        <x:v>45100</x:v>
      </x:c>
      <x:c r="C276" s="330" t="n">
        <x:v>46080</x:v>
      </x:c>
      <x:c r="D276" t="n">
        <x:v>2023</x:v>
      </x:c>
      <x:c r="E276" t="n">
        <x:v>6</x:v>
      </x:c>
      <x:c r="F276" t="str">
        <x:v>204416/23/CBMP-QLD</x:v>
      </x:c>
      <x:c r="G276"/>
      <x:c r="H276" t="str">
        <x:v>Hairhaki Moisture And Smoothing Hair Conditioner</x:v>
      </x:c>
      <x:c r="I276" t="str">
        <x:v>HAIRHAK I</x:v>
      </x:c>
      <x:c r="J276" t="str">
        <x:v>Dầu xả</x:v>
      </x:c>
      <x:c r="K276"/>
      <x:c r="L276" t="str">
        <x:v>CÔNG TY TNHH ĐỈNH TÍN</x:v>
      </x:c>
      <x:c r="M276" t="str">
        <x:v>Số nhà 71A, KĐT Phú Điền, phường Tân Hồng, TP. Từ Sơn, tỉnh Bắc Ninh, Việt Nam. Mã số doanh nghiệp: 2301085427</x:v>
      </x:c>
      <x:c r="N276"/>
      <x:c r="O276" t="str">
        <x:v>Thu hồi số tiếp nhận; đình chỉ lưu hành và thu hồi (QĐ 126/QĐ-QLD)</x:v>
      </x:c>
      <x:c r="P276" t="str">
        <x:v>A++ – Cục Quản lý Dược; company responsibility explicit</x:v>
      </x:c>
      <x:c r="Q276" t="str">
        <x:v>QĐ126/2026, STT 126, trang 13.</x:v>
      </x:c>
      <x:c r="R276" t="str">
        <x:v>https://dav.gov.vn/quyet-dinh-so-126qd-qld-ve-viec-thu-hoi-so-tiep-nhan-phieu-cong-bo-san-pham-my-pham-dinh-chi-luu-hanh-va-thu-hoi-san-pham-my-pham-theo-kl-cua-hd-my-pham-asean-doi-voi-san-pham-my-pham-co-chua-chat-cyclotetrasiloxane-octamethylcyclotetrasiloxane-n5224.html</x:v>
      </x:c>
      <x:c r="S276" t="str">
        <x:v>Bắc Ninh</x:v>
      </x:c>
      <x:c r="T276" t="str">
        <x:v>24</x:v>
      </x:c>
    </x:row>
    <x:row r="277">
      <x:c r="A277" t="n">
        <x:v>276</x:v>
      </x:c>
      <x:c r="B277" s="330" t="n">
        <x:v>45390</x:v>
      </x:c>
      <x:c r="C277" s="330" t="n">
        <x:v>46080</x:v>
      </x:c>
      <x:c r="D277" t="n">
        <x:v>2024</x:v>
      </x:c>
      <x:c r="E277" t="n">
        <x:v>4</x:v>
      </x:c>
      <x:c r="F277" t="str">
        <x:v>232280/24/CBMP-QLD</x:v>
      </x:c>
      <x:c r="G277"/>
      <x:c r="H277" t="str">
        <x:v>Kurashiki Plant-Based Smoothing Conditioner</x:v>
      </x:c>
      <x:c r="I277" t="str">
        <x:v>KURASHI KI</x:v>
      </x:c>
      <x:c r="J277" t="str">
        <x:v>Dầu xả</x:v>
      </x:c>
      <x:c r="K277"/>
      <x:c r="L277" t="str">
        <x:v>CÔNG TY TNHH ĐỈNH TÍN</x:v>
      </x:c>
      <x:c r="M277" t="str">
        <x:v>Số nhà 71A, KĐT Phú Điền, phường Tân Hồng, TP. Từ Sơn, tỉnh Bắc Ninh, Việt Nam. Mã số doanh nghiệp: 2301085427</x:v>
      </x:c>
      <x:c r="N277"/>
      <x:c r="O277" t="str">
        <x:v>Thu hồi số tiếp nhận; đình chỉ lưu hành và thu hồi (QĐ 126/QĐ-QLD)</x:v>
      </x:c>
      <x:c r="P277" t="str">
        <x:v>A++ – Cục Quản lý Dược; company responsibility explicit</x:v>
      </x:c>
      <x:c r="Q277" t="str">
        <x:v>QĐ126/2026, STT 127, trang 14.</x:v>
      </x:c>
      <x:c r="R277" t="str">
        <x:v>https://dav.gov.vn/quyet-dinh-so-126qd-qld-ve-viec-thu-hoi-so-tiep-nhan-phieu-cong-bo-san-pham-my-pham-dinh-chi-luu-hanh-va-thu-hoi-san-pham-my-pham-theo-kl-cua-hd-my-pham-asean-doi-voi-san-pham-my-pham-co-chua-chat-cyclotetrasiloxane-octamethylcyclotetrasiloxane-n5224.html</x:v>
      </x:c>
      <x:c r="S277" t="str">
        <x:v>Bắc Ninh</x:v>
      </x:c>
      <x:c r="T277" t="str">
        <x:v>24</x:v>
      </x:c>
    </x:row>
    <x:row r="278">
      <x:c r="A278" t="n">
        <x:v>277</x:v>
      </x:c>
      <x:c r="B278" s="330" t="n">
        <x:v>44567</x:v>
      </x:c>
      <x:c r="C278" s="330" t="n">
        <x:v>46080</x:v>
      </x:c>
      <x:c r="D278" t="n">
        <x:v>2022</x:v>
      </x:c>
      <x:c r="E278" t="n">
        <x:v>1</x:v>
      </x:c>
      <x:c r="F278" t="str">
        <x:v>164561/22/CBMP-QLD</x:v>
      </x:c>
      <x:c r="G278"/>
      <x:c r="H278" t="str">
        <x:v>Johnhyelee Dr. Cho Blue Recipe+ Peptide Regen Cream Control</x:v>
      </x:c>
      <x:c r="I278" t="str">
        <x:v>Johnhyelee</x:v>
      </x:c>
      <x:c r="J278" t="str">
        <x:v>Kem dưỡng da</x:v>
      </x:c>
      <x:c r="K278"/>
      <x:c r="L278" t="str">
        <x:v>CÔNG TY TNHH DOWOO VIỆT NAM</x:v>
      </x:c>
      <x:c r="M278" t="str">
        <x:v>Tầng 4, tòa nhà HUD3, số 121-123 Tô Hiệu, phường Nguyễn Trãi, quận Hà Đông, TP. Hà Nội, Việt Nam. Mã số doanh nghiệp: 0109394225</x:v>
      </x:c>
      <x:c r="N278"/>
      <x:c r="O278" t="str">
        <x:v>Thu hồi số tiếp nhận; đình chỉ lưu hành và thu hồi (QĐ 126/QĐ-QLD)</x:v>
      </x:c>
      <x:c r="P278" t="str">
        <x:v>A++ – Cục Quản lý Dược; company responsibility explicit</x:v>
      </x:c>
      <x:c r="Q278" t="str">
        <x:v>QĐ126/2026, STT 128, trang 14.</x:v>
      </x:c>
      <x:c r="R278" t="str">
        <x:v>https://dav.gov.vn/quyet-dinh-so-126qd-qld-ve-viec-thu-hoi-so-tiep-nhan-phieu-cong-bo-san-pham-my-pham-dinh-chi-luu-hanh-va-thu-hoi-san-pham-my-pham-theo-kl-cua-hd-my-pham-asean-doi-voi-san-pham-my-pham-co-chua-chat-cyclotetrasiloxane-octamethylcyclotetrasiloxane-n5224.html</x:v>
      </x:c>
      <x:c r="S278" t="str">
        <x:v>Hà Nội</x:v>
      </x:c>
      <x:c r="T278" t="str">
        <x:v>01</x:v>
      </x:c>
    </x:row>
    <x:row r="279">
      <x:c r="A279" t="n">
        <x:v>278</x:v>
      </x:c>
      <x:c r="B279" s="330" t="n">
        <x:v>45706</x:v>
      </x:c>
      <x:c r="C279" s="330" t="n">
        <x:v>46080</x:v>
      </x:c>
      <x:c r="D279" t="n">
        <x:v>2025</x:v>
      </x:c>
      <x:c r="E279" t="n">
        <x:v>2</x:v>
      </x:c>
      <x:c r="F279" t="str">
        <x:v>266677/25/CBMP-QLD</x:v>
      </x:c>
      <x:c r="G279"/>
      <x:c r="H279" t="str">
        <x:v>Skinsista Ultra Block Hybrid Sunscreen Spf50+ Pa++++</x:v>
      </x:c>
      <x:c r="I279" t="str">
        <x:v>SKINSIST A</x:v>
      </x:c>
      <x:c r="J279" t="str">
        <x:v>Kem chống nắng</x:v>
      </x:c>
      <x:c r="K279"/>
      <x:c r="L279" t="str">
        <x:v>Công ty TNHH DOYOE AMBITION TRADING</x:v>
      </x:c>
      <x:c r="M279" t="str">
        <x:v>1/26A Nguyễn Văn Vĩnh, Phường 4, quận Tân Bình, TP. Hồ Chí Minh, Việt Nam. Mã số doanh nghiệp: 318641220</x:v>
      </x:c>
      <x:c r="N279"/>
      <x:c r="O279" t="str">
        <x:v>Thu hồi số tiếp nhận; đình chỉ lưu hành và thu hồi (QĐ 126/QĐ-QLD)</x:v>
      </x:c>
      <x:c r="P279" t="str">
        <x:v>A++ – Cục Quản lý Dược; company responsibility explicit</x:v>
      </x:c>
      <x:c r="Q279" t="str">
        <x:v>QĐ126/2026, STT 129, trang 14.</x:v>
      </x:c>
      <x:c r="R279" t="str">
        <x:v>https://dav.gov.vn/quyet-dinh-so-126qd-qld-ve-viec-thu-hoi-so-tiep-nhan-phieu-cong-bo-san-pham-my-pham-dinh-chi-luu-hanh-va-thu-hoi-san-pham-my-pham-theo-kl-cua-hd-my-pham-asean-doi-voi-san-pham-my-pham-co-chua-chat-cyclotetrasiloxane-octamethylcyclotetrasiloxane-n5224.html</x:v>
      </x:c>
      <x:c r="S279" t="str">
        <x:v>TP. Hồ Chí Minh</x:v>
      </x:c>
      <x:c r="T279" t="str">
        <x:v>79</x:v>
      </x:c>
    </x:row>
    <x:row r="280">
      <x:c r="A280" t="n">
        <x:v>279</x:v>
      </x:c>
      <x:c r="B280" s="330" t="n">
        <x:v>45706</x:v>
      </x:c>
      <x:c r="C280" s="330" t="n">
        <x:v>46080</x:v>
      </x:c>
      <x:c r="D280" t="n">
        <x:v>2025</x:v>
      </x:c>
      <x:c r="E280" t="n">
        <x:v>2</x:v>
      </x:c>
      <x:c r="F280" t="str">
        <x:v>266687/25/CBMP-QLD</x:v>
      </x:c>
      <x:c r="G280"/>
      <x:c r="H280" t="str">
        <x:v>Inn Beauty Skin Nude Matte Foundation</x:v>
      </x:c>
      <x:c r="I280" t="str">
        <x:v>INN BEAUTY</x:v>
      </x:c>
      <x:c r="J280" t="str">
        <x:v>Khác</x:v>
      </x:c>
      <x:c r="K280"/>
      <x:c r="L280" t="str">
        <x:v>Công ty TNHH DOYOE AMBITION TRADING</x:v>
      </x:c>
      <x:c r="M280" t="str">
        <x:v>1/26A Nguyễn Văn Vĩnh, Phường 4, quận Tân Bình, TP. Hồ Chí Minh, Việt Nam. Mã số doanh nghiệp: 318641220</x:v>
      </x:c>
      <x:c r="N280"/>
      <x:c r="O280" t="str">
        <x:v>Thu hồi số tiếp nhận; đình chỉ lưu hành và thu hồi (QĐ 126/QĐ-QLD)</x:v>
      </x:c>
      <x:c r="P280" t="str">
        <x:v>A++ – Cục Quản lý Dược; company responsibility explicit</x:v>
      </x:c>
      <x:c r="Q280" t="str">
        <x:v>QĐ126/2026, STT 130, trang 14.</x:v>
      </x:c>
      <x:c r="R280" t="str">
        <x:v>https://dav.gov.vn/quyet-dinh-so-126qd-qld-ve-viec-thu-hoi-so-tiep-nhan-phieu-cong-bo-san-pham-my-pham-dinh-chi-luu-hanh-va-thu-hoi-san-pham-my-pham-theo-kl-cua-hd-my-pham-asean-doi-voi-san-pham-my-pham-co-chua-chat-cyclotetrasiloxane-octamethylcyclotetrasiloxane-n5224.html</x:v>
      </x:c>
      <x:c r="S280" t="str">
        <x:v>TP. Hồ Chí Minh</x:v>
      </x:c>
      <x:c r="T280" t="str">
        <x:v>79</x:v>
      </x:c>
    </x:row>
    <x:row r="281">
      <x:c r="A281" t="n">
        <x:v>280</x:v>
      </x:c>
      <x:c r="B281" s="330" t="n">
        <x:v>45706</x:v>
      </x:c>
      <x:c r="C281" s="330" t="n">
        <x:v>46080</x:v>
      </x:c>
      <x:c r="D281" t="n">
        <x:v>2025</x:v>
      </x:c>
      <x:c r="E281" t="n">
        <x:v>2</x:v>
      </x:c>
      <x:c r="F281" t="str">
        <x:v>266691/25/CBMP-QLD</x:v>
      </x:c>
      <x:c r="G281"/>
      <x:c r="H281" t="str">
        <x:v>Skinsista Acne &amp; Oil Control Sunblock Spf 50+ Pa++++ (New)</x:v>
      </x:c>
      <x:c r="I281" t="str">
        <x:v>SKINSIST A</x:v>
      </x:c>
      <x:c r="J281" t="str">
        <x:v>Kem chống nắng</x:v>
      </x:c>
      <x:c r="K281"/>
      <x:c r="L281" t="str">
        <x:v>Công ty TNHH DOYOE AMBITION TRADING</x:v>
      </x:c>
      <x:c r="M281" t="str">
        <x:v>1/26A Nguyễn Văn Vĩnh, Phường 4, quận Tân Bình, TP. Hồ Chí Minh, Việt Nam. Mã số doanh nghiệp: 318641220</x:v>
      </x:c>
      <x:c r="N281"/>
      <x:c r="O281" t="str">
        <x:v>Thu hồi số tiếp nhận; đình chỉ lưu hành và thu hồi (QĐ 126/QĐ-QLD)</x:v>
      </x:c>
      <x:c r="P281" t="str">
        <x:v>A++ – Cục Quản lý Dược; company responsibility explicit</x:v>
      </x:c>
      <x:c r="Q281" t="str">
        <x:v>QĐ126/2026, STT 131, trang 14.</x:v>
      </x:c>
      <x:c r="R281" t="str">
        <x:v>https://dav.gov.vn/quyet-dinh-so-126qd-qld-ve-viec-thu-hoi-so-tiep-nhan-phieu-cong-bo-san-pham-my-pham-dinh-chi-luu-hanh-va-thu-hoi-san-pham-my-pham-theo-kl-cua-hd-my-pham-asean-doi-voi-san-pham-my-pham-co-chua-chat-cyclotetrasiloxane-octamethylcyclotetrasiloxane-n5224.html</x:v>
      </x:c>
      <x:c r="S281" t="str">
        <x:v>TP. Hồ Chí Minh</x:v>
      </x:c>
      <x:c r="T281" t="str">
        <x:v>79</x:v>
      </x:c>
    </x:row>
    <x:row r="282">
      <x:c r="A282" t="n">
        <x:v>281</x:v>
      </x:c>
      <x:c r="B282" s="330" t="n">
        <x:v>45706</x:v>
      </x:c>
      <x:c r="C282" s="330" t="n">
        <x:v>46080</x:v>
      </x:c>
      <x:c r="D282" t="n">
        <x:v>2025</x:v>
      </x:c>
      <x:c r="E282" t="n">
        <x:v>2</x:v>
      </x:c>
      <x:c r="F282" t="str">
        <x:v>266704/25/CBMP-QLD</x:v>
      </x:c>
      <x:c r="G282"/>
      <x:c r="H282" t="str">
        <x:v>Merrez'ca Skin Up Liquid Foundation Spf50/Pa+++ #Soft Beige</x:v>
      </x:c>
      <x:c r="I282" t="str">
        <x:v>MERREZ' CA</x:v>
      </x:c>
      <x:c r="J282" t="str">
        <x:v>Kem chống nắng</x:v>
      </x:c>
      <x:c r="K282"/>
      <x:c r="L282" t="str">
        <x:v>Công ty TNHH DOYOE AMBITION TRADING</x:v>
      </x:c>
      <x:c r="M282" t="str">
        <x:v>1/26A Nguyễn Văn Vĩnh, Phường 4, quận Tân Bình, TP. Hồ Chí Minh, Việt Nam. Mã số doanh nghiệp: 318641220</x:v>
      </x:c>
      <x:c r="N282"/>
      <x:c r="O282" t="str">
        <x:v>Thu hồi số tiếp nhận; đình chỉ lưu hành và thu hồi (QĐ 126/QĐ-QLD)</x:v>
      </x:c>
      <x:c r="P282" t="str">
        <x:v>A++ – Cục Quản lý Dược; company responsibility explicit</x:v>
      </x:c>
      <x:c r="Q282" t="str">
        <x:v>QĐ126/2026, STT 132, trang 14.</x:v>
      </x:c>
      <x:c r="R282" t="str">
        <x:v>https://dav.gov.vn/quyet-dinh-so-126qd-qld-ve-viec-thu-hoi-so-tiep-nhan-phieu-cong-bo-san-pham-my-pham-dinh-chi-luu-hanh-va-thu-hoi-san-pham-my-pham-theo-kl-cua-hd-my-pham-asean-doi-voi-san-pham-my-pham-co-chua-chat-cyclotetrasiloxane-octamethylcyclotetrasiloxane-n5224.html</x:v>
      </x:c>
      <x:c r="S282" t="str">
        <x:v>TP. Hồ Chí Minh</x:v>
      </x:c>
      <x:c r="T282" t="str">
        <x:v>79</x:v>
      </x:c>
    </x:row>
    <x:row r="283">
      <x:c r="A283" t="n">
        <x:v>282</x:v>
      </x:c>
      <x:c r="B283" s="330" t="n">
        <x:v>45706</x:v>
      </x:c>
      <x:c r="C283" s="330" t="n">
        <x:v>46080</x:v>
      </x:c>
      <x:c r="D283" t="n">
        <x:v>2025</x:v>
      </x:c>
      <x:c r="E283" t="n">
        <x:v>2</x:v>
      </x:c>
      <x:c r="F283" t="str">
        <x:v>266705/25/CBMP-QLD</x:v>
      </x:c>
      <x:c r="G283"/>
      <x:c r="H283" t="str">
        <x:v>Merrez'ca Skin Up Liquid Foundation Spf50/Pa+++ #Light Beige</x:v>
      </x:c>
      <x:c r="I283" t="str">
        <x:v>MERREZ' CA</x:v>
      </x:c>
      <x:c r="J283" t="str">
        <x:v>Kem chống nắng</x:v>
      </x:c>
      <x:c r="K283"/>
      <x:c r="L283" t="str">
        <x:v>Công ty TNHH DOYOE AMBITION TRADING</x:v>
      </x:c>
      <x:c r="M283" t="str">
        <x:v>1/26A Nguyễn Văn Vĩnh, Phường 4, quận Tân Bình, TP. Hồ Chí Minh, Việt Nam. Mã số doanh nghiệp: 318641220</x:v>
      </x:c>
      <x:c r="N283"/>
      <x:c r="O283" t="str">
        <x:v>Thu hồi số tiếp nhận; đình chỉ lưu hành và thu hồi (QĐ 126/QĐ-QLD)</x:v>
      </x:c>
      <x:c r="P283" t="str">
        <x:v>A++ – Cục Quản lý Dược; company responsibility explicit</x:v>
      </x:c>
      <x:c r="Q283" t="str">
        <x:v>QĐ126/2026, STT 133, trang 14.</x:v>
      </x:c>
      <x:c r="R283" t="str">
        <x:v>https://dav.gov.vn/quyet-dinh-so-126qd-qld-ve-viec-thu-hoi-so-tiep-nhan-phieu-cong-bo-san-pham-my-pham-dinh-chi-luu-hanh-va-thu-hoi-san-pham-my-pham-theo-kl-cua-hd-my-pham-asean-doi-voi-san-pham-my-pham-co-chua-chat-cyclotetrasiloxane-octamethylcyclotetrasiloxane-n5224.html</x:v>
      </x:c>
      <x:c r="S283" t="str">
        <x:v>TP. Hồ Chí Minh</x:v>
      </x:c>
      <x:c r="T283" t="str">
        <x:v>79</x:v>
      </x:c>
    </x:row>
    <x:row r="284">
      <x:c r="A284" t="n">
        <x:v>283</x:v>
      </x:c>
      <x:c r="B284" s="330" t="n">
        <x:v>45706</x:v>
      </x:c>
      <x:c r="C284" s="330" t="n">
        <x:v>46080</x:v>
      </x:c>
      <x:c r="D284" t="n">
        <x:v>2025</x:v>
      </x:c>
      <x:c r="E284" t="n">
        <x:v>2</x:v>
      </x:c>
      <x:c r="F284" t="str">
        <x:v>266706/25/CBMP-QLD</x:v>
      </x:c>
      <x:c r="G284"/>
      <x:c r="H284" t="str">
        <x:v>Merrez'ca Skin Up Liquid Foundation Spf50/Pa+++ #Light Nude</x:v>
      </x:c>
      <x:c r="I284" t="str">
        <x:v>MERREZ' CA</x:v>
      </x:c>
      <x:c r="J284" t="str">
        <x:v>Kem chống nắng</x:v>
      </x:c>
      <x:c r="K284"/>
      <x:c r="L284" t="str">
        <x:v>Công ty TNHH DOYOE AMBITION TRADING</x:v>
      </x:c>
      <x:c r="M284" t="str">
        <x:v>1/26A Nguyễn Văn Vĩnh, Phường 4, quận Tân Bình, TP. Hồ Chí Minh, Việt Nam. Mã số doanh nghiệp: 318641220</x:v>
      </x:c>
      <x:c r="N284"/>
      <x:c r="O284" t="str">
        <x:v>Thu hồi số tiếp nhận; đình chỉ lưu hành và thu hồi (QĐ 126/QĐ-QLD)</x:v>
      </x:c>
      <x:c r="P284" t="str">
        <x:v>A++ – Cục Quản lý Dược; company responsibility explicit</x:v>
      </x:c>
      <x:c r="Q284" t="str">
        <x:v>QĐ126/2026, STT 134, trang 14.</x:v>
      </x:c>
      <x:c r="R284" t="str">
        <x:v>https://dav.gov.vn/quyet-dinh-so-126qd-qld-ve-viec-thu-hoi-so-tiep-nhan-phieu-cong-bo-san-pham-my-pham-dinh-chi-luu-hanh-va-thu-hoi-san-pham-my-pham-theo-kl-cua-hd-my-pham-asean-doi-voi-san-pham-my-pham-co-chua-chat-cyclotetrasiloxane-octamethylcyclotetrasiloxane-n5224.html</x:v>
      </x:c>
      <x:c r="S284" t="str">
        <x:v>TP. Hồ Chí Minh</x:v>
      </x:c>
      <x:c r="T284" t="str">
        <x:v>79</x:v>
      </x:c>
    </x:row>
    <x:row r="285">
      <x:c r="A285" t="n">
        <x:v>284</x:v>
      </x:c>
      <x:c r="B285" s="330" t="n">
        <x:v>45321</x:v>
      </x:c>
      <x:c r="C285" s="330" t="n">
        <x:v>46080</x:v>
      </x:c>
      <x:c r="D285" t="n">
        <x:v>2024</x:v>
      </x:c>
      <x:c r="E285" t="n">
        <x:v>1</x:v>
      </x:c>
      <x:c r="F285" t="str">
        <x:v>224779/24/CBMP-QLD</x:v>
      </x:c>
      <x:c r="G285"/>
      <x:c r="H285" t="str">
        <x:v>Duft&amp;Doft Salmonvgene Hydro Active Eye Cream</x:v>
      </x:c>
      <x:c r="I285" t="str">
        <x:v>DUFT&amp;D OFT</x:v>
      </x:c>
      <x:c r="J285" t="str">
        <x:v>Kem dưỡng da</x:v>
      </x:c>
      <x:c r="K285"/>
      <x:c r="L285" t="str">
        <x:v>Công ty TNHH DREAM GLOBAL</x:v>
      </x:c>
      <x:c r="M285" t="str">
        <x:v>TT1-A12 Dự án nhà mặt phố Fivestar Mỹ Đình, phường Mỹ Đình 1, quận Nam Từ Liêm, TP. Hà Nội, Việt Nam. Mã số doanh nghiệp: 0110192248</x:v>
      </x:c>
      <x:c r="N285"/>
      <x:c r="O285" t="str">
        <x:v>Thu hồi số tiếp nhận; đình chỉ lưu hành và thu hồi (QĐ 126/QĐ-QLD)</x:v>
      </x:c>
      <x:c r="P285" t="str">
        <x:v>A++ – Cục Quản lý Dược; company responsibility explicit</x:v>
      </x:c>
      <x:c r="Q285" t="str">
        <x:v>QĐ126/2026, STT 135, trang 14.</x:v>
      </x:c>
      <x:c r="R285" t="str">
        <x:v>https://dav.gov.vn/quyet-dinh-so-126qd-qld-ve-viec-thu-hoi-so-tiep-nhan-phieu-cong-bo-san-pham-my-pham-dinh-chi-luu-hanh-va-thu-hoi-san-pham-my-pham-theo-kl-cua-hd-my-pham-asean-doi-voi-san-pham-my-pham-co-chua-chat-cyclotetrasiloxane-octamethylcyclotetrasiloxane-n5224.html</x:v>
      </x:c>
      <x:c r="S285" t="str">
        <x:v>Hà Nội</x:v>
      </x:c>
      <x:c r="T285" t="str">
        <x:v>01</x:v>
      </x:c>
    </x:row>
    <x:row r="286">
      <x:c r="A286" t="n">
        <x:v>285</x:v>
      </x:c>
      <x:c r="B286" s="330" t="n">
        <x:v>44623</x:v>
      </x:c>
      <x:c r="C286" s="330" t="n">
        <x:v>46080</x:v>
      </x:c>
      <x:c r="D286" t="n">
        <x:v>2022</x:v>
      </x:c>
      <x:c r="E286" t="n">
        <x:v>3</x:v>
      </x:c>
      <x:c r="F286" t="str">
        <x:v>167055/22/CBMP-QLD</x:v>
      </x:c>
      <x:c r="G286"/>
      <x:c r="H286" t="str">
        <x:v>Graymelin Vintage If Only Brightening Milky Skin The Premium</x:v>
      </x:c>
      <x:c r="I286" t="str">
        <x:v>Graymelin</x:v>
      </x:c>
      <x:c r="J286" t="str">
        <x:v>Khác</x:v>
      </x:c>
      <x:c r="K286"/>
      <x:c r="L286" t="str">
        <x:v>Công ty TNHH DURI COSMETIC</x:v>
      </x:c>
      <x:c r="M286" t="str">
        <x:v>246 Cống Quỳnh, phường Phạm Ngũ Lão, Quận 1, TP. Hồ Chí Minh, Việt Nam. Mã số doanh nghiệp: 0316675947</x:v>
      </x:c>
      <x:c r="N286"/>
      <x:c r="O286" t="str">
        <x:v>Thu hồi số tiếp nhận; đình chỉ lưu hành và thu hồi (QĐ 126/QĐ-QLD)</x:v>
      </x:c>
      <x:c r="P286" t="str">
        <x:v>A++ – Cục Quản lý Dược; company responsibility explicit</x:v>
      </x:c>
      <x:c r="Q286" t="str">
        <x:v>QĐ126/2026, STT 137, trang 15.</x:v>
      </x:c>
      <x:c r="R286" t="str">
        <x:v>https://dav.gov.vn/quyet-dinh-so-126qd-qld-ve-viec-thu-hoi-so-tiep-nhan-phieu-cong-bo-san-pham-my-pham-dinh-chi-luu-hanh-va-thu-hoi-san-pham-my-pham-theo-kl-cua-hd-my-pham-asean-doi-voi-san-pham-my-pham-co-chua-chat-cyclotetrasiloxane-octamethylcyclotetrasiloxane-n5224.html</x:v>
      </x:c>
      <x:c r="S286" t="str">
        <x:v>TP. Hồ Chí Minh</x:v>
      </x:c>
      <x:c r="T286" t="str">
        <x:v>79</x:v>
      </x:c>
    </x:row>
    <x:row r="287">
      <x:c r="A287" t="n">
        <x:v>286</x:v>
      </x:c>
      <x:c r="B287" s="330" t="n">
        <x:v>45436</x:v>
      </x:c>
      <x:c r="C287" s="330" t="n">
        <x:v>46080</x:v>
      </x:c>
      <x:c r="D287" t="n">
        <x:v>2024</x:v>
      </x:c>
      <x:c r="E287" t="n">
        <x:v>5</x:v>
      </x:c>
      <x:c r="F287" t="str">
        <x:v>237916/24/CBMP-QLD</x:v>
      </x:c>
      <x:c r="G287"/>
      <x:c r="H287" t="str">
        <x:v>Dways Day Cream</x:v>
      </x:c>
      <x:c r="I287" t="str">
        <x:v>DWAYS</x:v>
      </x:c>
      <x:c r="J287" t="str">
        <x:v>Kem dưỡng da</x:v>
      </x:c>
      <x:c r="K287"/>
      <x:c r="L287" t="str">
        <x:v>Công ty TNHH Dways International Việt Nam</x:v>
      </x:c>
      <x:c r="M287" t="str">
        <x:v>Tầng 2, số 54 ngõ 306 Tây Sơn, phường Ngã Tư Sở, quận Đống Đa, TP. Hà Nội, Việt Nam. Mã số doanh nghiệp: 0110202591</x:v>
      </x:c>
      <x:c r="N287"/>
      <x:c r="O287" t="str">
        <x:v>Thu hồi số tiếp nhận; đình chỉ lưu hành và thu hồi (QĐ 126/QĐ-QLD)</x:v>
      </x:c>
      <x:c r="P287" t="str">
        <x:v>A++ – Cục Quản lý Dược; company responsibility explicit</x:v>
      </x:c>
      <x:c r="Q287" t="str">
        <x:v>QĐ126/2026, STT 138, trang 15.</x:v>
      </x:c>
      <x:c r="R287" t="str">
        <x:v>https://dav.gov.vn/quyet-dinh-so-126qd-qld-ve-viec-thu-hoi-so-tiep-nhan-phieu-cong-bo-san-pham-my-pham-dinh-chi-luu-hanh-va-thu-hoi-san-pham-my-pham-theo-kl-cua-hd-my-pham-asean-doi-voi-san-pham-my-pham-co-chua-chat-cyclotetrasiloxane-octamethylcyclotetrasiloxane-n5224.html</x:v>
      </x:c>
      <x:c r="S287" t="str">
        <x:v>Hà Nội</x:v>
      </x:c>
      <x:c r="T287" t="str">
        <x:v>01</x:v>
      </x:c>
    </x:row>
    <x:row r="288">
      <x:c r="A288" t="n">
        <x:v>287</x:v>
      </x:c>
      <x:c r="B288" s="330" t="n">
        <x:v>44792</x:v>
      </x:c>
      <x:c r="C288" s="330" t="n">
        <x:v>46080</x:v>
      </x:c>
      <x:c r="D288" t="n">
        <x:v>2022</x:v>
      </x:c>
      <x:c r="E288" t="n">
        <x:v>8</x:v>
      </x:c>
      <x:c r="F288" t="str">
        <x:v>178659/22/CBMP-QLD</x:v>
      </x:c>
      <x:c r="G288"/>
      <x:c r="H288" t="str">
        <x:v>4oln FOREUL HEART FOR MY LIPSTICK</x:v>
      </x:c>
      <x:c r="I288" t="str">
        <x:v>4OlN</x:v>
      </x:c>
      <x:c r="J288" t="str">
        <x:v>Sản phẩm môi</x:v>
      </x:c>
      <x:c r="K288"/>
      <x:c r="L288" t="str">
        <x:v>Công ty TNHH EUNMIN VIỆT NAM</x:v>
      </x:c>
      <x:c r="M288" t="str">
        <x:v>Tầng 7, Tòa nhà THE OFFICE số 340/15A Ung Văn Khiêm, Phường 25, quận Bình Thạnh, TP. Hồ Chí Minh, Việt Nam. Mã số doanh nghiệp: 0316358426</x:v>
      </x:c>
      <x:c r="N288"/>
      <x:c r="O288" t="str">
        <x:v>Thu hồi số tiếp nhận; đình chỉ lưu hành và thu hồi (QĐ 126/QĐ-QLD)</x:v>
      </x:c>
      <x:c r="P288" t="str">
        <x:v>A++ – Cục Quản lý Dược; company responsibility explicit</x:v>
      </x:c>
      <x:c r="Q288" t="str">
        <x:v>QĐ126/2026, STT 139, trang 15.</x:v>
      </x:c>
      <x:c r="R288" t="str">
        <x:v>https://dav.gov.vn/quyet-dinh-so-126qd-qld-ve-viec-thu-hoi-so-tiep-nhan-phieu-cong-bo-san-pham-my-pham-dinh-chi-luu-hanh-va-thu-hoi-san-pham-my-pham-theo-kl-cua-hd-my-pham-asean-doi-voi-san-pham-my-pham-co-chua-chat-cyclotetrasiloxane-octamethylcyclotetrasiloxane-n5224.html</x:v>
      </x:c>
      <x:c r="S288" t="str">
        <x:v>TP. Hồ Chí Minh</x:v>
      </x:c>
      <x:c r="T288" t="str">
        <x:v>79</x:v>
      </x:c>
    </x:row>
    <x:row r="289">
      <x:c r="A289" t="n">
        <x:v>288</x:v>
      </x:c>
      <x:c r="B289" s="330" t="n">
        <x:v>45477</x:v>
      </x:c>
      <x:c r="C289" s="330" t="n">
        <x:v>46080</x:v>
      </x:c>
      <x:c r="D289" t="n">
        <x:v>2024</x:v>
      </x:c>
      <x:c r="E289" t="n">
        <x:v>7</x:v>
      </x:c>
      <x:c r="F289" t="str">
        <x:v>241695/24/CBMP-QLD</x:v>
      </x:c>
      <x:c r="G289"/>
      <x:c r="H289" t="str">
        <x:v>Luit Calm Flow Collagen Booster</x:v>
      </x:c>
      <x:c r="I289" t="str">
        <x:v>Luit</x:v>
      </x:c>
      <x:c r="J289" t="str">
        <x:v>Khác</x:v>
      </x:c>
      <x:c r="K289"/>
      <x:c r="L289" t="str">
        <x:v>Công ty TNHH FLABOIS VIỆT NAM</x:v>
      </x:c>
      <x:c r="M289" t="str">
        <x:v>98 Bùi Thị Xuân, phường Bến Thành, Quận 1, TP. Hồ Chí Minh, Việt Nam. Mã số doanh nghiệp: 0318031708</x:v>
      </x:c>
      <x:c r="N289"/>
      <x:c r="O289" t="str">
        <x:v>Thu hồi số tiếp nhận; đình chỉ lưu hành và thu hồi (QĐ 126/QĐ-QLD)</x:v>
      </x:c>
      <x:c r="P289" t="str">
        <x:v>A++ – Cục Quản lý Dược; company responsibility explicit</x:v>
      </x:c>
      <x:c r="Q289" t="str">
        <x:v>QĐ126/2026, STT 140, trang 15.</x:v>
      </x:c>
      <x:c r="R289" t="str">
        <x:v>https://dav.gov.vn/quyet-dinh-so-126qd-qld-ve-viec-thu-hoi-so-tiep-nhan-phieu-cong-bo-san-pham-my-pham-dinh-chi-luu-hanh-va-thu-hoi-san-pham-my-pham-theo-kl-cua-hd-my-pham-asean-doi-voi-san-pham-my-pham-co-chua-chat-cyclotetrasiloxane-octamethylcyclotetrasiloxane-n5224.html</x:v>
      </x:c>
      <x:c r="S289" t="str">
        <x:v>TP. Hồ Chí Minh</x:v>
      </x:c>
      <x:c r="T289" t="str">
        <x:v>79</x:v>
      </x:c>
    </x:row>
    <x:row r="290">
      <x:c r="A290" t="n">
        <x:v>289</x:v>
      </x:c>
      <x:c r="B290" s="330" t="n">
        <x:v>45477</x:v>
      </x:c>
      <x:c r="C290" s="330" t="n">
        <x:v>46080</x:v>
      </x:c>
      <x:c r="D290" t="n">
        <x:v>2024</x:v>
      </x:c>
      <x:c r="E290" t="n">
        <x:v>7</x:v>
      </x:c>
      <x:c r="F290" t="str">
        <x:v>241701/24/CBMP-QLD</x:v>
      </x:c>
      <x:c r="G290"/>
      <x:c r="H290" t="str">
        <x:v>Luit Professional Heating Perm 1 Damaged Hair</x:v>
      </x:c>
      <x:c r="I290" t="str">
        <x:v>Luit</x:v>
      </x:c>
      <x:c r="J290" t="str">
        <x:v>Uốn/duỗi/giữ nếp tóc</x:v>
      </x:c>
      <x:c r="K290"/>
      <x:c r="L290" t="str">
        <x:v>Công ty TNHH FLABOIS VIỆT NAM</x:v>
      </x:c>
      <x:c r="M290" t="str">
        <x:v>98 Bùi Thị Xuân, phường Bến Thành, Quận 1, TP. Hồ Chí Minh, Việt Nam. Mã số doanh nghiệp: 0318031708</x:v>
      </x:c>
      <x:c r="N290"/>
      <x:c r="O290" t="str">
        <x:v>Thu hồi số tiếp nhận; đình chỉ lưu hành và thu hồi (QĐ 126/QĐ-QLD)</x:v>
      </x:c>
      <x:c r="P290" t="str">
        <x:v>A++ – Cục Quản lý Dược; company responsibility explicit</x:v>
      </x:c>
      <x:c r="Q290" t="str">
        <x:v>QĐ126/2026, STT 141, trang 15.</x:v>
      </x:c>
      <x:c r="R290" t="str">
        <x:v>https://dav.gov.vn/quyet-dinh-so-126qd-qld-ve-viec-thu-hoi-so-tiep-nhan-phieu-cong-bo-san-pham-my-pham-dinh-chi-luu-hanh-va-thu-hoi-san-pham-my-pham-theo-kl-cua-hd-my-pham-asean-doi-voi-san-pham-my-pham-co-chua-chat-cyclotetrasiloxane-octamethylcyclotetrasiloxane-n5224.html</x:v>
      </x:c>
      <x:c r="S290" t="str">
        <x:v>TP. Hồ Chí Minh</x:v>
      </x:c>
      <x:c r="T290" t="str">
        <x:v>79</x:v>
      </x:c>
    </x:row>
    <x:row r="291">
      <x:c r="A291" t="n">
        <x:v>290</x:v>
      </x:c>
      <x:c r="B291" s="330" t="n">
        <x:v>45477</x:v>
      </x:c>
      <x:c r="C291" s="330" t="n">
        <x:v>46080</x:v>
      </x:c>
      <x:c r="D291" t="n">
        <x:v>2024</x:v>
      </x:c>
      <x:c r="E291" t="n">
        <x:v>7</x:v>
      </x:c>
      <x:c r="F291" t="str">
        <x:v>241980/24/CBMP-QLD</x:v>
      </x:c>
      <x:c r="G291"/>
      <x:c r="H291" t="str">
        <x:v>Luit Professional Heating Perm 1 Healthy Hair</x:v>
      </x:c>
      <x:c r="I291" t="str">
        <x:v>Luit</x:v>
      </x:c>
      <x:c r="J291" t="str">
        <x:v>Uốn/duỗi/giữ nếp tóc</x:v>
      </x:c>
      <x:c r="K291"/>
      <x:c r="L291" t="str">
        <x:v>Công ty TNHH FLABOIS VIỆT NAM</x:v>
      </x:c>
      <x:c r="M291" t="str">
        <x:v>98 Bùi Thị Xuân, phường Bến Thành, Quận 1, TP. Hồ Chí Minh, Việt Nam. Mã số doanh nghiệp: 0318031708</x:v>
      </x:c>
      <x:c r="N291"/>
      <x:c r="O291" t="str">
        <x:v>Thu hồi số tiếp nhận; đình chỉ lưu hành và thu hồi (QĐ 126/QĐ-QLD)</x:v>
      </x:c>
      <x:c r="P291" t="str">
        <x:v>A++ – Cục Quản lý Dược; company responsibility explicit</x:v>
      </x:c>
      <x:c r="Q291" t="str">
        <x:v>QĐ126/2026, STT 142, trang 15.</x:v>
      </x:c>
      <x:c r="R291" t="str">
        <x:v>https://dav.gov.vn/quyet-dinh-so-126qd-qld-ve-viec-thu-hoi-so-tiep-nhan-phieu-cong-bo-san-pham-my-pham-dinh-chi-luu-hanh-va-thu-hoi-san-pham-my-pham-theo-kl-cua-hd-my-pham-asean-doi-voi-san-pham-my-pham-co-chua-chat-cyclotetrasiloxane-octamethylcyclotetrasiloxane-n5224.html</x:v>
      </x:c>
      <x:c r="S291" t="str">
        <x:v>TP. Hồ Chí Minh</x:v>
      </x:c>
      <x:c r="T291" t="str">
        <x:v>79</x:v>
      </x:c>
    </x:row>
    <x:row r="292">
      <x:c r="A292" t="n">
        <x:v>291</x:v>
      </x:c>
      <x:c r="B292" s="330" t="n">
        <x:v>44708</x:v>
      </x:c>
      <x:c r="C292" s="330" t="n">
        <x:v>46080</x:v>
      </x:c>
      <x:c r="D292" t="n">
        <x:v>2022</x:v>
      </x:c>
      <x:c r="E292" t="n">
        <x:v>5</x:v>
      </x:c>
      <x:c r="F292" t="str">
        <x:v>171110/22/CBMP-QLD</x:v>
      </x:c>
      <x:c r="G292"/>
      <x:c r="H292" t="str">
        <x:v>Huxley Essence; Brightly Ever After</x:v>
      </x:c>
      <x:c r="I292" t="str">
        <x:v>HUXLEY</x:v>
      </x:c>
      <x:c r="J292" t="str">
        <x:v>Serum/Essence da</x:v>
      </x:c>
      <x:c r="K292"/>
      <x:c r="L292" t="str">
        <x:v>Công ty TNHH GJ INTERNATIONAL VIỆT NAM</x:v>
      </x:c>
      <x:c r="M292" t="str">
        <x:v>Số nhà 152 đường Ỷ La, phường Dương Nội, quận Hà Đông, TP. Hà Nội, Việt Nam. Mã số doanh nghiệp: 0109427008</x:v>
      </x:c>
      <x:c r="N292"/>
      <x:c r="O292" t="str">
        <x:v>Thu hồi số tiếp nhận; đình chỉ lưu hành và thu hồi (QĐ 126/QĐ-QLD)</x:v>
      </x:c>
      <x:c r="P292" t="str">
        <x:v>A++ – Cục Quản lý Dược; company responsibility explicit</x:v>
      </x:c>
      <x:c r="Q292" t="str">
        <x:v>QĐ126/2026, STT 143, trang 15.</x:v>
      </x:c>
      <x:c r="R292" t="str">
        <x:v>https://dav.gov.vn/quyet-dinh-so-126qd-qld-ve-viec-thu-hoi-so-tiep-nhan-phieu-cong-bo-san-pham-my-pham-dinh-chi-luu-hanh-va-thu-hoi-san-pham-my-pham-theo-kl-cua-hd-my-pham-asean-doi-voi-san-pham-my-pham-co-chua-chat-cyclotetrasiloxane-octamethylcyclotetrasiloxane-n5224.html</x:v>
      </x:c>
      <x:c r="S292" t="str">
        <x:v>Hà Nội</x:v>
      </x:c>
      <x:c r="T292" t="str">
        <x:v>01</x:v>
      </x:c>
    </x:row>
    <x:row r="293">
      <x:c r="A293" t="n">
        <x:v>292</x:v>
      </x:c>
      <x:c r="B293" s="330" t="n">
        <x:v>44971</x:v>
      </x:c>
      <x:c r="C293" s="330" t="n">
        <x:v>46080</x:v>
      </x:c>
      <x:c r="D293" t="n">
        <x:v>2023</x:v>
      </x:c>
      <x:c r="E293" t="n">
        <x:v>2</x:v>
      </x:c>
      <x:c r="F293" t="str">
        <x:v>194796/23/CBMP-QLD</x:v>
      </x:c>
      <x:c r="G293"/>
      <x:c r="H293" t="str">
        <x:v>Peripera Ink Airy Velvet 15 Soft Coral</x:v>
      </x:c>
      <x:c r="I293" t="str">
        <x:v>PERIPER A</x:v>
      </x:c>
      <x:c r="J293" t="str">
        <x:v>Khác</x:v>
      </x:c>
      <x:c r="K293"/>
      <x:c r="L293" t="str">
        <x:v>Công ty TNHH GJ INTERNATIONAL VIỆT NAM</x:v>
      </x:c>
      <x:c r="M293" t="str">
        <x:v>Số nhà 152 đường Ỷ La, phường Dương Nội, quận Hà Đông, TP. Hà Nội, Việt Nam. Mã số doanh nghiệp: 0109427008</x:v>
      </x:c>
      <x:c r="N293"/>
      <x:c r="O293" t="str">
        <x:v>Thu hồi số tiếp nhận; đình chỉ lưu hành và thu hồi (QĐ 126/QĐ-QLD)</x:v>
      </x:c>
      <x:c r="P293" t="str">
        <x:v>A++ – Cục Quản lý Dược; company responsibility explicit</x:v>
      </x:c>
      <x:c r="Q293" t="str">
        <x:v>QĐ126/2026, STT 144, trang 15.</x:v>
      </x:c>
      <x:c r="R293" t="str">
        <x:v>https://dav.gov.vn/quyet-dinh-so-126qd-qld-ve-viec-thu-hoi-so-tiep-nhan-phieu-cong-bo-san-pham-my-pham-dinh-chi-luu-hanh-va-thu-hoi-san-pham-my-pham-theo-kl-cua-hd-my-pham-asean-doi-voi-san-pham-my-pham-co-chua-chat-cyclotetrasiloxane-octamethylcyclotetrasiloxane-n5224.html</x:v>
      </x:c>
      <x:c r="S293" t="str">
        <x:v>Hà Nội</x:v>
      </x:c>
      <x:c r="T293" t="str">
        <x:v>01</x:v>
      </x:c>
    </x:row>
    <x:row r="294">
      <x:c r="A294" t="n">
        <x:v>293</x:v>
      </x:c>
      <x:c r="B294" s="330" t="n">
        <x:v>44971</x:v>
      </x:c>
      <x:c r="C294" s="330" t="n">
        <x:v>46080</x:v>
      </x:c>
      <x:c r="D294" t="n">
        <x:v>2023</x:v>
      </x:c>
      <x:c r="E294" t="n">
        <x:v>2</x:v>
      </x:c>
      <x:c r="F294" t="str">
        <x:v>194797/23/CBMP-QLD</x:v>
      </x:c>
      <x:c r="G294"/>
      <x:c r="H294" t="str">
        <x:v>Peripera Ink Airy Velvet 01 Hotspot Red</x:v>
      </x:c>
      <x:c r="I294" t="str">
        <x:v>PERIPER A</x:v>
      </x:c>
      <x:c r="J294" t="str">
        <x:v>Khác</x:v>
      </x:c>
      <x:c r="K294"/>
      <x:c r="L294" t="str">
        <x:v>Công ty TNHH GJ INTERNATIONAL VIỆT NAM</x:v>
      </x:c>
      <x:c r="M294" t="str">
        <x:v>Số nhà 152 đường Ỷ La, phường Dương Nội, quận Hà Đông, TP. Hà Nội, Việt Nam. Mã số doanh nghiệp: 0109427008</x:v>
      </x:c>
      <x:c r="N294"/>
      <x:c r="O294" t="str">
        <x:v>Thu hồi số tiếp nhận; đình chỉ lưu hành và thu hồi (QĐ 126/QĐ-QLD)</x:v>
      </x:c>
      <x:c r="P294" t="str">
        <x:v>A++ – Cục Quản lý Dược; company responsibility explicit</x:v>
      </x:c>
      <x:c r="Q294" t="str">
        <x:v>QĐ126/2026, STT 145, trang 15.</x:v>
      </x:c>
      <x:c r="R294" t="str">
        <x:v>https://dav.gov.vn/quyet-dinh-so-126qd-qld-ve-viec-thu-hoi-so-tiep-nhan-phieu-cong-bo-san-pham-my-pham-dinh-chi-luu-hanh-va-thu-hoi-san-pham-my-pham-theo-kl-cua-hd-my-pham-asean-doi-voi-san-pham-my-pham-co-chua-chat-cyclotetrasiloxane-octamethylcyclotetrasiloxane-n5224.html</x:v>
      </x:c>
      <x:c r="S294" t="str">
        <x:v>Hà Nội</x:v>
      </x:c>
      <x:c r="T294" t="str">
        <x:v>01</x:v>
      </x:c>
    </x:row>
    <x:row r="295">
      <x:c r="A295" t="n">
        <x:v>294</x:v>
      </x:c>
      <x:c r="B295" s="330" t="n">
        <x:v>44971</x:v>
      </x:c>
      <x:c r="C295" s="330" t="n">
        <x:v>46080</x:v>
      </x:c>
      <x:c r="D295" t="n">
        <x:v>2023</x:v>
      </x:c>
      <x:c r="E295" t="n">
        <x:v>2</x:v>
      </x:c>
      <x:c r="F295" t="str">
        <x:v>194812/23/CBMP-QLD</x:v>
      </x:c>
      <x:c r="G295"/>
      <x:c r="H295" t="str">
        <x:v>Peripera Ink Airy Velvet 04 Pretty Pink</x:v>
      </x:c>
      <x:c r="I295" t="str">
        <x:v>PERIPER A</x:v>
      </x:c>
      <x:c r="J295" t="str">
        <x:v>Khác</x:v>
      </x:c>
      <x:c r="K295"/>
      <x:c r="L295" t="str">
        <x:v>Công ty TNHH GJ INTERNATIONAL VIỆT NAM</x:v>
      </x:c>
      <x:c r="M295" t="str">
        <x:v>Số nhà 152 đường Ỷ La, phường Dương Nội, quận Hà Đông, TP. Hà Nội, Việt Nam. Mã số doanh nghiệp: 0109427008</x:v>
      </x:c>
      <x:c r="N295"/>
      <x:c r="O295" t="str">
        <x:v>Thu hồi số tiếp nhận; đình chỉ lưu hành và thu hồi (QĐ 126/QĐ-QLD)</x:v>
      </x:c>
      <x:c r="P295" t="str">
        <x:v>A++ – Cục Quản lý Dược; company responsibility explicit</x:v>
      </x:c>
      <x:c r="Q295" t="str">
        <x:v>QĐ126/2026, STT 146, trang 15.</x:v>
      </x:c>
      <x:c r="R295" t="str">
        <x:v>https://dav.gov.vn/quyet-dinh-so-126qd-qld-ve-viec-thu-hoi-so-tiep-nhan-phieu-cong-bo-san-pham-my-pham-dinh-chi-luu-hanh-va-thu-hoi-san-pham-my-pham-theo-kl-cua-hd-my-pham-asean-doi-voi-san-pham-my-pham-co-chua-chat-cyclotetrasiloxane-octamethylcyclotetrasiloxane-n5224.html</x:v>
      </x:c>
      <x:c r="S295" t="str">
        <x:v>Hà Nội</x:v>
      </x:c>
      <x:c r="T295" t="str">
        <x:v>01</x:v>
      </x:c>
    </x:row>
    <x:row r="296">
      <x:c r="A296" t="n">
        <x:v>295</x:v>
      </x:c>
      <x:c r="B296" s="330" t="n">
        <x:v>44971</x:v>
      </x:c>
      <x:c r="C296" s="330" t="n">
        <x:v>46080</x:v>
      </x:c>
      <x:c r="D296" t="n">
        <x:v>2023</x:v>
      </x:c>
      <x:c r="E296" t="n">
        <x:v>2</x:v>
      </x:c>
      <x:c r="F296" t="str">
        <x:v>194813/23/CBMP-QLD</x:v>
      </x:c>
      <x:c r="G296"/>
      <x:c r="H296" t="str">
        <x:v>Peripera Ink Airy Velvet 07 Heart Grapefruit</x:v>
      </x:c>
      <x:c r="I296" t="str">
        <x:v>PERIPER A</x:v>
      </x:c>
      <x:c r="J296" t="str">
        <x:v>Khác</x:v>
      </x:c>
      <x:c r="K296"/>
      <x:c r="L296" t="str">
        <x:v>Công ty TNHH GJ INTERNATIONAL VIỆT NAM</x:v>
      </x:c>
      <x:c r="M296" t="str">
        <x:v>Số nhà 152 đường Ỷ La, phường Dương Nội, quận Hà Đông, TP. Hà Nội, Việt Nam. Mã số doanh nghiệp: 0109427008</x:v>
      </x:c>
      <x:c r="N296"/>
      <x:c r="O296" t="str">
        <x:v>Thu hồi số tiếp nhận; đình chỉ lưu hành và thu hồi (QĐ 126/QĐ-QLD)</x:v>
      </x:c>
      <x:c r="P296" t="str">
        <x:v>A++ – Cục Quản lý Dược; company responsibility explicit</x:v>
      </x:c>
      <x:c r="Q296" t="str">
        <x:v>QĐ126/2026, STT 147, trang 15.</x:v>
      </x:c>
      <x:c r="R296" t="str">
        <x:v>https://dav.gov.vn/quyet-dinh-so-126qd-qld-ve-viec-thu-hoi-so-tiep-nhan-phieu-cong-bo-san-pham-my-pham-dinh-chi-luu-hanh-va-thu-hoi-san-pham-my-pham-theo-kl-cua-hd-my-pham-asean-doi-voi-san-pham-my-pham-co-chua-chat-cyclotetrasiloxane-octamethylcyclotetrasiloxane-n5224.html</x:v>
      </x:c>
      <x:c r="S296" t="str">
        <x:v>Hà Nội</x:v>
      </x:c>
      <x:c r="T296" t="str">
        <x:v>01</x:v>
      </x:c>
    </x:row>
    <x:row r="297">
      <x:c r="A297" t="n">
        <x:v>296</x:v>
      </x:c>
      <x:c r="B297" s="330" t="n">
        <x:v>44971</x:v>
      </x:c>
      <x:c r="C297" s="330" t="n">
        <x:v>46080</x:v>
      </x:c>
      <x:c r="D297" t="n">
        <x:v>2023</x:v>
      </x:c>
      <x:c r="E297" t="n">
        <x:v>2</x:v>
      </x:c>
      <x:c r="F297" t="str">
        <x:v>194815/23/CBMP-QLD</x:v>
      </x:c>
      <x:c r="G297"/>
      <x:c r="H297" t="str">
        <x:v>Peripera Ink Airy Velvet 02 Selfie Orange Brown</x:v>
      </x:c>
      <x:c r="I297" t="str">
        <x:v>PERIPER A</x:v>
      </x:c>
      <x:c r="J297" t="str">
        <x:v>Khác</x:v>
      </x:c>
      <x:c r="K297"/>
      <x:c r="L297" t="str">
        <x:v>Công ty TNHH GJ INTERNATIONAL VIỆT NAM</x:v>
      </x:c>
      <x:c r="M297" t="str">
        <x:v>Số nhà 152 đường Ỷ La, phường Dương Nội, quận Hà Đông, TP. Hà Nội, Việt Nam. Mã số doanh nghiệp: 0109427008</x:v>
      </x:c>
      <x:c r="N297"/>
      <x:c r="O297" t="str">
        <x:v>Thu hồi số tiếp nhận; đình chỉ lưu hành và thu hồi (QĐ 126/QĐ-QLD)</x:v>
      </x:c>
      <x:c r="P297" t="str">
        <x:v>A++ – Cục Quản lý Dược; company responsibility explicit</x:v>
      </x:c>
      <x:c r="Q297" t="str">
        <x:v>QĐ126/2026, STT 148, trang 15.</x:v>
      </x:c>
      <x:c r="R297" t="str">
        <x:v>https://dav.gov.vn/quyet-dinh-so-126qd-qld-ve-viec-thu-hoi-so-tiep-nhan-phieu-cong-bo-san-pham-my-pham-dinh-chi-luu-hanh-va-thu-hoi-san-pham-my-pham-theo-kl-cua-hd-my-pham-asean-doi-voi-san-pham-my-pham-co-chua-chat-cyclotetrasiloxane-octamethylcyclotetrasiloxane-n5224.html</x:v>
      </x:c>
      <x:c r="S297" t="str">
        <x:v>Hà Nội</x:v>
      </x:c>
      <x:c r="T297" t="str">
        <x:v>01</x:v>
      </x:c>
    </x:row>
    <x:row r="298">
      <x:c r="A298" t="n">
        <x:v>297</x:v>
      </x:c>
      <x:c r="B298" s="330" t="n">
        <x:v>44971</x:v>
      </x:c>
      <x:c r="C298" s="330" t="n">
        <x:v>46080</x:v>
      </x:c>
      <x:c r="D298" t="n">
        <x:v>2023</x:v>
      </x:c>
      <x:c r="E298" t="n">
        <x:v>2</x:v>
      </x:c>
      <x:c r="F298" t="str">
        <x:v>194816/23/CBMP-QLD</x:v>
      </x:c>
      <x:c r="G298"/>
      <x:c r="H298" t="str">
        <x:v>Peripera Ink Airy Velvet 03 Cartoon Coral</x:v>
      </x:c>
      <x:c r="I298" t="str">
        <x:v>PERIPER A</x:v>
      </x:c>
      <x:c r="J298" t="str">
        <x:v>Khác</x:v>
      </x:c>
      <x:c r="K298"/>
      <x:c r="L298" t="str">
        <x:v>Công ty TNHH GJ INTERNATIONAL VIỆT NAM</x:v>
      </x:c>
      <x:c r="M298" t="str">
        <x:v>Số nhà 152 đường Ỷ La, phường Dương Nội, quận Hà Đông, TP. Hà Nội, Việt Nam. Mã số doanh nghiệp: 0109427008</x:v>
      </x:c>
      <x:c r="N298"/>
      <x:c r="O298" t="str">
        <x:v>Thu hồi số tiếp nhận; đình chỉ lưu hành và thu hồi (QĐ 126/QĐ-QLD)</x:v>
      </x:c>
      <x:c r="P298" t="str">
        <x:v>A++ – Cục Quản lý Dược; company responsibility explicit</x:v>
      </x:c>
      <x:c r="Q298" t="str">
        <x:v>QĐ126/2026, STT 149, trang 15.</x:v>
      </x:c>
      <x:c r="R298" t="str">
        <x:v>https://dav.gov.vn/quyet-dinh-so-126qd-qld-ve-viec-thu-hoi-so-tiep-nhan-phieu-cong-bo-san-pham-my-pham-dinh-chi-luu-hanh-va-thu-hoi-san-pham-my-pham-theo-kl-cua-hd-my-pham-asean-doi-voi-san-pham-my-pham-co-chua-chat-cyclotetrasiloxane-octamethylcyclotetrasiloxane-n5224.html</x:v>
      </x:c>
      <x:c r="S298" t="str">
        <x:v>Hà Nội</x:v>
      </x:c>
      <x:c r="T298" t="str">
        <x:v>01</x:v>
      </x:c>
    </x:row>
    <x:row r="299">
      <x:c r="A299" t="n">
        <x:v>298</x:v>
      </x:c>
      <x:c r="B299" s="330" t="n">
        <x:v>44971</x:v>
      </x:c>
      <x:c r="C299" s="330" t="n">
        <x:v>46080</x:v>
      </x:c>
      <x:c r="D299" t="n">
        <x:v>2023</x:v>
      </x:c>
      <x:c r="E299" t="n">
        <x:v>2</x:v>
      </x:c>
      <x:c r="F299" t="str">
        <x:v>194817/23/CBMP-QLD</x:v>
      </x:c>
      <x:c r="G299"/>
      <x:c r="H299" t="str">
        <x:v>Peripera Ink Airy Velvet 14 Rosy Pink</x:v>
      </x:c>
      <x:c r="I299" t="str">
        <x:v>PERIPER A</x:v>
      </x:c>
      <x:c r="J299" t="str">
        <x:v>Khác</x:v>
      </x:c>
      <x:c r="K299"/>
      <x:c r="L299" t="str">
        <x:v>Công ty TNHH GJ INTERNATIONAL VIỆT NAM</x:v>
      </x:c>
      <x:c r="M299" t="str">
        <x:v>Số nhà 152 đường Ỷ La, phường Dương Nội, quận Hà Đông, TP. Hà Nội, Việt Nam. Mã số doanh nghiệp: 0109427008</x:v>
      </x:c>
      <x:c r="N299"/>
      <x:c r="O299" t="str">
        <x:v>Thu hồi số tiếp nhận; đình chỉ lưu hành và thu hồi (QĐ 126/QĐ-QLD)</x:v>
      </x:c>
      <x:c r="P299" t="str">
        <x:v>A++ – Cục Quản lý Dược; company responsibility explicit</x:v>
      </x:c>
      <x:c r="Q299" t="str">
        <x:v>QĐ126/2026, STT 150, trang 16.</x:v>
      </x:c>
      <x:c r="R299" t="str">
        <x:v>https://dav.gov.vn/quyet-dinh-so-126qd-qld-ve-viec-thu-hoi-so-tiep-nhan-phieu-cong-bo-san-pham-my-pham-dinh-chi-luu-hanh-va-thu-hoi-san-pham-my-pham-theo-kl-cua-hd-my-pham-asean-doi-voi-san-pham-my-pham-co-chua-chat-cyclotetrasiloxane-octamethylcyclotetrasiloxane-n5224.html</x:v>
      </x:c>
      <x:c r="S299" t="str">
        <x:v>Hà Nội</x:v>
      </x:c>
      <x:c r="T299" t="str">
        <x:v>01</x:v>
      </x:c>
    </x:row>
    <x:row r="300">
      <x:c r="A300" t="n">
        <x:v>299</x:v>
      </x:c>
      <x:c r="B300" s="330" t="n">
        <x:v>44971</x:v>
      </x:c>
      <x:c r="C300" s="330" t="n">
        <x:v>46080</x:v>
      </x:c>
      <x:c r="D300" t="n">
        <x:v>2023</x:v>
      </x:c>
      <x:c r="E300" t="n">
        <x:v>2</x:v>
      </x:c>
      <x:c r="F300" t="str">
        <x:v>194819/23/CBMP-QLD</x:v>
      </x:c>
      <x:c r="G300"/>
      <x:c r="H300" t="str">
        <x:v>Peripera Ink Airy Velvet 08 Pretty Orange Pink</x:v>
      </x:c>
      <x:c r="I300" t="str">
        <x:v>PERIPER A</x:v>
      </x:c>
      <x:c r="J300" t="str">
        <x:v>Khác</x:v>
      </x:c>
      <x:c r="K300"/>
      <x:c r="L300" t="str">
        <x:v>Công ty TNHH GJ INTERNATIONAL VIỆT NAM</x:v>
      </x:c>
      <x:c r="M300" t="str">
        <x:v>Số nhà 152 đường Ỷ La, phường Dương Nội, quận Hà Đông, TP. Hà Nội, Việt Nam. Mã số doanh nghiệp: 0109427008</x:v>
      </x:c>
      <x:c r="N300"/>
      <x:c r="O300" t="str">
        <x:v>Thu hồi số tiếp nhận; đình chỉ lưu hành và thu hồi (QĐ 126/QĐ-QLD)</x:v>
      </x:c>
      <x:c r="P300" t="str">
        <x:v>A++ – Cục Quản lý Dược; company responsibility explicit</x:v>
      </x:c>
      <x:c r="Q300" t="str">
        <x:v>QĐ126/2026, STT 151, trang 16.</x:v>
      </x:c>
      <x:c r="R300" t="str">
        <x:v>https://dav.gov.vn/quyet-dinh-so-126qd-qld-ve-viec-thu-hoi-so-tiep-nhan-phieu-cong-bo-san-pham-my-pham-dinh-chi-luu-hanh-va-thu-hoi-san-pham-my-pham-theo-kl-cua-hd-my-pham-asean-doi-voi-san-pham-my-pham-co-chua-chat-cyclotetrasiloxane-octamethylcyclotetrasiloxane-n5224.html</x:v>
      </x:c>
      <x:c r="S300" t="str">
        <x:v>Hà Nội</x:v>
      </x:c>
      <x:c r="T300" t="str">
        <x:v>01</x:v>
      </x:c>
    </x:row>
    <x:row r="301">
      <x:c r="A301" t="n">
        <x:v>300</x:v>
      </x:c>
      <x:c r="B301" s="330" t="n">
        <x:v>44834</x:v>
      </x:c>
      <x:c r="C301" s="330" t="n">
        <x:v>46080</x:v>
      </x:c>
      <x:c r="D301" t="n">
        <x:v>2022</x:v>
      </x:c>
      <x:c r="E301" t="n">
        <x:v>9</x:v>
      </x:c>
      <x:c r="F301" t="str">
        <x:v>184488/22/CBMP-QLD</x:v>
      </x:c>
      <x:c r="G301"/>
      <x:c r="H301" t="str">
        <x:v>Jmella In France Sparkling Rose Hair Treatment 500ml</x:v>
      </x:c>
      <x:c r="I301" t="str">
        <x:v>JMELLA</x:v>
      </x:c>
      <x:c r="J301" t="str">
        <x:v>Khác</x:v>
      </x:c>
      <x:c r="K301"/>
      <x:c r="L301" t="str">
        <x:v>Công ty TNHH GPCLUB Việt Nam</x:v>
      </x:c>
      <x:c r="M301" t="str">
        <x:v>92A Xuân Thủy, phường Thảo Điều, TP. Thủ Đức, TP. Hồ Chí Minh, Việt Nam. Mã số doanh nghiệp: 0317324490</x:v>
      </x:c>
      <x:c r="N301"/>
      <x:c r="O301" t="str">
        <x:v>Thu hồi số tiếp nhận; đình chỉ lưu hành và thu hồi (QĐ 126/QĐ-QLD)</x:v>
      </x:c>
      <x:c r="P301" t="str">
        <x:v>A++ – Cục Quản lý Dược; company responsibility explicit</x:v>
      </x:c>
      <x:c r="Q301" t="str">
        <x:v>QĐ126/2026, STT 153, trang 16.</x:v>
      </x:c>
      <x:c r="R301" t="str">
        <x:v>https://dav.gov.vn/quyet-dinh-so-126qd-qld-ve-viec-thu-hoi-so-tiep-nhan-phieu-cong-bo-san-pham-my-pham-dinh-chi-luu-hanh-va-thu-hoi-san-pham-my-pham-theo-kl-cua-hd-my-pham-asean-doi-voi-san-pham-my-pham-co-chua-chat-cyclotetrasiloxane-octamethylcyclotetrasiloxane-n5224.html</x:v>
      </x:c>
      <x:c r="S301" t="str">
        <x:v>TP. Hồ Chí Minh</x:v>
      </x:c>
      <x:c r="T301" t="str">
        <x:v>79</x:v>
      </x:c>
    </x:row>
    <x:row r="302">
      <x:c r="A302" t="n">
        <x:v>301</x:v>
      </x:c>
      <x:c r="B302" s="330" t="n">
        <x:v>44841</x:v>
      </x:c>
      <x:c r="C302" s="330" t="n">
        <x:v>46080</x:v>
      </x:c>
      <x:c r="D302" t="n">
        <x:v>2022</x:v>
      </x:c>
      <x:c r="E302" t="n">
        <x:v>10</x:v>
      </x:c>
      <x:c r="F302" t="str">
        <x:v>185092/22/CBMP-QLD</x:v>
      </x:c>
      <x:c r="G302"/>
      <x:c r="H302" t="str">
        <x:v>Jmella In France Rose Suede Hair Treatment 500ml</x:v>
      </x:c>
      <x:c r="I302" t="str">
        <x:v>JMELLA</x:v>
      </x:c>
      <x:c r="J302" t="str">
        <x:v>Khác</x:v>
      </x:c>
      <x:c r="K302"/>
      <x:c r="L302" t="str">
        <x:v>Công ty TNHH GPCLUB Việt Nam</x:v>
      </x:c>
      <x:c r="M302" t="str">
        <x:v>92A Xuân Thủy, phường Thảo Điều, TP. Thủ Đức, TP. Hồ Chí Minh, Việt Nam. Mã số doanh nghiệp: 0317324490</x:v>
      </x:c>
      <x:c r="N302"/>
      <x:c r="O302" t="str">
        <x:v>Thu hồi số tiếp nhận; đình chỉ lưu hành và thu hồi (QĐ 126/QĐ-QLD)</x:v>
      </x:c>
      <x:c r="P302" t="str">
        <x:v>A++ – Cục Quản lý Dược; company responsibility explicit</x:v>
      </x:c>
      <x:c r="Q302" t="str">
        <x:v>QĐ126/2026, STT 154, trang 16.</x:v>
      </x:c>
      <x:c r="R302" t="str">
        <x:v>https://dav.gov.vn/quyet-dinh-so-126qd-qld-ve-viec-thu-hoi-so-tiep-nhan-phieu-cong-bo-san-pham-my-pham-dinh-chi-luu-hanh-va-thu-hoi-san-pham-my-pham-theo-kl-cua-hd-my-pham-asean-doi-voi-san-pham-my-pham-co-chua-chat-cyclotetrasiloxane-octamethylcyclotetrasiloxane-n5224.html</x:v>
      </x:c>
      <x:c r="S302" t="str">
        <x:v>TP. Hồ Chí Minh</x:v>
      </x:c>
      <x:c r="T302" t="str">
        <x:v>79</x:v>
      </x:c>
    </x:row>
    <x:row r="303">
      <x:c r="A303" t="n">
        <x:v>302</x:v>
      </x:c>
      <x:c r="B303" s="330" t="n">
        <x:v>44841</x:v>
      </x:c>
      <x:c r="C303" s="330" t="n">
        <x:v>46080</x:v>
      </x:c>
      <x:c r="D303" t="n">
        <x:v>2022</x:v>
      </x:c>
      <x:c r="E303" t="n">
        <x:v>10</x:v>
      </x:c>
      <x:c r="F303" t="str">
        <x:v>185093/22/CBMP-QLD</x:v>
      </x:c>
      <x:c r="G303"/>
      <x:c r="H303" t="str">
        <x:v>Jmella In France Blooming Peony Hair Treatment 500ml</x:v>
      </x:c>
      <x:c r="I303" t="str">
        <x:v>JMELLA</x:v>
      </x:c>
      <x:c r="J303" t="str">
        <x:v>Khác</x:v>
      </x:c>
      <x:c r="K303"/>
      <x:c r="L303" t="str">
        <x:v>Công ty TNHH GPCLUB Việt Nam</x:v>
      </x:c>
      <x:c r="M303" t="str">
        <x:v>92A Xuân Thủy, phường Thảo Điều, TP. Thủ Đức, TP. Hồ Chí Minh, Việt Nam. Mã số doanh nghiệp: 0317324490</x:v>
      </x:c>
      <x:c r="N303"/>
      <x:c r="O303" t="str">
        <x:v>Thu hồi số tiếp nhận; đình chỉ lưu hành và thu hồi (QĐ 126/QĐ-QLD)</x:v>
      </x:c>
      <x:c r="P303" t="str">
        <x:v>A++ – Cục Quản lý Dược; company responsibility explicit</x:v>
      </x:c>
      <x:c r="Q303" t="str">
        <x:v>QĐ126/2026, STT 155, trang 16.</x:v>
      </x:c>
      <x:c r="R303" t="str">
        <x:v>https://dav.gov.vn/quyet-dinh-so-126qd-qld-ve-viec-thu-hoi-so-tiep-nhan-phieu-cong-bo-san-pham-my-pham-dinh-chi-luu-hanh-va-thu-hoi-san-pham-my-pham-theo-kl-cua-hd-my-pham-asean-doi-voi-san-pham-my-pham-co-chua-chat-cyclotetrasiloxane-octamethylcyclotetrasiloxane-n5224.html</x:v>
      </x:c>
      <x:c r="S303" t="str">
        <x:v>TP. Hồ Chí Minh</x:v>
      </x:c>
      <x:c r="T303" t="str">
        <x:v>79</x:v>
      </x:c>
    </x:row>
    <x:row r="304">
      <x:c r="A304" t="n">
        <x:v>303</x:v>
      </x:c>
      <x:c r="B304" s="330" t="n">
        <x:v>44841</x:v>
      </x:c>
      <x:c r="C304" s="330" t="n">
        <x:v>46080</x:v>
      </x:c>
      <x:c r="D304" t="n">
        <x:v>2022</x:v>
      </x:c>
      <x:c r="E304" t="n">
        <x:v>10</x:v>
      </x:c>
      <x:c r="F304" t="str">
        <x:v>185094/22/CBMP-QLD</x:v>
      </x:c>
      <x:c r="G304"/>
      <x:c r="H304" t="str">
        <x:v>Jmella In France Femme Fatale Hair Treatment 500ml</x:v>
      </x:c>
      <x:c r="I304" t="str">
        <x:v>JMELLA</x:v>
      </x:c>
      <x:c r="J304" t="str">
        <x:v>Khác</x:v>
      </x:c>
      <x:c r="K304"/>
      <x:c r="L304" t="str">
        <x:v>Công ty TNHH GPCLUB Việt Nam</x:v>
      </x:c>
      <x:c r="M304" t="str">
        <x:v>92A Xuân Thủy, phường Thảo Điều, TP. Thủ Đức, TP. Hồ Chí Minh, Việt Nam. Mã số doanh nghiệp: 0317324490</x:v>
      </x:c>
      <x:c r="N304"/>
      <x:c r="O304" t="str">
        <x:v>Thu hồi số tiếp nhận; đình chỉ lưu hành và thu hồi (QĐ 126/QĐ-QLD)</x:v>
      </x:c>
      <x:c r="P304" t="str">
        <x:v>A++ – Cục Quản lý Dược; company responsibility explicit</x:v>
      </x:c>
      <x:c r="Q304" t="str">
        <x:v>QĐ126/2026, STT 156, trang 16.</x:v>
      </x:c>
      <x:c r="R304" t="str">
        <x:v>https://dav.gov.vn/quyet-dinh-so-126qd-qld-ve-viec-thu-hoi-so-tiep-nhan-phieu-cong-bo-san-pham-my-pham-dinh-chi-luu-hanh-va-thu-hoi-san-pham-my-pham-theo-kl-cua-hd-my-pham-asean-doi-voi-san-pham-my-pham-co-chua-chat-cyclotetrasiloxane-octamethylcyclotetrasiloxane-n5224.html</x:v>
      </x:c>
      <x:c r="S304" t="str">
        <x:v>TP. Hồ Chí Minh</x:v>
      </x:c>
      <x:c r="T304" t="str">
        <x:v>79</x:v>
      </x:c>
    </x:row>
    <x:row r="305">
      <x:c r="A305" t="n">
        <x:v>304</x:v>
      </x:c>
      <x:c r="B305" s="330" t="n">
        <x:v>44841</x:v>
      </x:c>
      <x:c r="C305" s="330" t="n">
        <x:v>46080</x:v>
      </x:c>
      <x:c r="D305" t="n">
        <x:v>2022</x:v>
      </x:c>
      <x:c r="E305" t="n">
        <x:v>10</x:v>
      </x:c>
      <x:c r="F305" t="str">
        <x:v>185095/22/CBMP-QLD</x:v>
      </x:c>
      <x:c r="G305"/>
      <x:c r="H305" t="str">
        <x:v>Jmella In France Lime &amp; Basil Hair Treatment 500ml</x:v>
      </x:c>
      <x:c r="I305" t="str">
        <x:v>JMELLA</x:v>
      </x:c>
      <x:c r="J305" t="str">
        <x:v>Khác</x:v>
      </x:c>
      <x:c r="K305"/>
      <x:c r="L305" t="str">
        <x:v>Công ty TNHH GPCLUB Việt Nam</x:v>
      </x:c>
      <x:c r="M305" t="str">
        <x:v>92A Xuân Thủy, phường Thảo Điều, TP. Thủ Đức, TP. Hồ Chí Minh, Việt Nam. Mã số doanh nghiệp: 0317324490</x:v>
      </x:c>
      <x:c r="N305"/>
      <x:c r="O305" t="str">
        <x:v>Thu hồi số tiếp nhận; đình chỉ lưu hành và thu hồi (QĐ 126/QĐ-QLD)</x:v>
      </x:c>
      <x:c r="P305" t="str">
        <x:v>A++ – Cục Quản lý Dược; company responsibility explicit</x:v>
      </x:c>
      <x:c r="Q305" t="str">
        <x:v>QĐ126/2026, STT 157, trang 16.</x:v>
      </x:c>
      <x:c r="R305" t="str">
        <x:v>https://dav.gov.vn/quyet-dinh-so-126qd-qld-ve-viec-thu-hoi-so-tiep-nhan-phieu-cong-bo-san-pham-my-pham-dinh-chi-luu-hanh-va-thu-hoi-san-pham-my-pham-theo-kl-cua-hd-my-pham-asean-doi-voi-san-pham-my-pham-co-chua-chat-cyclotetrasiloxane-octamethylcyclotetrasiloxane-n5224.html</x:v>
      </x:c>
      <x:c r="S305" t="str">
        <x:v>TP. Hồ Chí Minh</x:v>
      </x:c>
      <x:c r="T305" t="str">
        <x:v>79</x:v>
      </x:c>
    </x:row>
    <x:row r="306">
      <x:c r="A306" t="n">
        <x:v>305</x:v>
      </x:c>
      <x:c r="B306" s="330" t="n">
        <x:v>44841</x:v>
      </x:c>
      <x:c r="C306" s="330" t="n">
        <x:v>46080</x:v>
      </x:c>
      <x:c r="D306" t="n">
        <x:v>2022</x:v>
      </x:c>
      <x:c r="E306" t="n">
        <x:v>10</x:v>
      </x:c>
      <x:c r="F306" t="str">
        <x:v>185096/22/CBMP-QLD</x:v>
      </x:c>
      <x:c r="G306"/>
      <x:c r="H306" t="str">
        <x:v>Jmella In France Queen 5 Hair Treatment 500ml</x:v>
      </x:c>
      <x:c r="I306" t="str">
        <x:v>JMELLA</x:v>
      </x:c>
      <x:c r="J306" t="str">
        <x:v>Khác</x:v>
      </x:c>
      <x:c r="K306"/>
      <x:c r="L306" t="str">
        <x:v>Công ty TNHH GPCLUB Việt Nam</x:v>
      </x:c>
      <x:c r="M306" t="str">
        <x:v>92A Xuân Thủy, phường Thảo Điều, TP. Thủ Đức, TP. Hồ Chí Minh, Việt Nam. Mã số doanh nghiệp: 0317324490</x:v>
      </x:c>
      <x:c r="N306"/>
      <x:c r="O306" t="str">
        <x:v>Thu hồi số tiếp nhận; đình chỉ lưu hành và thu hồi (QĐ 126/QĐ-QLD)</x:v>
      </x:c>
      <x:c r="P306" t="str">
        <x:v>A++ – Cục Quản lý Dược; company responsibility explicit</x:v>
      </x:c>
      <x:c r="Q306" t="str">
        <x:v>QĐ126/2026, STT 158, trang 16.</x:v>
      </x:c>
      <x:c r="R306" t="str">
        <x:v>https://dav.gov.vn/quyet-dinh-so-126qd-qld-ve-viec-thu-hoi-so-tiep-nhan-phieu-cong-bo-san-pham-my-pham-dinh-chi-luu-hanh-va-thu-hoi-san-pham-my-pham-theo-kl-cua-hd-my-pham-asean-doi-voi-san-pham-my-pham-co-chua-chat-cyclotetrasiloxane-octamethylcyclotetrasiloxane-n5224.html</x:v>
      </x:c>
      <x:c r="S306" t="str">
        <x:v>TP. Hồ Chí Minh</x:v>
      </x:c>
      <x:c r="T306" t="str">
        <x:v>79</x:v>
      </x:c>
    </x:row>
    <x:row r="307">
      <x:c r="A307" t="n">
        <x:v>306</x:v>
      </x:c>
      <x:c r="B307" s="330" t="n">
        <x:v>44844</x:v>
      </x:c>
      <x:c r="C307" s="330" t="n">
        <x:v>46080</x:v>
      </x:c>
      <x:c r="D307" t="n">
        <x:v>2022</x:v>
      </x:c>
      <x:c r="E307" t="n">
        <x:v>10</x:v>
      </x:c>
      <x:c r="F307" t="str">
        <x:v>185101/22/CBMP-QLD</x:v>
      </x:c>
      <x:c r="G307"/>
      <x:c r="H307" t="str">
        <x:v>Jmella In France Maison Soir Hair Treatment 500ml</x:v>
      </x:c>
      <x:c r="I307" t="str">
        <x:v>JMELLA</x:v>
      </x:c>
      <x:c r="J307" t="str">
        <x:v>Khác</x:v>
      </x:c>
      <x:c r="K307"/>
      <x:c r="L307" t="str">
        <x:v>Công ty TNHH GPCLUB Việt Nam</x:v>
      </x:c>
      <x:c r="M307" t="str">
        <x:v>92A Xuân Thủy, phường Thảo Điều, TP. Thủ Đức, TP. Hồ Chí Minh, Việt Nam. Mã số doanh nghiệp: 0317324490</x:v>
      </x:c>
      <x:c r="N307"/>
      <x:c r="O307" t="str">
        <x:v>Thu hồi số tiếp nhận; đình chỉ lưu hành và thu hồi (QĐ 126/QĐ-QLD)</x:v>
      </x:c>
      <x:c r="P307" t="str">
        <x:v>A++ – Cục Quản lý Dược; company responsibility explicit</x:v>
      </x:c>
      <x:c r="Q307" t="str">
        <x:v>QĐ126/2026, STT 159, trang 16.</x:v>
      </x:c>
      <x:c r="R307" t="str">
        <x:v>https://dav.gov.vn/quyet-dinh-so-126qd-qld-ve-viec-thu-hoi-so-tiep-nhan-phieu-cong-bo-san-pham-my-pham-dinh-chi-luu-hanh-va-thu-hoi-san-pham-my-pham-theo-kl-cua-hd-my-pham-asean-doi-voi-san-pham-my-pham-co-chua-chat-cyclotetrasiloxane-octamethylcyclotetrasiloxane-n5224.html</x:v>
      </x:c>
      <x:c r="S307" t="str">
        <x:v>TP. Hồ Chí Minh</x:v>
      </x:c>
      <x:c r="T307" t="str">
        <x:v>79</x:v>
      </x:c>
    </x:row>
    <x:row r="308">
      <x:c r="A308" t="n">
        <x:v>307</x:v>
      </x:c>
      <x:c r="B308" s="330" t="n">
        <x:v>44844</x:v>
      </x:c>
      <x:c r="C308" s="330" t="n">
        <x:v>46080</x:v>
      </x:c>
      <x:c r="D308" t="n">
        <x:v>2022</x:v>
      </x:c>
      <x:c r="E308" t="n">
        <x:v>10</x:v>
      </x:c>
      <x:c r="F308" t="str">
        <x:v>185102/22/CBMP-QLD</x:v>
      </x:c>
      <x:c r="G308"/>
      <x:c r="H308" t="str">
        <x:v>Jmella In France Pure Hug Hair Treatment 500ml</x:v>
      </x:c>
      <x:c r="I308" t="str">
        <x:v>JMELLA</x:v>
      </x:c>
      <x:c r="J308" t="str">
        <x:v>Khác</x:v>
      </x:c>
      <x:c r="K308"/>
      <x:c r="L308" t="str">
        <x:v>Công ty TNHH GPCLUB Việt Nam</x:v>
      </x:c>
      <x:c r="M308" t="str">
        <x:v>92A Xuân Thủy, phường Thảo Điều, TP. Thủ Đức, TP. Hồ Chí Minh, Việt Nam. Mã số doanh nghiệp: 0317324490</x:v>
      </x:c>
      <x:c r="N308"/>
      <x:c r="O308" t="str">
        <x:v>Thu hồi số tiếp nhận; đình chỉ lưu hành và thu hồi (QĐ 126/QĐ-QLD)</x:v>
      </x:c>
      <x:c r="P308" t="str">
        <x:v>A++ – Cục Quản lý Dược; company responsibility explicit</x:v>
      </x:c>
      <x:c r="Q308" t="str">
        <x:v>QĐ126/2026, STT 160, trang 16.</x:v>
      </x:c>
      <x:c r="R308" t="str">
        <x:v>https://dav.gov.vn/quyet-dinh-so-126qd-qld-ve-viec-thu-hoi-so-tiep-nhan-phieu-cong-bo-san-pham-my-pham-dinh-chi-luu-hanh-va-thu-hoi-san-pham-my-pham-theo-kl-cua-hd-my-pham-asean-doi-voi-san-pham-my-pham-co-chua-chat-cyclotetrasiloxane-octamethylcyclotetrasiloxane-n5224.html</x:v>
      </x:c>
      <x:c r="S308" t="str">
        <x:v>TP. Hồ Chí Minh</x:v>
      </x:c>
      <x:c r="T308" t="str">
        <x:v>79</x:v>
      </x:c>
    </x:row>
    <x:row r="309">
      <x:c r="A309" t="n">
        <x:v>308</x:v>
      </x:c>
      <x:c r="B309" s="330" t="n">
        <x:v>44844</x:v>
      </x:c>
      <x:c r="C309" s="330" t="n">
        <x:v>46080</x:v>
      </x:c>
      <x:c r="D309" t="n">
        <x:v>2022</x:v>
      </x:c>
      <x:c r="E309" t="n">
        <x:v>10</x:v>
      </x:c>
      <x:c r="F309" t="str">
        <x:v>185107/22/CBMP-QLD</x:v>
      </x:c>
      <x:c r="G309"/>
      <x:c r="H309" t="str">
        <x:v>Jmella In France La Tulipe Hair Treatment 500ml</x:v>
      </x:c>
      <x:c r="I309" t="str">
        <x:v>JMELLA</x:v>
      </x:c>
      <x:c r="J309" t="str">
        <x:v>Sản phẩm môi</x:v>
      </x:c>
      <x:c r="K309"/>
      <x:c r="L309" t="str">
        <x:v>Công ty TNHH GPCLUB Việt Nam</x:v>
      </x:c>
      <x:c r="M309" t="str">
        <x:v>92A Xuân Thủy, phường Thảo Điều, TP. Thủ Đức, TP. Hồ Chí Minh, Việt Nam. Mã số doanh nghiệp: 0317324490</x:v>
      </x:c>
      <x:c r="N309"/>
      <x:c r="O309" t="str">
        <x:v>Thu hồi số tiếp nhận; đình chỉ lưu hành và thu hồi (QĐ 126/QĐ-QLD)</x:v>
      </x:c>
      <x:c r="P309" t="str">
        <x:v>A++ – Cục Quản lý Dược; company responsibility explicit</x:v>
      </x:c>
      <x:c r="Q309" t="str">
        <x:v>QĐ126/2026, STT 161, trang 16.</x:v>
      </x:c>
      <x:c r="R309" t="str">
        <x:v>https://dav.gov.vn/quyet-dinh-so-126qd-qld-ve-viec-thu-hoi-so-tiep-nhan-phieu-cong-bo-san-pham-my-pham-dinh-chi-luu-hanh-va-thu-hoi-san-pham-my-pham-theo-kl-cua-hd-my-pham-asean-doi-voi-san-pham-my-pham-co-chua-chat-cyclotetrasiloxane-octamethylcyclotetrasiloxane-n5224.html</x:v>
      </x:c>
      <x:c r="S309" t="str">
        <x:v>TP. Hồ Chí Minh</x:v>
      </x:c>
      <x:c r="T309" t="str">
        <x:v>79</x:v>
      </x:c>
    </x:row>
    <x:row r="310">
      <x:c r="A310" t="n">
        <x:v>309</x:v>
      </x:c>
      <x:c r="B310" s="330" t="n">
        <x:v>44844</x:v>
      </x:c>
      <x:c r="C310" s="330" t="n">
        <x:v>46080</x:v>
      </x:c>
      <x:c r="D310" t="n">
        <x:v>2022</x:v>
      </x:c>
      <x:c r="E310" t="n">
        <x:v>10</x:v>
      </x:c>
      <x:c r="F310" t="str">
        <x:v>185108/22/CBMP-QLD</x:v>
      </x:c>
      <x:c r="G310"/>
      <x:c r="H310" t="str">
        <x:v>Jmella In France Do Tyque Hair Treatment 500ml</x:v>
      </x:c>
      <x:c r="I310" t="str">
        <x:v>JMELLA</x:v>
      </x:c>
      <x:c r="J310" t="str">
        <x:v>Khác</x:v>
      </x:c>
      <x:c r="K310"/>
      <x:c r="L310" t="str">
        <x:v>Công ty TNHH GPCLUB Việt Nam</x:v>
      </x:c>
      <x:c r="M310" t="str">
        <x:v>92A Xuân Thủy, phường Thảo Điều, TP. Thủ Đức, TP. Hồ Chí Minh, Việt Nam. Mã số doanh nghiệp: 0317324490</x:v>
      </x:c>
      <x:c r="N310"/>
      <x:c r="O310" t="str">
        <x:v>Thu hồi số tiếp nhận; đình chỉ lưu hành và thu hồi (QĐ 126/QĐ-QLD)</x:v>
      </x:c>
      <x:c r="P310" t="str">
        <x:v>A++ – Cục Quản lý Dược; company responsibility explicit</x:v>
      </x:c>
      <x:c r="Q310" t="str">
        <x:v>QĐ126/2026, STT 162, trang 17.</x:v>
      </x:c>
      <x:c r="R310" t="str">
        <x:v>https://dav.gov.vn/quyet-dinh-so-126qd-qld-ve-viec-thu-hoi-so-tiep-nhan-phieu-cong-bo-san-pham-my-pham-dinh-chi-luu-hanh-va-thu-hoi-san-pham-my-pham-theo-kl-cua-hd-my-pham-asean-doi-voi-san-pham-my-pham-co-chua-chat-cyclotetrasiloxane-octamethylcyclotetrasiloxane-n5224.html</x:v>
      </x:c>
      <x:c r="S310" t="str">
        <x:v>TP. Hồ Chí Minh</x:v>
      </x:c>
      <x:c r="T310" t="str">
        <x:v>79</x:v>
      </x:c>
    </x:row>
    <x:row r="311">
      <x:c r="A311" t="n">
        <x:v>310</x:v>
      </x:c>
      <x:c r="B311" s="330" t="n">
        <x:v>45065</x:v>
      </x:c>
      <x:c r="C311" s="330" t="n">
        <x:v>46080</x:v>
      </x:c>
      <x:c r="D311" t="n">
        <x:v>2023</x:v>
      </x:c>
      <x:c r="E311" t="n">
        <x:v>5</x:v>
      </x:c>
      <x:c r="F311" t="str">
        <x:v>202034/23/CBMP-QLD</x:v>
      </x:c>
      <x:c r="G311"/>
      <x:c r="H311" t="str">
        <x:v>Jmella In France Disney Forest Dew Hair Treatment</x:v>
      </x:c>
      <x:c r="I311" t="str">
        <x:v>JMELLA</x:v>
      </x:c>
      <x:c r="J311" t="str">
        <x:v>Khác</x:v>
      </x:c>
      <x:c r="K311"/>
      <x:c r="L311" t="str">
        <x:v>Công ty TNHH GPCLUB Việt Nam</x:v>
      </x:c>
      <x:c r="M311" t="str">
        <x:v>92A Xuân Thủy, phường Thảo Điều, TP. Thủ Đức, TP. Hồ Chí Minh, Việt Nam. Mã số doanh nghiệp: 0317324490</x:v>
      </x:c>
      <x:c r="N311"/>
      <x:c r="O311" t="str">
        <x:v>Thu hồi số tiếp nhận; đình chỉ lưu hành và thu hồi (QĐ 126/QĐ-QLD)</x:v>
      </x:c>
      <x:c r="P311" t="str">
        <x:v>A++ – Cục Quản lý Dược; company responsibility explicit</x:v>
      </x:c>
      <x:c r="Q311" t="str">
        <x:v>QĐ126/2026, STT 163, trang 17.</x:v>
      </x:c>
      <x:c r="R311" t="str">
        <x:v>https://dav.gov.vn/quyet-dinh-so-126qd-qld-ve-viec-thu-hoi-so-tiep-nhan-phieu-cong-bo-san-pham-my-pham-dinh-chi-luu-hanh-va-thu-hoi-san-pham-my-pham-theo-kl-cua-hd-my-pham-asean-doi-voi-san-pham-my-pham-co-chua-chat-cyclotetrasiloxane-octamethylcyclotetrasiloxane-n5224.html</x:v>
      </x:c>
      <x:c r="S311" t="str">
        <x:v>TP. Hồ Chí Minh</x:v>
      </x:c>
      <x:c r="T311" t="str">
        <x:v>79</x:v>
      </x:c>
    </x:row>
    <x:row r="312">
      <x:c r="A312" t="n">
        <x:v>311</x:v>
      </x:c>
      <x:c r="B312" s="330" t="n">
        <x:v>45065</x:v>
      </x:c>
      <x:c r="C312" s="330" t="n">
        <x:v>46080</x:v>
      </x:c>
      <x:c r="D312" t="n">
        <x:v>2023</x:v>
      </x:c>
      <x:c r="E312" t="n">
        <x:v>5</x:v>
      </x:c>
      <x:c r="F312" t="str">
        <x:v>202039/23/CBMP-QLD</x:v>
      </x:c>
      <x:c r="G312"/>
      <x:c r="H312" t="str">
        <x:v>Jmella In France Disney Spring Apple Hair Treatment</x:v>
      </x:c>
      <x:c r="I312" t="str">
        <x:v>JMELLA</x:v>
      </x:c>
      <x:c r="J312" t="str">
        <x:v>Khác</x:v>
      </x:c>
      <x:c r="K312"/>
      <x:c r="L312" t="str">
        <x:v>Công ty TNHH GPCLUB Việt Nam</x:v>
      </x:c>
      <x:c r="M312" t="str">
        <x:v>92A Xuân Thủy, phường Thảo Điều, TP. Thủ Đức, TP. Hồ Chí Minh, Việt Nam. Mã số doanh nghiệp: 0317324490</x:v>
      </x:c>
      <x:c r="N312"/>
      <x:c r="O312" t="str">
        <x:v>Thu hồi số tiếp nhận; đình chỉ lưu hành và thu hồi (QĐ 126/QĐ-QLD)</x:v>
      </x:c>
      <x:c r="P312" t="str">
        <x:v>A++ – Cục Quản lý Dược; company responsibility explicit</x:v>
      </x:c>
      <x:c r="Q312" t="str">
        <x:v>QĐ126/2026, STT 164, trang 17.</x:v>
      </x:c>
      <x:c r="R312" t="str">
        <x:v>https://dav.gov.vn/quyet-dinh-so-126qd-qld-ve-viec-thu-hoi-so-tiep-nhan-phieu-cong-bo-san-pham-my-pham-dinh-chi-luu-hanh-va-thu-hoi-san-pham-my-pham-theo-kl-cua-hd-my-pham-asean-doi-voi-san-pham-my-pham-co-chua-chat-cyclotetrasiloxane-octamethylcyclotetrasiloxane-n5224.html</x:v>
      </x:c>
      <x:c r="S312" t="str">
        <x:v>TP. Hồ Chí Minh</x:v>
      </x:c>
      <x:c r="T312" t="str">
        <x:v>79</x:v>
      </x:c>
    </x:row>
    <x:row r="313">
      <x:c r="A313" t="n">
        <x:v>312</x:v>
      </x:c>
      <x:c r="B313" s="330" t="n">
        <x:v>45065</x:v>
      </x:c>
      <x:c r="C313" s="330" t="n">
        <x:v>46080</x:v>
      </x:c>
      <x:c r="D313" t="n">
        <x:v>2023</x:v>
      </x:c>
      <x:c r="E313" t="n">
        <x:v>5</x:v>
      </x:c>
      <x:c r="F313" t="str">
        <x:v>202040/23/CBMP-QLD</x:v>
      </x:c>
      <x:c r="G313"/>
      <x:c r="H313" t="str">
        <x:v>Jmella In France Disney Dark Orchid Hair Treatment</x:v>
      </x:c>
      <x:c r="I313" t="str">
        <x:v>JMELLA</x:v>
      </x:c>
      <x:c r="J313" t="str">
        <x:v>Khác</x:v>
      </x:c>
      <x:c r="K313"/>
      <x:c r="L313" t="str">
        <x:v>Công ty TNHH GPCLUB Việt Nam</x:v>
      </x:c>
      <x:c r="M313" t="str">
        <x:v>92A Xuân Thủy, phường Thảo Điều, TP. Thủ Đức, TP. Hồ Chí Minh, Việt Nam. Mã số doanh nghiệp: 0317324490</x:v>
      </x:c>
      <x:c r="N313"/>
      <x:c r="O313" t="str">
        <x:v>Thu hồi số tiếp nhận; đình chỉ lưu hành và thu hồi (QĐ 126/QĐ-QLD)</x:v>
      </x:c>
      <x:c r="P313" t="str">
        <x:v>A++ – Cục Quản lý Dược; company responsibility explicit</x:v>
      </x:c>
      <x:c r="Q313" t="str">
        <x:v>QĐ126/2026, STT 165, trang 17.</x:v>
      </x:c>
      <x:c r="R313" t="str">
        <x:v>https://dav.gov.vn/quyet-dinh-so-126qd-qld-ve-viec-thu-hoi-so-tiep-nhan-phieu-cong-bo-san-pham-my-pham-dinh-chi-luu-hanh-va-thu-hoi-san-pham-my-pham-theo-kl-cua-hd-my-pham-asean-doi-voi-san-pham-my-pham-co-chua-chat-cyclotetrasiloxane-octamethylcyclotetrasiloxane-n5224.html</x:v>
      </x:c>
      <x:c r="S313" t="str">
        <x:v>TP. Hồ Chí Minh</x:v>
      </x:c>
      <x:c r="T313" t="str">
        <x:v>79</x:v>
      </x:c>
    </x:row>
    <x:row r="314">
      <x:c r="A314" t="n">
        <x:v>313</x:v>
      </x:c>
      <x:c r="B314" s="330" t="n">
        <x:v>45065</x:v>
      </x:c>
      <x:c r="C314" s="330" t="n">
        <x:v>46080</x:v>
      </x:c>
      <x:c r="D314" t="n">
        <x:v>2023</x:v>
      </x:c>
      <x:c r="E314" t="n">
        <x:v>5</x:v>
      </x:c>
      <x:c r="F314" t="str">
        <x:v>202074/23/CBMP-QLD</x:v>
      </x:c>
      <x:c r="G314"/>
      <x:c r="H314" t="str">
        <x:v>Jmella In France Disney Lazy Vibes Hair Treatment</x:v>
      </x:c>
      <x:c r="I314" t="str">
        <x:v>JMELLA</x:v>
      </x:c>
      <x:c r="J314" t="str">
        <x:v>Khác</x:v>
      </x:c>
      <x:c r="K314"/>
      <x:c r="L314" t="str">
        <x:v>Công ty TNHH GPCLUB Việt Nam</x:v>
      </x:c>
      <x:c r="M314" t="str">
        <x:v>92A Xuân Thủy, phường Thảo Điều, TP. Thủ Đức, TP. Hồ Chí Minh, Việt Nam. Mã số doanh nghiệp: 0317324490</x:v>
      </x:c>
      <x:c r="N314"/>
      <x:c r="O314" t="str">
        <x:v>Thu hồi số tiếp nhận; đình chỉ lưu hành và thu hồi (QĐ 126/QĐ-QLD)</x:v>
      </x:c>
      <x:c r="P314" t="str">
        <x:v>A++ – Cục Quản lý Dược; company responsibility explicit</x:v>
      </x:c>
      <x:c r="Q314" t="str">
        <x:v>QĐ126/2026, STT 166, trang 17.</x:v>
      </x:c>
      <x:c r="R314" t="str">
        <x:v>https://dav.gov.vn/quyet-dinh-so-126qd-qld-ve-viec-thu-hoi-so-tiep-nhan-phieu-cong-bo-san-pham-my-pham-dinh-chi-luu-hanh-va-thu-hoi-san-pham-my-pham-theo-kl-cua-hd-my-pham-asean-doi-voi-san-pham-my-pham-co-chua-chat-cyclotetrasiloxane-octamethylcyclotetrasiloxane-n5224.html</x:v>
      </x:c>
      <x:c r="S314" t="str">
        <x:v>TP. Hồ Chí Minh</x:v>
      </x:c>
      <x:c r="T314" t="str">
        <x:v>79</x:v>
      </x:c>
    </x:row>
    <x:row r="315">
      <x:c r="A315" t="n">
        <x:v>314</x:v>
      </x:c>
      <x:c r="B315" s="330" t="n">
        <x:v>44823</x:v>
      </x:c>
      <x:c r="C315" s="330" t="n">
        <x:v>46080</x:v>
      </x:c>
      <x:c r="D315" t="n">
        <x:v>2022</x:v>
      </x:c>
      <x:c r="E315" t="n">
        <x:v>9</x:v>
      </x:c>
      <x:c r="F315" t="str">
        <x:v>182375/22/CBMP-QLD</x:v>
      </x:c>
      <x:c r="G315"/>
      <x:c r="H315" t="str">
        <x:v>Hydrating Shampoo</x:v>
      </x:c>
      <x:c r="I315" t="str">
        <x:v>The Graces Beauty</x:v>
      </x:c>
      <x:c r="J315" t="str">
        <x:v>Dầu gội</x:v>
      </x:c>
      <x:c r="K315"/>
      <x:c r="L315" t="str">
        <x:v>Công ty TNHH GRACES VIỆT NAM</x:v>
      </x:c>
      <x:c r="M315" t="str">
        <x:v>Cụm 4, Khu Bồ Sơn, phường Võ Cường, TP. Bắc Ninh, tỉnh Bắc Ninh, Việt Nam. Mã số doanh nghiệp: 2301190968</x:v>
      </x:c>
      <x:c r="N315"/>
      <x:c r="O315" t="str">
        <x:v>Thu hồi số tiếp nhận; đình chỉ lưu hành và thu hồi (QĐ 126/QĐ-QLD)</x:v>
      </x:c>
      <x:c r="P315" t="str">
        <x:v>A++ – Cục Quản lý Dược; company responsibility explicit</x:v>
      </x:c>
      <x:c r="Q315" t="str">
        <x:v>QĐ126/2026, STT 167, trang 17.</x:v>
      </x:c>
      <x:c r="R315" t="str">
        <x:v>https://dav.gov.vn/quyet-dinh-so-126qd-qld-ve-viec-thu-hoi-so-tiep-nhan-phieu-cong-bo-san-pham-my-pham-dinh-chi-luu-hanh-va-thu-hoi-san-pham-my-pham-theo-kl-cua-hd-my-pham-asean-doi-voi-san-pham-my-pham-co-chua-chat-cyclotetrasiloxane-octamethylcyclotetrasiloxane-n5224.html</x:v>
      </x:c>
      <x:c r="S315" t="str">
        <x:v>Bắc Ninh</x:v>
      </x:c>
      <x:c r="T315" t="str">
        <x:v>24</x:v>
      </x:c>
    </x:row>
    <x:row r="316">
      <x:c r="A316" t="n">
        <x:v>315</x:v>
      </x:c>
      <x:c r="B316" s="330" t="n">
        <x:v>44985</x:v>
      </x:c>
      <x:c r="C316" s="330" t="n">
        <x:v>46080</x:v>
      </x:c>
      <x:c r="D316" t="n">
        <x:v>2023</x:v>
      </x:c>
      <x:c r="E316" t="n">
        <x:v>2</x:v>
      </x:c>
      <x:c r="F316" t="str">
        <x:v>196003/23/CBMP-QLD</x:v>
      </x:c>
      <x:c r="G316"/>
      <x:c r="H316" t="str">
        <x:v>6 In 1 Shampoo &amp; Conditioner</x:v>
      </x:c>
      <x:c r="I316" t="str">
        <x:v>The Graces Beauty</x:v>
      </x:c>
      <x:c r="J316" t="str">
        <x:v>Dầu gội</x:v>
      </x:c>
      <x:c r="K316"/>
      <x:c r="L316" t="str">
        <x:v>Công ty TNHH GRACES VIỆT NAM</x:v>
      </x:c>
      <x:c r="M316" t="str">
        <x:v>Cụm 4, Khu Bồ Sơn, phường Võ Cường, TP. Bắc Ninh, tỉnh Bắc Ninh, Việt Nam. Mã số doanh nghiệp: 2301190968</x:v>
      </x:c>
      <x:c r="N316"/>
      <x:c r="O316" t="str">
        <x:v>Thu hồi số tiếp nhận; đình chỉ lưu hành và thu hồi (QĐ 126/QĐ-QLD)</x:v>
      </x:c>
      <x:c r="P316" t="str">
        <x:v>A++ – Cục Quản lý Dược; company responsibility explicit</x:v>
      </x:c>
      <x:c r="Q316" t="str">
        <x:v>QĐ126/2026, STT 168, trang 17.</x:v>
      </x:c>
      <x:c r="R316" t="str">
        <x:v>https://dav.gov.vn/quyet-dinh-so-126qd-qld-ve-viec-thu-hoi-so-tiep-nhan-phieu-cong-bo-san-pham-my-pham-dinh-chi-luu-hanh-va-thu-hoi-san-pham-my-pham-theo-kl-cua-hd-my-pham-asean-doi-voi-san-pham-my-pham-co-chua-chat-cyclotetrasiloxane-octamethylcyclotetrasiloxane-n5224.html</x:v>
      </x:c>
      <x:c r="S316" t="str">
        <x:v>Bắc Ninh</x:v>
      </x:c>
      <x:c r="T316" t="str">
        <x:v>24</x:v>
      </x:c>
    </x:row>
    <x:row r="317">
      <x:c r="A317" t="n">
        <x:v>316</x:v>
      </x:c>
      <x:c r="B317" s="330" t="n">
        <x:v>44824</x:v>
      </x:c>
      <x:c r="C317" s="330" t="n">
        <x:v>46080</x:v>
      </x:c>
      <x:c r="D317" t="n">
        <x:v>2022</x:v>
      </x:c>
      <x:c r="E317" t="n">
        <x:v>9</x:v>
      </x:c>
      <x:c r="F317" t="str">
        <x:v>182947/22/CBMP-QLD</x:v>
      </x:c>
      <x:c r="G317"/>
      <x:c r="H317" t="str">
        <x:v>Harnn Mystique Revitalizing Conditioner</x:v>
      </x:c>
      <x:c r="I317" t="str">
        <x:v>HARNN</x:v>
      </x:c>
      <x:c r="J317" t="str">
        <x:v>Dầu xả</x:v>
      </x:c>
      <x:c r="K317"/>
      <x:c r="L317" t="str">
        <x:v>Công ty TNHH GREEN UNIVERSAL SUPPLY</x:v>
      </x:c>
      <x:c r="M317" t="str">
        <x:v>36 - 38 Bạch Đằng, phường Thạch Thang, quận Hải Châu, TP. Đà Nẵng, Việt Nam. Mã số doanh nghiệp: 0402132609</x:v>
      </x:c>
      <x:c r="N317"/>
      <x:c r="O317" t="str">
        <x:v>Thu hồi số tiếp nhận; đình chỉ lưu hành và thu hồi (QĐ 126/QĐ-QLD)</x:v>
      </x:c>
      <x:c r="P317" t="str">
        <x:v>A++ – Cục Quản lý Dược; company responsibility explicit</x:v>
      </x:c>
      <x:c r="Q317" t="str">
        <x:v>QĐ126/2026, STT 169, trang 17.</x:v>
      </x:c>
      <x:c r="R317" t="str">
        <x:v>https://dav.gov.vn/quyet-dinh-so-126qd-qld-ve-viec-thu-hoi-so-tiep-nhan-phieu-cong-bo-san-pham-my-pham-dinh-chi-luu-hanh-va-thu-hoi-san-pham-my-pham-theo-kl-cua-hd-my-pham-asean-doi-voi-san-pham-my-pham-co-chua-chat-cyclotetrasiloxane-octamethylcyclotetrasiloxane-n5224.html</x:v>
      </x:c>
      <x:c r="S317" t="str">
        <x:v>Đà Nẵng</x:v>
      </x:c>
      <x:c r="T317" t="str">
        <x:v>48</x:v>
      </x:c>
    </x:row>
    <x:row r="318">
      <x:c r="A318" t="n">
        <x:v>317</x:v>
      </x:c>
      <x:c r="B318" s="330" t="n">
        <x:v>45309</x:v>
      </x:c>
      <x:c r="C318" s="330" t="n">
        <x:v>46080</x:v>
      </x:c>
      <x:c r="D318" t="n">
        <x:v>2024</x:v>
      </x:c>
      <x:c r="E318" t="n">
        <x:v>1</x:v>
      </x:c>
      <x:c r="F318" t="str">
        <x:v>223077/24/CBMP-QLD</x:v>
      </x:c>
      <x:c r="G318"/>
      <x:c r="H318" t="str">
        <x:v>Dr. C+L Intensive Scalp Shampoo</x:v>
      </x:c>
      <x:c r="I318" t="str">
        <x:v>Dr. C+L</x:v>
      </x:c>
      <x:c r="J318" t="str">
        <x:v>Dầu gội</x:v>
      </x:c>
      <x:c r="K318"/>
      <x:c r="L318" t="str">
        <x:v>Công ty TNHH HAANY QUEEN BEAUTY</x:v>
      </x:c>
      <x:c r="M318" t="str">
        <x:v>Tầng 01 số B17-20 Shophouse Vinhomes Gardenia Mỹ Đình, phường Cầu Diễn, quận Nam Từ Liêm, TP. Hà Nội, Việt Nam. Mã số doanh nghiệp: 0108023940</x:v>
      </x:c>
      <x:c r="N318"/>
      <x:c r="O318" t="str">
        <x:v>Thu hồi số tiếp nhận; đình chỉ lưu hành và thu hồi (QĐ 126/QĐ-QLD)</x:v>
      </x:c>
      <x:c r="P318" t="str">
        <x:v>A++ – Cục Quản lý Dược; company responsibility explicit</x:v>
      </x:c>
      <x:c r="Q318" t="str">
        <x:v>QĐ126/2026, STT 170, trang 17.</x:v>
      </x:c>
      <x:c r="R318" t="str">
        <x:v>https://dav.gov.vn/quyet-dinh-so-126qd-qld-ve-viec-thu-hoi-so-tiep-nhan-phieu-cong-bo-san-pham-my-pham-dinh-chi-luu-hanh-va-thu-hoi-san-pham-my-pham-theo-kl-cua-hd-my-pham-asean-doi-voi-san-pham-my-pham-co-chua-chat-cyclotetrasiloxane-octamethylcyclotetrasiloxane-n5224.html</x:v>
      </x:c>
      <x:c r="S318" t="str">
        <x:v>Hà Nội</x:v>
      </x:c>
      <x:c r="T318" t="str">
        <x:v>01</x:v>
      </x:c>
    </x:row>
    <x:row r="319">
      <x:c r="A319" t="n">
        <x:v>318</x:v>
      </x:c>
      <x:c r="B319" s="330" t="n">
        <x:v>44718</x:v>
      </x:c>
      <x:c r="C319" s="330" t="n">
        <x:v>46080</x:v>
      </x:c>
      <x:c r="D319" t="n">
        <x:v>2022</x:v>
      </x:c>
      <x:c r="E319" t="n">
        <x:v>6</x:v>
      </x:c>
      <x:c r="F319" t="str">
        <x:v>171644/22/CBMP-QLD</x:v>
      </x:c>
      <x:c r="G319"/>
      <x:c r="H319" t="str">
        <x:v>Dr.Halemalie Aqua Deep Hydration Day Cream</x:v>
      </x:c>
      <x:c r="I319" t="str">
        <x:v>Dr.Halemal ie</x:v>
      </x:c>
      <x:c r="J319" t="str">
        <x:v>Kem dưỡng da</x:v>
      </x:c>
      <x:c r="K319"/>
      <x:c r="L319" t="str">
        <x:v>Công ty TNHH HALE MALIE</x:v>
      </x:c>
      <x:c r="M319" t="str">
        <x:v>Q12 Bạch Mã, Cư Xá Bắc Hải, Phường 15, Quận 10, TP. Hồ Chí Minh, Việt Nam. Mã số doanh nghiệp: 0315314384</x:v>
      </x:c>
      <x:c r="N319"/>
      <x:c r="O319" t="str">
        <x:v>Thu hồi số tiếp nhận; đình chỉ lưu hành và thu hồi (QĐ 126/QĐ-QLD)</x:v>
      </x:c>
      <x:c r="P319" t="str">
        <x:v>A++ – Cục Quản lý Dược; company responsibility explicit</x:v>
      </x:c>
      <x:c r="Q319" t="str">
        <x:v>QĐ126/2026, STT 172, trang 17.</x:v>
      </x:c>
      <x:c r="R319" t="str">
        <x:v>https://dav.gov.vn/quyet-dinh-so-126qd-qld-ve-viec-thu-hoi-so-tiep-nhan-phieu-cong-bo-san-pham-my-pham-dinh-chi-luu-hanh-va-thu-hoi-san-pham-my-pham-theo-kl-cua-hd-my-pham-asean-doi-voi-san-pham-my-pham-co-chua-chat-cyclotetrasiloxane-octamethylcyclotetrasiloxane-n5224.html</x:v>
      </x:c>
      <x:c r="S319" t="str">
        <x:v>TP. Hồ Chí Minh</x:v>
      </x:c>
      <x:c r="T319" t="str">
        <x:v>79</x:v>
      </x:c>
    </x:row>
    <x:row r="320">
      <x:c r="A320" t="n">
        <x:v>319</x:v>
      </x:c>
      <x:c r="B320" s="330" t="n">
        <x:v>44965</x:v>
      </x:c>
      <x:c r="C320" s="330" t="n">
        <x:v>46080</x:v>
      </x:c>
      <x:c r="D320" t="n">
        <x:v>2023</x:v>
      </x:c>
      <x:c r="E320" t="n">
        <x:v>2</x:v>
      </x:c>
      <x:c r="F320" t="str">
        <x:v>194482/23/CBMP-QLD</x:v>
      </x:c>
      <x:c r="G320"/>
      <x:c r="H320" t="str">
        <x:v>Dr.Halemalie Shield Recovery Balm</x:v>
      </x:c>
      <x:c r="I320" t="str">
        <x:v>Dr.Halemal ie</x:v>
      </x:c>
      <x:c r="J320" t="str">
        <x:v>Khác</x:v>
      </x:c>
      <x:c r="K320"/>
      <x:c r="L320" t="str">
        <x:v>Công ty TNHH HALE MALIE</x:v>
      </x:c>
      <x:c r="M320" t="str">
        <x:v>Q12 Bạch Mã, Cư Xá Bắc Hải, Phường 15, Quận 10, TP. Hồ Chí Minh, Việt Nam. Mã số doanh nghiệp: 0315314384</x:v>
      </x:c>
      <x:c r="N320"/>
      <x:c r="O320" t="str">
        <x:v>Thu hồi số tiếp nhận; đình chỉ lưu hành và thu hồi (QĐ 126/QĐ-QLD)</x:v>
      </x:c>
      <x:c r="P320" t="str">
        <x:v>A++ – Cục Quản lý Dược; company responsibility explicit</x:v>
      </x:c>
      <x:c r="Q320" t="str">
        <x:v>QĐ126/2026, STT 173, trang 17.</x:v>
      </x:c>
      <x:c r="R320" t="str">
        <x:v>https://dav.gov.vn/quyet-dinh-so-126qd-qld-ve-viec-thu-hoi-so-tiep-nhan-phieu-cong-bo-san-pham-my-pham-dinh-chi-luu-hanh-va-thu-hoi-san-pham-my-pham-theo-kl-cua-hd-my-pham-asean-doi-voi-san-pham-my-pham-co-chua-chat-cyclotetrasiloxane-octamethylcyclotetrasiloxane-n5224.html</x:v>
      </x:c>
      <x:c r="S320" t="str">
        <x:v>TP. Hồ Chí Minh</x:v>
      </x:c>
      <x:c r="T320" t="str">
        <x:v>79</x:v>
      </x:c>
    </x:row>
    <x:row r="321">
      <x:c r="A321" t="n">
        <x:v>320</x:v>
      </x:c>
      <x:c r="B321" s="330" t="n">
        <x:v>45387</x:v>
      </x:c>
      <x:c r="C321" s="330" t="n">
        <x:v>46080</x:v>
      </x:c>
      <x:c r="D321" t="n">
        <x:v>2024</x:v>
      </x:c>
      <x:c r="E321" t="n">
        <x:v>4</x:v>
      </x:c>
      <x:c r="F321" t="str">
        <x:v>232097/24/CBMP-QLD</x:v>
      </x:c>
      <x:c r="G321"/>
      <x:c r="H321" t="str">
        <x:v>Y.O.U Golden Age Revitalizing Night Cream</x:v>
      </x:c>
      <x:c r="I321" t="str">
        <x:v>Y.O.U</x:v>
      </x:c>
      <x:c r="J321" t="str">
        <x:v>Kem dưỡng da</x:v>
      </x:c>
      <x:c r="K321"/>
      <x:c r="L321" t="str">
        <x:v>Công ty TNHH HEBE STYLE</x:v>
      </x:c>
      <x:c r="M321" t="str">
        <x:v>Số 41, Đường số 10, Khu đô thị Sala, phường An Lợi Đông, TP. Thủ Đức, TP. Hồ Chí Minh, Việt Nam. Mã số doanh nghiệp: 0317427136</x:v>
      </x:c>
      <x:c r="N321"/>
      <x:c r="O321" t="str">
        <x:v>Thu hồi số tiếp nhận; đình chỉ lưu hành và thu hồi (QĐ 126/QĐ-QLD)</x:v>
      </x:c>
      <x:c r="P321" t="str">
        <x:v>A++ – Cục Quản lý Dược; company responsibility explicit</x:v>
      </x:c>
      <x:c r="Q321" t="str">
        <x:v>QĐ126/2026, STT 174, trang 18.</x:v>
      </x:c>
      <x:c r="R321" t="str">
        <x:v>https://dav.gov.vn/quyet-dinh-so-126qd-qld-ve-viec-thu-hoi-so-tiep-nhan-phieu-cong-bo-san-pham-my-pham-dinh-chi-luu-hanh-va-thu-hoi-san-pham-my-pham-theo-kl-cua-hd-my-pham-asean-doi-voi-san-pham-my-pham-co-chua-chat-cyclotetrasiloxane-octamethylcyclotetrasiloxane-n5224.html</x:v>
      </x:c>
      <x:c r="S321" t="str">
        <x:v>TP. Hồ Chí Minh</x:v>
      </x:c>
      <x:c r="T321" t="str">
        <x:v>79</x:v>
      </x:c>
    </x:row>
    <x:row r="322">
      <x:c r="A322" t="n">
        <x:v>321</x:v>
      </x:c>
      <x:c r="B322" s="330" t="n">
        <x:v>45511</x:v>
      </x:c>
      <x:c r="C322" s="330" t="n">
        <x:v>46080</x:v>
      </x:c>
      <x:c r="D322" t="n">
        <x:v>2024</x:v>
      </x:c>
      <x:c r="E322" t="n">
        <x:v>8</x:v>
      </x:c>
      <x:c r="F322" t="str">
        <x:v>246616/24/CBMP-QLD</x:v>
      </x:c>
      <x:c r="G322"/>
      <x:c r="H322" t="str">
        <x:v>Intensive Eye Concentrate</x:v>
      </x:c>
      <x:c r="I322" t="str">
        <x:v>DR+LAB</x:v>
      </x:c>
      <x:c r="J322" t="str">
        <x:v>Khác</x:v>
      </x:c>
      <x:c r="K322"/>
      <x:c r="L322" t="str">
        <x:v>Công ty TNHH HOMIESKIN</x:v>
      </x:c>
      <x:c r="M322" t="str">
        <x:v>603/8 tổ 63 khóm Bình Đức, phường Bình Đức, TP. Long Xuyên, tỉnh An Giang, Việt Nam. Mã số doanh nghiệp: 1602177937</x:v>
      </x:c>
      <x:c r="N322"/>
      <x:c r="O322" t="str">
        <x:v>Thu hồi số tiếp nhận; đình chỉ lưu hành và thu hồi (QĐ 126/QĐ-QLD)</x:v>
      </x:c>
      <x:c r="P322" t="str">
        <x:v>A++ – Cục Quản lý Dược; company responsibility explicit</x:v>
      </x:c>
      <x:c r="Q322" t="str">
        <x:v>QĐ126/2026, STT 175, trang 18.</x:v>
      </x:c>
      <x:c r="R322" t="str">
        <x:v>https://dav.gov.vn/quyet-dinh-so-126qd-qld-ve-viec-thu-hoi-so-tiep-nhan-phieu-cong-bo-san-pham-my-pham-dinh-chi-luu-hanh-va-thu-hoi-san-pham-my-pham-theo-kl-cua-hd-my-pham-asean-doi-voi-san-pham-my-pham-co-chua-chat-cyclotetrasiloxane-octamethylcyclotetrasiloxane-n5224.html</x:v>
      </x:c>
      <x:c r="S322" t="str">
        <x:v>An Giang</x:v>
      </x:c>
      <x:c r="T322" t="str">
        <x:v>91</x:v>
      </x:c>
    </x:row>
    <x:row r="323">
      <x:c r="A323" t="n">
        <x:v>322</x:v>
      </x:c>
      <x:c r="B323" s="330" t="n">
        <x:v>45216</x:v>
      </x:c>
      <x:c r="C323" s="330" t="n">
        <x:v>46080</x:v>
      </x:c>
      <x:c r="D323" t="n">
        <x:v>2023</x:v>
      </x:c>
      <x:c r="E323" t="n">
        <x:v>10</x:v>
      </x:c>
      <x:c r="F323" t="str">
        <x:v>214532/23/CBMP-QLD</x:v>
      </x:c>
      <x:c r="G323"/>
      <x:c r="H323" t="str">
        <x:v>Yhl Liquid Makeup Plus</x:v>
      </x:c>
      <x:c r="I323" t="str">
        <x:v>YHL</x:v>
      </x:c>
      <x:c r="J323" t="str">
        <x:v>Khác</x:v>
      </x:c>
      <x:c r="K323"/>
      <x:c r="L323" t="str">
        <x:v>Công ty TNHH HƯNG LÊ HL</x:v>
      </x:c>
      <x:c r="M323" t="str">
        <x:v>99 Cộng Hòa, Phường 4, quận Tân Bình, TP. Hồ Chí Minh, Việt Nam. Mã số doanh nghiệp: 0317750756</x:v>
      </x:c>
      <x:c r="N323"/>
      <x:c r="O323" t="str">
        <x:v>Thu hồi số tiếp nhận; đình chỉ lưu hành và thu hồi (QĐ 126/QĐ-QLD)</x:v>
      </x:c>
      <x:c r="P323" t="str">
        <x:v>A++ – Cục Quản lý Dược; company responsibility explicit</x:v>
      </x:c>
      <x:c r="Q323" t="str">
        <x:v>QĐ126/2026, STT 176, trang 18.</x:v>
      </x:c>
      <x:c r="R323" t="str">
        <x:v>https://dav.gov.vn/quyet-dinh-so-126qd-qld-ve-viec-thu-hoi-so-tiep-nhan-phieu-cong-bo-san-pham-my-pham-dinh-chi-luu-hanh-va-thu-hoi-san-pham-my-pham-theo-kl-cua-hd-my-pham-asean-doi-voi-san-pham-my-pham-co-chua-chat-cyclotetrasiloxane-octamethylcyclotetrasiloxane-n5224.html</x:v>
      </x:c>
      <x:c r="S323" t="str">
        <x:v>TP. Hồ Chí Minh</x:v>
      </x:c>
      <x:c r="T323" t="str">
        <x:v>79</x:v>
      </x:c>
    </x:row>
    <x:row r="324">
      <x:c r="A324" t="n">
        <x:v>323</x:v>
      </x:c>
      <x:c r="B324" s="330" t="n">
        <x:v>44826</x:v>
      </x:c>
      <x:c r="C324" s="330" t="n">
        <x:v>46080</x:v>
      </x:c>
      <x:c r="D324" t="n">
        <x:v>2022</x:v>
      </x:c>
      <x:c r="E324" t="n">
        <x:v>9</x:v>
      </x:c>
      <x:c r="F324" t="str">
        <x:v>183127/22/CBMP-QLD</x:v>
      </x:c>
      <x:c r="G324"/>
      <x:c r="H324" t="str">
        <x:v>Ellips Vitamin Hair Mask With Pro-Keratin Complex Hair Repair</x:v>
      </x:c>
      <x:c r="I324" t="str">
        <x:v>ELLIPS</x:v>
      </x:c>
      <x:c r="J324" t="str">
        <x:v>Mặt nạ</x:v>
      </x:c>
      <x:c r="K324"/>
      <x:c r="L324" t="str">
        <x:v>Công ty TNHH KINO VIỆT NAM</x:v>
      </x:c>
      <x:c r="M324" t="str">
        <x:v>Tầng 1, số 12 M Nguyễn Thị Minh Khai, phường Đa Kao, Quận 1, TP. Hồ Chí Minh, Việt Nam. Mã số doanh nghiệp: 0312238382</x:v>
      </x:c>
      <x:c r="N324"/>
      <x:c r="O324" t="str">
        <x:v>Thu hồi số tiếp nhận; đình chỉ lưu hành và thu hồi (QĐ 126/QĐ-QLD)</x:v>
      </x:c>
      <x:c r="P324" t="str">
        <x:v>A++ – Cục Quản lý Dược; company responsibility explicit</x:v>
      </x:c>
      <x:c r="Q324" t="str">
        <x:v>QĐ126/2026, STT 197, trang 20.</x:v>
      </x:c>
      <x:c r="R324" t="str">
        <x:v>https://dav.gov.vn/quyet-dinh-so-126qd-qld-ve-viec-thu-hoi-so-tiep-nhan-phieu-cong-bo-san-pham-my-pham-dinh-chi-luu-hanh-va-thu-hoi-san-pham-my-pham-theo-kl-cua-hd-my-pham-asean-doi-voi-san-pham-my-pham-co-chua-chat-cyclotetrasiloxane-octamethylcyclotetrasiloxane-n5224.html</x:v>
      </x:c>
      <x:c r="S324" t="str">
        <x:v>TP. Hồ Chí Minh</x:v>
      </x:c>
      <x:c r="T324" t="str">
        <x:v>79</x:v>
      </x:c>
    </x:row>
    <x:row r="325">
      <x:c r="A325" t="n">
        <x:v>324</x:v>
      </x:c>
      <x:c r="B325" s="330" t="n">
        <x:v>44826</x:v>
      </x:c>
      <x:c r="C325" s="330" t="n">
        <x:v>46080</x:v>
      </x:c>
      <x:c r="D325" t="n">
        <x:v>2022</x:v>
      </x:c>
      <x:c r="E325" t="n">
        <x:v>9</x:v>
      </x:c>
      <x:c r="F325" t="str">
        <x:v>183128/22/CBMP-QLD</x:v>
      </x:c>
      <x:c r="G325"/>
      <x:c r="H325" t="str">
        <x:v>Ellips Vitamin Hair Mask With Pro-Keratin Complex Silky Black</x:v>
      </x:c>
      <x:c r="I325" t="str">
        <x:v>ELLIPS</x:v>
      </x:c>
      <x:c r="J325" t="str">
        <x:v>Mặt nạ</x:v>
      </x:c>
      <x:c r="K325"/>
      <x:c r="L325" t="str">
        <x:v>Công ty TNHH KINO VIỆT NAM</x:v>
      </x:c>
      <x:c r="M325" t="str">
        <x:v>Tầng 1, số 12 M Nguyễn Thị Minh Khai, phường Đa Kao, Quận 1, TP. Hồ Chí Minh, Việt Nam. Mã số doanh nghiệp: 0312238382</x:v>
      </x:c>
      <x:c r="N325"/>
      <x:c r="O325" t="str">
        <x:v>Thu hồi số tiếp nhận; đình chỉ lưu hành và thu hồi (QĐ 126/QĐ-QLD)</x:v>
      </x:c>
      <x:c r="P325" t="str">
        <x:v>A++ – Cục Quản lý Dược; company responsibility explicit</x:v>
      </x:c>
      <x:c r="Q325" t="str">
        <x:v>QĐ126/2026, STT 198, trang 20.</x:v>
      </x:c>
      <x:c r="R325" t="str">
        <x:v>https://dav.gov.vn/quyet-dinh-so-126qd-qld-ve-viec-thu-hoi-so-tiep-nhan-phieu-cong-bo-san-pham-my-pham-dinh-chi-luu-hanh-va-thu-hoi-san-pham-my-pham-theo-kl-cua-hd-my-pham-asean-doi-voi-san-pham-my-pham-co-chua-chat-cyclotetrasiloxane-octamethylcyclotetrasiloxane-n5224.html</x:v>
      </x:c>
      <x:c r="S325" t="str">
        <x:v>TP. Hồ Chí Minh</x:v>
      </x:c>
      <x:c r="T325" t="str">
        <x:v>79</x:v>
      </x:c>
    </x:row>
    <x:row r="326">
      <x:c r="A326" t="n">
        <x:v>325</x:v>
      </x:c>
      <x:c r="B326" s="330" t="n">
        <x:v>44826</x:v>
      </x:c>
      <x:c r="C326" s="330" t="n">
        <x:v>46080</x:v>
      </x:c>
      <x:c r="D326" t="n">
        <x:v>2022</x:v>
      </x:c>
      <x:c r="E326" t="n">
        <x:v>9</x:v>
      </x:c>
      <x:c r="F326" t="str">
        <x:v>183129/22/CBMP-QLD</x:v>
      </x:c>
      <x:c r="G326"/>
      <x:c r="H326" t="str">
        <x:v>Ellips Vitamin Hair Mask With Pro-Keratin Complex Smooth &amp; Silky</x:v>
      </x:c>
      <x:c r="I326" t="str">
        <x:v>ELLIPS</x:v>
      </x:c>
      <x:c r="J326" t="str">
        <x:v>Mặt nạ</x:v>
      </x:c>
      <x:c r="K326"/>
      <x:c r="L326" t="str">
        <x:v>Công ty TNHH KINO VIỆT NAM</x:v>
      </x:c>
      <x:c r="M326" t="str">
        <x:v>Tầng 1, số 12 M Nguyễn Thị Minh Khai, phường Đa Kao, Quận 1, TP. Hồ Chí Minh, Việt Nam. Mã số doanh nghiệp: 0312238382</x:v>
      </x:c>
      <x:c r="N326"/>
      <x:c r="O326" t="str">
        <x:v>Thu hồi số tiếp nhận; đình chỉ lưu hành và thu hồi (QĐ 126/QĐ-QLD)</x:v>
      </x:c>
      <x:c r="P326" t="str">
        <x:v>A++ – Cục Quản lý Dược; company responsibility explicit</x:v>
      </x:c>
      <x:c r="Q326" t="str">
        <x:v>QĐ126/2026, STT 199, trang 20.</x:v>
      </x:c>
      <x:c r="R326" t="str">
        <x:v>https://dav.gov.vn/quyet-dinh-so-126qd-qld-ve-viec-thu-hoi-so-tiep-nhan-phieu-cong-bo-san-pham-my-pham-dinh-chi-luu-hanh-va-thu-hoi-san-pham-my-pham-theo-kl-cua-hd-my-pham-asean-doi-voi-san-pham-my-pham-co-chua-chat-cyclotetrasiloxane-octamethylcyclotetrasiloxane-n5224.html</x:v>
      </x:c>
      <x:c r="S326" t="str">
        <x:v>TP. Hồ Chí Minh</x:v>
      </x:c>
      <x:c r="T326" t="str">
        <x:v>79</x:v>
      </x:c>
    </x:row>
    <x:row r="327">
      <x:c r="A327" t="n">
        <x:v>326</x:v>
      </x:c>
      <x:c r="B327" s="330" t="n">
        <x:v>44838</x:v>
      </x:c>
      <x:c r="C327" s="330" t="n">
        <x:v>46080</x:v>
      </x:c>
      <x:c r="D327" t="n">
        <x:v>2022</x:v>
      </x:c>
      <x:c r="E327" t="n">
        <x:v>10</x:v>
      </x:c>
      <x:c r="F327" t="str">
        <x:v>184876/22/CBMP-QLD</x:v>
      </x:c>
      <x:c r="G327"/>
      <x:c r="H327" t="str">
        <x:v>Ellips Vitamin Milkshake 5in1 Hair Vitamin</x:v>
      </x:c>
      <x:c r="I327" t="str">
        <x:v>ELLIPS</x:v>
      </x:c>
      <x:c r="J327" t="str">
        <x:v>Sản phẩm môi</x:v>
      </x:c>
      <x:c r="K327"/>
      <x:c r="L327" t="str">
        <x:v>Công ty TNHH KINO VIỆT NAM</x:v>
      </x:c>
      <x:c r="M327" t="str">
        <x:v>Tầng 1, số 12 M Nguyễn Thị Minh Khai, phường Đa Kao, Quận 1, TP. Hồ Chí Minh, Việt Nam. Mã số doanh nghiệp: 0312238382</x:v>
      </x:c>
      <x:c r="N327"/>
      <x:c r="O327" t="str">
        <x:v>Thu hồi số tiếp nhận; đình chỉ lưu hành và thu hồi (QĐ 126/QĐ-QLD)</x:v>
      </x:c>
      <x:c r="P327" t="str">
        <x:v>A++ – Cục Quản lý Dược; company responsibility explicit</x:v>
      </x:c>
      <x:c r="Q327" t="str">
        <x:v>QĐ126/2026, STT 200, trang 20.</x:v>
      </x:c>
      <x:c r="R327" t="str">
        <x:v>https://dav.gov.vn/quyet-dinh-so-126qd-qld-ve-viec-thu-hoi-so-tiep-nhan-phieu-cong-bo-san-pham-my-pham-dinh-chi-luu-hanh-va-thu-hoi-san-pham-my-pham-theo-kl-cua-hd-my-pham-asean-doi-voi-san-pham-my-pham-co-chua-chat-cyclotetrasiloxane-octamethylcyclotetrasiloxane-n5224.html</x:v>
      </x:c>
      <x:c r="S327" t="str">
        <x:v>TP. Hồ Chí Minh</x:v>
      </x:c>
      <x:c r="T327" t="str">
        <x:v>79</x:v>
      </x:c>
    </x:row>
    <x:row r="328">
      <x:c r="A328" t="n">
        <x:v>327</x:v>
      </x:c>
      <x:c r="B328" s="330" t="n">
        <x:v>44820</x:v>
      </x:c>
      <x:c r="C328" s="330" t="n">
        <x:v>46080</x:v>
      </x:c>
      <x:c r="D328" t="n">
        <x:v>2022</x:v>
      </x:c>
      <x:c r="E328" t="n">
        <x:v>9</x:v>
      </x:c>
      <x:c r="F328" t="str">
        <x:v>181994/22/CBMP-QLD</x:v>
      </x:c>
      <x:c r="G328"/>
      <x:c r="H328" t="str">
        <x:v>Peripera Ink Airy Velvet</x:v>
      </x:c>
      <x:c r="I328" t="str">
        <x:v>PERIPER A</x:v>
      </x:c>
      <x:c r="J328" t="str">
        <x:v>Khác</x:v>
      </x:c>
      <x:c r="K328"/>
      <x:c r="L328" t="str">
        <x:v>Công ty TNHH KVIC PARTNERS</x:v>
      </x:c>
      <x:c r="M328" t="str">
        <x:v>107/6 Nguyễn Thái Sơn, Phường 4, quận Gò Vấp, TP. Hồ Chí Minh, Việt Nam. Mã số doanh nghiệp: 0314945997</x:v>
      </x:c>
      <x:c r="N328"/>
      <x:c r="O328" t="str">
        <x:v>Thu hồi số tiếp nhận; đình chỉ lưu hành và thu hồi (QĐ 126/QĐ-QLD)</x:v>
      </x:c>
      <x:c r="P328" t="str">
        <x:v>A++ – Cục Quản lý Dược; company responsibility explicit</x:v>
      </x:c>
      <x:c r="Q328" t="str">
        <x:v>QĐ126/2026, STT 202, trang 20.</x:v>
      </x:c>
      <x:c r="R328" t="str">
        <x:v>https://dav.gov.vn/quyet-dinh-so-126qd-qld-ve-viec-thu-hoi-so-tiep-nhan-phieu-cong-bo-san-pham-my-pham-dinh-chi-luu-hanh-va-thu-hoi-san-pham-my-pham-theo-kl-cua-hd-my-pham-asean-doi-voi-san-pham-my-pham-co-chua-chat-cyclotetrasiloxane-octamethylcyclotetrasiloxane-n5224.html</x:v>
      </x:c>
      <x:c r="S328" t="str">
        <x:v>TP. Hồ Chí Minh</x:v>
      </x:c>
      <x:c r="T328" t="str">
        <x:v>79</x:v>
      </x:c>
    </x:row>
    <x:row r="329">
      <x:c r="A329" t="n">
        <x:v>328</x:v>
      </x:c>
      <x:c r="B329" s="330" t="n">
        <x:v>44820</x:v>
      </x:c>
      <x:c r="C329" s="330" t="n">
        <x:v>46080</x:v>
      </x:c>
      <x:c r="D329" t="n">
        <x:v>2022</x:v>
      </x:c>
      <x:c r="E329" t="n">
        <x:v>9</x:v>
      </x:c>
      <x:c r="F329" t="str">
        <x:v>181995/22/CBMP-QLD</x:v>
      </x:c>
      <x:c r="G329"/>
      <x:c r="H329" t="str">
        <x:v>Peripera Ink Airy Velvet 14 Rosy Pink</x:v>
      </x:c>
      <x:c r="I329" t="str">
        <x:v>PERIPER A</x:v>
      </x:c>
      <x:c r="J329" t="str">
        <x:v>Khác</x:v>
      </x:c>
      <x:c r="K329"/>
      <x:c r="L329" t="str">
        <x:v>Công ty TNHH KVIC PARTNERS</x:v>
      </x:c>
      <x:c r="M329" t="str">
        <x:v>107/6 Nguyễn Thái Sơn, Phường 4, quận Gò Vấp, TP. Hồ Chí Minh, Việt Nam. Mã số doanh nghiệp: 0314945997</x:v>
      </x:c>
      <x:c r="N329"/>
      <x:c r="O329" t="str">
        <x:v>Thu hồi số tiếp nhận; đình chỉ lưu hành và thu hồi (QĐ 126/QĐ-QLD)</x:v>
      </x:c>
      <x:c r="P329" t="str">
        <x:v>A++ – Cục Quản lý Dược; company responsibility explicit</x:v>
      </x:c>
      <x:c r="Q329" t="str">
        <x:v>QĐ126/2026, STT 203, trang 20.</x:v>
      </x:c>
      <x:c r="R329" t="str">
        <x:v>https://dav.gov.vn/quyet-dinh-so-126qd-qld-ve-viec-thu-hoi-so-tiep-nhan-phieu-cong-bo-san-pham-my-pham-dinh-chi-luu-hanh-va-thu-hoi-san-pham-my-pham-theo-kl-cua-hd-my-pham-asean-doi-voi-san-pham-my-pham-co-chua-chat-cyclotetrasiloxane-octamethylcyclotetrasiloxane-n5224.html</x:v>
      </x:c>
      <x:c r="S329" t="str">
        <x:v>TP. Hồ Chí Minh</x:v>
      </x:c>
      <x:c r="T329" t="str">
        <x:v>79</x:v>
      </x:c>
    </x:row>
    <x:row r="330">
      <x:c r="A330" t="n">
        <x:v>329</x:v>
      </x:c>
      <x:c r="B330" s="330" t="n">
        <x:v>45253</x:v>
      </x:c>
      <x:c r="C330" s="330" t="n">
        <x:v>46080</x:v>
      </x:c>
      <x:c r="D330" t="n">
        <x:v>2023</x:v>
      </x:c>
      <x:c r="E330" t="n">
        <x:v>11</x:v>
      </x:c>
      <x:c r="F330" t="str">
        <x:v>217942/23/CBMP-QLD</x:v>
      </x:c>
      <x:c r="G330"/>
      <x:c r="H330" t="str">
        <x:v>Yespick Nmn Whitening Serum</x:v>
      </x:c>
      <x:c r="I330" t="str">
        <x:v>YESPICK</x:v>
      </x:c>
      <x:c r="J330" t="str">
        <x:v>Serum/Essence da</x:v>
      </x:c>
      <x:c r="K330"/>
      <x:c r="L330" t="str">
        <x:v>Công ty TNHH LANSERAL</x:v>
      </x:c>
      <x:c r="M330" t="str">
        <x:v>183/25L Tân Hòa Đông, Phường 14, Quận 6, TP. Hồ Chí Minh, Việt Nam. Mã số doanh nghiệp: 0317873236</x:v>
      </x:c>
      <x:c r="N330"/>
      <x:c r="O330" t="str">
        <x:v>Thu hồi số tiếp nhận; đình chỉ lưu hành và thu hồi (QĐ 126/QĐ-QLD)</x:v>
      </x:c>
      <x:c r="P330" t="str">
        <x:v>A++ – Cục Quản lý Dược; company responsibility explicit</x:v>
      </x:c>
      <x:c r="Q330" t="str">
        <x:v>QĐ126/2026, STT 204, trang 20.</x:v>
      </x:c>
      <x:c r="R330" t="str">
        <x:v>https://dav.gov.vn/quyet-dinh-so-126qd-qld-ve-viec-thu-hoi-so-tiep-nhan-phieu-cong-bo-san-pham-my-pham-dinh-chi-luu-hanh-va-thu-hoi-san-pham-my-pham-theo-kl-cua-hd-my-pham-asean-doi-voi-san-pham-my-pham-co-chua-chat-cyclotetrasiloxane-octamethylcyclotetrasiloxane-n5224.html</x:v>
      </x:c>
      <x:c r="S330" t="str">
        <x:v>TP. Hồ Chí Minh</x:v>
      </x:c>
      <x:c r="T330" t="str">
        <x:v>79</x:v>
      </x:c>
    </x:row>
    <x:row r="331">
      <x:c r="A331" t="n">
        <x:v>330</x:v>
      </x:c>
      <x:c r="B331" s="330" t="n">
        <x:v>45376</x:v>
      </x:c>
      <x:c r="C331" s="330" t="n">
        <x:v>46080</x:v>
      </x:c>
      <x:c r="D331" t="n">
        <x:v>2024</x:v>
      </x:c>
      <x:c r="E331" t="n">
        <x:v>3</x:v>
      </x:c>
      <x:c r="F331" t="str">
        <x:v>230643/24/CBMP-QLD</x:v>
      </x:c>
      <x:c r="G331"/>
      <x:c r="H331" t="str">
        <x:v>Mdd Sun Protection Complex Spf45 Sp</x:v>
      </x:c>
      <x:c r="I331" t="str">
        <x:v>MDD</x:v>
      </x:c>
      <x:c r="J331" t="str">
        <x:v>Kem chống nắng</x:v>
      </x:c>
      <x:c r="K331"/>
      <x:c r="L331" t="str">
        <x:v>Công ty TNHH MD DERMAL</x:v>
      </x:c>
      <x:c r="M331" t="str">
        <x:v>Tầng 6, 520 Cách Mạng Tháng Tám, Phường 11, Quận 3, TP. Hồ Chí Minh, Việt Nam. Mã số doanh nghiệp: 0317862844</x:v>
      </x:c>
      <x:c r="N331"/>
      <x:c r="O331" t="str">
        <x:v>Thu hồi số tiếp nhận; đình chỉ lưu hành và thu hồi (QĐ 126/QĐ-QLD)</x:v>
      </x:c>
      <x:c r="P331" t="str">
        <x:v>A++ – Cục Quản lý Dược; company responsibility explicit</x:v>
      </x:c>
      <x:c r="Q331" t="str">
        <x:v>QĐ126/2026, STT 206, trang 20.</x:v>
      </x:c>
      <x:c r="R331" t="str">
        <x:v>https://dav.gov.vn/quyet-dinh-so-126qd-qld-ve-viec-thu-hoi-so-tiep-nhan-phieu-cong-bo-san-pham-my-pham-dinh-chi-luu-hanh-va-thu-hoi-san-pham-my-pham-theo-kl-cua-hd-my-pham-asean-doi-voi-san-pham-my-pham-co-chua-chat-cyclotetrasiloxane-octamethylcyclotetrasiloxane-n5224.html</x:v>
      </x:c>
      <x:c r="S331" t="str">
        <x:v>TP. Hồ Chí Minh</x:v>
      </x:c>
      <x:c r="T331" t="str">
        <x:v>79</x:v>
      </x:c>
    </x:row>
    <x:row r="332">
      <x:c r="A332" t="n">
        <x:v>331</x:v>
      </x:c>
      <x:c r="B332" s="330" t="n">
        <x:v>44894</x:v>
      </x:c>
      <x:c r="C332" s="330" t="n">
        <x:v>46080</x:v>
      </x:c>
      <x:c r="D332" t="n">
        <x:v>2022</x:v>
      </x:c>
      <x:c r="E332" t="n">
        <x:v>11</x:v>
      </x:c>
      <x:c r="F332" t="str">
        <x:v>190554/22/CBMP-QLD</x:v>
      </x:c>
      <x:c r="G332"/>
      <x:c r="H332" t="str">
        <x:v>Waterdrop Hydrating Carbonated Cream</x:v>
      </x:c>
      <x:c r="I332" t="str">
        <x:v>Hedison</x:v>
      </x:c>
      <x:c r="J332" t="str">
        <x:v>Kem dưỡng da</x:v>
      </x:c>
      <x:c r="K332"/>
      <x:c r="L332" t="str">
        <x:v>Công ty TNHH MỸ PHẨM IPIA HÀN QUỐC</x:v>
      </x:c>
      <x:c r="M332" t="str">
        <x:v>Số 20, Ngõ 76 Nguyễn Chí Thanh, phường Láng Thượng, quận Đống Đa, TP. Hà Nội, Việt Nam. Mã số doanh nghiệp: 0106803529</x:v>
      </x:c>
      <x:c r="N332"/>
      <x:c r="O332" t="str">
        <x:v>Thu hồi số tiếp nhận; đình chỉ lưu hành và thu hồi (QĐ 126/QĐ-QLD)</x:v>
      </x:c>
      <x:c r="P332" t="str">
        <x:v>A++ – Cục Quản lý Dược; company responsibility explicit</x:v>
      </x:c>
      <x:c r="Q332" t="str">
        <x:v>QĐ126/2026, STT 211, trang 21.</x:v>
      </x:c>
      <x:c r="R332" t="str">
        <x:v>https://dav.gov.vn/quyet-dinh-so-126qd-qld-ve-viec-thu-hoi-so-tiep-nhan-phieu-cong-bo-san-pham-my-pham-dinh-chi-luu-hanh-va-thu-hoi-san-pham-my-pham-theo-kl-cua-hd-my-pham-asean-doi-voi-san-pham-my-pham-co-chua-chat-cyclotetrasiloxane-octamethylcyclotetrasiloxane-n5224.html</x:v>
      </x:c>
      <x:c r="S332" t="str">
        <x:v>Hà Nội</x:v>
      </x:c>
      <x:c r="T332" t="str">
        <x:v>01</x:v>
      </x:c>
    </x:row>
    <x:row r="333">
      <x:c r="A333" t="n">
        <x:v>332</x:v>
      </x:c>
      <x:c r="B333" s="330" t="n">
        <x:v>44714</x:v>
      </x:c>
      <x:c r="C333" s="330" t="n">
        <x:v>46080</x:v>
      </x:c>
      <x:c r="D333" t="n">
        <x:v>2022</x:v>
      </x:c>
      <x:c r="E333" t="n">
        <x:v>6</x:v>
      </x:c>
      <x:c r="F333" t="str">
        <x:v>171470/22/CBMP-QLD</x:v>
      </x:c>
      <x:c r="G333"/>
      <x:c r="H333" t="str">
        <x:v>Arganmidas Sunscreen</x:v>
      </x:c>
      <x:c r="I333" t="str">
        <x:v>Arganmida s</x:v>
      </x:c>
      <x:c r="J333" t="str">
        <x:v>Kem chống nắng</x:v>
      </x:c>
      <x:c r="K333"/>
      <x:c r="L333" t="str">
        <x:v>Công ty TNHH MỸ PHẨM L.A.M</x:v>
      </x:c>
      <x:c r="M333" t="str">
        <x:v>Số 200, Dịch Vụ 07, Khu Đô Thị Xa La, phường Phúc La, quận Hà Đông, TP. Hà Nội, Việt Nam. Mã số doanh nghiệp: 0108432446</x:v>
      </x:c>
      <x:c r="N333"/>
      <x:c r="O333" t="str">
        <x:v>Thu hồi số tiếp nhận; đình chỉ lưu hành và thu hồi (QĐ 126/QĐ-QLD)</x:v>
      </x:c>
      <x:c r="P333" t="str">
        <x:v>A++ – Cục Quản lý Dược; company responsibility explicit</x:v>
      </x:c>
      <x:c r="Q333" t="str">
        <x:v>QĐ126/2026, STT 212, trang 21.</x:v>
      </x:c>
      <x:c r="R333" t="str">
        <x:v>https://dav.gov.vn/quyet-dinh-so-126qd-qld-ve-viec-thu-hoi-so-tiep-nhan-phieu-cong-bo-san-pham-my-pham-dinh-chi-luu-hanh-va-thu-hoi-san-pham-my-pham-theo-kl-cua-hd-my-pham-asean-doi-voi-san-pham-my-pham-co-chua-chat-cyclotetrasiloxane-octamethylcyclotetrasiloxane-n5224.html</x:v>
      </x:c>
      <x:c r="S333" t="str">
        <x:v>Hà Nội</x:v>
      </x:c>
      <x:c r="T333" t="str">
        <x:v>01</x:v>
      </x:c>
    </x:row>
    <x:row r="334">
      <x:c r="A334" t="n">
        <x:v>333</x:v>
      </x:c>
      <x:c r="B334" s="330" t="n">
        <x:v>45096</x:v>
      </x:c>
      <x:c r="C334" s="330" t="n">
        <x:v>46080</x:v>
      </x:c>
      <x:c r="D334" t="n">
        <x:v>2023</x:v>
      </x:c>
      <x:c r="E334" t="n">
        <x:v>6</x:v>
      </x:c>
      <x:c r="F334" t="str">
        <x:v>204037/23/CBMP-QLD</x:v>
      </x:c>
      <x:c r="G334"/>
      <x:c r="H334" t="str">
        <x:v>Muchcare Hair Nutrition Maintain Cream</x:v>
      </x:c>
      <x:c r="I334" t="str">
        <x:v>MUCHCA RE</x:v>
      </x:c>
      <x:c r="J334" t="str">
        <x:v>Kem dưỡng da</x:v>
      </x:c>
      <x:c r="K334"/>
      <x:c r="L334" t="str">
        <x:v>Công ty TNHH MỸ PHẨM L.A.M</x:v>
      </x:c>
      <x:c r="M334" t="str">
        <x:v>Số 200, Dịch Vụ 07, Khu Đô Thị Xa La, phường Phúc La, quận Hà Đông, TP. Hà Nội, Việt Nam. Mã số doanh nghiệp: 0108432446</x:v>
      </x:c>
      <x:c r="N334"/>
      <x:c r="O334" t="str">
        <x:v>Thu hồi số tiếp nhận; đình chỉ lưu hành và thu hồi (QĐ 126/QĐ-QLD)</x:v>
      </x:c>
      <x:c r="P334" t="str">
        <x:v>A++ – Cục Quản lý Dược; company responsibility explicit</x:v>
      </x:c>
      <x:c r="Q334" t="str">
        <x:v>QĐ126/2026, STT 213, trang 21.</x:v>
      </x:c>
      <x:c r="R334" t="str">
        <x:v>https://dav.gov.vn/quyet-dinh-so-126qd-qld-ve-viec-thu-hoi-so-tiep-nhan-phieu-cong-bo-san-pham-my-pham-dinh-chi-luu-hanh-va-thu-hoi-san-pham-my-pham-theo-kl-cua-hd-my-pham-asean-doi-voi-san-pham-my-pham-co-chua-chat-cyclotetrasiloxane-octamethylcyclotetrasiloxane-n5224.html</x:v>
      </x:c>
      <x:c r="S334" t="str">
        <x:v>Hà Nội</x:v>
      </x:c>
      <x:c r="T334" t="str">
        <x:v>01</x:v>
      </x:c>
    </x:row>
    <x:row r="335">
      <x:c r="A335" t="n">
        <x:v>334</x:v>
      </x:c>
      <x:c r="B335" s="330" t="n">
        <x:v>45105</x:v>
      </x:c>
      <x:c r="C335" s="330" t="n">
        <x:v>46080</x:v>
      </x:c>
      <x:c r="D335" t="n">
        <x:v>2023</x:v>
      </x:c>
      <x:c r="E335" t="n">
        <x:v>6</x:v>
      </x:c>
      <x:c r="F335" t="str">
        <x:v>204673/23/CBMP-QLD</x:v>
      </x:c>
      <x:c r="G335"/>
      <x:c r="H335" t="str">
        <x:v>Privia Intense Whitening Serum</x:v>
      </x:c>
      <x:c r="I335" t="str">
        <x:v>PRIVIA</x:v>
      </x:c>
      <x:c r="J335" t="str">
        <x:v>Serum/Essence da</x:v>
      </x:c>
      <x:c r="K335"/>
      <x:c r="L335" t="str">
        <x:v>Công ty TNHH mỹ phẩm Tùng Phát</x:v>
      </x:c>
      <x:c r="M335" t="str">
        <x:v>Số 52/441 Đường Lĩnh Nam, phường Lĩnh Nam, quận Hoàng Mai, TP. Hà Nội, Việt Nam. Mã số doanh nghiệp: 0108319401</x:v>
      </x:c>
      <x:c r="N335"/>
      <x:c r="O335" t="str">
        <x:v>Thu hồi số tiếp nhận; đình chỉ lưu hành và thu hồi (QĐ 126/QĐ-QLD)</x:v>
      </x:c>
      <x:c r="P335" t="str">
        <x:v>A++ – Cục Quản lý Dược; company responsibility explicit</x:v>
      </x:c>
      <x:c r="Q335" t="str">
        <x:v>QĐ126/2026, STT 214, trang 21.</x:v>
      </x:c>
      <x:c r="R335" t="str">
        <x:v>https://dav.gov.vn/quyet-dinh-so-126qd-qld-ve-viec-thu-hoi-so-tiep-nhan-phieu-cong-bo-san-pham-my-pham-dinh-chi-luu-hanh-va-thu-hoi-san-pham-my-pham-theo-kl-cua-hd-my-pham-asean-doi-voi-san-pham-my-pham-co-chua-chat-cyclotetrasiloxane-octamethylcyclotetrasiloxane-n5224.html</x:v>
      </x:c>
      <x:c r="S335" t="str">
        <x:v>Hà Nội</x:v>
      </x:c>
      <x:c r="T335" t="str">
        <x:v>01</x:v>
      </x:c>
    </x:row>
    <x:row r="336">
      <x:c r="A336" t="n">
        <x:v>335</x:v>
      </x:c>
      <x:c r="B336" s="330" t="n">
        <x:v>44916</x:v>
      </x:c>
      <x:c r="C336" s="330" t="n">
        <x:v>46080</x:v>
      </x:c>
      <x:c r="D336" t="n">
        <x:v>2022</x:v>
      </x:c>
      <x:c r="E336" t="n">
        <x:v>12</x:v>
      </x:c>
      <x:c r="F336" t="str">
        <x:v>191687/22/CBMP-QLD</x:v>
      </x:c>
      <x:c r="G336"/>
      <x:c r="H336" t="str">
        <x:v>Mayo Amino Acid Moisturizing And Repairing Hair Mask</x:v>
      </x:c>
      <x:c r="I336" t="str">
        <x:v>MAYO</x:v>
      </x:c>
      <x:c r="J336" t="str">
        <x:v>Mặt nạ</x:v>
      </x:c>
      <x:c r="K336"/>
      <x:c r="L336" t="str">
        <x:v>Công ty TNHH mỹ phẩm VY</x:v>
      </x:c>
      <x:c r="M336" t="str">
        <x:v>Lô C6, ô D6, khu đô thị mới Cầu Giấy, phường Dịch Vọng, quận Cầu Giấy, TP. Hà Nội, Việt Nam. Mã số doanh nghiệp: 0107441568</x:v>
      </x:c>
      <x:c r="N336"/>
      <x:c r="O336" t="str">
        <x:v>Thu hồi số tiếp nhận; đình chỉ lưu hành và thu hồi (QĐ 126/QĐ-QLD)</x:v>
      </x:c>
      <x:c r="P336" t="str">
        <x:v>A++ – Cục Quản lý Dược; company responsibility explicit</x:v>
      </x:c>
      <x:c r="Q336" t="str">
        <x:v>QĐ126/2026, STT 215, trang 21.</x:v>
      </x:c>
      <x:c r="R336" t="str">
        <x:v>https://dav.gov.vn/quyet-dinh-so-126qd-qld-ve-viec-thu-hoi-so-tiep-nhan-phieu-cong-bo-san-pham-my-pham-dinh-chi-luu-hanh-va-thu-hoi-san-pham-my-pham-theo-kl-cua-hd-my-pham-asean-doi-voi-san-pham-my-pham-co-chua-chat-cyclotetrasiloxane-octamethylcyclotetrasiloxane-n5224.html</x:v>
      </x:c>
      <x:c r="S336" t="str">
        <x:v>Hà Nội</x:v>
      </x:c>
      <x:c r="T336" t="str">
        <x:v>01</x:v>
      </x:c>
    </x:row>
    <x:row r="337">
      <x:c r="A337" t="n">
        <x:v>336</x:v>
      </x:c>
      <x:c r="B337" s="330" t="n">
        <x:v>44916</x:v>
      </x:c>
      <x:c r="C337" s="330" t="n">
        <x:v>46080</x:v>
      </x:c>
      <x:c r="D337" t="n">
        <x:v>2022</x:v>
      </x:c>
      <x:c r="E337" t="n">
        <x:v>12</x:v>
      </x:c>
      <x:c r="F337" t="str">
        <x:v>191700/22/CBMP-QLD</x:v>
      </x:c>
      <x:c r="G337"/>
      <x:c r="H337" t="str">
        <x:v>Mayo Amino Acid Keratin Hair Conditioner</x:v>
      </x:c>
      <x:c r="I337" t="str">
        <x:v>MAYO</x:v>
      </x:c>
      <x:c r="J337" t="str">
        <x:v>Dầu xả</x:v>
      </x:c>
      <x:c r="K337"/>
      <x:c r="L337" t="str">
        <x:v>Công ty TNHH mỹ phẩm VY</x:v>
      </x:c>
      <x:c r="M337" t="str">
        <x:v>Lô C6, ô D6, khu đô thị mới Cầu Giấy, phường Dịch Vọng, quận Cầu Giấy, TP. Hà Nội, Việt Nam. Mã số doanh nghiệp: 0107441568</x:v>
      </x:c>
      <x:c r="N337"/>
      <x:c r="O337" t="str">
        <x:v>Thu hồi số tiếp nhận; đình chỉ lưu hành và thu hồi (QĐ 126/QĐ-QLD)</x:v>
      </x:c>
      <x:c r="P337" t="str">
        <x:v>A++ – Cục Quản lý Dược; company responsibility explicit</x:v>
      </x:c>
      <x:c r="Q337" t="str">
        <x:v>QĐ126/2026, STT 216, trang 21.</x:v>
      </x:c>
      <x:c r="R337" t="str">
        <x:v>https://dav.gov.vn/quyet-dinh-so-126qd-qld-ve-viec-thu-hoi-so-tiep-nhan-phieu-cong-bo-san-pham-my-pham-dinh-chi-luu-hanh-va-thu-hoi-san-pham-my-pham-theo-kl-cua-hd-my-pham-asean-doi-voi-san-pham-my-pham-co-chua-chat-cyclotetrasiloxane-octamethylcyclotetrasiloxane-n5224.html</x:v>
      </x:c>
      <x:c r="S337" t="str">
        <x:v>Hà Nội</x:v>
      </x:c>
      <x:c r="T337" t="str">
        <x:v>01</x:v>
      </x:c>
    </x:row>
    <x:row r="338">
      <x:c r="A338" t="n">
        <x:v>337</x:v>
      </x:c>
      <x:c r="B338" s="330" t="n">
        <x:v>45357</x:v>
      </x:c>
      <x:c r="C338" s="330" t="n">
        <x:v>46080</x:v>
      </x:c>
      <x:c r="D338" t="n">
        <x:v>2024</x:v>
      </x:c>
      <x:c r="E338" t="n">
        <x:v>3</x:v>
      </x:c>
      <x:c r="F338" t="str">
        <x:v>227594/24/CBMP-QLD</x:v>
      </x:c>
      <x:c r="G338"/>
      <x:c r="H338" t="str">
        <x:v>Paula's Choice Gentle Touch Makeup Remover</x:v>
      </x:c>
      <x:c r="I338" t="str">
        <x:v>Paula's Choice</x:v>
      </x:c>
      <x:c r="J338" t="str">
        <x:v>Tẩy trang</x:v>
      </x:c>
      <x:c r="K338"/>
      <x:c r="L338" t="str">
        <x:v>Công ty TNHH PAULA'S CHOICE Việt Nam</x:v>
      </x:c>
      <x:c r="M338" t="str">
        <x:v>Tầng 3, Tòa nhà The Sun, số 3 đường Mễ Trì, phường Mễ Trì, quận Nam Từ Liêm, TP. Hà Nội, Việt Nam. Mã số doanh nghiệp: 0110392381</x:v>
      </x:c>
      <x:c r="N338"/>
      <x:c r="O338" t="str">
        <x:v>Thu hồi số tiếp nhận; đình chỉ lưu hành và thu hồi (QĐ 126/QĐ-QLD)</x:v>
      </x:c>
      <x:c r="P338" t="str">
        <x:v>A++ – Cục Quản lý Dược; company responsibility explicit</x:v>
      </x:c>
      <x:c r="Q338" t="str">
        <x:v>QĐ126/2026, STT 217, trang 21.</x:v>
      </x:c>
      <x:c r="R338" t="str">
        <x:v>https://dav.gov.vn/quyet-dinh-so-126qd-qld-ve-viec-thu-hoi-so-tiep-nhan-phieu-cong-bo-san-pham-my-pham-dinh-chi-luu-hanh-va-thu-hoi-san-pham-my-pham-theo-kl-cua-hd-my-pham-asean-doi-voi-san-pham-my-pham-co-chua-chat-cyclotetrasiloxane-octamethylcyclotetrasiloxane-n5224.html</x:v>
      </x:c>
      <x:c r="S338" t="str">
        <x:v>Hà Nội</x:v>
      </x:c>
      <x:c r="T338" t="str">
        <x:v>01</x:v>
      </x:c>
    </x:row>
    <x:row r="339">
      <x:c r="A339" t="n">
        <x:v>338</x:v>
      </x:c>
      <x:c r="B339" s="330" t="n">
        <x:v>44788</x:v>
      </x:c>
      <x:c r="C339" s="330" t="n">
        <x:v>46080</x:v>
      </x:c>
      <x:c r="D339" t="n">
        <x:v>2022</x:v>
      </x:c>
      <x:c r="E339" t="n">
        <x:v>8</x:v>
      </x:c>
      <x:c r="F339" t="str">
        <x:v>177830/22/CBMP-QLD</x:v>
      </x:c>
      <x:c r="G339"/>
      <x:c r="H339" t="str">
        <x:v>Chansawang Age Loc Renewal Skin Cream</x:v>
      </x:c>
      <x:c r="I339" t="str">
        <x:v>CHANSA WANG</x:v>
      </x:c>
      <x:c r="J339" t="str">
        <x:v>Kem dưỡng da</x:v>
      </x:c>
      <x:c r="K339"/>
      <x:c r="L339" t="str">
        <x:v>Công ty TNHH phân phối quốc tế AFAHU</x:v>
      </x:c>
      <x:c r="M339" t="str">
        <x:v>Nhà số 6, Ngõ 77/36 Ngọc Trục, phường Đại Mỗ, quận Nam Từ Liêm, TP. Hà Nội, Việt Nam. Mã số doanh nghiệp: 0108455203</x:v>
      </x:c>
      <x:c r="N339"/>
      <x:c r="O339" t="str">
        <x:v>Thu hồi số tiếp nhận; đình chỉ lưu hành và thu hồi (QĐ 126/QĐ-QLD)</x:v>
      </x:c>
      <x:c r="P339" t="str">
        <x:v>A++ – Cục Quản lý Dược; company responsibility explicit</x:v>
      </x:c>
      <x:c r="Q339" t="str">
        <x:v>QĐ126/2026, STT 218, trang 21.</x:v>
      </x:c>
      <x:c r="R339" t="str">
        <x:v>https://dav.gov.vn/quyet-dinh-so-126qd-qld-ve-viec-thu-hoi-so-tiep-nhan-phieu-cong-bo-san-pham-my-pham-dinh-chi-luu-hanh-va-thu-hoi-san-pham-my-pham-theo-kl-cua-hd-my-pham-asean-doi-voi-san-pham-my-pham-co-chua-chat-cyclotetrasiloxane-octamethylcyclotetrasiloxane-n5224.html</x:v>
      </x:c>
      <x:c r="S339" t="str">
        <x:v>Hà Nội</x:v>
      </x:c>
      <x:c r="T339" t="str">
        <x:v>01</x:v>
      </x:c>
    </x:row>
    <x:row r="340">
      <x:c r="A340" t="n">
        <x:v>339</x:v>
      </x:c>
      <x:c r="B340" s="330" t="n">
        <x:v>45042</x:v>
      </x:c>
      <x:c r="C340" s="330" t="n">
        <x:v>46080</x:v>
      </x:c>
      <x:c r="D340" t="n">
        <x:v>2023</x:v>
      </x:c>
      <x:c r="E340" t="n">
        <x:v>4</x:v>
      </x:c>
      <x:c r="F340" t="str">
        <x:v>200229/23/CBMP-QLD</x:v>
      </x:c>
      <x:c r="G340"/>
      <x:c r="H340" t="str">
        <x:v>Tinchew Vita7 Make Up Primer Base 02 Violet</x:v>
      </x:c>
      <x:c r="I340" t="str">
        <x:v>TINCHEW</x:v>
      </x:c>
      <x:c r="J340" t="str">
        <x:v>Khác</x:v>
      </x:c>
      <x:c r="K340"/>
      <x:c r="L340" t="str">
        <x:v>Công ty TNHH phát triển thương mại TRẦN GIA</x:v>
      </x:c>
      <x:c r="M340" t="str">
        <x:v>Số 149 Xuân Thủy, phường Dịch Vọng Hậu, quận Cầu Giấy, TP. Hà Nội, Việt Nam. Mã số doanh nghiệp: 0106719838</x:v>
      </x:c>
      <x:c r="N340"/>
      <x:c r="O340" t="str">
        <x:v>Thu hồi số tiếp nhận; đình chỉ lưu hành và thu hồi (QĐ 126/QĐ-QLD)</x:v>
      </x:c>
      <x:c r="P340" t="str">
        <x:v>A++ – Cục Quản lý Dược; company responsibility explicit</x:v>
      </x:c>
      <x:c r="Q340" t="str">
        <x:v>QĐ126/2026, STT 219, trang 21.</x:v>
      </x:c>
      <x:c r="R340" t="str">
        <x:v>https://dav.gov.vn/quyet-dinh-so-126qd-qld-ve-viec-thu-hoi-so-tiep-nhan-phieu-cong-bo-san-pham-my-pham-dinh-chi-luu-hanh-va-thu-hoi-san-pham-my-pham-theo-kl-cua-hd-my-pham-asean-doi-voi-san-pham-my-pham-co-chua-chat-cyclotetrasiloxane-octamethylcyclotetrasiloxane-n5224.html</x:v>
      </x:c>
      <x:c r="S340" t="str">
        <x:v>Hà Nội</x:v>
      </x:c>
      <x:c r="T340" t="str">
        <x:v>01</x:v>
      </x:c>
    </x:row>
    <x:row r="341">
      <x:c r="A341" t="n">
        <x:v>340</x:v>
      </x:c>
      <x:c r="B341" s="330" t="n">
        <x:v>45042</x:v>
      </x:c>
      <x:c r="C341" s="330" t="n">
        <x:v>46080</x:v>
      </x:c>
      <x:c r="D341" t="n">
        <x:v>2023</x:v>
      </x:c>
      <x:c r="E341" t="n">
        <x:v>4</x:v>
      </x:c>
      <x:c r="F341" t="str">
        <x:v>200244/23/CBMP-QLD</x:v>
      </x:c>
      <x:c r="G341"/>
      <x:c r="H341" t="str">
        <x:v>Tinchew Long Lasting Perfect Cover Dd Cream #20</x:v>
      </x:c>
      <x:c r="I341" t="str">
        <x:v>TINCHEW</x:v>
      </x:c>
      <x:c r="J341" t="str">
        <x:v>Kem dưỡng da</x:v>
      </x:c>
      <x:c r="K341"/>
      <x:c r="L341" t="str">
        <x:v>Công ty TNHH phát triển thương mại TRẦN GIA</x:v>
      </x:c>
      <x:c r="M341" t="str">
        <x:v>Số 149 Xuân Thủy, phường Dịch Vọng Hậu, quận Cầu Giấy, TP. Hà Nội, Việt Nam. Mã số doanh nghiệp: 0106719838</x:v>
      </x:c>
      <x:c r="N341"/>
      <x:c r="O341" t="str">
        <x:v>Thu hồi số tiếp nhận; đình chỉ lưu hành và thu hồi (QĐ 126/QĐ-QLD)</x:v>
      </x:c>
      <x:c r="P341" t="str">
        <x:v>A++ – Cục Quản lý Dược; company responsibility explicit</x:v>
      </x:c>
      <x:c r="Q341" t="str">
        <x:v>QĐ126/2026, STT 220, trang 21.</x:v>
      </x:c>
      <x:c r="R341" t="str">
        <x:v>https://dav.gov.vn/quyet-dinh-so-126qd-qld-ve-viec-thu-hoi-so-tiep-nhan-phieu-cong-bo-san-pham-my-pham-dinh-chi-luu-hanh-va-thu-hoi-san-pham-my-pham-theo-kl-cua-hd-my-pham-asean-doi-voi-san-pham-my-pham-co-chua-chat-cyclotetrasiloxane-octamethylcyclotetrasiloxane-n5224.html</x:v>
      </x:c>
      <x:c r="S341" t="str">
        <x:v>Hà Nội</x:v>
      </x:c>
      <x:c r="T341" t="str">
        <x:v>01</x:v>
      </x:c>
    </x:row>
    <x:row r="342">
      <x:c r="A342" t="n">
        <x:v>341</x:v>
      </x:c>
      <x:c r="B342" s="330" t="n">
        <x:v>45042</x:v>
      </x:c>
      <x:c r="C342" s="330" t="n">
        <x:v>46080</x:v>
      </x:c>
      <x:c r="D342" t="n">
        <x:v>2023</x:v>
      </x:c>
      <x:c r="E342" t="n">
        <x:v>4</x:v>
      </x:c>
      <x:c r="F342" t="str">
        <x:v>200247/23/CBMP-QLD</x:v>
      </x:c>
      <x:c r="G342"/>
      <x:c r="H342" t="str">
        <x:v>Tinchew Long Lasting Perfect Cover Dd Cream #10</x:v>
      </x:c>
      <x:c r="I342" t="str">
        <x:v>TINCHEW</x:v>
      </x:c>
      <x:c r="J342" t="str">
        <x:v>Kem dưỡng da</x:v>
      </x:c>
      <x:c r="K342"/>
      <x:c r="L342" t="str">
        <x:v>Công ty TNHH phát triển thương mại TRẦN GIA</x:v>
      </x:c>
      <x:c r="M342" t="str">
        <x:v>Số 149 Xuân Thủy, phường Dịch Vọng Hậu, quận Cầu Giấy, TP. Hà Nội, Việt Nam. Mã số doanh nghiệp: 0106719838</x:v>
      </x:c>
      <x:c r="N342"/>
      <x:c r="O342" t="str">
        <x:v>Thu hồi số tiếp nhận; đình chỉ lưu hành và thu hồi (QĐ 126/QĐ-QLD)</x:v>
      </x:c>
      <x:c r="P342" t="str">
        <x:v>A++ – Cục Quản lý Dược; company responsibility explicit</x:v>
      </x:c>
      <x:c r="Q342" t="str">
        <x:v>QĐ126/2026, STT 221, trang 22.</x:v>
      </x:c>
      <x:c r="R342" t="str">
        <x:v>https://dav.gov.vn/quyet-dinh-so-126qd-qld-ve-viec-thu-hoi-so-tiep-nhan-phieu-cong-bo-san-pham-my-pham-dinh-chi-luu-hanh-va-thu-hoi-san-pham-my-pham-theo-kl-cua-hd-my-pham-asean-doi-voi-san-pham-my-pham-co-chua-chat-cyclotetrasiloxane-octamethylcyclotetrasiloxane-n5224.html</x:v>
      </x:c>
      <x:c r="S342" t="str">
        <x:v>Hà Nội</x:v>
      </x:c>
      <x:c r="T342" t="str">
        <x:v>01</x:v>
      </x:c>
    </x:row>
    <x:row r="343">
      <x:c r="A343" t="n">
        <x:v>342</x:v>
      </x:c>
      <x:c r="B343" s="330" t="n">
        <x:v>45149</x:v>
      </x:c>
      <x:c r="C343" s="330" t="n">
        <x:v>46080</x:v>
      </x:c>
      <x:c r="D343" t="n">
        <x:v>2023</x:v>
      </x:c>
      <x:c r="E343" t="n">
        <x:v>8</x:v>
      </x:c>
      <x:c r="F343" t="str">
        <x:v>208576/23/CBMP-QLD</x:v>
      </x:c>
      <x:c r="G343"/>
      <x:c r="H343" t="str">
        <x:v>Tinchew Vita7 Makeup Primer Base 01 White</x:v>
      </x:c>
      <x:c r="I343" t="str">
        <x:v>TINCHEW</x:v>
      </x:c>
      <x:c r="J343" t="str">
        <x:v>Khác</x:v>
      </x:c>
      <x:c r="K343"/>
      <x:c r="L343" t="str">
        <x:v>Công ty TNHH phát triển thương mại TRẦN GIA</x:v>
      </x:c>
      <x:c r="M343" t="str">
        <x:v>Số 149 Xuân Thủy, phường Dịch Vọng Hậu, quận Cầu Giấy, TP. Hà Nội, Việt Nam. Mã số doanh nghiệp: 0106719838</x:v>
      </x:c>
      <x:c r="N343"/>
      <x:c r="O343" t="str">
        <x:v>Thu hồi số tiếp nhận; đình chỉ lưu hành và thu hồi (QĐ 126/QĐ-QLD)</x:v>
      </x:c>
      <x:c r="P343" t="str">
        <x:v>A++ – Cục Quản lý Dược; company responsibility explicit</x:v>
      </x:c>
      <x:c r="Q343" t="str">
        <x:v>QĐ126/2026, STT 222, trang 22.</x:v>
      </x:c>
      <x:c r="R343" t="str">
        <x:v>https://dav.gov.vn/quyet-dinh-so-126qd-qld-ve-viec-thu-hoi-so-tiep-nhan-phieu-cong-bo-san-pham-my-pham-dinh-chi-luu-hanh-va-thu-hoi-san-pham-my-pham-theo-kl-cua-hd-my-pham-asean-doi-voi-san-pham-my-pham-co-chua-chat-cyclotetrasiloxane-octamethylcyclotetrasiloxane-n5224.html</x:v>
      </x:c>
      <x:c r="S343" t="str">
        <x:v>Hà Nội</x:v>
      </x:c>
      <x:c r="T343" t="str">
        <x:v>01</x:v>
      </x:c>
    </x:row>
    <x:row r="344">
      <x:c r="A344" t="n">
        <x:v>343</x:v>
      </x:c>
      <x:c r="B344" s="330" t="n">
        <x:v>45149</x:v>
      </x:c>
      <x:c r="C344" s="330" t="n">
        <x:v>46080</x:v>
      </x:c>
      <x:c r="D344" t="n">
        <x:v>2023</x:v>
      </x:c>
      <x:c r="E344" t="n">
        <x:v>8</x:v>
      </x:c>
      <x:c r="F344" t="str">
        <x:v>208577/23/CBMP-QLD</x:v>
      </x:c>
      <x:c r="G344"/>
      <x:c r="H344" t="str">
        <x:v>Tinchew Vita7 Makeup Primer Base 02 Violet</x:v>
      </x:c>
      <x:c r="I344" t="str">
        <x:v>TINCHEW</x:v>
      </x:c>
      <x:c r="J344" t="str">
        <x:v>Khác</x:v>
      </x:c>
      <x:c r="K344"/>
      <x:c r="L344" t="str">
        <x:v>Công ty TNHH phát triển thương mại TRẦN GIA</x:v>
      </x:c>
      <x:c r="M344" t="str">
        <x:v>Số 149 Xuân Thủy, phường Dịch Vọng Hậu, quận Cầu Giấy, TP. Hà Nội, Việt Nam. Mã số doanh nghiệp: 0106719838</x:v>
      </x:c>
      <x:c r="N344"/>
      <x:c r="O344" t="str">
        <x:v>Thu hồi số tiếp nhận; đình chỉ lưu hành và thu hồi (QĐ 126/QĐ-QLD)</x:v>
      </x:c>
      <x:c r="P344" t="str">
        <x:v>A++ – Cục Quản lý Dược; company responsibility explicit</x:v>
      </x:c>
      <x:c r="Q344" t="str">
        <x:v>QĐ126/2026, STT 223, trang 22.</x:v>
      </x:c>
      <x:c r="R344" t="str">
        <x:v>https://dav.gov.vn/quyet-dinh-so-126qd-qld-ve-viec-thu-hoi-so-tiep-nhan-phieu-cong-bo-san-pham-my-pham-dinh-chi-luu-hanh-va-thu-hoi-san-pham-my-pham-theo-kl-cua-hd-my-pham-asean-doi-voi-san-pham-my-pham-co-chua-chat-cyclotetrasiloxane-octamethylcyclotetrasiloxane-n5224.html</x:v>
      </x:c>
      <x:c r="S344" t="str">
        <x:v>Hà Nội</x:v>
      </x:c>
      <x:c r="T344" t="str">
        <x:v>01</x:v>
      </x:c>
    </x:row>
    <x:row r="345">
      <x:c r="A345" t="n">
        <x:v>344</x:v>
      </x:c>
      <x:c r="B345" s="330" t="n">
        <x:v>45935</x:v>
      </x:c>
      <x:c r="C345" s="330" t="n">
        <x:v>46080</x:v>
      </x:c>
      <x:c r="D345" t="n">
        <x:v>2025</x:v>
      </x:c>
      <x:c r="E345" t="n">
        <x:v>10</x:v>
      </x:c>
      <x:c r="F345" t="str">
        <x:v>293886/25/CBMP-QLD</x:v>
      </x:c>
      <x:c r="G345"/>
      <x:c r="H345" t="str">
        <x:v>Luxplex Hair Spray Premium</x:v>
      </x:c>
      <x:c r="I345" t="str">
        <x:v>LUXPLEX</x:v>
      </x:c>
      <x:c r="J345" t="str">
        <x:v>Khác</x:v>
      </x:c>
      <x:c r="K345"/>
      <x:c r="L345" t="str">
        <x:v>Công ty TNHH phát triển thương mại UPO</x:v>
      </x:c>
      <x:c r="M345" t="str">
        <x:v>47/7 đường Thạnh Lộc 08, phường An Phú Đông, TP. Hồ Chí Minh, Việt Nam. Mã số doanh nghiệp: 0318955650</x:v>
      </x:c>
      <x:c r="N345"/>
      <x:c r="O345" t="str">
        <x:v>Thu hồi số tiếp nhận; đình chỉ lưu hành và thu hồi (QĐ 126/QĐ-QLD)</x:v>
      </x:c>
      <x:c r="P345" t="str">
        <x:v>A++ – Cục Quản lý Dược; company responsibility explicit</x:v>
      </x:c>
      <x:c r="Q345" t="str">
        <x:v>QĐ126/2026, STT 224, trang 22.</x:v>
      </x:c>
      <x:c r="R345" t="str">
        <x:v>https://dav.gov.vn/quyet-dinh-so-126qd-qld-ve-viec-thu-hoi-so-tiep-nhan-phieu-cong-bo-san-pham-my-pham-dinh-chi-luu-hanh-va-thu-hoi-san-pham-my-pham-theo-kl-cua-hd-my-pham-asean-doi-voi-san-pham-my-pham-co-chua-chat-cyclotetrasiloxane-octamethylcyclotetrasiloxane-n5224.html</x:v>
      </x:c>
      <x:c r="S345" t="str">
        <x:v>TP. Hồ Chí Minh</x:v>
      </x:c>
      <x:c r="T345" t="str">
        <x:v>79</x:v>
      </x:c>
    </x:row>
    <x:row r="346">
      <x:c r="A346" t="n">
        <x:v>345</x:v>
      </x:c>
      <x:c r="B346" s="330" t="n">
        <x:v>45699</x:v>
      </x:c>
      <x:c r="C346" s="330" t="n">
        <x:v>46080</x:v>
      </x:c>
      <x:c r="D346" t="n">
        <x:v>2025</x:v>
      </x:c>
      <x:c r="E346" t="n">
        <x:v>2</x:v>
      </x:c>
      <x:c r="F346" t="str">
        <x:v>265867/25/CBMP-QLD</x:v>
      </x:c>
      <x:c r="G346"/>
      <x:c r="H346" t="str">
        <x:v>Forest Story Water Essence Soap Fragrance</x:v>
      </x:c>
      <x:c r="I346" t="str">
        <x:v>FOREST STORY</x:v>
      </x:c>
      <x:c r="J346" t="str">
        <x:v>Serum/Essence da</x:v>
      </x:c>
      <x:c r="K346"/>
      <x:c r="L346" t="str">
        <x:v>Công ty TNHH Phương Đào</x:v>
      </x:c>
      <x:c r="M346" t="str">
        <x:v>Tổ 3, khu dân cư Bằng A, phường Hoàng Liệt, quận Hoàng Mai, TP. Hà Nội, Việt Nam. Mã số doanh nghiệp: 0101866589</x:v>
      </x:c>
      <x:c r="N346"/>
      <x:c r="O346" t="str">
        <x:v>Thu hồi số tiếp nhận; đình chỉ lưu hành và thu hồi (QĐ 126/QĐ-QLD)</x:v>
      </x:c>
      <x:c r="P346" t="str">
        <x:v>A++ – Cục Quản lý Dược; company responsibility explicit</x:v>
      </x:c>
      <x:c r="Q346" t="str">
        <x:v>QĐ126/2026, STT 225, trang 22.</x:v>
      </x:c>
      <x:c r="R346" t="str">
        <x:v>https://dav.gov.vn/quyet-dinh-so-126qd-qld-ve-viec-thu-hoi-so-tiep-nhan-phieu-cong-bo-san-pham-my-pham-dinh-chi-luu-hanh-va-thu-hoi-san-pham-my-pham-theo-kl-cua-hd-my-pham-asean-doi-voi-san-pham-my-pham-co-chua-chat-cyclotetrasiloxane-octamethylcyclotetrasiloxane-n5224.html</x:v>
      </x:c>
      <x:c r="S346" t="str">
        <x:v>Hà Nội</x:v>
      </x:c>
      <x:c r="T346" t="str">
        <x:v>01</x:v>
      </x:c>
    </x:row>
    <x:row r="347">
      <x:c r="A347" t="n">
        <x:v>346</x:v>
      </x:c>
      <x:c r="B347" s="330" t="n">
        <x:v>45916</x:v>
      </x:c>
      <x:c r="C347" s="330" t="n">
        <x:v>46080</x:v>
      </x:c>
      <x:c r="D347" t="n">
        <x:v>2025</x:v>
      </x:c>
      <x:c r="E347" t="n">
        <x:v>9</x:v>
      </x:c>
      <x:c r="F347" t="str">
        <x:v>290772/25/CBMP-QLD</x:v>
      </x:c>
      <x:c r="G347"/>
      <x:c r="H347" t="str">
        <x:v>Confume Cp Super Hard Hair Gel</x:v>
      </x:c>
      <x:c r="I347" t="str">
        <x:v>Confume</x:v>
      </x:c>
      <x:c r="J347" t="str">
        <x:v>Khác</x:v>
      </x:c>
      <x:c r="K347"/>
      <x:c r="L347" t="str">
        <x:v>Công ty TNHH Phương Đào</x:v>
      </x:c>
      <x:c r="M347" t="str">
        <x:v>Tổ 3, khu dân cư Bằng A, phường Hoàng Liệt, quận Hoàng Mai, TP. Hà Nội, Việt Nam. Mã số doanh nghiệp: 0101866589</x:v>
      </x:c>
      <x:c r="N347"/>
      <x:c r="O347" t="str">
        <x:v>Thu hồi số tiếp nhận; đình chỉ lưu hành và thu hồi (QĐ 126/QĐ-QLD)</x:v>
      </x:c>
      <x:c r="P347" t="str">
        <x:v>A++ – Cục Quản lý Dược; company responsibility explicit</x:v>
      </x:c>
      <x:c r="Q347" t="str">
        <x:v>QĐ126/2026, STT 226, trang 22.</x:v>
      </x:c>
      <x:c r="R347" t="str">
        <x:v>https://dav.gov.vn/quyet-dinh-so-126qd-qld-ve-viec-thu-hoi-so-tiep-nhan-phieu-cong-bo-san-pham-my-pham-dinh-chi-luu-hanh-va-thu-hoi-san-pham-my-pham-theo-kl-cua-hd-my-pham-asean-doi-voi-san-pham-my-pham-co-chua-chat-cyclotetrasiloxane-octamethylcyclotetrasiloxane-n5224.html</x:v>
      </x:c>
      <x:c r="S347" t="str">
        <x:v>Hà Nội</x:v>
      </x:c>
      <x:c r="T347" t="str">
        <x:v>01</x:v>
      </x:c>
    </x:row>
    <x:row r="348">
      <x:c r="A348" t="n">
        <x:v>347</x:v>
      </x:c>
      <x:c r="B348" s="330" t="n">
        <x:v>45916</x:v>
      </x:c>
      <x:c r="C348" s="330" t="n">
        <x:v>46080</x:v>
      </x:c>
      <x:c r="D348" t="n">
        <x:v>2025</x:v>
      </x:c>
      <x:c r="E348" t="n">
        <x:v>9</x:v>
      </x:c>
      <x:c r="F348" t="str">
        <x:v>290774/25/CBMP-QLD</x:v>
      </x:c>
      <x:c r="G348"/>
      <x:c r="H348" t="str">
        <x:v>Confume Cp Hair Glaze</x:v>
      </x:c>
      <x:c r="I348" t="str">
        <x:v>Confume</x:v>
      </x:c>
      <x:c r="J348" t="str">
        <x:v>Khác</x:v>
      </x:c>
      <x:c r="K348"/>
      <x:c r="L348" t="str">
        <x:v>Công ty TNHH Phương Đào</x:v>
      </x:c>
      <x:c r="M348" t="str">
        <x:v>Tổ 3, khu dân cư Bằng A, phường Hoàng Liệt, quận Hoàng Mai, TP. Hà Nội, Việt Nam. Mã số doanh nghiệp: 0101866589</x:v>
      </x:c>
      <x:c r="N348"/>
      <x:c r="O348" t="str">
        <x:v>Thu hồi số tiếp nhận; đình chỉ lưu hành và thu hồi (QĐ 126/QĐ-QLD)</x:v>
      </x:c>
      <x:c r="P348" t="str">
        <x:v>A++ – Cục Quản lý Dược; company responsibility explicit</x:v>
      </x:c>
      <x:c r="Q348" t="str">
        <x:v>QĐ126/2026, STT 227, trang 22.</x:v>
      </x:c>
      <x:c r="R348" t="str">
        <x:v>https://dav.gov.vn/quyet-dinh-so-126qd-qld-ve-viec-thu-hoi-so-tiep-nhan-phieu-cong-bo-san-pham-my-pham-dinh-chi-luu-hanh-va-thu-hoi-san-pham-my-pham-theo-kl-cua-hd-my-pham-asean-doi-voi-san-pham-my-pham-co-chua-chat-cyclotetrasiloxane-octamethylcyclotetrasiloxane-n5224.html</x:v>
      </x:c>
      <x:c r="S348" t="str">
        <x:v>Hà Nội</x:v>
      </x:c>
      <x:c r="T348" t="str">
        <x:v>01</x:v>
      </x:c>
    </x:row>
    <x:row r="349">
      <x:c r="A349" t="n">
        <x:v>348</x:v>
      </x:c>
      <x:c r="B349" s="330" t="n">
        <x:v>44784</x:v>
      </x:c>
      <x:c r="C349" s="330" t="n">
        <x:v>46080</x:v>
      </x:c>
      <x:c r="D349" t="n">
        <x:v>2022</x:v>
      </x:c>
      <x:c r="E349" t="n">
        <x:v>8</x:v>
      </x:c>
      <x:c r="F349" t="str">
        <x:v>177567/22/CBMP-QLD</x:v>
      </x:c>
      <x:c r="G349"/>
      <x:c r="H349" t="str">
        <x:v>Lactus Season Collagen Conditioner For Hair</x:v>
      </x:c>
      <x:c r="I349" t="str">
        <x:v>LACTUS SEASON</x:v>
      </x:c>
      <x:c r="J349" t="str">
        <x:v>Dầu xả</x:v>
      </x:c>
      <x:c r="K349"/>
      <x:c r="L349" t="str">
        <x:v>Công ty TNHH QH Hải Phát</x:v>
      </x:c>
      <x:c r="M349" t="str">
        <x:v>Số 89 ngõ 220 Nam Dư, phường Lĩnh Nam, quận Hoàng Mai, TP. Hà Nội, Việt Nam. Mã số doanh nghiệp: 0109358322</x:v>
      </x:c>
      <x:c r="N349"/>
      <x:c r="O349" t="str">
        <x:v>Thu hồi số tiếp nhận; đình chỉ lưu hành và thu hồi (QĐ 126/QĐ-QLD)</x:v>
      </x:c>
      <x:c r="P349" t="str">
        <x:v>A++ – Cục Quản lý Dược; company responsibility explicit</x:v>
      </x:c>
      <x:c r="Q349" t="str">
        <x:v>QĐ126/2026, STT 228, trang 22.</x:v>
      </x:c>
      <x:c r="R349" t="str">
        <x:v>https://dav.gov.vn/quyet-dinh-so-126qd-qld-ve-viec-thu-hoi-so-tiep-nhan-phieu-cong-bo-san-pham-my-pham-dinh-chi-luu-hanh-va-thu-hoi-san-pham-my-pham-theo-kl-cua-hd-my-pham-asean-doi-voi-san-pham-my-pham-co-chua-chat-cyclotetrasiloxane-octamethylcyclotetrasiloxane-n5224.html</x:v>
      </x:c>
      <x:c r="S349" t="str">
        <x:v>Hà Nội</x:v>
      </x:c>
      <x:c r="T349" t="str">
        <x:v>01</x:v>
      </x:c>
    </x:row>
    <x:row r="350">
      <x:c r="A350" t="n">
        <x:v>349</x:v>
      </x:c>
      <x:c r="B350" s="330" t="n">
        <x:v>44784</x:v>
      </x:c>
      <x:c r="C350" s="330" t="n">
        <x:v>46080</x:v>
      </x:c>
      <x:c r="D350" t="n">
        <x:v>2022</x:v>
      </x:c>
      <x:c r="E350" t="n">
        <x:v>8</x:v>
      </x:c>
      <x:c r="F350" t="str">
        <x:v>177568/22/CBMP-QLD</x:v>
      </x:c>
      <x:c r="G350"/>
      <x:c r="H350" t="str">
        <x:v>Lactus Season Collagen Repair Hair Mask</x:v>
      </x:c>
      <x:c r="I350" t="str">
        <x:v>LACTUS SEASON</x:v>
      </x:c>
      <x:c r="J350" t="str">
        <x:v>Mặt nạ</x:v>
      </x:c>
      <x:c r="K350"/>
      <x:c r="L350" t="str">
        <x:v>Công ty TNHH QH Hải Phát</x:v>
      </x:c>
      <x:c r="M350" t="str">
        <x:v>Số 89 ngõ 220 Nam Dư, phường Lĩnh Nam, quận Hoàng Mai, TP. Hà Nội, Việt Nam. Mã số doanh nghiệp: 0109358322</x:v>
      </x:c>
      <x:c r="N350"/>
      <x:c r="O350" t="str">
        <x:v>Thu hồi số tiếp nhận; đình chỉ lưu hành và thu hồi (QĐ 126/QĐ-QLD)</x:v>
      </x:c>
      <x:c r="P350" t="str">
        <x:v>A++ – Cục Quản lý Dược; company responsibility explicit</x:v>
      </x:c>
      <x:c r="Q350" t="str">
        <x:v>QĐ126/2026, STT 229, trang 22.</x:v>
      </x:c>
      <x:c r="R350" t="str">
        <x:v>https://dav.gov.vn/quyet-dinh-so-126qd-qld-ve-viec-thu-hoi-so-tiep-nhan-phieu-cong-bo-san-pham-my-pham-dinh-chi-luu-hanh-va-thu-hoi-san-pham-my-pham-theo-kl-cua-hd-my-pham-asean-doi-voi-san-pham-my-pham-co-chua-chat-cyclotetrasiloxane-octamethylcyclotetrasiloxane-n5224.html</x:v>
      </x:c>
      <x:c r="S350" t="str">
        <x:v>Hà Nội</x:v>
      </x:c>
      <x:c r="T350" t="str">
        <x:v>01</x:v>
      </x:c>
    </x:row>
    <x:row r="351">
      <x:c r="A351" t="n">
        <x:v>350</x:v>
      </x:c>
      <x:c r="B351" s="330" t="n">
        <x:v>44784</x:v>
      </x:c>
      <x:c r="C351" s="330" t="n">
        <x:v>46080</x:v>
      </x:c>
      <x:c r="D351" t="n">
        <x:v>2022</x:v>
      </x:c>
      <x:c r="E351" t="n">
        <x:v>8</x:v>
      </x:c>
      <x:c r="F351" t="str">
        <x:v>177569/22/CBMP-QLD</x:v>
      </x:c>
      <x:c r="G351"/>
      <x:c r="H351" t="str">
        <x:v>Lactus Season Moisturizing And Smoothing Conditioner</x:v>
      </x:c>
      <x:c r="I351" t="str">
        <x:v>LACTUS SEASON</x:v>
      </x:c>
      <x:c r="J351" t="str">
        <x:v>Dầu xả</x:v>
      </x:c>
      <x:c r="K351"/>
      <x:c r="L351" t="str">
        <x:v>Công ty TNHH QH Hải Phát</x:v>
      </x:c>
      <x:c r="M351" t="str">
        <x:v>Số 89 ngõ 220 Nam Dư, phường Lĩnh Nam, quận Hoàng Mai, TP. Hà Nội, Việt Nam. Mã số doanh nghiệp: 0109358322</x:v>
      </x:c>
      <x:c r="N351"/>
      <x:c r="O351" t="str">
        <x:v>Thu hồi số tiếp nhận; đình chỉ lưu hành và thu hồi (QĐ 126/QĐ-QLD)</x:v>
      </x:c>
      <x:c r="P351" t="str">
        <x:v>A++ – Cục Quản lý Dược; company responsibility explicit</x:v>
      </x:c>
      <x:c r="Q351" t="str">
        <x:v>QĐ126/2026, STT 230, trang 22.</x:v>
      </x:c>
      <x:c r="R351" t="str">
        <x:v>https://dav.gov.vn/quyet-dinh-so-126qd-qld-ve-viec-thu-hoi-so-tiep-nhan-phieu-cong-bo-san-pham-my-pham-dinh-chi-luu-hanh-va-thu-hoi-san-pham-my-pham-theo-kl-cua-hd-my-pham-asean-doi-voi-san-pham-my-pham-co-chua-chat-cyclotetrasiloxane-octamethylcyclotetrasiloxane-n5224.html</x:v>
      </x:c>
      <x:c r="S351" t="str">
        <x:v>Hà Nội</x:v>
      </x:c>
      <x:c r="T351" t="str">
        <x:v>01</x:v>
      </x:c>
    </x:row>
    <x:row r="352">
      <x:c r="A352" t="n">
        <x:v>351</x:v>
      </x:c>
      <x:c r="B352" s="330" t="n">
        <x:v>45114</x:v>
      </x:c>
      <x:c r="C352" s="330" t="n">
        <x:v>46080</x:v>
      </x:c>
      <x:c r="D352" t="n">
        <x:v>2023</x:v>
      </x:c>
      <x:c r="E352" t="n">
        <x:v>7</x:v>
      </x:c>
      <x:c r="F352" t="str">
        <x:v>205465/23/CBMP-QLD</x:v>
      </x:c>
      <x:c r="G352"/>
      <x:c r="H352" t="str">
        <x:v>Alphatra Classic Hydramoist Spray</x:v>
      </x:c>
      <x:c r="I352" t="str">
        <x:v>Alphatra Classic</x:v>
      </x:c>
      <x:c r="J352" t="str">
        <x:v>Khác</x:v>
      </x:c>
      <x:c r="K352"/>
      <x:c r="L352" t="str">
        <x:v>Công ty TNHH QUEENCOS</x:v>
      </x:c>
      <x:c r="M352" t="str">
        <x:v>Số 53 Đường 30, phường Tân Phong, Quận 7, TP. Hồ Chí Minh, Việt Nam. Mã số doanh nghiệp: 0316674414</x:v>
      </x:c>
      <x:c r="N352"/>
      <x:c r="O352" t="str">
        <x:v>Thu hồi số tiếp nhận; đình chỉ lưu hành và thu hồi (QĐ 126/QĐ-QLD)</x:v>
      </x:c>
      <x:c r="P352" t="str">
        <x:v>A++ – Cục Quản lý Dược; company responsibility explicit</x:v>
      </x:c>
      <x:c r="Q352" t="str">
        <x:v>QĐ126/2026, STT 233, trang 22.</x:v>
      </x:c>
      <x:c r="R352" t="str">
        <x:v>https://dav.gov.vn/quyet-dinh-so-126qd-qld-ve-viec-thu-hoi-so-tiep-nhan-phieu-cong-bo-san-pham-my-pham-dinh-chi-luu-hanh-va-thu-hoi-san-pham-my-pham-theo-kl-cua-hd-my-pham-asean-doi-voi-san-pham-my-pham-co-chua-chat-cyclotetrasiloxane-octamethylcyclotetrasiloxane-n5224.html</x:v>
      </x:c>
      <x:c r="S352" t="str">
        <x:v>TP. Hồ Chí Minh</x:v>
      </x:c>
      <x:c r="T352" t="str">
        <x:v>79</x:v>
      </x:c>
    </x:row>
    <x:row r="353">
      <x:c r="A353" t="n">
        <x:v>352</x:v>
      </x:c>
      <x:c r="B353" s="330" t="n">
        <x:v>45114</x:v>
      </x:c>
      <x:c r="C353" s="330" t="n">
        <x:v>46080</x:v>
      </x:c>
      <x:c r="D353" t="n">
        <x:v>2023</x:v>
      </x:c>
      <x:c r="E353" t="n">
        <x:v>7</x:v>
      </x:c>
      <x:c r="F353" t="str">
        <x:v>205466/23/CBMP-QLD</x:v>
      </x:c>
      <x:c r="G353"/>
      <x:c r="H353" t="str">
        <x:v>Alphatra Classic Roller Hold</x:v>
      </x:c>
      <x:c r="I353" t="str">
        <x:v>Alphatra Classic</x:v>
      </x:c>
      <x:c r="J353" t="str">
        <x:v>Khác</x:v>
      </x:c>
      <x:c r="K353"/>
      <x:c r="L353" t="str">
        <x:v>Công ty TNHH QUEENCOS</x:v>
      </x:c>
      <x:c r="M353" t="str">
        <x:v>Số 53 Đường 30, phường Tân Phong, Quận 7, TP. Hồ Chí Minh, Việt Nam. Mã số doanh nghiệp: 0316674414</x:v>
      </x:c>
      <x:c r="N353"/>
      <x:c r="O353" t="str">
        <x:v>Thu hồi số tiếp nhận; đình chỉ lưu hành và thu hồi (QĐ 126/QĐ-QLD)</x:v>
      </x:c>
      <x:c r="P353" t="str">
        <x:v>A++ – Cục Quản lý Dược; company responsibility explicit</x:v>
      </x:c>
      <x:c r="Q353" t="str">
        <x:v>QĐ126/2026, STT 234, trang 23.</x:v>
      </x:c>
      <x:c r="R353" t="str">
        <x:v>https://dav.gov.vn/quyet-dinh-so-126qd-qld-ve-viec-thu-hoi-so-tiep-nhan-phieu-cong-bo-san-pham-my-pham-dinh-chi-luu-hanh-va-thu-hoi-san-pham-my-pham-theo-kl-cua-hd-my-pham-asean-doi-voi-san-pham-my-pham-co-chua-chat-cyclotetrasiloxane-octamethylcyclotetrasiloxane-n5224.html</x:v>
      </x:c>
      <x:c r="S353" t="str">
        <x:v>TP. Hồ Chí Minh</x:v>
      </x:c>
      <x:c r="T353" t="str">
        <x:v>79</x:v>
      </x:c>
    </x:row>
    <x:row r="354">
      <x:c r="A354" t="n">
        <x:v>353</x:v>
      </x:c>
      <x:c r="B354" s="330" t="n">
        <x:v>45659</x:v>
      </x:c>
      <x:c r="C354" s="330" t="n">
        <x:v>46080</x:v>
      </x:c>
      <x:c r="D354" t="n">
        <x:v>2025</x:v>
      </x:c>
      <x:c r="E354" t="n">
        <x:v>1</x:v>
      </x:c>
      <x:c r="F354" t="str">
        <x:v>261936/25/CBMP-QLD</x:v>
      </x:c>
      <x:c r="G354"/>
      <x:c r="H354" t="str">
        <x:v>Aperio Sun Block Cream</x:v>
      </x:c>
      <x:c r="I354" t="str">
        <x:v>Aperio</x:v>
      </x:c>
      <x:c r="J354" t="str">
        <x:v>Kem dưỡng da</x:v>
      </x:c>
      <x:c r="K354"/>
      <x:c r="L354" t="str">
        <x:v>Công ty TNHH Quốc tế KTS</x:v>
      </x:c>
      <x:c r="M354" t="str">
        <x:v>1200 Quang Trung, Phường 8, quận Gò Vấp, TP. Hồ Chí Minh, Việt Nam. Mã số doanh nghiệp: 0313627977</x:v>
      </x:c>
      <x:c r="N354"/>
      <x:c r="O354" t="str">
        <x:v>Thu hồi số tiếp nhận; đình chỉ lưu hành và thu hồi (QĐ 126/QĐ-QLD)</x:v>
      </x:c>
      <x:c r="P354" t="str">
        <x:v>A++ – Cục Quản lý Dược; company responsibility explicit</x:v>
      </x:c>
      <x:c r="Q354" t="str">
        <x:v>QĐ126/2026, STT 235, trang 23.</x:v>
      </x:c>
      <x:c r="R354" t="str">
        <x:v>https://dav.gov.vn/quyet-dinh-so-126qd-qld-ve-viec-thu-hoi-so-tiep-nhan-phieu-cong-bo-san-pham-my-pham-dinh-chi-luu-hanh-va-thu-hoi-san-pham-my-pham-theo-kl-cua-hd-my-pham-asean-doi-voi-san-pham-my-pham-co-chua-chat-cyclotetrasiloxane-octamethylcyclotetrasiloxane-n5224.html</x:v>
      </x:c>
      <x:c r="S354" t="str">
        <x:v>TP. Hồ Chí Minh</x:v>
      </x:c>
      <x:c r="T354" t="str">
        <x:v>79</x:v>
      </x:c>
    </x:row>
    <x:row r="355">
      <x:c r="A355" t="n">
        <x:v>354</x:v>
      </x:c>
      <x:c r="B355" s="330" t="n">
        <x:v>44572</x:v>
      </x:c>
      <x:c r="C355" s="330" t="n">
        <x:v>46080</x:v>
      </x:c>
      <x:c r="D355" t="n">
        <x:v>2022</x:v>
      </x:c>
      <x:c r="E355" t="n">
        <x:v>1</x:v>
      </x:c>
      <x:c r="F355" t="str">
        <x:v>164797/22/CBMP-QLD</x:v>
      </x:c>
      <x:c r="G355"/>
      <x:c r="H355" t="str">
        <x:v>Dove Intense Repair 1 Minute Super Mask</x:v>
      </x:c>
      <x:c r="I355" t="str">
        <x:v>DOVE</x:v>
      </x:c>
      <x:c r="J355" t="str">
        <x:v>Mặt nạ</x:v>
      </x:c>
      <x:c r="K355"/>
      <x:c r="L355" t="str">
        <x:v>Công ty TNHH Quốc Tế Unilever Việt Nam</x:v>
      </x:c>
      <x:c r="M355" t="str">
        <x:v>Lô A2-3 Khu Công Nghiệp Tây Bắc Củ Chi, xã Tân An Hội, huyện Củ Chi, TP. Hồ Chí Minh, Việt Nam. Mã số doanh nghiệp: 0300762150</x:v>
      </x:c>
      <x:c r="N355"/>
      <x:c r="O355" t="str">
        <x:v>Thu hồi số tiếp nhận; đình chỉ lưu hành và thu hồi (QĐ 126/QĐ-QLD)</x:v>
      </x:c>
      <x:c r="P355" t="str">
        <x:v>A++ – Cục Quản lý Dược; company responsibility explicit</x:v>
      </x:c>
      <x:c r="Q355" t="str">
        <x:v>QĐ126/2026, STT 237, trang 23.</x:v>
      </x:c>
      <x:c r="R355" t="str">
        <x:v>https://dav.gov.vn/quyet-dinh-so-126qd-qld-ve-viec-thu-hoi-so-tiep-nhan-phieu-cong-bo-san-pham-my-pham-dinh-chi-luu-hanh-va-thu-hoi-san-pham-my-pham-theo-kl-cua-hd-my-pham-asean-doi-voi-san-pham-my-pham-co-chua-chat-cyclotetrasiloxane-octamethylcyclotetrasiloxane-n5224.html</x:v>
      </x:c>
      <x:c r="S355" t="str">
        <x:v>TP. Hồ Chí Minh</x:v>
      </x:c>
      <x:c r="T355" t="str">
        <x:v>79</x:v>
      </x:c>
    </x:row>
    <x:row r="356">
      <x:c r="A356" t="n">
        <x:v>355</x:v>
      </x:c>
      <x:c r="B356" s="330" t="n">
        <x:v>44742</x:v>
      </x:c>
      <x:c r="C356" s="330" t="n">
        <x:v>46080</x:v>
      </x:c>
      <x:c r="D356" t="n">
        <x:v>2022</x:v>
      </x:c>
      <x:c r="E356" t="n">
        <x:v>6</x:v>
      </x:c>
      <x:c r="F356" t="str">
        <x:v>174086/22/CBMP-QLD</x:v>
      </x:c>
      <x:c r="G356"/>
      <x:c r="H356" t="str">
        <x:v>Tresemme Wavy Curl Lock System Mousse Cream</x:v>
      </x:c>
      <x:c r="I356" t="str">
        <x:v>TRESEM ME</x:v>
      </x:c>
      <x:c r="J356" t="str">
        <x:v>Kem dưỡng da</x:v>
      </x:c>
      <x:c r="K356"/>
      <x:c r="L356" t="str">
        <x:v>Công ty TNHH Quốc Tế Unilever Việt Nam</x:v>
      </x:c>
      <x:c r="M356" t="str">
        <x:v>Lô A2-3 Khu Công Nghiệp Tây Bắc Củ Chi, xã Tân An Hội, huyện Củ Chi, TP. Hồ Chí Minh, Việt Nam. Mã số doanh nghiệp: 0300762150</x:v>
      </x:c>
      <x:c r="N356"/>
      <x:c r="O356" t="str">
        <x:v>Thu hồi số tiếp nhận; đình chỉ lưu hành và thu hồi (QĐ 126/QĐ-QLD)</x:v>
      </x:c>
      <x:c r="P356" t="str">
        <x:v>A++ – Cục Quản lý Dược; company responsibility explicit</x:v>
      </x:c>
      <x:c r="Q356" t="str">
        <x:v>QĐ126/2026, STT 238, trang 23.</x:v>
      </x:c>
      <x:c r="R356" t="str">
        <x:v>https://dav.gov.vn/quyet-dinh-so-126qd-qld-ve-viec-thu-hoi-so-tiep-nhan-phieu-cong-bo-san-pham-my-pham-dinh-chi-luu-hanh-va-thu-hoi-san-pham-my-pham-theo-kl-cua-hd-my-pham-asean-doi-voi-san-pham-my-pham-co-chua-chat-cyclotetrasiloxane-octamethylcyclotetrasiloxane-n5224.html</x:v>
      </x:c>
      <x:c r="S356" t="str">
        <x:v>TP. Hồ Chí Minh</x:v>
      </x:c>
      <x:c r="T356" t="str">
        <x:v>79</x:v>
      </x:c>
    </x:row>
    <x:row r="357">
      <x:c r="A357" t="n">
        <x:v>356</x:v>
      </x:c>
      <x:c r="B357" s="330" t="n">
        <x:v>44830</x:v>
      </x:c>
      <x:c r="C357" s="330" t="n">
        <x:v>46080</x:v>
      </x:c>
      <x:c r="D357" t="n">
        <x:v>2022</x:v>
      </x:c>
      <x:c r="E357" t="n">
        <x:v>9</x:v>
      </x:c>
      <x:c r="F357" t="str">
        <x:v>183372/22/CBMP-QLD</x:v>
      </x:c>
      <x:c r="G357"/>
      <x:c r="H357" t="str">
        <x:v>Rapern Hydra Liquid Essence Cream</x:v>
      </x:c>
      <x:c r="I357" t="str">
        <x:v>RAPERN</x:v>
      </x:c>
      <x:c r="J357" t="str">
        <x:v>Serum/Essence da</x:v>
      </x:c>
      <x:c r="K357"/>
      <x:c r="L357" t="str">
        <x:v>Công ty TNHH RAPERN VIETNAM</x:v>
      </x:c>
      <x:c r="M357" t="str">
        <x:v>#405, Khách sạn Nikko Saigon, 235 Nguyễn Văn Cừ, phường Nguyễn Cư Trinh, Quận 1, TP. Hồ Chí Minh, Việt Nam. Mã số doanh nghiệp: 0317166861</x:v>
      </x:c>
      <x:c r="N357"/>
      <x:c r="O357" t="str">
        <x:v>Thu hồi số tiếp nhận; đình chỉ lưu hành và thu hồi (QĐ 126/QĐ-QLD)</x:v>
      </x:c>
      <x:c r="P357" t="str">
        <x:v>A++ – Cục Quản lý Dược; company responsibility explicit</x:v>
      </x:c>
      <x:c r="Q357" t="str">
        <x:v>QĐ126/2026, STT 239, trang 23.</x:v>
      </x:c>
      <x:c r="R357" t="str">
        <x:v>https://dav.gov.vn/quyet-dinh-so-126qd-qld-ve-viec-thu-hoi-so-tiep-nhan-phieu-cong-bo-san-pham-my-pham-dinh-chi-luu-hanh-va-thu-hoi-san-pham-my-pham-theo-kl-cua-hd-my-pham-asean-doi-voi-san-pham-my-pham-co-chua-chat-cyclotetrasiloxane-octamethylcyclotetrasiloxane-n5224.html</x:v>
      </x:c>
      <x:c r="S357" t="str">
        <x:v>TP. Hồ Chí Minh</x:v>
      </x:c>
      <x:c r="T357" t="str">
        <x:v>79</x:v>
      </x:c>
    </x:row>
    <x:row r="358">
      <x:c r="A358" t="n">
        <x:v>357</x:v>
      </x:c>
      <x:c r="B358" s="330" t="n">
        <x:v>45257</x:v>
      </x:c>
      <x:c r="C358" s="330" t="n">
        <x:v>46080</x:v>
      </x:c>
      <x:c r="D358" t="n">
        <x:v>2023</x:v>
      </x:c>
      <x:c r="E358" t="n">
        <x:v>11</x:v>
      </x:c>
      <x:c r="F358" t="str">
        <x:v>218065/23/CBMP-QLD</x:v>
      </x:c>
      <x:c r="G358"/>
      <x:c r="H358" t="str">
        <x:v>Dr.May Ultra Light Uv Defense Spf50+ Pa++++</x:v>
      </x:c>
      <x:c r="I358" t="str">
        <x:v>DR.MAY</x:v>
      </x:c>
      <x:c r="J358" t="str">
        <x:v>Kem chống nắng</x:v>
      </x:c>
      <x:c r="K358"/>
      <x:c r="L358" t="str">
        <x:v>Công ty TNHH REBACA</x:v>
      </x:c>
      <x:c r="M358" t="str">
        <x:v>Số SL13, Đường Cư Xá Phú Lâm A, Phường 12, Quận 6, TP. Hồ Chí Minh, Việt Nam. Mã số doanh nghiệp: 0313988236</x:v>
      </x:c>
      <x:c r="N358"/>
      <x:c r="O358" t="str">
        <x:v>Thu hồi số tiếp nhận; đình chỉ lưu hành và thu hồi (QĐ 126/QĐ-QLD)</x:v>
      </x:c>
      <x:c r="P358" t="str">
        <x:v>A++ – Cục Quản lý Dược; company responsibility explicit</x:v>
      </x:c>
      <x:c r="Q358" t="str">
        <x:v>QĐ126/2026, STT 240, trang 23.</x:v>
      </x:c>
      <x:c r="R358" t="str">
        <x:v>https://dav.gov.vn/quyet-dinh-so-126qd-qld-ve-viec-thu-hoi-so-tiep-nhan-phieu-cong-bo-san-pham-my-pham-dinh-chi-luu-hanh-va-thu-hoi-san-pham-my-pham-theo-kl-cua-hd-my-pham-asean-doi-voi-san-pham-my-pham-co-chua-chat-cyclotetrasiloxane-octamethylcyclotetrasiloxane-n5224.html</x:v>
      </x:c>
      <x:c r="S358" t="str">
        <x:v>TP. Hồ Chí Minh</x:v>
      </x:c>
      <x:c r="T358" t="str">
        <x:v>79</x:v>
      </x:c>
    </x:row>
    <x:row r="359">
      <x:c r="A359" t="n">
        <x:v>358</x:v>
      </x:c>
      <x:c r="B359" s="330" t="n">
        <x:v>45096</x:v>
      </x:c>
      <x:c r="C359" s="330" t="n">
        <x:v>46080</x:v>
      </x:c>
      <x:c r="D359" t="n">
        <x:v>2023</x:v>
      </x:c>
      <x:c r="E359" t="n">
        <x:v>6</x:v>
      </x:c>
      <x:c r="F359" t="str">
        <x:v>204055/23/CBMP-QLD</x:v>
      </x:c>
      <x:c r="G359"/>
      <x:c r="H359" t="str">
        <x:v>Cellbycell Hydra C Moisture Lotion</x:v>
      </x:c>
      <x:c r="I359" t="str">
        <x:v>CELLBYC ELL</x:v>
      </x:c>
      <x:c r="J359" t="str">
        <x:v>Kem dưỡng da</x:v>
      </x:c>
      <x:c r="K359"/>
      <x:c r="L359" t="str">
        <x:v>Công ty TNHH sản xuất thương mại du lịch THIÊN HÀ</x:v>
      </x:c>
      <x:c r="M359" t="str">
        <x:v>340/7 Đường Quang Trung, Phường 10, quận Gò Vấp, TP. Hồ Chí Minh, Việt Nam. Mã số doanh nghiệp: 0313614657</x:v>
      </x:c>
      <x:c r="N359"/>
      <x:c r="O359" t="str">
        <x:v>Thu hồi số tiếp nhận; đình chỉ lưu hành và thu hồi (QĐ 126/QĐ-QLD)</x:v>
      </x:c>
      <x:c r="P359" t="str">
        <x:v>A++ – Cục Quản lý Dược; company responsibility explicit</x:v>
      </x:c>
      <x:c r="Q359" t="str">
        <x:v>QĐ126/2026, STT 241, trang 23.</x:v>
      </x:c>
      <x:c r="R359" t="str">
        <x:v>https://dav.gov.vn/quyet-dinh-so-126qd-qld-ve-viec-thu-hoi-so-tiep-nhan-phieu-cong-bo-san-pham-my-pham-dinh-chi-luu-hanh-va-thu-hoi-san-pham-my-pham-theo-kl-cua-hd-my-pham-asean-doi-voi-san-pham-my-pham-co-chua-chat-cyclotetrasiloxane-octamethylcyclotetrasiloxane-n5224.html</x:v>
      </x:c>
      <x:c r="S359" t="str">
        <x:v>TP. Hồ Chí Minh</x:v>
      </x:c>
      <x:c r="T359" t="str">
        <x:v>79</x:v>
      </x:c>
    </x:row>
    <x:row r="360">
      <x:c r="A360" t="n">
        <x:v>359</x:v>
      </x:c>
      <x:c r="B360" s="330" t="n">
        <x:v>45306</x:v>
      </x:c>
      <x:c r="C360" s="330" t="n">
        <x:v>46080</x:v>
      </x:c>
      <x:c r="D360" t="n">
        <x:v>2024</x:v>
      </x:c>
      <x:c r="E360" t="n">
        <x:v>1</x:v>
      </x:c>
      <x:c r="F360" t="str">
        <x:v>222676/24/CBMP-QLD</x:v>
      </x:c>
      <x:c r="G360"/>
      <x:c r="H360" t="str">
        <x:v>T8x Intelligent Color Care 8/3</x:v>
      </x:c>
      <x:c r="I360" t="str">
        <x:v>T8X</x:v>
      </x:c>
      <x:c r="J360" t="str">
        <x:v>Khác</x:v>
      </x:c>
      <x:c r="K360"/>
      <x:c r="L360" t="str">
        <x:v>Công ty TNHH sản xuất và thương mại hóa mỹ phẩm WAHA</x:v>
      </x:c>
      <x:c r="M360" t="str">
        <x:v>Số nhà 1C, ngõ 321/21/6 đường Phúc Lợi, phường Phúc Lợi, quận Long Biên, TP. Hà Nội, Việt Nam. Mã số doanh nghiệp: 0110011420</x:v>
      </x:c>
      <x:c r="N360"/>
      <x:c r="O360" t="str">
        <x:v>Thu hồi số tiếp nhận; đình chỉ lưu hành và thu hồi (QĐ 126/QĐ-QLD)</x:v>
      </x:c>
      <x:c r="P360" t="str">
        <x:v>A++ – Cục Quản lý Dược; company responsibility explicit</x:v>
      </x:c>
      <x:c r="Q360" t="str">
        <x:v>QĐ126/2026, STT 247, trang 24.</x:v>
      </x:c>
      <x:c r="R360" t="str">
        <x:v>https://dav.gov.vn/quyet-dinh-so-126qd-qld-ve-viec-thu-hoi-so-tiep-nhan-phieu-cong-bo-san-pham-my-pham-dinh-chi-luu-hanh-va-thu-hoi-san-pham-my-pham-theo-kl-cua-hd-my-pham-asean-doi-voi-san-pham-my-pham-co-chua-chat-cyclotetrasiloxane-octamethylcyclotetrasiloxane-n5224.html</x:v>
      </x:c>
      <x:c r="S360" t="str">
        <x:v>Hà Nội</x:v>
      </x:c>
      <x:c r="T360" t="str">
        <x:v>01</x:v>
      </x:c>
    </x:row>
    <x:row r="361">
      <x:c r="A361" t="n">
        <x:v>360</x:v>
      </x:c>
      <x:c r="B361" s="330" t="n">
        <x:v>45306</x:v>
      </x:c>
      <x:c r="C361" s="330" t="n">
        <x:v>46080</x:v>
      </x:c>
      <x:c r="D361" t="n">
        <x:v>2024</x:v>
      </x:c>
      <x:c r="E361" t="n">
        <x:v>1</x:v>
      </x:c>
      <x:c r="F361" t="str">
        <x:v>222677/24/CBMP-QLD</x:v>
      </x:c>
      <x:c r="G361"/>
      <x:c r="H361" t="str">
        <x:v>T8x Intelligent Color Care C7/45</x:v>
      </x:c>
      <x:c r="I361" t="str">
        <x:v>T8X</x:v>
      </x:c>
      <x:c r="J361" t="str">
        <x:v>Khác</x:v>
      </x:c>
      <x:c r="K361"/>
      <x:c r="L361" t="str">
        <x:v>Công ty TNHH sản xuất và thương mại hóa mỹ phẩm WAHA</x:v>
      </x:c>
      <x:c r="M361" t="str">
        <x:v>Số nhà 1C, ngõ 321/21/6 đường Phúc Lợi, phường Phúc Lợi, quận Long Biên, TP. Hà Nội, Việt Nam. Mã số doanh nghiệp: 0110011420</x:v>
      </x:c>
      <x:c r="N361"/>
      <x:c r="O361" t="str">
        <x:v>Thu hồi số tiếp nhận; đình chỉ lưu hành và thu hồi (QĐ 126/QĐ-QLD)</x:v>
      </x:c>
      <x:c r="P361" t="str">
        <x:v>A++ – Cục Quản lý Dược; company responsibility explicit</x:v>
      </x:c>
      <x:c r="Q361" t="str">
        <x:v>QĐ126/2026, STT 248, trang 24.</x:v>
      </x:c>
      <x:c r="R361" t="str">
        <x:v>https://dav.gov.vn/quyet-dinh-so-126qd-qld-ve-viec-thu-hoi-so-tiep-nhan-phieu-cong-bo-san-pham-my-pham-dinh-chi-luu-hanh-va-thu-hoi-san-pham-my-pham-theo-kl-cua-hd-my-pham-asean-doi-voi-san-pham-my-pham-co-chua-chat-cyclotetrasiloxane-octamethylcyclotetrasiloxane-n5224.html</x:v>
      </x:c>
      <x:c r="S361" t="str">
        <x:v>Hà Nội</x:v>
      </x:c>
      <x:c r="T361" t="str">
        <x:v>01</x:v>
      </x:c>
    </x:row>
    <x:row r="362">
      <x:c r="A362" t="n">
        <x:v>361</x:v>
      </x:c>
      <x:c r="B362" s="330" t="n">
        <x:v>45306</x:v>
      </x:c>
      <x:c r="C362" s="330" t="n">
        <x:v>46080</x:v>
      </x:c>
      <x:c r="D362" t="n">
        <x:v>2024</x:v>
      </x:c>
      <x:c r="E362" t="n">
        <x:v>1</x:v>
      </x:c>
      <x:c r="F362" t="str">
        <x:v>222686/24/CBMP-QLD</x:v>
      </x:c>
      <x:c r="G362"/>
      <x:c r="H362" t="str">
        <x:v>T8x Intelligent Color Care 9/11</x:v>
      </x:c>
      <x:c r="I362" t="str">
        <x:v>T8X</x:v>
      </x:c>
      <x:c r="J362" t="str">
        <x:v>Khác</x:v>
      </x:c>
      <x:c r="K362"/>
      <x:c r="L362" t="str">
        <x:v>Công ty TNHH sản xuất và thương mại hóa mỹ phẩm WAHA</x:v>
      </x:c>
      <x:c r="M362" t="str">
        <x:v>Số nhà 1C, ngõ 321/21/6 đường Phúc Lợi, phường Phúc Lợi, quận Long Biên, TP. Hà Nội, Việt Nam. Mã số doanh nghiệp: 0110011420</x:v>
      </x:c>
      <x:c r="N362"/>
      <x:c r="O362" t="str">
        <x:v>Thu hồi số tiếp nhận; đình chỉ lưu hành và thu hồi (QĐ 126/QĐ-QLD)</x:v>
      </x:c>
      <x:c r="P362" t="str">
        <x:v>A++ – Cục Quản lý Dược; company responsibility explicit</x:v>
      </x:c>
      <x:c r="Q362" t="str">
        <x:v>QĐ126/2026, STT 249, trang 24.</x:v>
      </x:c>
      <x:c r="R362" t="str">
        <x:v>https://dav.gov.vn/quyet-dinh-so-126qd-qld-ve-viec-thu-hoi-so-tiep-nhan-phieu-cong-bo-san-pham-my-pham-dinh-chi-luu-hanh-va-thu-hoi-san-pham-my-pham-theo-kl-cua-hd-my-pham-asean-doi-voi-san-pham-my-pham-co-chua-chat-cyclotetrasiloxane-octamethylcyclotetrasiloxane-n5224.html</x:v>
      </x:c>
      <x:c r="S362" t="str">
        <x:v>Hà Nội</x:v>
      </x:c>
      <x:c r="T362" t="str">
        <x:v>01</x:v>
      </x:c>
    </x:row>
    <x:row r="363">
      <x:c r="A363" t="n">
        <x:v>362</x:v>
      </x:c>
      <x:c r="B363" s="330" t="n">
        <x:v>45306</x:v>
      </x:c>
      <x:c r="C363" s="330" t="n">
        <x:v>46080</x:v>
      </x:c>
      <x:c r="D363" t="n">
        <x:v>2024</x:v>
      </x:c>
      <x:c r="E363" t="n">
        <x:v>1</x:v>
      </x:c>
      <x:c r="F363" t="str">
        <x:v>222690/24/CBMP-QLD</x:v>
      </x:c>
      <x:c r="G363"/>
      <x:c r="H363" t="str">
        <x:v>T8x Intelligent Color Care C6/31</x:v>
      </x:c>
      <x:c r="I363" t="str">
        <x:v>T8X</x:v>
      </x:c>
      <x:c r="J363" t="str">
        <x:v>Khác</x:v>
      </x:c>
      <x:c r="K363"/>
      <x:c r="L363" t="str">
        <x:v>Công ty TNHH sản xuất và thương mại hóa mỹ phẩm WAHA</x:v>
      </x:c>
      <x:c r="M363" t="str">
        <x:v>Số nhà 1C, ngõ 321/21/6 đường Phúc Lợi, phường Phúc Lợi, quận Long Biên, TP. Hà Nội, Việt Nam. Mã số doanh nghiệp: 0110011420</x:v>
      </x:c>
      <x:c r="N363"/>
      <x:c r="O363" t="str">
        <x:v>Thu hồi số tiếp nhận; đình chỉ lưu hành và thu hồi (QĐ 126/QĐ-QLD)</x:v>
      </x:c>
      <x:c r="P363" t="str">
        <x:v>A++ – Cục Quản lý Dược; company responsibility explicit</x:v>
      </x:c>
      <x:c r="Q363" t="str">
        <x:v>QĐ126/2026, STT 250, trang 24.</x:v>
      </x:c>
      <x:c r="R363" t="str">
        <x:v>https://dav.gov.vn/quyet-dinh-so-126qd-qld-ve-viec-thu-hoi-so-tiep-nhan-phieu-cong-bo-san-pham-my-pham-dinh-chi-luu-hanh-va-thu-hoi-san-pham-my-pham-theo-kl-cua-hd-my-pham-asean-doi-voi-san-pham-my-pham-co-chua-chat-cyclotetrasiloxane-octamethylcyclotetrasiloxane-n5224.html</x:v>
      </x:c>
      <x:c r="S363" t="str">
        <x:v>Hà Nội</x:v>
      </x:c>
      <x:c r="T363" t="str">
        <x:v>01</x:v>
      </x:c>
    </x:row>
    <x:row r="364">
      <x:c r="A364" t="n">
        <x:v>363</x:v>
      </x:c>
      <x:c r="B364" s="330" t="n">
        <x:v>45306</x:v>
      </x:c>
      <x:c r="C364" s="330" t="n">
        <x:v>46080</x:v>
      </x:c>
      <x:c r="D364" t="n">
        <x:v>2024</x:v>
      </x:c>
      <x:c r="E364" t="n">
        <x:v>1</x:v>
      </x:c>
      <x:c r="F364" t="str">
        <x:v>222693/24/CBMP-QLD</x:v>
      </x:c>
      <x:c r="G364"/>
      <x:c r="H364" t="str">
        <x:v>T8x Intelligent Color Care C5/66</x:v>
      </x:c>
      <x:c r="I364" t="str">
        <x:v>T8X</x:v>
      </x:c>
      <x:c r="J364" t="str">
        <x:v>Khác</x:v>
      </x:c>
      <x:c r="K364"/>
      <x:c r="L364" t="str">
        <x:v>Công ty TNHH sản xuất và thương mại hóa mỹ phẩm WAHA</x:v>
      </x:c>
      <x:c r="M364" t="str">
        <x:v>Số nhà 1C, ngõ 321/21/6 đường Phúc Lợi, phường Phúc Lợi, quận Long Biên, TP. Hà Nội, Việt Nam. Mã số doanh nghiệp: 0110011420</x:v>
      </x:c>
      <x:c r="N364"/>
      <x:c r="O364" t="str">
        <x:v>Thu hồi số tiếp nhận; đình chỉ lưu hành và thu hồi (QĐ 126/QĐ-QLD)</x:v>
      </x:c>
      <x:c r="P364" t="str">
        <x:v>A++ – Cục Quản lý Dược; company responsibility explicit</x:v>
      </x:c>
      <x:c r="Q364" t="str">
        <x:v>QĐ126/2026, STT 251, trang 24.</x:v>
      </x:c>
      <x:c r="R364" t="str">
        <x:v>https://dav.gov.vn/quyet-dinh-so-126qd-qld-ve-viec-thu-hoi-so-tiep-nhan-phieu-cong-bo-san-pham-my-pham-dinh-chi-luu-hanh-va-thu-hoi-san-pham-my-pham-theo-kl-cua-hd-my-pham-asean-doi-voi-san-pham-my-pham-co-chua-chat-cyclotetrasiloxane-octamethylcyclotetrasiloxane-n5224.html</x:v>
      </x:c>
      <x:c r="S364" t="str">
        <x:v>Hà Nội</x:v>
      </x:c>
      <x:c r="T364" t="str">
        <x:v>01</x:v>
      </x:c>
    </x:row>
    <x:row r="365">
      <x:c r="A365" t="n">
        <x:v>364</x:v>
      </x:c>
      <x:c r="B365" s="330" t="n">
        <x:v>45253</x:v>
      </x:c>
      <x:c r="C365" s="330" t="n">
        <x:v>46080</x:v>
      </x:c>
      <x:c r="D365" t="n">
        <x:v>2023</x:v>
      </x:c>
      <x:c r="E365" t="n">
        <x:v>11</x:v>
      </x:c>
      <x:c r="F365" t="str">
        <x:v>217720/23/CBMP-QLD</x:v>
      </x:c>
      <x:c r="G365"/>
      <x:c r="H365" t="str">
        <x:v>Ats Explex Dermatrick Treatment</x:v>
      </x:c>
      <x:c r="I365" t="str">
        <x:v>ATS</x:v>
      </x:c>
      <x:c r="J365" t="str">
        <x:v>Khác</x:v>
      </x:c>
      <x:c r="K365"/>
      <x:c r="L365" t="str">
        <x:v>Công ty TNHH sáng tạo phong cách sống - LIFE STYLE CREATION CO.</x:v>
      </x:c>
      <x:c r="M365" t="str">
        <x:v>LTD, 79 Nguyễn Công Hoan, phường Ngọc Khánh, quận Ba Đình, TP. Hà Nội, Việt Nam. Mã số doanh nghiệp: 0101756610</x:v>
      </x:c>
      <x:c r="N365"/>
      <x:c r="O365" t="str">
        <x:v>Thu hồi số tiếp nhận; đình chỉ lưu hành và thu hồi (QĐ 126/QĐ-QLD)</x:v>
      </x:c>
      <x:c r="P365" t="str">
        <x:v>A++ – Cục Quản lý Dược; company responsibility explicit</x:v>
      </x:c>
      <x:c r="Q365" t="str">
        <x:v>QĐ126/2026, STT 252, trang 24.</x:v>
      </x:c>
      <x:c r="R365" t="str">
        <x:v>https://dav.gov.vn/quyet-dinh-so-126qd-qld-ve-viec-thu-hoi-so-tiep-nhan-phieu-cong-bo-san-pham-my-pham-dinh-chi-luu-hanh-va-thu-hoi-san-pham-my-pham-theo-kl-cua-hd-my-pham-asean-doi-voi-san-pham-my-pham-co-chua-chat-cyclotetrasiloxane-octamethylcyclotetrasiloxane-n5224.html</x:v>
      </x:c>
      <x:c r="S365" t="str">
        <x:v>Hà Nội</x:v>
      </x:c>
      <x:c r="T365" t="str">
        <x:v>01</x:v>
      </x:c>
    </x:row>
    <x:row r="366">
      <x:c r="A366" t="n">
        <x:v>365</x:v>
      </x:c>
      <x:c r="B366" s="330" t="n">
        <x:v>45424</x:v>
      </x:c>
      <x:c r="C366" s="330" t="n">
        <x:v>46080</x:v>
      </x:c>
      <x:c r="D366" t="n">
        <x:v>2024</x:v>
      </x:c>
      <x:c r="E366" t="n">
        <x:v>5</x:v>
      </x:c>
      <x:c r="F366" t="str">
        <x:v>235771/24/CBMP-QLD</x:v>
      </x:c>
      <x:c r="G366"/>
      <x:c r="H366" t="str">
        <x:v>Uppercut Deluxe Matte Pomade</x:v>
      </x:c>
      <x:c r="I366" t="str">
        <x:v>UPPERCU T DELUXE</x:v>
      </x:c>
      <x:c r="J366" t="str">
        <x:v>Khác</x:v>
      </x:c>
      <x:c r="K366"/>
      <x:c r="L366" t="str">
        <x:v>Công ty TNHH sáng tạo phong cách sống - LIFE STYLE CREATION CO.</x:v>
      </x:c>
      <x:c r="M366" t="str">
        <x:v>LTD, 79 Nguyễn Công Hoan, phường Ngọc Khánh, quận Ba Đình, TP. Hà Nội, Việt Nam. Mã số doanh nghiệp: 0101756610</x:v>
      </x:c>
      <x:c r="N366"/>
      <x:c r="O366" t="str">
        <x:v>Thu hồi số tiếp nhận; đình chỉ lưu hành và thu hồi (QĐ 126/QĐ-QLD)</x:v>
      </x:c>
      <x:c r="P366" t="str">
        <x:v>A++ – Cục Quản lý Dược; company responsibility explicit</x:v>
      </x:c>
      <x:c r="Q366" t="str">
        <x:v>QĐ126/2026, STT 253, trang 24.</x:v>
      </x:c>
      <x:c r="R366" t="str">
        <x:v>https://dav.gov.vn/quyet-dinh-so-126qd-qld-ve-viec-thu-hoi-so-tiep-nhan-phieu-cong-bo-san-pham-my-pham-dinh-chi-luu-hanh-va-thu-hoi-san-pham-my-pham-theo-kl-cua-hd-my-pham-asean-doi-voi-san-pham-my-pham-co-chua-chat-cyclotetrasiloxane-octamethylcyclotetrasiloxane-n5224.html</x:v>
      </x:c>
      <x:c r="S366" t="str">
        <x:v>Hà Nội</x:v>
      </x:c>
      <x:c r="T366" t="str">
        <x:v>01</x:v>
      </x:c>
    </x:row>
    <x:row r="367">
      <x:c r="A367" t="n">
        <x:v>366</x:v>
      </x:c>
      <x:c r="B367" s="330" t="n">
        <x:v>45120</x:v>
      </x:c>
      <x:c r="C367" s="330" t="n">
        <x:v>46080</x:v>
      </x:c>
      <x:c r="D367" t="n">
        <x:v>2023</x:v>
      </x:c>
      <x:c r="E367" t="n">
        <x:v>7</x:v>
      </x:c>
      <x:c r="F367" t="str">
        <x:v>205867/23/CBMP-QLD</x:v>
      </x:c>
      <x:c r="G367"/>
      <x:c r="H367" t="str">
        <x:v>Scentio Milk Plus Brightening Q10 Facial Mask</x:v>
      </x:c>
      <x:c r="I367" t="str">
        <x:v>SCENTIO</x:v>
      </x:c>
      <x:c r="J367" t="str">
        <x:v>Mặt nạ</x:v>
      </x:c>
      <x:c r="K367"/>
      <x:c r="L367" t="str">
        <x:v>Công ty TNHH Sayam International</x:v>
      </x:c>
      <x:c r="M367" t="str">
        <x:v>44 Đường Số 5, Khu Dân Cư Phong Phú, xã Phong Phú, huyện Bình Chánh, TP. Hồ Chí Minh, Việt Nam. Mã số doanh nghiệp: 0312347582</x:v>
      </x:c>
      <x:c r="N367"/>
      <x:c r="O367" t="str">
        <x:v>Thu hồi số tiếp nhận; đình chỉ lưu hành và thu hồi (QĐ 126/QĐ-QLD)</x:v>
      </x:c>
      <x:c r="P367" t="str">
        <x:v>A++ – Cục Quản lý Dược; company responsibility explicit</x:v>
      </x:c>
      <x:c r="Q367" t="str">
        <x:v>QĐ126/2026, STT 254, trang 24.</x:v>
      </x:c>
      <x:c r="R367" t="str">
        <x:v>https://dav.gov.vn/quyet-dinh-so-126qd-qld-ve-viec-thu-hoi-so-tiep-nhan-phieu-cong-bo-san-pham-my-pham-dinh-chi-luu-hanh-va-thu-hoi-san-pham-my-pham-theo-kl-cua-hd-my-pham-asean-doi-voi-san-pham-my-pham-co-chua-chat-cyclotetrasiloxane-octamethylcyclotetrasiloxane-n5224.html</x:v>
      </x:c>
      <x:c r="S367" t="str">
        <x:v>TP. Hồ Chí Minh</x:v>
      </x:c>
      <x:c r="T367" t="str">
        <x:v>79</x:v>
      </x:c>
    </x:row>
    <x:row r="368">
      <x:c r="A368" t="n">
        <x:v>367</x:v>
      </x:c>
      <x:c r="B368" s="330" t="n">
        <x:v>45118</x:v>
      </x:c>
      <x:c r="C368" s="330" t="n">
        <x:v>46080</x:v>
      </x:c>
      <x:c r="D368" t="n">
        <x:v>2023</x:v>
      </x:c>
      <x:c r="E368" t="n">
        <x:v>7</x:v>
      </x:c>
      <x:c r="F368" t="str">
        <x:v>205591/23/CBMP-QLD</x:v>
      </x:c>
      <x:c r="G368"/>
      <x:c r="H368" t="str">
        <x:v>Sofei In Nature Black &amp; Ginger Conditioner</x:v>
      </x:c>
      <x:c r="I368" t="str">
        <x:v>SOFEI IN NATURE</x:v>
      </x:c>
      <x:c r="J368" t="str">
        <x:v>Dầu xả</x:v>
      </x:c>
      <x:c r="K368"/>
      <x:c r="L368" t="str">
        <x:v>Công ty TNHH SOFEI VIETNAM</x:v>
      </x:c>
      <x:c r="M368" t="str">
        <x:v>Số 108 Trần Đình Xu, phường Nguyễn Cư Trinh, Quận 1, TP. Hồ Chí Minh, Việt Nam. Mã số doanh nghiệp: 0317525895</x:v>
      </x:c>
      <x:c r="N368"/>
      <x:c r="O368" t="str">
        <x:v>Thu hồi số tiếp nhận; đình chỉ lưu hành và thu hồi (QĐ 126/QĐ-QLD)</x:v>
      </x:c>
      <x:c r="P368" t="str">
        <x:v>A++ – Cục Quản lý Dược; company responsibility explicit</x:v>
      </x:c>
      <x:c r="Q368" t="str">
        <x:v>QĐ126/2026, STT 255, trang 24.</x:v>
      </x:c>
      <x:c r="R368" t="str">
        <x:v>https://dav.gov.vn/quyet-dinh-so-126qd-qld-ve-viec-thu-hoi-so-tiep-nhan-phieu-cong-bo-san-pham-my-pham-dinh-chi-luu-hanh-va-thu-hoi-san-pham-my-pham-theo-kl-cua-hd-my-pham-asean-doi-voi-san-pham-my-pham-co-chua-chat-cyclotetrasiloxane-octamethylcyclotetrasiloxane-n5224.html</x:v>
      </x:c>
      <x:c r="S368" t="str">
        <x:v>TP. Hồ Chí Minh</x:v>
      </x:c>
      <x:c r="T368" t="str">
        <x:v>79</x:v>
      </x:c>
    </x:row>
    <x:row r="369">
      <x:c r="A369" t="n">
        <x:v>368</x:v>
      </x:c>
      <x:c r="B369" s="330" t="n">
        <x:v>45138</x:v>
      </x:c>
      <x:c r="C369" s="330" t="n">
        <x:v>46080</x:v>
      </x:c>
      <x:c r="D369" t="n">
        <x:v>2023</x:v>
      </x:c>
      <x:c r="E369" t="n">
        <x:v>7</x:v>
      </x:c>
      <x:c r="F369" t="str">
        <x:v>207560/23/CBMP-QLD</x:v>
      </x:c>
      <x:c r="G369"/>
      <x:c r="H369" t="str">
        <x:v>Harnn White Mulberry &amp; Cica Anti-Aging Sunscreen Spf50+/Pa++++</x:v>
      </x:c>
      <x:c r="I369" t="str">
        <x:v>HARNN</x:v>
      </x:c>
      <x:c r="J369" t="str">
        <x:v>Kem chống nắng</x:v>
      </x:c>
      <x:c r="K369"/>
      <x:c r="L369" t="str">
        <x:v>Công ty TNHH TANACHIRA VIỆT NAM</x:v>
      </x:c>
      <x:c r="M369" t="str">
        <x:v>Số 16 Nguyễn Trãi, phường Bến Thành, Quận 1, TP. Hồ Chí Minh, Việt Nam. Mã số doanh nghiệp: 0315395489</x:v>
      </x:c>
      <x:c r="N369"/>
      <x:c r="O369" t="str">
        <x:v>Thu hồi số tiếp nhận; đình chỉ lưu hành và thu hồi (QĐ 126/QĐ-QLD)</x:v>
      </x:c>
      <x:c r="P369" t="str">
        <x:v>A++ – Cục Quản lý Dược; company responsibility explicit</x:v>
      </x:c>
      <x:c r="Q369" t="str">
        <x:v>QĐ126/2026, STT 257, trang 24.</x:v>
      </x:c>
      <x:c r="R369" t="str">
        <x:v>https://dav.gov.vn/quyet-dinh-so-126qd-qld-ve-viec-thu-hoi-so-tiep-nhan-phieu-cong-bo-san-pham-my-pham-dinh-chi-luu-hanh-va-thu-hoi-san-pham-my-pham-theo-kl-cua-hd-my-pham-asean-doi-voi-san-pham-my-pham-co-chua-chat-cyclotetrasiloxane-octamethylcyclotetrasiloxane-n5224.html</x:v>
      </x:c>
      <x:c r="S369" t="str">
        <x:v>TP. Hồ Chí Minh</x:v>
      </x:c>
      <x:c r="T369" t="str">
        <x:v>79</x:v>
      </x:c>
    </x:row>
    <x:row r="370">
      <x:c r="A370" t="n">
        <x:v>369</x:v>
      </x:c>
      <x:c r="B370" s="330" t="n">
        <x:v>45370</x:v>
      </x:c>
      <x:c r="C370" s="330" t="n">
        <x:v>46080</x:v>
      </x:c>
      <x:c r="D370" t="n">
        <x:v>2024</x:v>
      </x:c>
      <x:c r="E370" t="n">
        <x:v>3</x:v>
      </x:c>
      <x:c r="F370" t="str">
        <x:v>230041/24/CBMP-QLD</x:v>
      </x:c>
      <x:c r="G370"/>
      <x:c r="H370" t="str">
        <x:v>Marini Luminate Eye Gel - 1/2 Oz.</x:v>
      </x:c>
      <x:c r="I370" t="str">
        <x:v>Marini</x:v>
      </x:c>
      <x:c r="J370" t="str">
        <x:v>Khác</x:v>
      </x:c>
      <x:c r="K370"/>
      <x:c r="L370" t="str">
        <x:v>Công ty TNHH thẩm mỹ ZACY</x:v>
      </x:c>
      <x:c r="M370" t="str">
        <x:v>Tầng 3A, 6A Số 69 phố Nguyễn Hy Quang, phường Ô Chợ Dừa, quận Đống Đa, TP. Hà Nội, Việt Nam. Mã số doanh nghiệp: 0107468471</x:v>
      </x:c>
      <x:c r="N370"/>
      <x:c r="O370" t="str">
        <x:v>Thu hồi số tiếp nhận; đình chỉ lưu hành và thu hồi (QĐ 126/QĐ-QLD)</x:v>
      </x:c>
      <x:c r="P370" t="str">
        <x:v>A++ – Cục Quản lý Dược; company responsibility explicit</x:v>
      </x:c>
      <x:c r="Q370" t="str">
        <x:v>QĐ126/2026, STT 258, trang 25.</x:v>
      </x:c>
      <x:c r="R370" t="str">
        <x:v>https://dav.gov.vn/quyet-dinh-so-126qd-qld-ve-viec-thu-hoi-so-tiep-nhan-phieu-cong-bo-san-pham-my-pham-dinh-chi-luu-hanh-va-thu-hoi-san-pham-my-pham-theo-kl-cua-hd-my-pham-asean-doi-voi-san-pham-my-pham-co-chua-chat-cyclotetrasiloxane-octamethylcyclotetrasiloxane-n5224.html</x:v>
      </x:c>
      <x:c r="S370" t="str">
        <x:v>Hà Nội</x:v>
      </x:c>
      <x:c r="T370" t="str">
        <x:v>01</x:v>
      </x:c>
    </x:row>
    <x:row r="371">
      <x:c r="A371" t="n">
        <x:v>370</x:v>
      </x:c>
      <x:c r="B371" s="330" t="n">
        <x:v>45030</x:v>
      </x:c>
      <x:c r="C371" s="330" t="n">
        <x:v>46080</x:v>
      </x:c>
      <x:c r="D371" t="n">
        <x:v>2023</x:v>
      </x:c>
      <x:c r="E371" t="n">
        <x:v>4</x:v>
      </x:c>
      <x:c r="F371" t="str">
        <x:v>199495/23/CBMP-QLD</x:v>
      </x:c>
      <x:c r="G371"/>
      <x:c r="H371" t="str">
        <x:v>Hijojo Nurishing Moist Tone Up Cream</x:v>
      </x:c>
      <x:c r="I371" t="str">
        <x:v>HIJOJO</x:v>
      </x:c>
      <x:c r="J371" t="str">
        <x:v>Kem dưỡng da</x:v>
      </x:c>
      <x:c r="K371"/>
      <x:c r="L371" t="str">
        <x:v>Công ty TNHH THEHYEMIN</x:v>
      </x:c>
      <x:c r="M371" t="str">
        <x:v>97-99 Phạm Ngũ Lão, phường Phạm Ngũ Lão, Quận 1, TP. Hồ Chí Minh, Việt Nam. Mã số doanh nghiệp: 0317195936</x:v>
      </x:c>
      <x:c r="N371"/>
      <x:c r="O371" t="str">
        <x:v>Thu hồi số tiếp nhận; đình chỉ lưu hành và thu hồi (QĐ 126/QĐ-QLD)</x:v>
      </x:c>
      <x:c r="P371" t="str">
        <x:v>A++ – Cục Quản lý Dược; company responsibility explicit</x:v>
      </x:c>
      <x:c r="Q371" t="str">
        <x:v>QĐ126/2026, STT 259, trang 25.</x:v>
      </x:c>
      <x:c r="R371" t="str">
        <x:v>https://dav.gov.vn/quyet-dinh-so-126qd-qld-ve-viec-thu-hoi-so-tiep-nhan-phieu-cong-bo-san-pham-my-pham-dinh-chi-luu-hanh-va-thu-hoi-san-pham-my-pham-theo-kl-cua-hd-my-pham-asean-doi-voi-san-pham-my-pham-co-chua-chat-cyclotetrasiloxane-octamethylcyclotetrasiloxane-n5224.html</x:v>
      </x:c>
      <x:c r="S371" t="str">
        <x:v>TP. Hồ Chí Minh</x:v>
      </x:c>
      <x:c r="T371" t="str">
        <x:v>79</x:v>
      </x:c>
    </x:row>
    <x:row r="372">
      <x:c r="A372" t="n">
        <x:v>371</x:v>
      </x:c>
      <x:c r="B372" s="330" t="n">
        <x:v>44844</x:v>
      </x:c>
      <x:c r="C372" s="330" t="n">
        <x:v>46080</x:v>
      </x:c>
      <x:c r="D372" t="n">
        <x:v>2022</x:v>
      </x:c>
      <x:c r="E372" t="n">
        <x:v>10</x:v>
      </x:c>
      <x:c r="F372" t="str">
        <x:v>185197/22/CBMP-QLD</x:v>
      </x:c>
      <x:c r="G372"/>
      <x:c r="H372" t="str">
        <x:v>Gigi City Nap Urban Sleeping Mask</x:v>
      </x:c>
      <x:c r="I372" t="str">
        <x:v>GIGI</x:v>
      </x:c>
      <x:c r="J372" t="str">
        <x:v>Mặt nạ</x:v>
      </x:c>
      <x:c r="K372"/>
      <x:c r="L372" t="str">
        <x:v>Công ty TNHH thương mại &amp; du lịch VĂN HIẾN</x:v>
      </x:c>
      <x:c r="M372" t="str">
        <x:v>Số 05, ngách 124/32, đường Do Nha, phường Tây Mỗ, quận Nam Từ Liêm, TP. Hà Nội, Việt Nam. Mã số doanh nghiệp: 0108173294</x:v>
      </x:c>
      <x:c r="N372"/>
      <x:c r="O372" t="str">
        <x:v>Thu hồi số tiếp nhận; đình chỉ lưu hành và thu hồi (QĐ 126/QĐ-QLD)</x:v>
      </x:c>
      <x:c r="P372" t="str">
        <x:v>A++ – Cục Quản lý Dược; company responsibility explicit</x:v>
      </x:c>
      <x:c r="Q372" t="str">
        <x:v>QĐ126/2026, STT 260, trang 25.</x:v>
      </x:c>
      <x:c r="R372" t="str">
        <x:v>https://dav.gov.vn/quyet-dinh-so-126qd-qld-ve-viec-thu-hoi-so-tiep-nhan-phieu-cong-bo-san-pham-my-pham-dinh-chi-luu-hanh-va-thu-hoi-san-pham-my-pham-theo-kl-cua-hd-my-pham-asean-doi-voi-san-pham-my-pham-co-chua-chat-cyclotetrasiloxane-octamethylcyclotetrasiloxane-n5224.html</x:v>
      </x:c>
      <x:c r="S372" t="str">
        <x:v>Hà Nội</x:v>
      </x:c>
      <x:c r="T372" t="str">
        <x:v>01</x:v>
      </x:c>
    </x:row>
    <x:row r="373">
      <x:c r="A373" t="n">
        <x:v>372</x:v>
      </x:c>
      <x:c r="B373" s="330" t="n">
        <x:v>44917</x:v>
      </x:c>
      <x:c r="C373" s="330" t="n">
        <x:v>46080</x:v>
      </x:c>
      <x:c r="D373" t="n">
        <x:v>2022</x:v>
      </x:c>
      <x:c r="E373" t="n">
        <x:v>12</x:v>
      </x:c>
      <x:c r="F373" t="str">
        <x:v>191741/22/CBMP-QLD</x:v>
      </x:c>
      <x:c r="G373"/>
      <x:c r="H373" t="str">
        <x:v>Loverhair Hair Fall Control Conditioner</x:v>
      </x:c>
      <x:c r="I373"/>
      <x:c r="J373" t="str">
        <x:v>Dầu xả</x:v>
      </x:c>
      <x:c r="K373"/>
      <x:c r="L373" t="str">
        <x:v>Công ty TNHH Thương Mại Đa Phương</x:v>
      </x:c>
      <x:c r="M373" t="str">
        <x:v>Số 83 Đường số 3, Khu phố 2, phường An Khánh, TP. Thủ Đức, TP. Hồ Chí Minh, Việt Nam. Mã số doanh nghiệp: 0305034638</x:v>
      </x:c>
      <x:c r="N373"/>
      <x:c r="O373" t="str">
        <x:v>Thu hồi số tiếp nhận; đình chỉ lưu hành và thu hồi (QĐ 126/QĐ-QLD)</x:v>
      </x:c>
      <x:c r="P373" t="str">
        <x:v>A++ – Cục Quản lý Dược; company responsibility explicit</x:v>
      </x:c>
      <x:c r="Q373" t="str">
        <x:v>QĐ126/2026, STT 261, trang 25.</x:v>
      </x:c>
      <x:c r="R373" t="str">
        <x:v>https://dav.gov.vn/quyet-dinh-so-126qd-qld-ve-viec-thu-hoi-so-tiep-nhan-phieu-cong-bo-san-pham-my-pham-dinh-chi-luu-hanh-va-thu-hoi-san-pham-my-pham-theo-kl-cua-hd-my-pham-asean-doi-voi-san-pham-my-pham-co-chua-chat-cyclotetrasiloxane-octamethylcyclotetrasiloxane-n5224.html</x:v>
      </x:c>
      <x:c r="S373" t="str">
        <x:v>TP. Hồ Chí Minh</x:v>
      </x:c>
      <x:c r="T373" t="str">
        <x:v>79</x:v>
      </x:c>
    </x:row>
    <x:row r="374">
      <x:c r="A374" t="n">
        <x:v>373</x:v>
      </x:c>
      <x:c r="B374" s="330" t="n">
        <x:v>45149</x:v>
      </x:c>
      <x:c r="C374" s="330" t="n">
        <x:v>46080</x:v>
      </x:c>
      <x:c r="D374" t="n">
        <x:v>2023</x:v>
      </x:c>
      <x:c r="E374" t="n">
        <x:v>8</x:v>
      </x:c>
      <x:c r="F374" t="str">
        <x:v>208864/23/CBMP-QLD</x:v>
      </x:c>
      <x:c r="G374"/>
      <x:c r="H374" t="str">
        <x:v>Unique Essence</x:v>
      </x:c>
      <x:c r="I374" t="str">
        <x:v>Unique</x:v>
      </x:c>
      <x:c r="J374" t="str">
        <x:v>Serum/Essence da</x:v>
      </x:c>
      <x:c r="K374"/>
      <x:c r="L374" t="str">
        <x:v>Công ty TNHH thương mại dịch vụ đầu tư xuất nhập khẩu TỨ QUÝ</x:v>
      </x:c>
      <x:c r="M374" t="str">
        <x:v>Lầu 1, số nhà 164/5 đường số 20, Phường 5, quận Gò Vấp, TP. Hồ Chí Minh, Việt Nam. Mã số doanh nghiệp: 0311796842</x:v>
      </x:c>
      <x:c r="N374"/>
      <x:c r="O374" t="str">
        <x:v>Thu hồi số tiếp nhận; đình chỉ lưu hành và thu hồi (QĐ 126/QĐ-QLD)</x:v>
      </x:c>
      <x:c r="P374" t="str">
        <x:v>A++ – Cục Quản lý Dược; company responsibility explicit</x:v>
      </x:c>
      <x:c r="Q374" t="str">
        <x:v>QĐ126/2026, STT 264, trang 25.</x:v>
      </x:c>
      <x:c r="R374" t="str">
        <x:v>https://dav.gov.vn/quyet-dinh-so-126qd-qld-ve-viec-thu-hoi-so-tiep-nhan-phieu-cong-bo-san-pham-my-pham-dinh-chi-luu-hanh-va-thu-hoi-san-pham-my-pham-theo-kl-cua-hd-my-pham-asean-doi-voi-san-pham-my-pham-co-chua-chat-cyclotetrasiloxane-octamethylcyclotetrasiloxane-n5224.html</x:v>
      </x:c>
      <x:c r="S374" t="str">
        <x:v>TP. Hồ Chí Minh</x:v>
      </x:c>
      <x:c r="T374" t="str">
        <x:v>79</x:v>
      </x:c>
    </x:row>
    <x:row r="375">
      <x:c r="A375" t="n">
        <x:v>374</x:v>
      </x:c>
      <x:c r="B375" s="330" t="n">
        <x:v>45362</x:v>
      </x:c>
      <x:c r="C375" s="330" t="n">
        <x:v>46080</x:v>
      </x:c>
      <x:c r="D375" t="n">
        <x:v>2024</x:v>
      </x:c>
      <x:c r="E375" t="n">
        <x:v>3</x:v>
      </x:c>
      <x:c r="F375" t="str">
        <x:v>228050/24/CBMP-QLD</x:v>
      </x:c>
      <x:c r="G375"/>
      <x:c r="H375" t="str">
        <x:v>Sicoli Repairing And Smoothing Hair Mask</x:v>
      </x:c>
      <x:c r="I375" t="str">
        <x:v>SICOLI</x:v>
      </x:c>
      <x:c r="J375" t="str">
        <x:v>Mặt nạ</x:v>
      </x:c>
      <x:c r="K375"/>
      <x:c r="L375" t="str">
        <x:v>Công ty TNHH thương mại dịch vụ KENIS</x:v>
      </x:c>
      <x:c r="M375" t="str">
        <x:v>63/8, đường Thuận Giao 29, khu phố Bình Giao, phường Thuận Giao, TP. Thuận An, tỉnh Bình Dương, Việt Nam. Mã số doanh nghiệp: 3703124653</x:v>
      </x:c>
      <x:c r="N375"/>
      <x:c r="O375" t="str">
        <x:v>Thu hồi số tiếp nhận; đình chỉ lưu hành và thu hồi (QĐ 126/QĐ-QLD)</x:v>
      </x:c>
      <x:c r="P375" t="str">
        <x:v>A++ – Cục Quản lý Dược; company responsibility explicit</x:v>
      </x:c>
      <x:c r="Q375" t="str">
        <x:v>QĐ126/2026, STT 267, trang 25.</x:v>
      </x:c>
      <x:c r="R375" t="str">
        <x:v>https://dav.gov.vn/quyet-dinh-so-126qd-qld-ve-viec-thu-hoi-so-tiep-nhan-phieu-cong-bo-san-pham-my-pham-dinh-chi-luu-hanh-va-thu-hoi-san-pham-my-pham-theo-kl-cua-hd-my-pham-asean-doi-voi-san-pham-my-pham-co-chua-chat-cyclotetrasiloxane-octamethylcyclotetrasiloxane-n5224.html</x:v>
      </x:c>
      <x:c r="S375" t="str">
        <x:v>TP. Hồ Chí Minh</x:v>
      </x:c>
      <x:c r="T375" t="str">
        <x:v>79</x:v>
      </x:c>
    </x:row>
    <x:row r="376">
      <x:c r="A376" t="n">
        <x:v>375</x:v>
      </x:c>
      <x:c r="B376" s="330" t="n">
        <x:v>45183</x:v>
      </x:c>
      <x:c r="C376" s="330" t="n">
        <x:v>46080</x:v>
      </x:c>
      <x:c r="D376" t="n">
        <x:v>2023</x:v>
      </x:c>
      <x:c r="E376" t="n">
        <x:v>9</x:v>
      </x:c>
      <x:c r="F376" t="str">
        <x:v>211600/23/CBMP-QLD</x:v>
      </x:c>
      <x:c r="G376"/>
      <x:c r="H376" t="str">
        <x:v>SIXTEEn BRAND 16 Fruit-Chu Tint</x:v>
      </x:c>
      <x:c r="I376" t="str">
        <x:v>SIXTEEN BRAND 1 6</x:v>
      </x:c>
      <x:c r="J376" t="str">
        <x:v>Khác</x:v>
      </x:c>
      <x:c r="K376"/>
      <x:c r="L376" t="str">
        <x:v>Công ty TNHH thương mại dịch vụ KKUN MEDIA</x:v>
      </x:c>
      <x:c r="M376" t="str">
        <x:v>Số 680 - 682, đường Nguyễn Đình Chiểu, Phường 3, Quận 3, TP. Hồ Chí Minh, Việt Nam. Mã số doanh nghiệp: 0316304646</x:v>
      </x:c>
      <x:c r="N376"/>
      <x:c r="O376" t="str">
        <x:v>Thu hồi số tiếp nhận; đình chỉ lưu hành và thu hồi (QĐ 126/QĐ-QLD)</x:v>
      </x:c>
      <x:c r="P376" t="str">
        <x:v>A++ – Cục Quản lý Dược; company responsibility explicit</x:v>
      </x:c>
      <x:c r="Q376" t="str">
        <x:v>QĐ126/2026, STT 268, trang 26.</x:v>
      </x:c>
      <x:c r="R376" t="str">
        <x:v>https://dav.gov.vn/quyet-dinh-so-126qd-qld-ve-viec-thu-hoi-so-tiep-nhan-phieu-cong-bo-san-pham-my-pham-dinh-chi-luu-hanh-va-thu-hoi-san-pham-my-pham-theo-kl-cua-hd-my-pham-asean-doi-voi-san-pham-my-pham-co-chua-chat-cyclotetrasiloxane-octamethylcyclotetrasiloxane-n5224.html</x:v>
      </x:c>
      <x:c r="S376" t="str">
        <x:v>TP. Hồ Chí Minh</x:v>
      </x:c>
      <x:c r="T376" t="str">
        <x:v>79</x:v>
      </x:c>
    </x:row>
    <x:row r="377">
      <x:c r="A377" t="n">
        <x:v>376</x:v>
      </x:c>
      <x:c r="B377" s="330" t="n">
        <x:v>45578</x:v>
      </x:c>
      <x:c r="C377" s="330" t="n">
        <x:v>46080</x:v>
      </x:c>
      <x:c r="D377" t="n">
        <x:v>2024</x:v>
      </x:c>
      <x:c r="E377" t="n">
        <x:v>10</x:v>
      </x:c>
      <x:c r="F377" t="str">
        <x:v>252477/24/CBMP-QLD</x:v>
      </x:c>
      <x:c r="G377"/>
      <x:c r="H377" t="str">
        <x:v>Jmella In France Femme Fatale Hair Treatment</x:v>
      </x:c>
      <x:c r="I377" t="str">
        <x:v>JMELLA</x:v>
      </x:c>
      <x:c r="J377" t="str">
        <x:v>Khác</x:v>
      </x:c>
      <x:c r="K377"/>
      <x:c r="L377" t="str">
        <x:v>Công ty TNHH THƯƠNG MẠI EGAO VIỆT NAM</x:v>
      </x:c>
      <x:c r="M377" t="str">
        <x:v>Số 19 Bà Triệu, phường Tràng Tiền, quận Hoàn Kiếm, TP. Hà Nội, Việt Nam. Mã số doanh nghiệp: 0107647946</x:v>
      </x:c>
      <x:c r="N377"/>
      <x:c r="O377" t="str">
        <x:v>Thu hồi số tiếp nhận; đình chỉ lưu hành và thu hồi (QĐ 126/QĐ-QLD)</x:v>
      </x:c>
      <x:c r="P377" t="str">
        <x:v>A++ – Cục Quản lý Dược; company responsibility explicit</x:v>
      </x:c>
      <x:c r="Q377" t="str">
        <x:v>QĐ126/2026, STT 271, trang 26.</x:v>
      </x:c>
      <x:c r="R377" t="str">
        <x:v>https://dav.gov.vn/quyet-dinh-so-126qd-qld-ve-viec-thu-hoi-so-tiep-nhan-phieu-cong-bo-san-pham-my-pham-dinh-chi-luu-hanh-va-thu-hoi-san-pham-my-pham-theo-kl-cua-hd-my-pham-asean-doi-voi-san-pham-my-pham-co-chua-chat-cyclotetrasiloxane-octamethylcyclotetrasiloxane-n5224.html</x:v>
      </x:c>
      <x:c r="S377" t="str">
        <x:v>Hà Nội</x:v>
      </x:c>
      <x:c r="T377" t="str">
        <x:v>01</x:v>
      </x:c>
    </x:row>
    <x:row r="378">
      <x:c r="A378" t="n">
        <x:v>377</x:v>
      </x:c>
      <x:c r="B378" s="330" t="n">
        <x:v>45578</x:v>
      </x:c>
      <x:c r="C378" s="330" t="n">
        <x:v>46080</x:v>
      </x:c>
      <x:c r="D378" t="n">
        <x:v>2024</x:v>
      </x:c>
      <x:c r="E378" t="n">
        <x:v>10</x:v>
      </x:c>
      <x:c r="F378" t="str">
        <x:v>252486/24/CBMP-QLD</x:v>
      </x:c>
      <x:c r="G378"/>
      <x:c r="H378" t="str">
        <x:v>Jmella In France Blooming Peony Hair Treatment</x:v>
      </x:c>
      <x:c r="I378" t="str">
        <x:v>JMELLA</x:v>
      </x:c>
      <x:c r="J378" t="str">
        <x:v>Khác</x:v>
      </x:c>
      <x:c r="K378"/>
      <x:c r="L378" t="str">
        <x:v>Công ty TNHH THƯƠNG MẠI EGAO VIỆT NAM</x:v>
      </x:c>
      <x:c r="M378" t="str">
        <x:v>Số 19 Bà Triệu, phường Tràng Tiền, quận Hoàn Kiếm, TP. Hà Nội, Việt Nam. Mã số doanh nghiệp: 0107647946</x:v>
      </x:c>
      <x:c r="N378"/>
      <x:c r="O378" t="str">
        <x:v>Thu hồi số tiếp nhận; đình chỉ lưu hành và thu hồi (QĐ 126/QĐ-QLD)</x:v>
      </x:c>
      <x:c r="P378" t="str">
        <x:v>A++ – Cục Quản lý Dược; company responsibility explicit</x:v>
      </x:c>
      <x:c r="Q378" t="str">
        <x:v>QĐ126/2026, STT 272, trang 26.</x:v>
      </x:c>
      <x:c r="R378" t="str">
        <x:v>https://dav.gov.vn/quyet-dinh-so-126qd-qld-ve-viec-thu-hoi-so-tiep-nhan-phieu-cong-bo-san-pham-my-pham-dinh-chi-luu-hanh-va-thu-hoi-san-pham-my-pham-theo-kl-cua-hd-my-pham-asean-doi-voi-san-pham-my-pham-co-chua-chat-cyclotetrasiloxane-octamethylcyclotetrasiloxane-n5224.html</x:v>
      </x:c>
      <x:c r="S378" t="str">
        <x:v>Hà Nội</x:v>
      </x:c>
      <x:c r="T378" t="str">
        <x:v>01</x:v>
      </x:c>
    </x:row>
    <x:row r="379">
      <x:c r="A379" t="n">
        <x:v>378</x:v>
      </x:c>
      <x:c r="B379" s="330" t="n">
        <x:v>45578</x:v>
      </x:c>
      <x:c r="C379" s="330" t="n">
        <x:v>46080</x:v>
      </x:c>
      <x:c r="D379" t="n">
        <x:v>2024</x:v>
      </x:c>
      <x:c r="E379" t="n">
        <x:v>10</x:v>
      </x:c>
      <x:c r="F379" t="str">
        <x:v>252511/24/CBMP-QLD</x:v>
      </x:c>
      <x:c r="G379"/>
      <x:c r="H379" t="str">
        <x:v>Jmella In France Sparkling Rose Hair Treatment</x:v>
      </x:c>
      <x:c r="I379" t="str">
        <x:v>JMELLA</x:v>
      </x:c>
      <x:c r="J379" t="str">
        <x:v>Khác</x:v>
      </x:c>
      <x:c r="K379"/>
      <x:c r="L379" t="str">
        <x:v>Công ty TNHH THƯƠNG MẠI EGAO VIỆT NAM</x:v>
      </x:c>
      <x:c r="M379" t="str">
        <x:v>Số 19 Bà Triệu, phường Tràng Tiền, quận Hoàn Kiếm, TP. Hà Nội, Việt Nam. Mã số doanh nghiệp: 0107647946</x:v>
      </x:c>
      <x:c r="N379"/>
      <x:c r="O379" t="str">
        <x:v>Thu hồi số tiếp nhận; đình chỉ lưu hành và thu hồi (QĐ 126/QĐ-QLD)</x:v>
      </x:c>
      <x:c r="P379" t="str">
        <x:v>A++ – Cục Quản lý Dược; company responsibility explicit</x:v>
      </x:c>
      <x:c r="Q379" t="str">
        <x:v>QĐ126/2026, STT 273, trang 26.</x:v>
      </x:c>
      <x:c r="R379" t="str">
        <x:v>https://dav.gov.vn/quyet-dinh-so-126qd-qld-ve-viec-thu-hoi-so-tiep-nhan-phieu-cong-bo-san-pham-my-pham-dinh-chi-luu-hanh-va-thu-hoi-san-pham-my-pham-theo-kl-cua-hd-my-pham-asean-doi-voi-san-pham-my-pham-co-chua-chat-cyclotetrasiloxane-octamethylcyclotetrasiloxane-n5224.html</x:v>
      </x:c>
      <x:c r="S379" t="str">
        <x:v>Hà Nội</x:v>
      </x:c>
      <x:c r="T379" t="str">
        <x:v>01</x:v>
      </x:c>
    </x:row>
    <x:row r="380">
      <x:c r="A380" t="n">
        <x:v>379</x:v>
      </x:c>
      <x:c r="B380" s="330" t="n">
        <x:v>45594</x:v>
      </x:c>
      <x:c r="C380" s="330" t="n">
        <x:v>46080</x:v>
      </x:c>
      <x:c r="D380" t="n">
        <x:v>2024</x:v>
      </x:c>
      <x:c r="E380" t="n">
        <x:v>10</x:v>
      </x:c>
      <x:c r="F380" t="str">
        <x:v>253960/24/CBMP-QLD</x:v>
      </x:c>
      <x:c r="G380"/>
      <x:c r="H380" t="str">
        <x:v>Jmella In France Queen 5 Hair Treatment</x:v>
      </x:c>
      <x:c r="I380" t="str">
        <x:v>JMELLA</x:v>
      </x:c>
      <x:c r="J380" t="str">
        <x:v>Khác</x:v>
      </x:c>
      <x:c r="K380"/>
      <x:c r="L380" t="str">
        <x:v>Công ty TNHH THƯƠNG MẠI EGAO VIỆT NAM</x:v>
      </x:c>
      <x:c r="M380" t="str">
        <x:v>Số 19 Bà Triệu, phường Tràng Tiền, quận Hoàn Kiếm, TP. Hà Nội, Việt Nam. Mã số doanh nghiệp: 0107647946</x:v>
      </x:c>
      <x:c r="N380"/>
      <x:c r="O380" t="str">
        <x:v>Thu hồi số tiếp nhận; đình chỉ lưu hành và thu hồi (QĐ 126/QĐ-QLD)</x:v>
      </x:c>
      <x:c r="P380" t="str">
        <x:v>A++ – Cục Quản lý Dược; company responsibility explicit</x:v>
      </x:c>
      <x:c r="Q380" t="str">
        <x:v>QĐ126/2026, STT 274, trang 26.</x:v>
      </x:c>
      <x:c r="R380" t="str">
        <x:v>https://dav.gov.vn/quyet-dinh-so-126qd-qld-ve-viec-thu-hoi-so-tiep-nhan-phieu-cong-bo-san-pham-my-pham-dinh-chi-luu-hanh-va-thu-hoi-san-pham-my-pham-theo-kl-cua-hd-my-pham-asean-doi-voi-san-pham-my-pham-co-chua-chat-cyclotetrasiloxane-octamethylcyclotetrasiloxane-n5224.html</x:v>
      </x:c>
      <x:c r="S380" t="str">
        <x:v>Hà Nội</x:v>
      </x:c>
      <x:c r="T380" t="str">
        <x:v>01</x:v>
      </x:c>
    </x:row>
    <x:row r="381">
      <x:c r="A381" t="n">
        <x:v>380</x:v>
      </x:c>
      <x:c r="B381" s="330" t="n">
        <x:v>45594</x:v>
      </x:c>
      <x:c r="C381" s="330" t="n">
        <x:v>46080</x:v>
      </x:c>
      <x:c r="D381" t="n">
        <x:v>2024</x:v>
      </x:c>
      <x:c r="E381" t="n">
        <x:v>10</x:v>
      </x:c>
      <x:c r="F381" t="str">
        <x:v>253961/24/CBMP-QLD</x:v>
      </x:c>
      <x:c r="G381"/>
      <x:c r="H381" t="str">
        <x:v>Jmella In France Lime &amp; Basil Hair Treatment</x:v>
      </x:c>
      <x:c r="I381" t="str">
        <x:v>JMELLA</x:v>
      </x:c>
      <x:c r="J381" t="str">
        <x:v>Khác</x:v>
      </x:c>
      <x:c r="K381"/>
      <x:c r="L381" t="str">
        <x:v>Công ty TNHH THƯƠNG MẠI EGAO VIỆT NAM</x:v>
      </x:c>
      <x:c r="M381" t="str">
        <x:v>Số 19 Bà Triệu, phường Tràng Tiền, quận Hoàn Kiếm, TP. Hà Nội, Việt Nam. Mã số doanh nghiệp: 0107647946</x:v>
      </x:c>
      <x:c r="N381"/>
      <x:c r="O381" t="str">
        <x:v>Thu hồi số tiếp nhận; đình chỉ lưu hành và thu hồi (QĐ 126/QĐ-QLD)</x:v>
      </x:c>
      <x:c r="P381" t="str">
        <x:v>A++ – Cục Quản lý Dược; company responsibility explicit</x:v>
      </x:c>
      <x:c r="Q381" t="str">
        <x:v>QĐ126/2026, STT 275, trang 26.</x:v>
      </x:c>
      <x:c r="R381" t="str">
        <x:v>https://dav.gov.vn/quyet-dinh-so-126qd-qld-ve-viec-thu-hoi-so-tiep-nhan-phieu-cong-bo-san-pham-my-pham-dinh-chi-luu-hanh-va-thu-hoi-san-pham-my-pham-theo-kl-cua-hd-my-pham-asean-doi-voi-san-pham-my-pham-co-chua-chat-cyclotetrasiloxane-octamethylcyclotetrasiloxane-n5224.html</x:v>
      </x:c>
      <x:c r="S381" t="str">
        <x:v>Hà Nội</x:v>
      </x:c>
      <x:c r="T381" t="str">
        <x:v>01</x:v>
      </x:c>
    </x:row>
    <x:row r="382">
      <x:c r="A382" t="n">
        <x:v>381</x:v>
      </x:c>
      <x:c r="B382" s="330" t="n">
        <x:v>45566</x:v>
      </x:c>
      <x:c r="C382" s="330" t="n">
        <x:v>46080</x:v>
      </x:c>
      <x:c r="D382" t="n">
        <x:v>2024</x:v>
      </x:c>
      <x:c r="E382" t="n">
        <x:v>10</x:v>
      </x:c>
      <x:c r="F382" t="str">
        <x:v>251770/24/CBMP-QLD</x:v>
      </x:c>
      <x:c r="G382"/>
      <x:c r="H382" t="str">
        <x:v>Ka'fen Ginger Black Ganoderma Conditioner</x:v>
      </x:c>
      <x:c r="I382" t="str">
        <x:v>KA'FEN</x:v>
      </x:c>
      <x:c r="J382" t="str">
        <x:v>Dầu xả</x:v>
      </x:c>
      <x:c r="K382"/>
      <x:c r="L382" t="str">
        <x:v>Công ty TNHH THƯƠNG MẠI LỤA ĐẠT</x:v>
      </x:c>
      <x:c r="M382" t="str">
        <x:v>Số 36A, ngõ 66 đường Triều Khúc, xã Tân Triều, huyện Thanh Trì, TP. Hà Nội, Việt Nam. Mã số doanh nghiệp: 0106988319</x:v>
      </x:c>
      <x:c r="N382"/>
      <x:c r="O382" t="str">
        <x:v>Thu hồi số tiếp nhận; đình chỉ lưu hành và thu hồi (QĐ 126/QĐ-QLD)</x:v>
      </x:c>
      <x:c r="P382" t="str">
        <x:v>A++ – Cục Quản lý Dược; company responsibility explicit</x:v>
      </x:c>
      <x:c r="Q382" t="str">
        <x:v>QĐ126/2026, STT 276, trang 26.</x:v>
      </x:c>
      <x:c r="R382" t="str">
        <x:v>https://dav.gov.vn/quyet-dinh-so-126qd-qld-ve-viec-thu-hoi-so-tiep-nhan-phieu-cong-bo-san-pham-my-pham-dinh-chi-luu-hanh-va-thu-hoi-san-pham-my-pham-theo-kl-cua-hd-my-pham-asean-doi-voi-san-pham-my-pham-co-chua-chat-cyclotetrasiloxane-octamethylcyclotetrasiloxane-n5224.html</x:v>
      </x:c>
      <x:c r="S382" t="str">
        <x:v>Hà Nội</x:v>
      </x:c>
      <x:c r="T382" t="str">
        <x:v>01</x:v>
      </x:c>
    </x:row>
    <x:row r="383">
      <x:c r="A383" t="n">
        <x:v>382</x:v>
      </x:c>
      <x:c r="B383" s="330" t="n">
        <x:v>44960</x:v>
      </x:c>
      <x:c r="C383" s="330" t="n">
        <x:v>46080</x:v>
      </x:c>
      <x:c r="D383" t="n">
        <x:v>2023</x:v>
      </x:c>
      <x:c r="E383" t="n">
        <x:v>2</x:v>
      </x:c>
      <x:c r="F383" t="str">
        <x:v>194390/23/CBMP-QLD</x:v>
      </x:c>
      <x:c r="G383"/>
      <x:c r="H383" t="str">
        <x:v>Evenswiss Reviving Serum</x:v>
      </x:c>
      <x:c r="I383" t="str">
        <x:v>EVENSWI SS</x:v>
      </x:c>
      <x:c r="J383" t="str">
        <x:v>Serum/Essence da</x:v>
      </x:c>
      <x:c r="K383"/>
      <x:c r="L383" t="str">
        <x:v>Công ty TNHH thương mại toàn cầu HEIMAT</x:v>
      </x:c>
      <x:c r="M383" t="str">
        <x:v>Số 54/5 Nguyễn Bỉnh Khiêm, phường Đa Kao, Quận 1, TP. Hồ Chí Minh, Việt Nam. Mã số doanh nghiệp: 0317357305</x:v>
      </x:c>
      <x:c r="N383"/>
      <x:c r="O383" t="str">
        <x:v>Thu hồi số tiếp nhận; đình chỉ lưu hành và thu hồi (QĐ 126/QĐ-QLD)</x:v>
      </x:c>
      <x:c r="P383" t="str">
        <x:v>A++ – Cục Quản lý Dược; company responsibility explicit</x:v>
      </x:c>
      <x:c r="Q383" t="str">
        <x:v>QĐ126/2026, STT 277, trang 26.</x:v>
      </x:c>
      <x:c r="R383" t="str">
        <x:v>https://dav.gov.vn/quyet-dinh-so-126qd-qld-ve-viec-thu-hoi-so-tiep-nhan-phieu-cong-bo-san-pham-my-pham-dinh-chi-luu-hanh-va-thu-hoi-san-pham-my-pham-theo-kl-cua-hd-my-pham-asean-doi-voi-san-pham-my-pham-co-chua-chat-cyclotetrasiloxane-octamethylcyclotetrasiloxane-n5224.html</x:v>
      </x:c>
      <x:c r="S383" t="str">
        <x:v>TP. Hồ Chí Minh</x:v>
      </x:c>
      <x:c r="T383" t="str">
        <x:v>79</x:v>
      </x:c>
    </x:row>
    <x:row r="384">
      <x:c r="A384" t="n">
        <x:v>383</x:v>
      </x:c>
      <x:c r="B384" s="330" t="n">
        <x:v>45208</x:v>
      </x:c>
      <x:c r="C384" s="330" t="n">
        <x:v>46080</x:v>
      </x:c>
      <x:c r="D384" t="n">
        <x:v>2023</x:v>
      </x:c>
      <x:c r="E384" t="n">
        <x:v>10</x:v>
      </x:c>
      <x:c r="F384" t="str">
        <x:v>213878/23/CBMP-QLD</x:v>
      </x:c>
      <x:c r="G384"/>
      <x:c r="H384" t="str">
        <x:v>Michie Tone Uv</x:v>
      </x:c>
      <x:c r="I384" t="str">
        <x:v>Michie</x:v>
      </x:c>
      <x:c r="J384" t="str">
        <x:v>Khác</x:v>
      </x:c>
      <x:c r="K384"/>
      <x:c r="L384" t="str">
        <x:v>Công ty TNHH thương mại và dịch vụ xuất nhập khẩu NGỌC AN KHANG</x:v>
      </x:c>
      <x:c r="M384" t="str">
        <x:v>Tầng 3 Toà nhà An Huy, số 184 Nguyễn Tuân, phường Nhân Chính, quận Thanh Xuân, TP. Hà Nội, Việt Nam. Mã số doanh nghiệp: 0108613788</x:v>
      </x:c>
      <x:c r="N384"/>
      <x:c r="O384" t="str">
        <x:v>Thu hồi số tiếp nhận; đình chỉ lưu hành và thu hồi (QĐ 126/QĐ-QLD)</x:v>
      </x:c>
      <x:c r="P384" t="str">
        <x:v>A++ – Cục Quản lý Dược; company responsibility explicit</x:v>
      </x:c>
      <x:c r="Q384" t="str">
        <x:v>QĐ126/2026, STT 278, trang 26.</x:v>
      </x:c>
      <x:c r="R384" t="str">
        <x:v>https://dav.gov.vn/quyet-dinh-so-126qd-qld-ve-viec-thu-hoi-so-tiep-nhan-phieu-cong-bo-san-pham-my-pham-dinh-chi-luu-hanh-va-thu-hoi-san-pham-my-pham-theo-kl-cua-hd-my-pham-asean-doi-voi-san-pham-my-pham-co-chua-chat-cyclotetrasiloxane-octamethylcyclotetrasiloxane-n5224.html</x:v>
      </x:c>
      <x:c r="S384" t="str">
        <x:v>Hà Nội</x:v>
      </x:c>
      <x:c r="T384" t="str">
        <x:v>01</x:v>
      </x:c>
    </x:row>
    <x:row r="385">
      <x:c r="A385" t="n">
        <x:v>384</x:v>
      </x:c>
      <x:c r="B385" s="330" t="n">
        <x:v>44831</x:v>
      </x:c>
      <x:c r="C385" s="330" t="n">
        <x:v>46080</x:v>
      </x:c>
      <x:c r="D385" t="n">
        <x:v>2022</x:v>
      </x:c>
      <x:c r="E385" t="n">
        <x:v>9</x:v>
      </x:c>
      <x:c r="F385" t="str">
        <x:v>183802/22/CBMP-QLD</x:v>
      </x:c>
      <x:c r="G385"/>
      <x:c r="H385" t="str">
        <x:v>Clearwave Matte De-Bac Concentrate</x:v>
      </x:c>
      <x:c r="I385" t="str">
        <x:v>BELLEW AVE</x:v>
      </x:c>
      <x:c r="J385" t="str">
        <x:v>Khác</x:v>
      </x:c>
      <x:c r="K385"/>
      <x:c r="L385" t="str">
        <x:v>Công ty TNHH Thương mại và phân phối Camellia</x:v>
      </x:c>
      <x:c r="M385" t="str">
        <x:v>Số 444 Hoàng Hoa Thám, phường Thụy Khuê, quận Tây Hồ, TP. Hà Nội, Việt Nam. Mã số doanh nghiệp: 0107644511</x:v>
      </x:c>
      <x:c r="N385"/>
      <x:c r="O385" t="str">
        <x:v>Thu hồi số tiếp nhận; đình chỉ lưu hành và thu hồi (QĐ 126/QĐ-QLD)</x:v>
      </x:c>
      <x:c r="P385" t="str">
        <x:v>A++ – Cục Quản lý Dược; company responsibility explicit</x:v>
      </x:c>
      <x:c r="Q385" t="str">
        <x:v>QĐ126/2026, STT 279, trang 27.</x:v>
      </x:c>
      <x:c r="R385" t="str">
        <x:v>https://dav.gov.vn/quyet-dinh-so-126qd-qld-ve-viec-thu-hoi-so-tiep-nhan-phieu-cong-bo-san-pham-my-pham-dinh-chi-luu-hanh-va-thu-hoi-san-pham-my-pham-theo-kl-cua-hd-my-pham-asean-doi-voi-san-pham-my-pham-co-chua-chat-cyclotetrasiloxane-octamethylcyclotetrasiloxane-n5224.html</x:v>
      </x:c>
      <x:c r="S385" t="str">
        <x:v>Hà Nội</x:v>
      </x:c>
      <x:c r="T385" t="str">
        <x:v>01</x:v>
      </x:c>
    </x:row>
    <x:row r="386">
      <x:c r="A386" t="n">
        <x:v>385</x:v>
      </x:c>
      <x:c r="B386" s="330" t="n">
        <x:v>45383</x:v>
      </x:c>
      <x:c r="C386" s="330" t="n">
        <x:v>46080</x:v>
      </x:c>
      <x:c r="D386" t="n">
        <x:v>2024</x:v>
      </x:c>
      <x:c r="E386" t="n">
        <x:v>4</x:v>
      </x:c>
      <x:c r="F386" t="str">
        <x:v>231274/24/CBMP-QLD</x:v>
      </x:c>
      <x:c r="G386"/>
      <x:c r="H386" t="str">
        <x:v>Clearwave Matte De-Bac Concentrate</x:v>
      </x:c>
      <x:c r="I386" t="str">
        <x:v>BELLEW AVE</x:v>
      </x:c>
      <x:c r="J386" t="str">
        <x:v>Khác</x:v>
      </x:c>
      <x:c r="K386"/>
      <x:c r="L386" t="str">
        <x:v>Công ty TNHH Thương mại và phân phối Camellia</x:v>
      </x:c>
      <x:c r="M386" t="str">
        <x:v>Số 444 Hoàng Hoa Thám, phường Thụy Khuê, quận Tây Hồ, TP. Hà Nội, Việt Nam. Mã số doanh nghiệp: 0107644511</x:v>
      </x:c>
      <x:c r="N386"/>
      <x:c r="O386" t="str">
        <x:v>Thu hồi số tiếp nhận; đình chỉ lưu hành và thu hồi (QĐ 126/QĐ-QLD)</x:v>
      </x:c>
      <x:c r="P386" t="str">
        <x:v>A++ – Cục Quản lý Dược; company responsibility explicit</x:v>
      </x:c>
      <x:c r="Q386" t="str">
        <x:v>QĐ126/2026, STT 280, trang 27.</x:v>
      </x:c>
      <x:c r="R386" t="str">
        <x:v>https://dav.gov.vn/quyet-dinh-so-126qd-qld-ve-viec-thu-hoi-so-tiep-nhan-phieu-cong-bo-san-pham-my-pham-dinh-chi-luu-hanh-va-thu-hoi-san-pham-my-pham-theo-kl-cua-hd-my-pham-asean-doi-voi-san-pham-my-pham-co-chua-chat-cyclotetrasiloxane-octamethylcyclotetrasiloxane-n5224.html</x:v>
      </x:c>
      <x:c r="S386" t="str">
        <x:v>Hà Nội</x:v>
      </x:c>
      <x:c r="T386" t="str">
        <x:v>01</x:v>
      </x:c>
    </x:row>
    <x:row r="387">
      <x:c r="A387" t="n">
        <x:v>386</x:v>
      </x:c>
      <x:c r="B387" s="330" t="n">
        <x:v>45877</x:v>
      </x:c>
      <x:c r="C387" s="330" t="n">
        <x:v>46080</x:v>
      </x:c>
      <x:c r="D387" t="n">
        <x:v>2025</x:v>
      </x:c>
      <x:c r="E387" t="n">
        <x:v>8</x:v>
      </x:c>
      <x:c r="F387" t="str">
        <x:v>283951/25/CBMP-QLD</x:v>
      </x:c>
      <x:c r="G387"/>
      <x:c r="H387" t="str">
        <x:v>Haaraz Cover Cushion</x:v>
      </x:c>
      <x:c r="I387" t="str">
        <x:v>Haaraz</x:v>
      </x:c>
      <x:c r="J387" t="str">
        <x:v>Khác</x:v>
      </x:c>
      <x:c r="K387"/>
      <x:c r="L387" t="str">
        <x:v>Công ty TNHH thương mại xuất nhập khẩu KIM TÂM</x:v>
      </x:c>
      <x:c r="M387" t="str">
        <x:v>Số 110/20/31 Đường số 30, Phường 6, quận Gò Vấp, TP. Hồ Chí Minh. Mã số doanh nghiệp: 0314968271</x:v>
      </x:c>
      <x:c r="N387"/>
      <x:c r="O387" t="str">
        <x:v>Thu hồi số tiếp nhận; đình chỉ lưu hành và thu hồi (QĐ 126/QĐ-QLD)</x:v>
      </x:c>
      <x:c r="P387" t="str">
        <x:v>A++ – Cục Quản lý Dược; company responsibility explicit</x:v>
      </x:c>
      <x:c r="Q387" t="str">
        <x:v>QĐ126/2026, STT 281, trang 27.</x:v>
      </x:c>
      <x:c r="R387" t="str">
        <x:v>https://dav.gov.vn/quyet-dinh-so-126qd-qld-ve-viec-thu-hoi-so-tiep-nhan-phieu-cong-bo-san-pham-my-pham-dinh-chi-luu-hanh-va-thu-hoi-san-pham-my-pham-theo-kl-cua-hd-my-pham-asean-doi-voi-san-pham-my-pham-co-chua-chat-cyclotetrasiloxane-octamethylcyclotetrasiloxane-n5224.html</x:v>
      </x:c>
      <x:c r="S387" t="str">
        <x:v>TP. Hồ Chí Minh</x:v>
      </x:c>
      <x:c r="T387" t="str">
        <x:v>79</x:v>
      </x:c>
    </x:row>
    <x:row r="388">
      <x:c r="A388" t="n">
        <x:v>387</x:v>
      </x:c>
      <x:c r="B388" s="330" t="n">
        <x:v>45950</x:v>
      </x:c>
      <x:c r="C388" s="330" t="n">
        <x:v>46080</x:v>
      </x:c>
      <x:c r="D388" t="n">
        <x:v>2025</x:v>
      </x:c>
      <x:c r="E388" t="n">
        <x:v>10</x:v>
      </x:c>
      <x:c r="F388" t="str">
        <x:v>295999/25/CBMP-QLD</x:v>
      </x:c>
      <x:c r="G388"/>
      <x:c r="H388" t="str">
        <x:v>Ladamer Cell Clinic Cc Cream</x:v>
      </x:c>
      <x:c r="I388" t="str">
        <x:v>LADAME R</x:v>
      </x:c>
      <x:c r="J388" t="str">
        <x:v>Kem dưỡng da</x:v>
      </x:c>
      <x:c r="K388"/>
      <x:c r="L388" t="str">
        <x:v>Công ty TNHH TM DV CUỘC SỐNG MỚI</x:v>
      </x:c>
      <x:c r="M388" t="str">
        <x:v>335 Vĩnh Viễn, Phường 8, Quận 10, TP. Hồ Chí Minh, Việt Nam. Mã số doanh nghiệp: 0310056820</x:v>
      </x:c>
      <x:c r="N388"/>
      <x:c r="O388" t="str">
        <x:v>Thu hồi số tiếp nhận; đình chỉ lưu hành và thu hồi (QĐ 126/QĐ-QLD)</x:v>
      </x:c>
      <x:c r="P388" t="str">
        <x:v>A++ – Cục Quản lý Dược; company responsibility explicit</x:v>
      </x:c>
      <x:c r="Q388" t="str">
        <x:v>QĐ126/2026, STT 282, trang 27.</x:v>
      </x:c>
      <x:c r="R388" t="str">
        <x:v>https://dav.gov.vn/quyet-dinh-so-126qd-qld-ve-viec-thu-hoi-so-tiep-nhan-phieu-cong-bo-san-pham-my-pham-dinh-chi-luu-hanh-va-thu-hoi-san-pham-my-pham-theo-kl-cua-hd-my-pham-asean-doi-voi-san-pham-my-pham-co-chua-chat-cyclotetrasiloxane-octamethylcyclotetrasiloxane-n5224.html</x:v>
      </x:c>
      <x:c r="S388" t="str">
        <x:v>TP. Hồ Chí Minh</x:v>
      </x:c>
      <x:c r="T388" t="str">
        <x:v>79</x:v>
      </x:c>
    </x:row>
    <x:row r="389">
      <x:c r="A389" t="n">
        <x:v>388</x:v>
      </x:c>
      <x:c r="B389" s="330" t="n">
        <x:v>44824</x:v>
      </x:c>
      <x:c r="C389" s="330" t="n">
        <x:v>46080</x:v>
      </x:c>
      <x:c r="D389" t="n">
        <x:v>2022</x:v>
      </x:c>
      <x:c r="E389" t="n">
        <x:v>9</x:v>
      </x:c>
      <x:c r="F389" t="str">
        <x:v>182664/22/CBMP-QLD</x:v>
      </x:c>
      <x:c r="G389"/>
      <x:c r="H389" t="str">
        <x:v>Haracell Perfect Cover Blemish Balm</x:v>
      </x:c>
      <x:c r="I389" t="str">
        <x:v>HARACE LL</x:v>
      </x:c>
      <x:c r="J389" t="str">
        <x:v>Khác</x:v>
      </x:c>
      <x:c r="K389"/>
      <x:c r="L389" t="str">
        <x:v>Công ty TNHH TỰ NHIÊN XANH XANH</x:v>
      </x:c>
      <x:c r="M389" t="str">
        <x:v>R4-54 Mỹ Toàn 2, phường Tân Phong, Quận 7, TP. Hồ Chí Minh, Việt Nam. Mã số doanh nghiệp: 0316903992</x:v>
      </x:c>
      <x:c r="N389"/>
      <x:c r="O389" t="str">
        <x:v>Thu hồi số tiếp nhận; đình chỉ lưu hành và thu hồi (QĐ 126/QĐ-QLD)</x:v>
      </x:c>
      <x:c r="P389" t="str">
        <x:v>A++ – Cục Quản lý Dược; company responsibility explicit</x:v>
      </x:c>
      <x:c r="Q389" t="str">
        <x:v>QĐ126/2026, STT 283, trang 27.</x:v>
      </x:c>
      <x:c r="R389" t="str">
        <x:v>https://dav.gov.vn/quyet-dinh-so-126qd-qld-ve-viec-thu-hoi-so-tiep-nhan-phieu-cong-bo-san-pham-my-pham-dinh-chi-luu-hanh-va-thu-hoi-san-pham-my-pham-theo-kl-cua-hd-my-pham-asean-doi-voi-san-pham-my-pham-co-chua-chat-cyclotetrasiloxane-octamethylcyclotetrasiloxane-n5224.html</x:v>
      </x:c>
      <x:c r="S389" t="str">
        <x:v>TP. Hồ Chí Minh</x:v>
      </x:c>
      <x:c r="T389" t="str">
        <x:v>79</x:v>
      </x:c>
    </x:row>
    <x:row r="390">
      <x:c r="A390" t="n">
        <x:v>389</x:v>
      </x:c>
      <x:c r="B390" s="330" t="n">
        <x:v>45848</x:v>
      </x:c>
      <x:c r="C390" s="330" t="n">
        <x:v>46080</x:v>
      </x:c>
      <x:c r="D390" t="n">
        <x:v>2025</x:v>
      </x:c>
      <x:c r="E390" t="n">
        <x:v>7</x:v>
      </x:c>
      <x:c r="F390" t="str">
        <x:v>280640/25/CBMP-QLD</x:v>
      </x:c>
      <x:c r="G390"/>
      <x:c r="H390" t="str">
        <x:v>It's A 10 Potion Miracle Shampoo</x:v>
      </x:c>
      <x:c r="I390" t="str">
        <x:v>IT'S A 10</x:v>
      </x:c>
      <x:c r="J390" t="str">
        <x:v>Dầu gội</x:v>
      </x:c>
      <x:c r="K390"/>
      <x:c r="L390" t="str">
        <x:v>Công ty TNHH tư vấn làm đẹp trực tuyến - Online Beauty Consultant Company Limited</x:v>
      </x:c>
      <x:c r="M390" t="str">
        <x:v>Số 116 Từ Hoa, phường Quảng An, quận Tây Hồ, TP. Hà Nội, Việt Nam. Mã số doanh nghiệp: 0109742641</x:v>
      </x:c>
      <x:c r="N390"/>
      <x:c r="O390" t="str">
        <x:v>Thu hồi số tiếp nhận; đình chỉ lưu hành và thu hồi (QĐ 126/QĐ-QLD)</x:v>
      </x:c>
      <x:c r="P390" t="str">
        <x:v>A++ – Cục Quản lý Dược; company responsibility explicit</x:v>
      </x:c>
      <x:c r="Q390" t="str">
        <x:v>QĐ126/2026, STT 284, trang 27.</x:v>
      </x:c>
      <x:c r="R390" t="str">
        <x:v>https://dav.gov.vn/quyet-dinh-so-126qd-qld-ve-viec-thu-hoi-so-tiep-nhan-phieu-cong-bo-san-pham-my-pham-dinh-chi-luu-hanh-va-thu-hoi-san-pham-my-pham-theo-kl-cua-hd-my-pham-asean-doi-voi-san-pham-my-pham-co-chua-chat-cyclotetrasiloxane-octamethylcyclotetrasiloxane-n5224.html</x:v>
      </x:c>
      <x:c r="S390" t="str">
        <x:v>Hà Nội</x:v>
      </x:c>
      <x:c r="T390" t="str">
        <x:v>01</x:v>
      </x:c>
    </x:row>
    <x:row r="391">
      <x:c r="A391" t="n">
        <x:v>390</x:v>
      </x:c>
      <x:c r="B391" s="330" t="n">
        <x:v>45194</x:v>
      </x:c>
      <x:c r="C391" s="330" t="n">
        <x:v>46080</x:v>
      </x:c>
      <x:c r="D391" t="n">
        <x:v>2023</x:v>
      </x:c>
      <x:c r="E391" t="n">
        <x:v>9</x:v>
      </x:c>
      <x:c r="F391" t="str">
        <x:v>212424/23/CBMP-QLD</x:v>
      </x:c>
      <x:c r="G391"/>
      <x:c r="H391" t="str">
        <x:v>Nuspa Anti Hair Loss Shampoo</x:v>
      </x:c>
      <x:c r="I391" t="str">
        <x:v>NUSPA</x:v>
      </x:c>
      <x:c r="J391" t="str">
        <x:v>Dầu gội</x:v>
      </x:c>
      <x:c r="K391"/>
      <x:c r="L391" t="str">
        <x:v>Công ty TNHH XUÂN THÌ</x:v>
      </x:c>
      <x:c r="M391" t="str">
        <x:v>Nhà A46-TT3 Khu đô thị Văn Quán, phường Phúc La, quận Hà Đông, TP. Hà Nội, Việt Nam. Mã số doanh nghiệp: 105304125</x:v>
      </x:c>
      <x:c r="N391"/>
      <x:c r="O391" t="str">
        <x:v>Thu hồi số tiếp nhận; đình chỉ lưu hành và thu hồi (QĐ 126/QĐ-QLD)</x:v>
      </x:c>
      <x:c r="P391" t="str">
        <x:v>A++ – Cục Quản lý Dược; company responsibility explicit</x:v>
      </x:c>
      <x:c r="Q391" t="str">
        <x:v>QĐ126/2026, STT 285, trang 27.</x:v>
      </x:c>
      <x:c r="R391" t="str">
        <x:v>https://dav.gov.vn/quyet-dinh-so-126qd-qld-ve-viec-thu-hoi-so-tiep-nhan-phieu-cong-bo-san-pham-my-pham-dinh-chi-luu-hanh-va-thu-hoi-san-pham-my-pham-theo-kl-cua-hd-my-pham-asean-doi-voi-san-pham-my-pham-co-chua-chat-cyclotetrasiloxane-octamethylcyclotetrasiloxane-n5224.html</x:v>
      </x:c>
      <x:c r="S391" t="str">
        <x:v>Hà Nội</x:v>
      </x:c>
      <x:c r="T391" t="str">
        <x:v>01</x:v>
      </x:c>
    </x:row>
    <x:row r="392">
      <x:c r="A392" t="n">
        <x:v>391</x:v>
      </x:c>
      <x:c r="B392" s="330" t="n">
        <x:v>44789</x:v>
      </x:c>
      <x:c r="C392" s="330" t="n">
        <x:v>46080</x:v>
      </x:c>
      <x:c r="D392" t="n">
        <x:v>2022</x:v>
      </x:c>
      <x:c r="E392" t="n">
        <x:v>8</x:v>
      </x:c>
      <x:c r="F392" t="str">
        <x:v>177964/22/CBMP-QLD</x:v>
      </x:c>
      <x:c r="G392"/>
      <x:c r="H392" t="str">
        <x:v>Ecosy Intensive Body Gel</x:v>
      </x:c>
      <x:c r="I392" t="str">
        <x:v>ECOSY</x:v>
      </x:c>
      <x:c r="J392" t="str">
        <x:v>Khác</x:v>
      </x:c>
      <x:c r="K392"/>
      <x:c r="L392" t="str">
        <x:v>Công ty TNHH xuất nhập khẩu và phân phối HÀN QUỐC</x:v>
      </x:c>
      <x:c r="M392" t="str">
        <x:v>164 Lê Cao Lãng, phường Phú Thạnh, quận Tân Phú, TP. Hồ Chí Minh, Việt Nam. Mã số doanh nghiệp: 0315220217</x:v>
      </x:c>
      <x:c r="N392"/>
      <x:c r="O392" t="str">
        <x:v>Thu hồi số tiếp nhận; đình chỉ lưu hành và thu hồi (QĐ 126/QĐ-QLD)</x:v>
      </x:c>
      <x:c r="P392" t="str">
        <x:v>A++ – Cục Quản lý Dược; company responsibility explicit</x:v>
      </x:c>
      <x:c r="Q392" t="str">
        <x:v>QĐ126/2026, STT 289, trang 27.</x:v>
      </x:c>
      <x:c r="R392" t="str">
        <x:v>https://dav.gov.vn/quyet-dinh-so-126qd-qld-ve-viec-thu-hoi-so-tiep-nhan-phieu-cong-bo-san-pham-my-pham-dinh-chi-luu-hanh-va-thu-hoi-san-pham-my-pham-theo-kl-cua-hd-my-pham-asean-doi-voi-san-pham-my-pham-co-chua-chat-cyclotetrasiloxane-octamethylcyclotetrasiloxane-n5224.html</x:v>
      </x:c>
      <x:c r="S392" t="str">
        <x:v>TP. Hồ Chí Minh</x:v>
      </x:c>
      <x:c r="T392" t="str">
        <x:v>79</x:v>
      </x:c>
    </x:row>
    <x:row r="393">
      <x:c r="A393" t="n">
        <x:v>392</x:v>
      </x:c>
      <x:c r="B393" s="330" t="n">
        <x:v>45541</x:v>
      </x:c>
      <x:c r="C393" s="330" t="n">
        <x:v>46080</x:v>
      </x:c>
      <x:c r="D393" t="n">
        <x:v>2024</x:v>
      </x:c>
      <x:c r="E393" t="n">
        <x:v>9</x:v>
      </x:c>
      <x:c r="F393" t="str">
        <x:v>248784/24/CBMP-QLD</x:v>
      </x:c>
      <x:c r="G393"/>
      <x:c r="H393" t="str">
        <x:v>Vemontes Veloof Super Varriel Cream</x:v>
      </x:c>
      <x:c r="I393" t="str">
        <x:v>VEMONT ES</x:v>
      </x:c>
      <x:c r="J393" t="str">
        <x:v>Kem dưỡng da</x:v>
      </x:c>
      <x:c r="K393"/>
      <x:c r="L393" t="str">
        <x:v>Công ty TNHH ZION AND THE BEAUTY VIETNAM</x:v>
      </x:c>
      <x:c r="M393" t="str">
        <x:v>Số 26 phố Dương Đình Nghệ, phường Yên Hoà, quận Cầu Giấy, TP. Hà Nội, Việt Nam. Mã số doanh nghiệp: 0109584089</x:v>
      </x:c>
      <x:c r="N393"/>
      <x:c r="O393" t="str">
        <x:v>Thu hồi số tiếp nhận; đình chỉ lưu hành và thu hồi (QĐ 126/QĐ-QLD)</x:v>
      </x:c>
      <x:c r="P393" t="str">
        <x:v>A++ – Cục Quản lý Dược; company responsibility explicit</x:v>
      </x:c>
      <x:c r="Q393" t="str">
        <x:v>QĐ126/2026, STT 290, trang 28.</x:v>
      </x:c>
      <x:c r="R393" t="str">
        <x:v>https://dav.gov.vn/quyet-dinh-so-126qd-qld-ve-viec-thu-hoi-so-tiep-nhan-phieu-cong-bo-san-pham-my-pham-dinh-chi-luu-hanh-va-thu-hoi-san-pham-my-pham-theo-kl-cua-hd-my-pham-asean-doi-voi-san-pham-my-pham-co-chua-chat-cyclotetrasiloxane-octamethylcyclotetrasiloxane-n5224.html</x:v>
      </x:c>
      <x:c r="S393" t="str">
        <x:v>Hà Nội</x:v>
      </x:c>
      <x:c r="T393" t="str">
        <x:v>01</x:v>
      </x:c>
    </x:row>
    <x:row r="394">
      <x:c r="A394" t="n">
        <x:v>393</x:v>
      </x:c>
      <x:c r="B394" s="330" t="n">
        <x:v>44580</x:v>
      </x:c>
      <x:c r="C394" s="330" t="n">
        <x:v>46080</x:v>
      </x:c>
      <x:c r="D394" t="n">
        <x:v>2022</x:v>
      </x:c>
      <x:c r="E394" t="n">
        <x:v>1</x:v>
      </x:c>
      <x:c r="F394" t="str">
        <x:v>165076/22/CBMP-QLD</x:v>
      </x:c>
      <x:c r="G394"/>
      <x:c r="H394" t="str">
        <x:v>Bio Essence Bio-Gold Golden Ratio Double Serum</x:v>
      </x:c>
      <x:c r="I394" t="str">
        <x:v>BIO ESSENCE</x:v>
      </x:c>
      <x:c r="J394" t="str">
        <x:v>Serum/Essence da</x:v>
      </x:c>
      <x:c r="K394"/>
      <x:c r="L394" t="str">
        <x:v>Công ty trách nhiệm hữu hạn WIPRO CONSUMER CARE VIỆT NAM</x:v>
      </x:c>
      <x:c r="M394" t="str">
        <x:v>Số 7, Đường số 4, Khu công nghiệp Việt Nam - Singapore, phường Bình Hòa, TP. Thuận An, tỉnh Bình Dương, Việt Nam. Mã số doanh nghiệp: 3700262165</x:v>
      </x:c>
      <x:c r="N394"/>
      <x:c r="O394" t="str">
        <x:v>Thu hồi số tiếp nhận; đình chỉ lưu hành và thu hồi (QĐ 126/QĐ-QLD)</x:v>
      </x:c>
      <x:c r="P394" t="str">
        <x:v>A++ – Cục Quản lý Dược; company responsibility explicit</x:v>
      </x:c>
      <x:c r="Q394" t="str">
        <x:v>QĐ126/2026, STT 291, trang 28.</x:v>
      </x:c>
      <x:c r="R394" t="str">
        <x:v>https://dav.gov.vn/quyet-dinh-so-126qd-qld-ve-viec-thu-hoi-so-tiep-nhan-phieu-cong-bo-san-pham-my-pham-dinh-chi-luu-hanh-va-thu-hoi-san-pham-my-pham-theo-kl-cua-hd-my-pham-asean-doi-voi-san-pham-my-pham-co-chua-chat-cyclotetrasiloxane-octamethylcyclotetrasiloxane-n5224.html</x:v>
      </x:c>
      <x:c r="S394" t="str">
        <x:v>TP. Hồ Chí Minh</x:v>
      </x:c>
      <x:c r="T394" t="str">
        <x:v>79</x:v>
      </x:c>
    </x:row>
    <x:row r="395">
      <x:c r="A395" t="n">
        <x:v>394</x:v>
      </x:c>
      <x:c r="B395" s="330"/>
      <x:c r="C395" s="330" t="n">
        <x:v>46155</x:v>
      </x:c>
      <x:c r="D395" t="n">
        <x:v>2022</x:v>
      </x:c>
      <x:c r="E395"/>
      <x:c r="F395" t="str">
        <x:v>11594/22/CBMP-HN</x:v>
      </x:c>
      <x:c r="G395"/>
      <x:c r="H395" t="str">
        <x:v>Nước tài lộc</x:v>
      </x:c>
      <x:c r="I395"/>
      <x:c r="J395" t="str">
        <x:v>Khác</x:v>
      </x:c>
      <x:c r="K395"/>
      <x:c r="L395" t="str">
        <x:v>Công ty cổ phần sản xuất và thương mại Bio Cosmetics</x:v>
      </x:c>
      <x:c r="M395"/>
      <x:c r="N395" t="str">
        <x:v>Công ty TNHH mỹ phẩm Việt Hương</x:v>
      </x:c>
      <x:c r="O395" t="str">
        <x:v>Đình chỉ lưu hành, thu hồi và tiêu hủy – Công văn 1772/QLD-MP</x:v>
      </x:c>
      <x:c r="P395" t="str">
        <x:v>A++ – Cục Quản lý Dược; tổ chức chịu trách nhiệm explicit</x:v>
      </x:c>
      <x:c r="Q395" t="str">
        <x:v>Phụ lục 511 sản phẩm, STT 11, trang 3. Công ty Việt Hương là cơ sở sản xuất; cột tổ chức chịu trách nhiệm lấy nguyên văn từ phụ lục.</x:v>
      </x:c>
      <x:c r="R395" t="str">
        <x:v>https://dav.gov.vn/cong-van-so-1772qld-mp-ve-viec-dinh-chi-luu-hanh-thu-hoi-va-tieu-huy-my-pham-vi-pham-cong-ty-tnhh-my-pham-viet-huong-n5334.html</x:v>
      </x:c>
      <x:c r="S395" t="str">
        <x:v>Hà Nội</x:v>
      </x:c>
      <x:c r="T395" t="str">
        <x:v>01</x:v>
      </x:c>
    </x:row>
    <x:row r="396">
      <x:c r="A396" t="n">
        <x:v>395</x:v>
      </x:c>
      <x:c r="B396" s="330"/>
      <x:c r="C396" s="330" t="n">
        <x:v>46155</x:v>
      </x:c>
      <x:c r="D396" t="n">
        <x:v>2022</x:v>
      </x:c>
      <x:c r="E396"/>
      <x:c r="F396" t="str">
        <x:v>11595/22/CBMP-HN</x:v>
      </x:c>
      <x:c r="G396"/>
      <x:c r="H396" t="str">
        <x:v>Sữa tắm tài lộc</x:v>
      </x:c>
      <x:c r="I396"/>
      <x:c r="J396" t="str">
        <x:v>Sữa tắm/Gel tắm</x:v>
      </x:c>
      <x:c r="K396"/>
      <x:c r="L396" t="str">
        <x:v>Công ty cổ phần sản xuất và thương mại Bio Cosmetics</x:v>
      </x:c>
      <x:c r="M396"/>
      <x:c r="N396" t="str">
        <x:v>Công ty TNHH mỹ phẩm Việt Hương</x:v>
      </x:c>
      <x:c r="O396" t="str">
        <x:v>Đình chỉ lưu hành, thu hồi và tiêu hủy – Công văn 1772/QLD-MP</x:v>
      </x:c>
      <x:c r="P396" t="str">
        <x:v>A++ – Cục Quản lý Dược; tổ chức chịu trách nhiệm explicit</x:v>
      </x:c>
      <x:c r="Q396" t="str">
        <x:v>Phụ lục 511 sản phẩm, STT 12, trang 3. Công ty Việt Hương là cơ sở sản xuất; cột tổ chức chịu trách nhiệm lấy nguyên văn từ phụ lục.</x:v>
      </x:c>
      <x:c r="R396" t="str">
        <x:v>https://dav.gov.vn/cong-van-so-1772qld-mp-ve-viec-dinh-chi-luu-hanh-thu-hoi-va-tieu-huy-my-pham-vi-pham-cong-ty-tnhh-my-pham-viet-huong-n5334.html</x:v>
      </x:c>
      <x:c r="S396" t="str">
        <x:v>Hà Nội</x:v>
      </x:c>
      <x:c r="T396" t="str">
        <x:v>01</x:v>
      </x:c>
    </x:row>
    <x:row r="397">
      <x:c r="A397" t="n">
        <x:v>396</x:v>
      </x:c>
      <x:c r="B397" s="330"/>
      <x:c r="C397" s="330" t="n">
        <x:v>46155</x:v>
      </x:c>
      <x:c r="D397" t="n">
        <x:v>2022</x:v>
      </x:c>
      <x:c r="E397"/>
      <x:c r="F397" t="str">
        <x:v>11726/22/CBMP-HN</x:v>
      </x:c>
      <x:c r="G397"/>
      <x:c r="H397" t="str">
        <x:v>Serum 9 Days</x:v>
      </x:c>
      <x:c r="I397"/>
      <x:c r="J397" t="str">
        <x:v>Serum/Essence da</x:v>
      </x:c>
      <x:c r="K397"/>
      <x:c r="L397" t="str">
        <x:v>Công ty cổ phần sản xuất và thương mại Bio Cosmetics</x:v>
      </x:c>
      <x:c r="M397"/>
      <x:c r="N397" t="str">
        <x:v>Công ty TNHH mỹ phẩm Việt Hương</x:v>
      </x:c>
      <x:c r="O397" t="str">
        <x:v>Đình chỉ lưu hành, thu hồi và tiêu hủy – Công văn 1772/QLD-MP</x:v>
      </x:c>
      <x:c r="P397" t="str">
        <x:v>A++ – Cục Quản lý Dược; tổ chức chịu trách nhiệm explicit</x:v>
      </x:c>
      <x:c r="Q397" t="str">
        <x:v>Phụ lục 511 sản phẩm, STT 13, trang 3. Công ty Việt Hương là cơ sở sản xuất; cột tổ chức chịu trách nhiệm lấy nguyên văn từ phụ lục.</x:v>
      </x:c>
      <x:c r="R397" t="str">
        <x:v>https://dav.gov.vn/cong-van-so-1772qld-mp-ve-viec-dinh-chi-luu-hanh-thu-hoi-va-tieu-huy-my-pham-vi-pham-cong-ty-tnhh-my-pham-viet-huong-n5334.html</x:v>
      </x:c>
      <x:c r="S397" t="str">
        <x:v>Hà Nội</x:v>
      </x:c>
      <x:c r="T397" t="str">
        <x:v>01</x:v>
      </x:c>
    </x:row>
    <x:row r="398">
      <x:c r="A398" t="n">
        <x:v>397</x:v>
      </x:c>
      <x:c r="B398" s="330"/>
      <x:c r="C398" s="330" t="n">
        <x:v>46155</x:v>
      </x:c>
      <x:c r="D398" t="n">
        <x:v>2022</x:v>
      </x:c>
      <x:c r="E398"/>
      <x:c r="F398" t="str">
        <x:v>12058/22/CBMP-HN</x:v>
      </x:c>
      <x:c r="G398"/>
      <x:c r="H398" t="str">
        <x:v>Tinh chất nám</x:v>
      </x:c>
      <x:c r="I398"/>
      <x:c r="J398" t="str">
        <x:v>Serum/Essence da</x:v>
      </x:c>
      <x:c r="K398"/>
      <x:c r="L398" t="str">
        <x:v>Công ty cổ phần sản xuất và thương mại Bio Cosmetics</x:v>
      </x:c>
      <x:c r="M398"/>
      <x:c r="N398" t="str">
        <x:v>Công ty TNHH mỹ phẩm Việt Hương</x:v>
      </x:c>
      <x:c r="O398" t="str">
        <x:v>Đình chỉ lưu hành, thu hồi và tiêu hủy – Công văn 1772/QLD-MP</x:v>
      </x:c>
      <x:c r="P398" t="str">
        <x:v>A++ – Cục Quản lý Dược; tổ chức chịu trách nhiệm explicit</x:v>
      </x:c>
      <x:c r="Q398" t="str">
        <x:v>Phụ lục 511 sản phẩm, STT 14, trang 3. Công ty Việt Hương là cơ sở sản xuất; cột tổ chức chịu trách nhiệm lấy nguyên văn từ phụ lục.</x:v>
      </x:c>
      <x:c r="R398" t="str">
        <x:v>https://dav.gov.vn/cong-van-so-1772qld-mp-ve-viec-dinh-chi-luu-hanh-thu-hoi-va-tieu-huy-my-pham-vi-pham-cong-ty-tnhh-my-pham-viet-huong-n5334.html</x:v>
      </x:c>
      <x:c r="S398" t="str">
        <x:v>Hà Nội</x:v>
      </x:c>
      <x:c r="T398" t="str">
        <x:v>01</x:v>
      </x:c>
    </x:row>
    <x:row r="399">
      <x:c r="A399" t="n">
        <x:v>398</x:v>
      </x:c>
      <x:c r="B399" s="330"/>
      <x:c r="C399" s="330" t="n">
        <x:v>46155</x:v>
      </x:c>
      <x:c r="D399" t="n">
        <x:v>2022</x:v>
      </x:c>
      <x:c r="E399"/>
      <x:c r="F399" t="str">
        <x:v>12171/22/CBMP-HN</x:v>
      </x:c>
      <x:c r="G399"/>
      <x:c r="H399" t="str">
        <x:v>Kem dưỡng</x:v>
      </x:c>
      <x:c r="I399"/>
      <x:c r="J399" t="str">
        <x:v>Kem dưỡng da</x:v>
      </x:c>
      <x:c r="K399"/>
      <x:c r="L399" t="str">
        <x:v>Công ty cổ phần sản xuất và thương mại Bio Cosmetics</x:v>
      </x:c>
      <x:c r="M399"/>
      <x:c r="N399" t="str">
        <x:v>Công ty TNHH mỹ phẩm Việt Hương</x:v>
      </x:c>
      <x:c r="O399" t="str">
        <x:v>Đình chỉ lưu hành, thu hồi và tiêu hủy – Công văn 1772/QLD-MP</x:v>
      </x:c>
      <x:c r="P399" t="str">
        <x:v>A++ – Cục Quản lý Dược; tổ chức chịu trách nhiệm explicit</x:v>
      </x:c>
      <x:c r="Q399" t="str">
        <x:v>Phụ lục 511 sản phẩm, STT 15, trang 3. Công ty Việt Hương là cơ sở sản xuất; cột tổ chức chịu trách nhiệm lấy nguyên văn từ phụ lục.</x:v>
      </x:c>
      <x:c r="R399" t="str">
        <x:v>https://dav.gov.vn/cong-van-so-1772qld-mp-ve-viec-dinh-chi-luu-hanh-thu-hoi-va-tieu-huy-my-pham-vi-pham-cong-ty-tnhh-my-pham-viet-huong-n5334.html</x:v>
      </x:c>
      <x:c r="S399" t="str">
        <x:v>Hà Nội</x:v>
      </x:c>
      <x:c r="T399" t="str">
        <x:v>01</x:v>
      </x:c>
    </x:row>
    <x:row r="400">
      <x:c r="A400" t="n">
        <x:v>399</x:v>
      </x:c>
      <x:c r="B400" s="330"/>
      <x:c r="C400" s="330" t="n">
        <x:v>46155</x:v>
      </x:c>
      <x:c r="D400" t="n">
        <x:v>2022</x:v>
      </x:c>
      <x:c r="E400"/>
      <x:c r="F400" t="str">
        <x:v>12348/22/CBMP-HN</x:v>
      </x:c>
      <x:c r="G400"/>
      <x:c r="H400" t="str">
        <x:v>Serum hôi nách</x:v>
      </x:c>
      <x:c r="I400"/>
      <x:c r="J400" t="str">
        <x:v>Khử mùi</x:v>
      </x:c>
      <x:c r="K400"/>
      <x:c r="L400" t="str">
        <x:v>Công ty cổ phần sản xuất và thương mại Bio Cosmetics</x:v>
      </x:c>
      <x:c r="M400"/>
      <x:c r="N400" t="str">
        <x:v>Công ty TNHH mỹ phẩm Việt Hương</x:v>
      </x:c>
      <x:c r="O400" t="str">
        <x:v>Đình chỉ lưu hành, thu hồi và tiêu hủy – Công văn 1772/QLD-MP</x:v>
      </x:c>
      <x:c r="P400" t="str">
        <x:v>A++ – Cục Quản lý Dược; tổ chức chịu trách nhiệm explicit</x:v>
      </x:c>
      <x:c r="Q400" t="str">
        <x:v>Phụ lục 511 sản phẩm, STT 16, trang 3. Công ty Việt Hương là cơ sở sản xuất; cột tổ chức chịu trách nhiệm lấy nguyên văn từ phụ lục.</x:v>
      </x:c>
      <x:c r="R400" t="str">
        <x:v>https://dav.gov.vn/cong-van-so-1772qld-mp-ve-viec-dinh-chi-luu-hanh-thu-hoi-va-tieu-huy-my-pham-vi-pham-cong-ty-tnhh-my-pham-viet-huong-n5334.html</x:v>
      </x:c>
      <x:c r="S400" t="str">
        <x:v>Hà Nội</x:v>
      </x:c>
      <x:c r="T400" t="str">
        <x:v>01</x:v>
      </x:c>
    </x:row>
    <x:row r="401">
      <x:c r="A401" t="n">
        <x:v>400</x:v>
      </x:c>
      <x:c r="B401" s="330"/>
      <x:c r="C401" s="330" t="n">
        <x:v>46155</x:v>
      </x:c>
      <x:c r="D401" t="n">
        <x:v>2022</x:v>
      </x:c>
      <x:c r="E401"/>
      <x:c r="F401" t="str">
        <x:v>12349/22/CBMP-HN</x:v>
      </x:c>
      <x:c r="G401"/>
      <x:c r="H401" t="str">
        <x:v>Dầu gội phủ bạc</x:v>
      </x:c>
      <x:c r="I401"/>
      <x:c r="J401" t="str">
        <x:v>Dầu gội</x:v>
      </x:c>
      <x:c r="K401"/>
      <x:c r="L401" t="str">
        <x:v>Công ty cổ phần sản xuất và thương mại Bio Cosmetics</x:v>
      </x:c>
      <x:c r="M401"/>
      <x:c r="N401" t="str">
        <x:v>Công ty TNHH mỹ phẩm Việt Hương</x:v>
      </x:c>
      <x:c r="O401" t="str">
        <x:v>Đình chỉ lưu hành, thu hồi và tiêu hủy – Công văn 1772/QLD-MP</x:v>
      </x:c>
      <x:c r="P401" t="str">
        <x:v>A++ – Cục Quản lý Dược; tổ chức chịu trách nhiệm explicit</x:v>
      </x:c>
      <x:c r="Q401" t="str">
        <x:v>Phụ lục 511 sản phẩm, STT 17, trang 3. Công ty Việt Hương là cơ sở sản xuất; cột tổ chức chịu trách nhiệm lấy nguyên văn từ phụ lục.</x:v>
      </x:c>
      <x:c r="R401" t="str">
        <x:v>https://dav.gov.vn/cong-van-so-1772qld-mp-ve-viec-dinh-chi-luu-hanh-thu-hoi-va-tieu-huy-my-pham-vi-pham-cong-ty-tnhh-my-pham-viet-huong-n5334.html</x:v>
      </x:c>
      <x:c r="S401" t="str">
        <x:v>Hà Nội</x:v>
      </x:c>
      <x:c r="T401" t="str">
        <x:v>01</x:v>
      </x:c>
    </x:row>
    <x:row r="402">
      <x:c r="A402" t="n">
        <x:v>401</x:v>
      </x:c>
      <x:c r="B402" s="330"/>
      <x:c r="C402" s="330" t="n">
        <x:v>46155</x:v>
      </x:c>
      <x:c r="D402" t="n">
        <x:v>2022</x:v>
      </x:c>
      <x:c r="E402"/>
      <x:c r="F402" t="str">
        <x:v>12710/22/CBMP-HN</x:v>
      </x:c>
      <x:c r="G402"/>
      <x:c r="H402" t="str">
        <x:v>Curcumin Mask</x:v>
      </x:c>
      <x:c r="I402"/>
      <x:c r="J402" t="str">
        <x:v>Mặt nạ</x:v>
      </x:c>
      <x:c r="K402"/>
      <x:c r="L402" t="str">
        <x:v>Công ty cổ phần sản xuất và thương mại Bio Cosmetics</x:v>
      </x:c>
      <x:c r="M402"/>
      <x:c r="N402" t="str">
        <x:v>Công ty TNHH mỹ phẩm Việt Hương</x:v>
      </x:c>
      <x:c r="O402" t="str">
        <x:v>Đình chỉ lưu hành, thu hồi và tiêu hủy – Công văn 1772/QLD-MP</x:v>
      </x:c>
      <x:c r="P402" t="str">
        <x:v>A++ – Cục Quản lý Dược; tổ chức chịu trách nhiệm explicit</x:v>
      </x:c>
      <x:c r="Q402" t="str">
        <x:v>Phụ lục 511 sản phẩm, STT 18, trang 3. Công ty Việt Hương là cơ sở sản xuất; cột tổ chức chịu trách nhiệm lấy nguyên văn từ phụ lục.</x:v>
      </x:c>
      <x:c r="R402" t="str">
        <x:v>https://dav.gov.vn/cong-van-so-1772qld-mp-ve-viec-dinh-chi-luu-hanh-thu-hoi-va-tieu-huy-my-pham-vi-pham-cong-ty-tnhh-my-pham-viet-huong-n5334.html</x:v>
      </x:c>
      <x:c r="S402" t="str">
        <x:v>Hà Nội</x:v>
      </x:c>
      <x:c r="T402" t="str">
        <x:v>01</x:v>
      </x:c>
    </x:row>
    <x:row r="403">
      <x:c r="A403" t="n">
        <x:v>402</x:v>
      </x:c>
      <x:c r="B403" s="330"/>
      <x:c r="C403" s="330" t="n">
        <x:v>46155</x:v>
      </x:c>
      <x:c r="D403" t="n">
        <x:v>2022</x:v>
      </x:c>
      <x:c r="E403"/>
      <x:c r="F403" t="str">
        <x:v>12574/22/CBMP-HN</x:v>
      </x:c>
      <x:c r="G403"/>
      <x:c r="H403" t="str">
        <x:v>Serum tái tạo da X2</x:v>
      </x:c>
      <x:c r="I403"/>
      <x:c r="J403" t="str">
        <x:v>Serum/Essence da</x:v>
      </x:c>
      <x:c r="K403"/>
      <x:c r="L403" t="str">
        <x:v>Công ty cổ phần sản xuất và thương mại Bio Cosmetics</x:v>
      </x:c>
      <x:c r="M403"/>
      <x:c r="N403" t="str">
        <x:v>Công ty TNHH mỹ phẩm Việt Hương</x:v>
      </x:c>
      <x:c r="O403" t="str">
        <x:v>Đình chỉ lưu hành, thu hồi và tiêu hủy – Công văn 1772/QLD-MP</x:v>
      </x:c>
      <x:c r="P403" t="str">
        <x:v>A++ – Cục Quản lý Dược; tổ chức chịu trách nhiệm explicit</x:v>
      </x:c>
      <x:c r="Q403" t="str">
        <x:v>Phụ lục 511 sản phẩm, STT 19, trang 3. Công ty Việt Hương là cơ sở sản xuất; cột tổ chức chịu trách nhiệm lấy nguyên văn từ phụ lục.</x:v>
      </x:c>
      <x:c r="R403" t="str">
        <x:v>https://dav.gov.vn/cong-van-so-1772qld-mp-ve-viec-dinh-chi-luu-hanh-thu-hoi-va-tieu-huy-my-pham-vi-pham-cong-ty-tnhh-my-pham-viet-huong-n5334.html</x:v>
      </x:c>
      <x:c r="S403" t="str">
        <x:v>Hà Nội</x:v>
      </x:c>
      <x:c r="T403" t="str">
        <x:v>01</x:v>
      </x:c>
    </x:row>
    <x:row r="404">
      <x:c r="A404" t="n">
        <x:v>403</x:v>
      </x:c>
      <x:c r="B404" s="330"/>
      <x:c r="C404" s="330" t="n">
        <x:v>46155</x:v>
      </x:c>
      <x:c r="D404" t="n">
        <x:v>2022</x:v>
      </x:c>
      <x:c r="E404"/>
      <x:c r="F404" t="str">
        <x:v>13729/22/CBMP-HN</x:v>
      </x:c>
      <x:c r="G404"/>
      <x:c r="H404" t="str">
        <x:v>Xịt thơm miệng</x:v>
      </x:c>
      <x:c r="I404"/>
      <x:c r="J404" t="str">
        <x:v>Chăm sóc răng miệng</x:v>
      </x:c>
      <x:c r="K404"/>
      <x:c r="L404" t="str">
        <x:v>Công ty cổ phần sản xuất và thương mại Bio Cosmetics</x:v>
      </x:c>
      <x:c r="M404"/>
      <x:c r="N404" t="str">
        <x:v>Công ty TNHH mỹ phẩm Việt Hương</x:v>
      </x:c>
      <x:c r="O404" t="str">
        <x:v>Đình chỉ lưu hành, thu hồi và tiêu hủy – Công văn 1772/QLD-MP</x:v>
      </x:c>
      <x:c r="P404" t="str">
        <x:v>A++ – Cục Quản lý Dược; tổ chức chịu trách nhiệm explicit</x:v>
      </x:c>
      <x:c r="Q404" t="str">
        <x:v>Phụ lục 511 sản phẩm, STT 20, trang 3. Công ty Việt Hương là cơ sở sản xuất; cột tổ chức chịu trách nhiệm lấy nguyên văn từ phụ lục.</x:v>
      </x:c>
      <x:c r="R404" t="str">
        <x:v>https://dav.gov.vn/cong-van-so-1772qld-mp-ve-viec-dinh-chi-luu-hanh-thu-hoi-va-tieu-huy-my-pham-vi-pham-cong-ty-tnhh-my-pham-viet-huong-n5334.html</x:v>
      </x:c>
      <x:c r="S404" t="str">
        <x:v>Hà Nội</x:v>
      </x:c>
      <x:c r="T404" t="str">
        <x:v>01</x:v>
      </x:c>
    </x:row>
    <x:row r="405">
      <x:c r="A405" t="n">
        <x:v>404</x:v>
      </x:c>
      <x:c r="B405" s="330"/>
      <x:c r="C405" s="330" t="n">
        <x:v>46155</x:v>
      </x:c>
      <x:c r="D405" t="n">
        <x:v>2022</x:v>
      </x:c>
      <x:c r="E405"/>
      <x:c r="F405" t="str">
        <x:v>14286/22/CBMP-HN</x:v>
      </x:c>
      <x:c r="G405"/>
      <x:c r="H405" t="str">
        <x:v>Meso Therapy B3 Bio</x:v>
      </x:c>
      <x:c r="I405"/>
      <x:c r="J405" t="str">
        <x:v>Khác</x:v>
      </x:c>
      <x:c r="K405"/>
      <x:c r="L405" t="str">
        <x:v>Công ty cổ phần sản xuất và thương mại Bio Cosmetics</x:v>
      </x:c>
      <x:c r="M405"/>
      <x:c r="N405" t="str">
        <x:v>Công ty TNHH mỹ phẩm Việt Hương</x:v>
      </x:c>
      <x:c r="O405" t="str">
        <x:v>Đình chỉ lưu hành, thu hồi và tiêu hủy – Công văn 1772/QLD-MP</x:v>
      </x:c>
      <x:c r="P405" t="str">
        <x:v>A++ – Cục Quản lý Dược; tổ chức chịu trách nhiệm explicit</x:v>
      </x:c>
      <x:c r="Q405" t="str">
        <x:v>Phụ lục 511 sản phẩm, STT 21, trang 3. Công ty Việt Hương là cơ sở sản xuất; cột tổ chức chịu trách nhiệm lấy nguyên văn từ phụ lục.</x:v>
      </x:c>
      <x:c r="R405" t="str">
        <x:v>https://dav.gov.vn/cong-van-so-1772qld-mp-ve-viec-dinh-chi-luu-hanh-thu-hoi-va-tieu-huy-my-pham-vi-pham-cong-ty-tnhh-my-pham-viet-huong-n5334.html</x:v>
      </x:c>
      <x:c r="S405" t="str">
        <x:v>Hà Nội</x:v>
      </x:c>
      <x:c r="T405" t="str">
        <x:v>01</x:v>
      </x:c>
    </x:row>
    <x:row r="406">
      <x:c r="A406" t="n">
        <x:v>405</x:v>
      </x:c>
      <x:c r="B406" s="330"/>
      <x:c r="C406" s="330" t="n">
        <x:v>46155</x:v>
      </x:c>
      <x:c r="D406" t="n">
        <x:v>2022</x:v>
      </x:c>
      <x:c r="E406"/>
      <x:c r="F406" t="str">
        <x:v>14287/22/CBMP-HN</x:v>
      </x:c>
      <x:c r="G406"/>
      <x:c r="H406" t="str">
        <x:v>Meso Therapy Bio</x:v>
      </x:c>
      <x:c r="I406"/>
      <x:c r="J406" t="str">
        <x:v>Khác</x:v>
      </x:c>
      <x:c r="K406"/>
      <x:c r="L406" t="str">
        <x:v>Công ty cổ phần sản xuất và thương mại Bio Cosmetics</x:v>
      </x:c>
      <x:c r="M406"/>
      <x:c r="N406" t="str">
        <x:v>Công ty TNHH mỹ phẩm Việt Hương</x:v>
      </x:c>
      <x:c r="O406" t="str">
        <x:v>Đình chỉ lưu hành, thu hồi và tiêu hủy – Công văn 1772/QLD-MP</x:v>
      </x:c>
      <x:c r="P406" t="str">
        <x:v>A++ – Cục Quản lý Dược; tổ chức chịu trách nhiệm explicit</x:v>
      </x:c>
      <x:c r="Q406" t="str">
        <x:v>Phụ lục 511 sản phẩm, STT 22, trang 3. Công ty Việt Hương là cơ sở sản xuất; cột tổ chức chịu trách nhiệm lấy nguyên văn từ phụ lục.</x:v>
      </x:c>
      <x:c r="R406" t="str">
        <x:v>https://dav.gov.vn/cong-van-so-1772qld-mp-ve-viec-dinh-chi-luu-hanh-thu-hoi-va-tieu-huy-my-pham-vi-pham-cong-ty-tnhh-my-pham-viet-huong-n5334.html</x:v>
      </x:c>
      <x:c r="S406" t="str">
        <x:v>Hà Nội</x:v>
      </x:c>
      <x:c r="T406" t="str">
        <x:v>01</x:v>
      </x:c>
    </x:row>
    <x:row r="407">
      <x:c r="A407" t="n">
        <x:v>406</x:v>
      </x:c>
      <x:c r="B407" s="330"/>
      <x:c r="C407" s="330" t="n">
        <x:v>46155</x:v>
      </x:c>
      <x:c r="D407" t="n">
        <x:v>2022</x:v>
      </x:c>
      <x:c r="E407"/>
      <x:c r="F407" t="str">
        <x:v>14509/22/CBMP-HN</x:v>
      </x:c>
      <x:c r="G407"/>
      <x:c r="H407" t="str">
        <x:v>Peel Bio Dr+</x:v>
      </x:c>
      <x:c r="I407"/>
      <x:c r="J407" t="str">
        <x:v>Khác</x:v>
      </x:c>
      <x:c r="K407"/>
      <x:c r="L407" t="str">
        <x:v>Công ty cổ phần sản xuất và thương mại Bio Cosmetics</x:v>
      </x:c>
      <x:c r="M407"/>
      <x:c r="N407" t="str">
        <x:v>Công ty TNHH mỹ phẩm Việt Hương</x:v>
      </x:c>
      <x:c r="O407" t="str">
        <x:v>Đình chỉ lưu hành, thu hồi và tiêu hủy – Công văn 1772/QLD-MP</x:v>
      </x:c>
      <x:c r="P407" t="str">
        <x:v>A++ – Cục Quản lý Dược; tổ chức chịu trách nhiệm explicit</x:v>
      </x:c>
      <x:c r="Q407" t="str">
        <x:v>Phụ lục 511 sản phẩm, STT 23, trang 3. Công ty Việt Hương là cơ sở sản xuất; cột tổ chức chịu trách nhiệm lấy nguyên văn từ phụ lục.</x:v>
      </x:c>
      <x:c r="R407" t="str">
        <x:v>https://dav.gov.vn/cong-van-so-1772qld-mp-ve-viec-dinh-chi-luu-hanh-thu-hoi-va-tieu-huy-my-pham-vi-pham-cong-ty-tnhh-my-pham-viet-huong-n5334.html</x:v>
      </x:c>
      <x:c r="S407" t="str">
        <x:v>Hà Nội</x:v>
      </x:c>
      <x:c r="T407" t="str">
        <x:v>01</x:v>
      </x:c>
    </x:row>
    <x:row r="408">
      <x:c r="A408" t="n">
        <x:v>407</x:v>
      </x:c>
      <x:c r="B408" s="330"/>
      <x:c r="C408" s="330" t="n">
        <x:v>46155</x:v>
      </x:c>
      <x:c r="D408" t="n">
        <x:v>2022</x:v>
      </x:c>
      <x:c r="E408"/>
      <x:c r="F408" t="str">
        <x:v>14510/22/CBMP-HN</x:v>
      </x:c>
      <x:c r="G408"/>
      <x:c r="H408" t="str">
        <x:v>Stem Cells</x:v>
      </x:c>
      <x:c r="I408"/>
      <x:c r="J408" t="str">
        <x:v>Khác</x:v>
      </x:c>
      <x:c r="K408"/>
      <x:c r="L408" t="str">
        <x:v>Công ty cổ phần sản xuất và thương mại Bio Cosmetics</x:v>
      </x:c>
      <x:c r="M408"/>
      <x:c r="N408" t="str">
        <x:v>Công ty TNHH mỹ phẩm Việt Hương</x:v>
      </x:c>
      <x:c r="O408" t="str">
        <x:v>Đình chỉ lưu hành, thu hồi và tiêu hủy – Công văn 1772/QLD-MP</x:v>
      </x:c>
      <x:c r="P408" t="str">
        <x:v>A++ – Cục Quản lý Dược; tổ chức chịu trách nhiệm explicit</x:v>
      </x:c>
      <x:c r="Q408" t="str">
        <x:v>Phụ lục 511 sản phẩm, STT 24, trang 3. Công ty Việt Hương là cơ sở sản xuất; cột tổ chức chịu trách nhiệm lấy nguyên văn từ phụ lục.</x:v>
      </x:c>
      <x:c r="R408" t="str">
        <x:v>https://dav.gov.vn/cong-van-so-1772qld-mp-ve-viec-dinh-chi-luu-hanh-thu-hoi-va-tieu-huy-my-pham-vi-pham-cong-ty-tnhh-my-pham-viet-huong-n5334.html</x:v>
      </x:c>
      <x:c r="S408" t="str">
        <x:v>Hà Nội</x:v>
      </x:c>
      <x:c r="T408" t="str">
        <x:v>01</x:v>
      </x:c>
    </x:row>
    <x:row r="409">
      <x:c r="A409" t="n">
        <x:v>408</x:v>
      </x:c>
      <x:c r="B409" s="330"/>
      <x:c r="C409" s="330" t="n">
        <x:v>46155</x:v>
      </x:c>
      <x:c r="D409" t="n">
        <x:v>2022</x:v>
      </x:c>
      <x:c r="E409"/>
      <x:c r="F409" t="str">
        <x:v>14511/22/CBMP-HN</x:v>
      </x:c>
      <x:c r="G409"/>
      <x:c r="H409" t="str">
        <x:v>Peel Bio A+</x:v>
      </x:c>
      <x:c r="I409"/>
      <x:c r="J409" t="str">
        <x:v>Khác</x:v>
      </x:c>
      <x:c r="K409"/>
      <x:c r="L409" t="str">
        <x:v>Công ty cổ phần sản xuất và thương mại Bio Cosmetics</x:v>
      </x:c>
      <x:c r="M409"/>
      <x:c r="N409" t="str">
        <x:v>Công ty TNHH mỹ phẩm Việt Hương</x:v>
      </x:c>
      <x:c r="O409" t="str">
        <x:v>Đình chỉ lưu hành, thu hồi và tiêu hủy – Công văn 1772/QLD-MP</x:v>
      </x:c>
      <x:c r="P409" t="str">
        <x:v>A++ – Cục Quản lý Dược; tổ chức chịu trách nhiệm explicit</x:v>
      </x:c>
      <x:c r="Q409" t="str">
        <x:v>Phụ lục 511 sản phẩm, STT 25, trang 3. Công ty Việt Hương là cơ sở sản xuất; cột tổ chức chịu trách nhiệm lấy nguyên văn từ phụ lục.</x:v>
      </x:c>
      <x:c r="R409" t="str">
        <x:v>https://dav.gov.vn/cong-van-so-1772qld-mp-ve-viec-dinh-chi-luu-hanh-thu-hoi-va-tieu-huy-my-pham-vi-pham-cong-ty-tnhh-my-pham-viet-huong-n5334.html</x:v>
      </x:c>
      <x:c r="S409" t="str">
        <x:v>Hà Nội</x:v>
      </x:c>
      <x:c r="T409" t="str">
        <x:v>01</x:v>
      </x:c>
    </x:row>
    <x:row r="410">
      <x:c r="A410" t="n">
        <x:v>409</x:v>
      </x:c>
      <x:c r="B410" s="330"/>
      <x:c r="C410" s="330" t="n">
        <x:v>46155</x:v>
      </x:c>
      <x:c r="D410" t="n">
        <x:v>2023</x:v>
      </x:c>
      <x:c r="E410"/>
      <x:c r="F410" t="str">
        <x:v>18175/23/CBMP-HN</x:v>
      </x:c>
      <x:c r="G410"/>
      <x:c r="H410" t="str">
        <x:v>Happy Gel</x:v>
      </x:c>
      <x:c r="I410"/>
      <x:c r="J410" t="str">
        <x:v>Khác</x:v>
      </x:c>
      <x:c r="K410"/>
      <x:c r="L410" t="str">
        <x:v>Công ty cổ phần sản xuất và thương mại Bio Cosmetics</x:v>
      </x:c>
      <x:c r="M410"/>
      <x:c r="N410" t="str">
        <x:v>Công ty TNHH mỹ phẩm Việt Hương</x:v>
      </x:c>
      <x:c r="O410" t="str">
        <x:v>Đình chỉ lưu hành, thu hồi và tiêu hủy – Công văn 1772/QLD-MP</x:v>
      </x:c>
      <x:c r="P410" t="str">
        <x:v>A++ – Cục Quản lý Dược; tổ chức chịu trách nhiệm explicit</x:v>
      </x:c>
      <x:c r="Q410" t="str">
        <x:v>Phụ lục 511 sản phẩm, STT 26, trang 3. Công ty Việt Hương là cơ sở sản xuất; cột tổ chức chịu trách nhiệm lấy nguyên văn từ phụ lục.</x:v>
      </x:c>
      <x:c r="R410" t="str">
        <x:v>https://dav.gov.vn/cong-van-so-1772qld-mp-ve-viec-dinh-chi-luu-hanh-thu-hoi-va-tieu-huy-my-pham-vi-pham-cong-ty-tnhh-my-pham-viet-huong-n5334.html</x:v>
      </x:c>
      <x:c r="S410" t="str">
        <x:v>Hà Nội</x:v>
      </x:c>
      <x:c r="T410" t="str">
        <x:v>01</x:v>
      </x:c>
    </x:row>
    <x:row r="411">
      <x:c r="A411" t="n">
        <x:v>410</x:v>
      </x:c>
      <x:c r="B411" s="330"/>
      <x:c r="C411" s="330" t="n">
        <x:v>46155</x:v>
      </x:c>
      <x:c r="D411" t="n">
        <x:v>2023</x:v>
      </x:c>
      <x:c r="E411"/>
      <x:c r="F411" t="str">
        <x:v>17857/23/CBMP-HN</x:v>
      </x:c>
      <x:c r="G411"/>
      <x:c r="H411" t="str">
        <x:v>Combo Vip Limited</x:v>
      </x:c>
      <x:c r="I411"/>
      <x:c r="J411" t="str">
        <x:v>Khác</x:v>
      </x:c>
      <x:c r="K411"/>
      <x:c r="L411" t="str">
        <x:v>Công ty cổ phần sản xuất và thương mại Bio Cosmetics</x:v>
      </x:c>
      <x:c r="M411"/>
      <x:c r="N411" t="str">
        <x:v>Công ty TNHH mỹ phẩm Việt Hương</x:v>
      </x:c>
      <x:c r="O411" t="str">
        <x:v>Đình chỉ lưu hành, thu hồi và tiêu hủy – Công văn 1772/QLD-MP</x:v>
      </x:c>
      <x:c r="P411" t="str">
        <x:v>A++ – Cục Quản lý Dược; tổ chức chịu trách nhiệm explicit</x:v>
      </x:c>
      <x:c r="Q411" t="str">
        <x:v>Phụ lục 511 sản phẩm, STT 27, trang 3. Công ty Việt Hương là cơ sở sản xuất; cột tổ chức chịu trách nhiệm lấy nguyên văn từ phụ lục.</x:v>
      </x:c>
      <x:c r="R411" t="str">
        <x:v>https://dav.gov.vn/cong-van-so-1772qld-mp-ve-viec-dinh-chi-luu-hanh-thu-hoi-va-tieu-huy-my-pham-vi-pham-cong-ty-tnhh-my-pham-viet-huong-n5334.html</x:v>
      </x:c>
      <x:c r="S411" t="str">
        <x:v>Hà Nội</x:v>
      </x:c>
      <x:c r="T411" t="str">
        <x:v>01</x:v>
      </x:c>
    </x:row>
    <x:row r="412">
      <x:c r="A412" t="n">
        <x:v>411</x:v>
      </x:c>
      <x:c r="B412" s="330"/>
      <x:c r="C412" s="330" t="n">
        <x:v>46155</x:v>
      </x:c>
      <x:c r="D412" t="n">
        <x:v>2023</x:v>
      </x:c>
      <x:c r="E412"/>
      <x:c r="F412" t="str">
        <x:v>18041/23/CBMP-HN</x:v>
      </x:c>
      <x:c r="G412"/>
      <x:c r="H412" t="str">
        <x:v>Vitamin E Lotion</x:v>
      </x:c>
      <x:c r="I412"/>
      <x:c r="J412" t="str">
        <x:v>Kem dưỡng da</x:v>
      </x:c>
      <x:c r="K412"/>
      <x:c r="L412" t="str">
        <x:v>Công ty cổ phần sản xuất và thương mại Bio Cosmetics</x:v>
      </x:c>
      <x:c r="M412"/>
      <x:c r="N412" t="str">
        <x:v>Công ty TNHH mỹ phẩm Việt Hương</x:v>
      </x:c>
      <x:c r="O412" t="str">
        <x:v>Đình chỉ lưu hành, thu hồi và tiêu hủy – Công văn 1772/QLD-MP</x:v>
      </x:c>
      <x:c r="P412" t="str">
        <x:v>A++ – Cục Quản lý Dược; tổ chức chịu trách nhiệm explicit</x:v>
      </x:c>
      <x:c r="Q412" t="str">
        <x:v>Phụ lục 511 sản phẩm, STT 28, trang 3. Công ty Việt Hương là cơ sở sản xuất; cột tổ chức chịu trách nhiệm lấy nguyên văn từ phụ lục.</x:v>
      </x:c>
      <x:c r="R412" t="str">
        <x:v>https://dav.gov.vn/cong-van-so-1772qld-mp-ve-viec-dinh-chi-luu-hanh-thu-hoi-va-tieu-huy-my-pham-vi-pham-cong-ty-tnhh-my-pham-viet-huong-n5334.html</x:v>
      </x:c>
      <x:c r="S412" t="str">
        <x:v>Hà Nội</x:v>
      </x:c>
      <x:c r="T412" t="str">
        <x:v>01</x:v>
      </x:c>
    </x:row>
    <x:row r="413">
      <x:c r="A413" t="n">
        <x:v>412</x:v>
      </x:c>
      <x:c r="B413" s="330"/>
      <x:c r="C413" s="330" t="n">
        <x:v>46155</x:v>
      </x:c>
      <x:c r="D413" t="n">
        <x:v>2023</x:v>
      </x:c>
      <x:c r="E413"/>
      <x:c r="F413" t="str">
        <x:v>18069/23/CBMP-HN</x:v>
      </x:c>
      <x:c r="G413"/>
      <x:c r="H413" t="str">
        <x:v>Charming Lips</x:v>
      </x:c>
      <x:c r="I413"/>
      <x:c r="J413" t="str">
        <x:v>Sản phẩm môi</x:v>
      </x:c>
      <x:c r="K413"/>
      <x:c r="L413" t="str">
        <x:v>Công ty cổ phần sản xuất và thương mại Bio Cosmetics</x:v>
      </x:c>
      <x:c r="M413"/>
      <x:c r="N413" t="str">
        <x:v>Công ty TNHH mỹ phẩm Việt Hương</x:v>
      </x:c>
      <x:c r="O413" t="str">
        <x:v>Đình chỉ lưu hành, thu hồi và tiêu hủy – Công văn 1772/QLD-MP</x:v>
      </x:c>
      <x:c r="P413" t="str">
        <x:v>A++ – Cục Quản lý Dược; tổ chức chịu trách nhiệm explicit</x:v>
      </x:c>
      <x:c r="Q413" t="str">
        <x:v>Phụ lục 511 sản phẩm, STT 29, trang 3. Công ty Việt Hương là cơ sở sản xuất; cột tổ chức chịu trách nhiệm lấy nguyên văn từ phụ lục.</x:v>
      </x:c>
      <x:c r="R413" t="str">
        <x:v>https://dav.gov.vn/cong-van-so-1772qld-mp-ve-viec-dinh-chi-luu-hanh-thu-hoi-va-tieu-huy-my-pham-vi-pham-cong-ty-tnhh-my-pham-viet-huong-n5334.html</x:v>
      </x:c>
      <x:c r="S413" t="str">
        <x:v>Hà Nội</x:v>
      </x:c>
      <x:c r="T413" t="str">
        <x:v>01</x:v>
      </x:c>
    </x:row>
    <x:row r="414">
      <x:c r="A414" t="n">
        <x:v>413</x:v>
      </x:c>
      <x:c r="B414" s="330"/>
      <x:c r="C414" s="330" t="n">
        <x:v>46155</x:v>
      </x:c>
      <x:c r="D414" t="n">
        <x:v>2023</x:v>
      </x:c>
      <x:c r="E414"/>
      <x:c r="F414" t="str">
        <x:v>16939/23/CBMP-HN</x:v>
      </x:c>
      <x:c r="G414"/>
      <x:c r="H414" t="str">
        <x:v>Tẩy trang</x:v>
      </x:c>
      <x:c r="I414"/>
      <x:c r="J414" t="str">
        <x:v>Tẩy trang</x:v>
      </x:c>
      <x:c r="K414"/>
      <x:c r="L414" t="str">
        <x:v>Công ty cổ phần sản xuất và thương mại Bio Cosmetics</x:v>
      </x:c>
      <x:c r="M414"/>
      <x:c r="N414" t="str">
        <x:v>Công ty TNHH mỹ phẩm Việt Hương</x:v>
      </x:c>
      <x:c r="O414" t="str">
        <x:v>Đình chỉ lưu hành, thu hồi và tiêu hủy – Công văn 1772/QLD-MP</x:v>
      </x:c>
      <x:c r="P414" t="str">
        <x:v>A++ – Cục Quản lý Dược; tổ chức chịu trách nhiệm explicit</x:v>
      </x:c>
      <x:c r="Q414" t="str">
        <x:v>Phụ lục 511 sản phẩm, STT 30, trang 3. Công ty Việt Hương là cơ sở sản xuất; cột tổ chức chịu trách nhiệm lấy nguyên văn từ phụ lục.</x:v>
      </x:c>
      <x:c r="R414" t="str">
        <x:v>https://dav.gov.vn/cong-van-so-1772qld-mp-ve-viec-dinh-chi-luu-hanh-thu-hoi-va-tieu-huy-my-pham-vi-pham-cong-ty-tnhh-my-pham-viet-huong-n5334.html</x:v>
      </x:c>
      <x:c r="S414" t="str">
        <x:v>Hà Nội</x:v>
      </x:c>
      <x:c r="T414" t="str">
        <x:v>01</x:v>
      </x:c>
    </x:row>
    <x:row r="415">
      <x:c r="A415" t="n">
        <x:v>414</x:v>
      </x:c>
      <x:c r="B415" s="330"/>
      <x:c r="C415" s="330" t="n">
        <x:v>46155</x:v>
      </x:c>
      <x:c r="D415" t="n">
        <x:v>2024</x:v>
      </x:c>
      <x:c r="E415"/>
      <x:c r="F415" t="str">
        <x:v>19485/24/CBMP-HN</x:v>
      </x:c>
      <x:c r="G415"/>
      <x:c r="H415" t="str">
        <x:v>Miss Coco</x:v>
      </x:c>
      <x:c r="I415"/>
      <x:c r="J415" t="str">
        <x:v>Khác</x:v>
      </x:c>
      <x:c r="K415"/>
      <x:c r="L415" t="str">
        <x:v>Công ty cổ phần sản xuất và thương mại Bio Cosmetics</x:v>
      </x:c>
      <x:c r="M415"/>
      <x:c r="N415" t="str">
        <x:v>Công ty TNHH mỹ phẩm Việt Hương</x:v>
      </x:c>
      <x:c r="O415" t="str">
        <x:v>Đình chỉ lưu hành, thu hồi và tiêu hủy – Công văn 1772/QLD-MP</x:v>
      </x:c>
      <x:c r="P415" t="str">
        <x:v>A++ – Cục Quản lý Dược; tổ chức chịu trách nhiệm explicit</x:v>
      </x:c>
      <x:c r="Q415" t="str">
        <x:v>Phụ lục 511 sản phẩm, STT 31, trang 3. Công ty Việt Hương là cơ sở sản xuất; cột tổ chức chịu trách nhiệm lấy nguyên văn từ phụ lục.</x:v>
      </x:c>
      <x:c r="R415" t="str">
        <x:v>https://dav.gov.vn/cong-van-so-1772qld-mp-ve-viec-dinh-chi-luu-hanh-thu-hoi-va-tieu-huy-my-pham-vi-pham-cong-ty-tnhh-my-pham-viet-huong-n5334.html</x:v>
      </x:c>
      <x:c r="S415" t="str">
        <x:v>Hà Nội</x:v>
      </x:c>
      <x:c r="T415" t="str">
        <x:v>01</x:v>
      </x:c>
    </x:row>
    <x:row r="416">
      <x:c r="A416" t="n">
        <x:v>415</x:v>
      </x:c>
      <x:c r="B416" s="330"/>
      <x:c r="C416" s="330" t="n">
        <x:v>46155</x:v>
      </x:c>
      <x:c r="D416" t="n">
        <x:v>2024</x:v>
      </x:c>
      <x:c r="E416"/>
      <x:c r="F416" t="str">
        <x:v>19486/24/CBMP-HN</x:v>
      </x:c>
      <x:c r="G416"/>
      <x:c r="H416" t="str">
        <x:v>Good Girl</x:v>
      </x:c>
      <x:c r="I416"/>
      <x:c r="J416" t="str">
        <x:v>Khác</x:v>
      </x:c>
      <x:c r="K416"/>
      <x:c r="L416" t="str">
        <x:v>Công ty cổ phần sản xuất và thương mại Bio Cosmetics</x:v>
      </x:c>
      <x:c r="M416"/>
      <x:c r="N416" t="str">
        <x:v>Công ty TNHH mỹ phẩm Việt Hương</x:v>
      </x:c>
      <x:c r="O416" t="str">
        <x:v>Đình chỉ lưu hành, thu hồi và tiêu hủy – Công văn 1772/QLD-MP</x:v>
      </x:c>
      <x:c r="P416" t="str">
        <x:v>A++ – Cục Quản lý Dược; tổ chức chịu trách nhiệm explicit</x:v>
      </x:c>
      <x:c r="Q416" t="str">
        <x:v>Phụ lục 511 sản phẩm, STT 32, trang 3. Công ty Việt Hương là cơ sở sản xuất; cột tổ chức chịu trách nhiệm lấy nguyên văn từ phụ lục.</x:v>
      </x:c>
      <x:c r="R416" t="str">
        <x:v>https://dav.gov.vn/cong-van-so-1772qld-mp-ve-viec-dinh-chi-luu-hanh-thu-hoi-va-tieu-huy-my-pham-vi-pham-cong-ty-tnhh-my-pham-viet-huong-n5334.html</x:v>
      </x:c>
      <x:c r="S416" t="str">
        <x:v>Hà Nội</x:v>
      </x:c>
      <x:c r="T416" t="str">
        <x:v>01</x:v>
      </x:c>
    </x:row>
    <x:row r="417">
      <x:c r="A417" t="n">
        <x:v>416</x:v>
      </x:c>
      <x:c r="B417" s="330"/>
      <x:c r="C417" s="330" t="n">
        <x:v>46155</x:v>
      </x:c>
      <x:c r="D417" t="n">
        <x:v>2024</x:v>
      </x:c>
      <x:c r="E417"/>
      <x:c r="F417" t="str">
        <x:v>19487/24/CBMP-HN</x:v>
      </x:c>
      <x:c r="G417"/>
      <x:c r="H417" t="str">
        <x:v>Scandal</x:v>
      </x:c>
      <x:c r="I417"/>
      <x:c r="J417" t="str">
        <x:v>Khác</x:v>
      </x:c>
      <x:c r="K417"/>
      <x:c r="L417" t="str">
        <x:v>Công ty cổ phần sản xuất và thương mại Bio Cosmetics</x:v>
      </x:c>
      <x:c r="M417"/>
      <x:c r="N417" t="str">
        <x:v>Công ty TNHH mỹ phẩm Việt Hương</x:v>
      </x:c>
      <x:c r="O417" t="str">
        <x:v>Đình chỉ lưu hành, thu hồi và tiêu hủy – Công văn 1772/QLD-MP</x:v>
      </x:c>
      <x:c r="P417" t="str">
        <x:v>A++ – Cục Quản lý Dược; tổ chức chịu trách nhiệm explicit</x:v>
      </x:c>
      <x:c r="Q417" t="str">
        <x:v>Phụ lục 511 sản phẩm, STT 33, trang 4. Công ty Việt Hương là cơ sở sản xuất; cột tổ chức chịu trách nhiệm lấy nguyên văn từ phụ lục.</x:v>
      </x:c>
      <x:c r="R417" t="str">
        <x:v>https://dav.gov.vn/cong-van-so-1772qld-mp-ve-viec-dinh-chi-luu-hanh-thu-hoi-va-tieu-huy-my-pham-vi-pham-cong-ty-tnhh-my-pham-viet-huong-n5334.html</x:v>
      </x:c>
      <x:c r="S417" t="str">
        <x:v>Hà Nội</x:v>
      </x:c>
      <x:c r="T417" t="str">
        <x:v>01</x:v>
      </x:c>
    </x:row>
    <x:row r="418">
      <x:c r="A418" t="n">
        <x:v>417</x:v>
      </x:c>
      <x:c r="B418" s="330"/>
      <x:c r="C418" s="330" t="n">
        <x:v>46155</x:v>
      </x:c>
      <x:c r="D418" t="n">
        <x:v>2024</x:v>
      </x:c>
      <x:c r="E418"/>
      <x:c r="F418" t="str">
        <x:v>20152/24/CBMP-HN</x:v>
      </x:c>
      <x:c r="G418"/>
      <x:c r="H418" t="str">
        <x:v>Lady Fine</x:v>
      </x:c>
      <x:c r="I418"/>
      <x:c r="J418" t="str">
        <x:v>Khác</x:v>
      </x:c>
      <x:c r="K418"/>
      <x:c r="L418" t="str">
        <x:v>Công ty cổ phần sản xuất và thương mại Bio Cosmetics</x:v>
      </x:c>
      <x:c r="M418"/>
      <x:c r="N418" t="str">
        <x:v>Công ty TNHH mỹ phẩm Việt Hương</x:v>
      </x:c>
      <x:c r="O418" t="str">
        <x:v>Đình chỉ lưu hành, thu hồi và tiêu hủy – Công văn 1772/QLD-MP</x:v>
      </x:c>
      <x:c r="P418" t="str">
        <x:v>A++ – Cục Quản lý Dược; tổ chức chịu trách nhiệm explicit</x:v>
      </x:c>
      <x:c r="Q418" t="str">
        <x:v>Phụ lục 511 sản phẩm, STT 34, trang 4. Công ty Việt Hương là cơ sở sản xuất; cột tổ chức chịu trách nhiệm lấy nguyên văn từ phụ lục.</x:v>
      </x:c>
      <x:c r="R418" t="str">
        <x:v>https://dav.gov.vn/cong-van-so-1772qld-mp-ve-viec-dinh-chi-luu-hanh-thu-hoi-va-tieu-huy-my-pham-vi-pham-cong-ty-tnhh-my-pham-viet-huong-n5334.html</x:v>
      </x:c>
      <x:c r="S418" t="str">
        <x:v>Hà Nội</x:v>
      </x:c>
      <x:c r="T418" t="str">
        <x:v>01</x:v>
      </x:c>
    </x:row>
    <x:row r="419">
      <x:c r="A419" t="n">
        <x:v>418</x:v>
      </x:c>
      <x:c r="B419" s="330"/>
      <x:c r="C419" s="330" t="n">
        <x:v>46155</x:v>
      </x:c>
      <x:c r="D419" t="n">
        <x:v>2024</x:v>
      </x:c>
      <x:c r="E419"/>
      <x:c r="F419" t="str">
        <x:v>20153/24/CBMP-HN</x:v>
      </x:c>
      <x:c r="G419"/>
      <x:c r="H419" t="str">
        <x:v>Melas Luxury Combo</x:v>
      </x:c>
      <x:c r="I419"/>
      <x:c r="J419" t="str">
        <x:v>Khác</x:v>
      </x:c>
      <x:c r="K419"/>
      <x:c r="L419" t="str">
        <x:v>Công ty cổ phần sản xuất và thương mại Bio Cosmetics</x:v>
      </x:c>
      <x:c r="M419"/>
      <x:c r="N419" t="str">
        <x:v>Công ty TNHH mỹ phẩm Việt Hương</x:v>
      </x:c>
      <x:c r="O419" t="str">
        <x:v>Đình chỉ lưu hành, thu hồi và tiêu hủy – Công văn 1772/QLD-MP</x:v>
      </x:c>
      <x:c r="P419" t="str">
        <x:v>A++ – Cục Quản lý Dược; tổ chức chịu trách nhiệm explicit</x:v>
      </x:c>
      <x:c r="Q419" t="str">
        <x:v>Phụ lục 511 sản phẩm, STT 35, trang 4. Công ty Việt Hương là cơ sở sản xuất; cột tổ chức chịu trách nhiệm lấy nguyên văn từ phụ lục.</x:v>
      </x:c>
      <x:c r="R419" t="str">
        <x:v>https://dav.gov.vn/cong-van-so-1772qld-mp-ve-viec-dinh-chi-luu-hanh-thu-hoi-va-tieu-huy-my-pham-vi-pham-cong-ty-tnhh-my-pham-viet-huong-n5334.html</x:v>
      </x:c>
      <x:c r="S419" t="str">
        <x:v>Hà Nội</x:v>
      </x:c>
      <x:c r="T419" t="str">
        <x:v>01</x:v>
      </x:c>
    </x:row>
    <x:row r="420">
      <x:c r="A420" t="n">
        <x:v>419</x:v>
      </x:c>
      <x:c r="B420" s="330"/>
      <x:c r="C420" s="330" t="n">
        <x:v>46155</x:v>
      </x:c>
      <x:c r="D420" t="n">
        <x:v>2024</x:v>
      </x:c>
      <x:c r="E420"/>
      <x:c r="F420" t="str">
        <x:v>20365/24/CBMP-HN</x:v>
      </x:c>
      <x:c r="G420"/>
      <x:c r="H420" t="str">
        <x:v>Spotless Perfect Cleanser</x:v>
      </x:c>
      <x:c r="I420"/>
      <x:c r="J420" t="str">
        <x:v>Sữa rửa mặt</x:v>
      </x:c>
      <x:c r="K420"/>
      <x:c r="L420" t="str">
        <x:v>Công ty cổ phần sản xuất và thương mại Bio Cosmetics</x:v>
      </x:c>
      <x:c r="M420"/>
      <x:c r="N420" t="str">
        <x:v>Công ty TNHH mỹ phẩm Việt Hương</x:v>
      </x:c>
      <x:c r="O420" t="str">
        <x:v>Đình chỉ lưu hành, thu hồi và tiêu hủy – Công văn 1772/QLD-MP</x:v>
      </x:c>
      <x:c r="P420" t="str">
        <x:v>A++ – Cục Quản lý Dược; tổ chức chịu trách nhiệm explicit</x:v>
      </x:c>
      <x:c r="Q420" t="str">
        <x:v>Phụ lục 511 sản phẩm, STT 36, trang 4. Công ty Việt Hương là cơ sở sản xuất; cột tổ chức chịu trách nhiệm lấy nguyên văn từ phụ lục.</x:v>
      </x:c>
      <x:c r="R420" t="str">
        <x:v>https://dav.gov.vn/cong-van-so-1772qld-mp-ve-viec-dinh-chi-luu-hanh-thu-hoi-va-tieu-huy-my-pham-vi-pham-cong-ty-tnhh-my-pham-viet-huong-n5334.html</x:v>
      </x:c>
      <x:c r="S420" t="str">
        <x:v>Hà Nội</x:v>
      </x:c>
      <x:c r="T420" t="str">
        <x:v>01</x:v>
      </x:c>
    </x:row>
    <x:row r="421">
      <x:c r="A421" t="n">
        <x:v>420</x:v>
      </x:c>
      <x:c r="B421" s="330"/>
      <x:c r="C421" s="330" t="n">
        <x:v>46155</x:v>
      </x:c>
      <x:c r="D421" t="n">
        <x:v>2024</x:v>
      </x:c>
      <x:c r="E421"/>
      <x:c r="F421" t="str">
        <x:v>19672/24/CBMP-HN</x:v>
      </x:c>
      <x:c r="G421"/>
      <x:c r="H421" t="str">
        <x:v>Melas Luxury Combo</x:v>
      </x:c>
      <x:c r="I421"/>
      <x:c r="J421" t="str">
        <x:v>Khác</x:v>
      </x:c>
      <x:c r="K421"/>
      <x:c r="L421" t="str">
        <x:v>Công ty cổ phần sản xuất và thương mại Bio Cosmetics</x:v>
      </x:c>
      <x:c r="M421"/>
      <x:c r="N421" t="str">
        <x:v>Công ty TNHH mỹ phẩm Việt Hương</x:v>
      </x:c>
      <x:c r="O421" t="str">
        <x:v>Đình chỉ lưu hành, thu hồi và tiêu hủy – Công văn 1772/QLD-MP</x:v>
      </x:c>
      <x:c r="P421" t="str">
        <x:v>A++ – Cục Quản lý Dược; tổ chức chịu trách nhiệm explicit</x:v>
      </x:c>
      <x:c r="Q421" t="str">
        <x:v>Phụ lục 511 sản phẩm, STT 37, trang 4. Công ty Việt Hương là cơ sở sản xuất; cột tổ chức chịu trách nhiệm lấy nguyên văn từ phụ lục.</x:v>
      </x:c>
      <x:c r="R421" t="str">
        <x:v>https://dav.gov.vn/cong-van-so-1772qld-mp-ve-viec-dinh-chi-luu-hanh-thu-hoi-va-tieu-huy-my-pham-vi-pham-cong-ty-tnhh-my-pham-viet-huong-n5334.html</x:v>
      </x:c>
      <x:c r="S421" t="str">
        <x:v>Hà Nội</x:v>
      </x:c>
      <x:c r="T421" t="str">
        <x:v>01</x:v>
      </x:c>
    </x:row>
    <x:row r="422">
      <x:c r="A422" t="n">
        <x:v>421</x:v>
      </x:c>
      <x:c r="B422" s="330"/>
      <x:c r="C422" s="330" t="n">
        <x:v>46155</x:v>
      </x:c>
      <x:c r="D422" t="n">
        <x:v>2025</x:v>
      </x:c>
      <x:c r="E422"/>
      <x:c r="F422" t="str">
        <x:v>25572/25/CBMP-HN</x:v>
      </x:c>
      <x:c r="G422"/>
      <x:c r="H422" t="str">
        <x:v>Sữa rửa mặt</x:v>
      </x:c>
      <x:c r="I422"/>
      <x:c r="J422" t="str">
        <x:v>Sữa rửa mặt</x:v>
      </x:c>
      <x:c r="K422"/>
      <x:c r="L422" t="str">
        <x:v>Công ty cổ phần sản xuất và thương mại Bio Cosmetics</x:v>
      </x:c>
      <x:c r="M422"/>
      <x:c r="N422" t="str">
        <x:v>Công ty TNHH mỹ phẩm Việt Hương</x:v>
      </x:c>
      <x:c r="O422" t="str">
        <x:v>Đình chỉ lưu hành, thu hồi và tiêu hủy – Công văn 1772/QLD-MP</x:v>
      </x:c>
      <x:c r="P422" t="str">
        <x:v>A++ – Cục Quản lý Dược; tổ chức chịu trách nhiệm explicit</x:v>
      </x:c>
      <x:c r="Q422" t="str">
        <x:v>Phụ lục 511 sản phẩm, STT 38, trang 4. Công ty Việt Hương là cơ sở sản xuất; cột tổ chức chịu trách nhiệm lấy nguyên văn từ phụ lục.</x:v>
      </x:c>
      <x:c r="R422" t="str">
        <x:v>https://dav.gov.vn/cong-van-so-1772qld-mp-ve-viec-dinh-chi-luu-hanh-thu-hoi-va-tieu-huy-my-pham-vi-pham-cong-ty-tnhh-my-pham-viet-huong-n5334.html</x:v>
      </x:c>
      <x:c r="S422" t="str">
        <x:v>Hà Nội</x:v>
      </x:c>
      <x:c r="T422" t="str">
        <x:v>01</x:v>
      </x:c>
    </x:row>
    <x:row r="423">
      <x:c r="A423" t="n">
        <x:v>422</x:v>
      </x:c>
      <x:c r="B423" s="330"/>
      <x:c r="C423" s="330" t="n">
        <x:v>46155</x:v>
      </x:c>
      <x:c r="D423" t="n">
        <x:v>2024</x:v>
      </x:c>
      <x:c r="E423"/>
      <x:c r="F423" t="str">
        <x:v>20837/24/CBMP-HN</x:v>
      </x:c>
      <x:c r="G423"/>
      <x:c r="H423" t="str">
        <x:v>Sữa tắm sáng da</x:v>
      </x:c>
      <x:c r="I423"/>
      <x:c r="J423" t="str">
        <x:v>Sữa tắm/Gel tắm</x:v>
      </x:c>
      <x:c r="K423"/>
      <x:c r="L423" t="str">
        <x:v>Công ty cổ phần sản xuất và thương mại Bio Cosmetics</x:v>
      </x:c>
      <x:c r="M423"/>
      <x:c r="N423" t="str">
        <x:v>Công ty TNHH mỹ phẩm Việt Hương</x:v>
      </x:c>
      <x:c r="O423" t="str">
        <x:v>Đình chỉ lưu hành, thu hồi và tiêu hủy – Công văn 1772/QLD-MP</x:v>
      </x:c>
      <x:c r="P423" t="str">
        <x:v>A++ – Cục Quản lý Dược; tổ chức chịu trách nhiệm explicit</x:v>
      </x:c>
      <x:c r="Q423" t="str">
        <x:v>Phụ lục 511 sản phẩm, STT 39, trang 4. Công ty Việt Hương là cơ sở sản xuất; cột tổ chức chịu trách nhiệm lấy nguyên văn từ phụ lục.</x:v>
      </x:c>
      <x:c r="R423" t="str">
        <x:v>https://dav.gov.vn/cong-van-so-1772qld-mp-ve-viec-dinh-chi-luu-hanh-thu-hoi-va-tieu-huy-my-pham-vi-pham-cong-ty-tnhh-my-pham-viet-huong-n5334.html</x:v>
      </x:c>
      <x:c r="S423" t="str">
        <x:v>Hà Nội</x:v>
      </x:c>
      <x:c r="T423" t="str">
        <x:v>01</x:v>
      </x:c>
    </x:row>
    <x:row r="424">
      <x:c r="A424" t="n">
        <x:v>423</x:v>
      </x:c>
      <x:c r="B424" s="330"/>
      <x:c r="C424" s="330" t="n">
        <x:v>46155</x:v>
      </x:c>
      <x:c r="D424" t="n">
        <x:v>2024</x:v>
      </x:c>
      <x:c r="E424"/>
      <x:c r="F424" t="str">
        <x:v>20838/24/CBMP-HN</x:v>
      </x:c>
      <x:c r="G424"/>
      <x:c r="H424" t="str">
        <x:v>Dầu gội</x:v>
      </x:c>
      <x:c r="I424"/>
      <x:c r="J424" t="str">
        <x:v>Dầu gội</x:v>
      </x:c>
      <x:c r="K424"/>
      <x:c r="L424" t="str">
        <x:v>Công ty cổ phần sản xuất và thương mại Bio Cosmetics</x:v>
      </x:c>
      <x:c r="M424"/>
      <x:c r="N424" t="str">
        <x:v>Công ty TNHH mỹ phẩm Việt Hương</x:v>
      </x:c>
      <x:c r="O424" t="str">
        <x:v>Đình chỉ lưu hành, thu hồi và tiêu hủy – Công văn 1772/QLD-MP</x:v>
      </x:c>
      <x:c r="P424" t="str">
        <x:v>A++ – Cục Quản lý Dược; tổ chức chịu trách nhiệm explicit</x:v>
      </x:c>
      <x:c r="Q424" t="str">
        <x:v>Phụ lục 511 sản phẩm, STT 40, trang 4. Công ty Việt Hương là cơ sở sản xuất; cột tổ chức chịu trách nhiệm lấy nguyên văn từ phụ lục.</x:v>
      </x:c>
      <x:c r="R424" t="str">
        <x:v>https://dav.gov.vn/cong-van-so-1772qld-mp-ve-viec-dinh-chi-luu-hanh-thu-hoi-va-tieu-huy-my-pham-vi-pham-cong-ty-tnhh-my-pham-viet-huong-n5334.html</x:v>
      </x:c>
      <x:c r="S424" t="str">
        <x:v>Hà Nội</x:v>
      </x:c>
      <x:c r="T424" t="str">
        <x:v>01</x:v>
      </x:c>
    </x:row>
    <x:row r="425">
      <x:c r="A425" t="n">
        <x:v>424</x:v>
      </x:c>
      <x:c r="B425" s="330"/>
      <x:c r="C425" s="330" t="n">
        <x:v>46155</x:v>
      </x:c>
      <x:c r="D425" t="n">
        <x:v>2024</x:v>
      </x:c>
      <x:c r="E425"/>
      <x:c r="F425" t="str">
        <x:v>20839/24/CBMP-HN</x:v>
      </x:c>
      <x:c r="G425"/>
      <x:c r="H425" t="str">
        <x:v>Dầu xả</x:v>
      </x:c>
      <x:c r="I425"/>
      <x:c r="J425" t="str">
        <x:v>Dầu xả</x:v>
      </x:c>
      <x:c r="K425"/>
      <x:c r="L425" t="str">
        <x:v>Công ty cổ phần sản xuất và thương mại Bio Cosmetics</x:v>
      </x:c>
      <x:c r="M425"/>
      <x:c r="N425" t="str">
        <x:v>Công ty TNHH mỹ phẩm Việt Hương</x:v>
      </x:c>
      <x:c r="O425" t="str">
        <x:v>Đình chỉ lưu hành, thu hồi và tiêu hủy – Công văn 1772/QLD-MP</x:v>
      </x:c>
      <x:c r="P425" t="str">
        <x:v>A++ – Cục Quản lý Dược; tổ chức chịu trách nhiệm explicit</x:v>
      </x:c>
      <x:c r="Q425" t="str">
        <x:v>Phụ lục 511 sản phẩm, STT 41, trang 4. Công ty Việt Hương là cơ sở sản xuất; cột tổ chức chịu trách nhiệm lấy nguyên văn từ phụ lục.</x:v>
      </x:c>
      <x:c r="R425" t="str">
        <x:v>https://dav.gov.vn/cong-van-so-1772qld-mp-ve-viec-dinh-chi-luu-hanh-thu-hoi-va-tieu-huy-my-pham-vi-pham-cong-ty-tnhh-my-pham-viet-huong-n5334.html</x:v>
      </x:c>
      <x:c r="S425" t="str">
        <x:v>Hà Nội</x:v>
      </x:c>
      <x:c r="T425" t="str">
        <x:v>01</x:v>
      </x:c>
    </x:row>
    <x:row r="426">
      <x:c r="A426" t="n">
        <x:v>425</x:v>
      </x:c>
      <x:c r="B426" s="330"/>
      <x:c r="C426" s="330" t="n">
        <x:v>46155</x:v>
      </x:c>
      <x:c r="D426" t="n">
        <x:v>2024</x:v>
      </x:c>
      <x:c r="E426"/>
      <x:c r="F426" t="str">
        <x:v>20840/24/CBMP-HN</x:v>
      </x:c>
      <x:c r="G426"/>
      <x:c r="H426" t="str">
        <x:v>Sữa tắm hương nước hoa</x:v>
      </x:c>
      <x:c r="I426"/>
      <x:c r="J426" t="str">
        <x:v>Sữa tắm/Gel tắm</x:v>
      </x:c>
      <x:c r="K426"/>
      <x:c r="L426" t="str">
        <x:v>Công ty cổ phần sản xuất và thương mại Bio Cosmetics</x:v>
      </x:c>
      <x:c r="M426"/>
      <x:c r="N426" t="str">
        <x:v>Công ty TNHH mỹ phẩm Việt Hương</x:v>
      </x:c>
      <x:c r="O426" t="str">
        <x:v>Đình chỉ lưu hành, thu hồi và tiêu hủy – Công văn 1772/QLD-MP</x:v>
      </x:c>
      <x:c r="P426" t="str">
        <x:v>A++ – Cục Quản lý Dược; tổ chức chịu trách nhiệm explicit</x:v>
      </x:c>
      <x:c r="Q426" t="str">
        <x:v>Phụ lục 511 sản phẩm, STT 42, trang 4. Công ty Việt Hương là cơ sở sản xuất; cột tổ chức chịu trách nhiệm lấy nguyên văn từ phụ lục.</x:v>
      </x:c>
      <x:c r="R426" t="str">
        <x:v>https://dav.gov.vn/cong-van-so-1772qld-mp-ve-viec-dinh-chi-luu-hanh-thu-hoi-va-tieu-huy-my-pham-vi-pham-cong-ty-tnhh-my-pham-viet-huong-n5334.html</x:v>
      </x:c>
      <x:c r="S426" t="str">
        <x:v>Hà Nội</x:v>
      </x:c>
      <x:c r="T426" t="str">
        <x:v>01</x:v>
      </x:c>
    </x:row>
    <x:row r="427">
      <x:c r="A427" t="n">
        <x:v>426</x:v>
      </x:c>
      <x:c r="B427" s="330"/>
      <x:c r="C427" s="330" t="n">
        <x:v>46155</x:v>
      </x:c>
      <x:c r="D427" t="n">
        <x:v>2024</x:v>
      </x:c>
      <x:c r="E427"/>
      <x:c r="F427" t="str">
        <x:v>20732/24/CBMP-HN</x:v>
      </x:c>
      <x:c r="G427"/>
      <x:c r="H427" t="str">
        <x:v>Sữa tắm hương nước hoa</x:v>
      </x:c>
      <x:c r="I427"/>
      <x:c r="J427" t="str">
        <x:v>Sữa tắm/Gel tắm</x:v>
      </x:c>
      <x:c r="K427"/>
      <x:c r="L427" t="str">
        <x:v>Công ty cổ phần sản xuất và thương mại Bio Cosmetics</x:v>
      </x:c>
      <x:c r="M427"/>
      <x:c r="N427" t="str">
        <x:v>Công ty TNHH mỹ phẩm Việt Hương</x:v>
      </x:c>
      <x:c r="O427" t="str">
        <x:v>Đình chỉ lưu hành, thu hồi và tiêu hủy – Công văn 1772/QLD-MP</x:v>
      </x:c>
      <x:c r="P427" t="str">
        <x:v>A++ – Cục Quản lý Dược; tổ chức chịu trách nhiệm explicit</x:v>
      </x:c>
      <x:c r="Q427" t="str">
        <x:v>Phụ lục 511 sản phẩm, STT 43, trang 4. Công ty Việt Hương là cơ sở sản xuất; cột tổ chức chịu trách nhiệm lấy nguyên văn từ phụ lục.</x:v>
      </x:c>
      <x:c r="R427" t="str">
        <x:v>https://dav.gov.vn/cong-van-so-1772qld-mp-ve-viec-dinh-chi-luu-hanh-thu-hoi-va-tieu-huy-my-pham-vi-pham-cong-ty-tnhh-my-pham-viet-huong-n5334.html</x:v>
      </x:c>
      <x:c r="S427" t="str">
        <x:v>Hà Nội</x:v>
      </x:c>
      <x:c r="T427" t="str">
        <x:v>01</x:v>
      </x:c>
    </x:row>
    <x:row r="428">
      <x:c r="A428" t="n">
        <x:v>427</x:v>
      </x:c>
      <x:c r="B428" s="330"/>
      <x:c r="C428" s="330" t="n">
        <x:v>46155</x:v>
      </x:c>
      <x:c r="D428" t="n">
        <x:v>2024</x:v>
      </x:c>
      <x:c r="E428"/>
      <x:c r="F428" t="str">
        <x:v>20733/24/CBMP-HN</x:v>
      </x:c>
      <x:c r="G428"/>
      <x:c r="H428" t="str">
        <x:v>Dầu xả</x:v>
      </x:c>
      <x:c r="I428"/>
      <x:c r="J428" t="str">
        <x:v>Dầu xả</x:v>
      </x:c>
      <x:c r="K428"/>
      <x:c r="L428" t="str">
        <x:v>Công ty cổ phần sản xuất và thương mại Bio Cosmetics</x:v>
      </x:c>
      <x:c r="M428"/>
      <x:c r="N428" t="str">
        <x:v>Công ty TNHH mỹ phẩm Việt Hương</x:v>
      </x:c>
      <x:c r="O428" t="str">
        <x:v>Đình chỉ lưu hành, thu hồi và tiêu hủy – Công văn 1772/QLD-MP</x:v>
      </x:c>
      <x:c r="P428" t="str">
        <x:v>A++ – Cục Quản lý Dược; tổ chức chịu trách nhiệm explicit</x:v>
      </x:c>
      <x:c r="Q428" t="str">
        <x:v>Phụ lục 511 sản phẩm, STT 44, trang 4. Công ty Việt Hương là cơ sở sản xuất; cột tổ chức chịu trách nhiệm lấy nguyên văn từ phụ lục.</x:v>
      </x:c>
      <x:c r="R428" t="str">
        <x:v>https://dav.gov.vn/cong-van-so-1772qld-mp-ve-viec-dinh-chi-luu-hanh-thu-hoi-va-tieu-huy-my-pham-vi-pham-cong-ty-tnhh-my-pham-viet-huong-n5334.html</x:v>
      </x:c>
      <x:c r="S428" t="str">
        <x:v>Hà Nội</x:v>
      </x:c>
      <x:c r="T428" t="str">
        <x:v>01</x:v>
      </x:c>
    </x:row>
    <x:row r="429">
      <x:c r="A429" t="n">
        <x:v>428</x:v>
      </x:c>
      <x:c r="B429" s="330"/>
      <x:c r="C429" s="330" t="n">
        <x:v>46155</x:v>
      </x:c>
      <x:c r="D429" t="n">
        <x:v>2024</x:v>
      </x:c>
      <x:c r="E429"/>
      <x:c r="F429" t="str">
        <x:v>20734/24/CBMP-HN</x:v>
      </x:c>
      <x:c r="G429"/>
      <x:c r="H429" t="str">
        <x:v>Dầu gội</x:v>
      </x:c>
      <x:c r="I429"/>
      <x:c r="J429" t="str">
        <x:v>Dầu gội</x:v>
      </x:c>
      <x:c r="K429"/>
      <x:c r="L429" t="str">
        <x:v>Công ty cổ phần sản xuất và thương mại Bio Cosmetics</x:v>
      </x:c>
      <x:c r="M429"/>
      <x:c r="N429" t="str">
        <x:v>Công ty TNHH mỹ phẩm Việt Hương</x:v>
      </x:c>
      <x:c r="O429" t="str">
        <x:v>Đình chỉ lưu hành, thu hồi và tiêu hủy – Công văn 1772/QLD-MP</x:v>
      </x:c>
      <x:c r="P429" t="str">
        <x:v>A++ – Cục Quản lý Dược; tổ chức chịu trách nhiệm explicit</x:v>
      </x:c>
      <x:c r="Q429" t="str">
        <x:v>Phụ lục 511 sản phẩm, STT 45, trang 4. Công ty Việt Hương là cơ sở sản xuất; cột tổ chức chịu trách nhiệm lấy nguyên văn từ phụ lục.</x:v>
      </x:c>
      <x:c r="R429" t="str">
        <x:v>https://dav.gov.vn/cong-van-so-1772qld-mp-ve-viec-dinh-chi-luu-hanh-thu-hoi-va-tieu-huy-my-pham-vi-pham-cong-ty-tnhh-my-pham-viet-huong-n5334.html</x:v>
      </x:c>
      <x:c r="S429" t="str">
        <x:v>Hà Nội</x:v>
      </x:c>
      <x:c r="T429" t="str">
        <x:v>01</x:v>
      </x:c>
    </x:row>
    <x:row r="430">
      <x:c r="A430" t="n">
        <x:v>429</x:v>
      </x:c>
      <x:c r="B430" s="330"/>
      <x:c r="C430" s="330" t="n">
        <x:v>46155</x:v>
      </x:c>
      <x:c r="D430" t="n">
        <x:v>2024</x:v>
      </x:c>
      <x:c r="E430"/>
      <x:c r="F430" t="str">
        <x:v>20735/24/CBMP-HN</x:v>
      </x:c>
      <x:c r="G430"/>
      <x:c r="H430" t="str">
        <x:v>Spotless Perfect Toner</x:v>
      </x:c>
      <x:c r="I430"/>
      <x:c r="J430" t="str">
        <x:v>Serum/Essence da</x:v>
      </x:c>
      <x:c r="K430"/>
      <x:c r="L430" t="str">
        <x:v>Công ty cổ phần sản xuất và thương mại Bio Cosmetics</x:v>
      </x:c>
      <x:c r="M430"/>
      <x:c r="N430" t="str">
        <x:v>Công ty TNHH mỹ phẩm Việt Hương</x:v>
      </x:c>
      <x:c r="O430" t="str">
        <x:v>Đình chỉ lưu hành, thu hồi và tiêu hủy – Công văn 1772/QLD-MP</x:v>
      </x:c>
      <x:c r="P430" t="str">
        <x:v>A++ – Cục Quản lý Dược; tổ chức chịu trách nhiệm explicit</x:v>
      </x:c>
      <x:c r="Q430" t="str">
        <x:v>Phụ lục 511 sản phẩm, STT 46, trang 4. Công ty Việt Hương là cơ sở sản xuất; cột tổ chức chịu trách nhiệm lấy nguyên văn từ phụ lục.</x:v>
      </x:c>
      <x:c r="R430" t="str">
        <x:v>https://dav.gov.vn/cong-van-so-1772qld-mp-ve-viec-dinh-chi-luu-hanh-thu-hoi-va-tieu-huy-my-pham-vi-pham-cong-ty-tnhh-my-pham-viet-huong-n5334.html</x:v>
      </x:c>
      <x:c r="S430" t="str">
        <x:v>Hà Nội</x:v>
      </x:c>
      <x:c r="T430" t="str">
        <x:v>01</x:v>
      </x:c>
    </x:row>
    <x:row r="431">
      <x:c r="A431" t="n">
        <x:v>430</x:v>
      </x:c>
      <x:c r="B431" s="330"/>
      <x:c r="C431" s="330" t="n">
        <x:v>46155</x:v>
      </x:c>
      <x:c r="D431" t="n">
        <x:v>2024</x:v>
      </x:c>
      <x:c r="E431"/>
      <x:c r="F431" t="str">
        <x:v>20736/24/CBMP-HN</x:v>
      </x:c>
      <x:c r="G431"/>
      <x:c r="H431" t="str">
        <x:v>Sữa tắm sáng da</x:v>
      </x:c>
      <x:c r="I431"/>
      <x:c r="J431" t="str">
        <x:v>Sữa tắm/Gel tắm</x:v>
      </x:c>
      <x:c r="K431"/>
      <x:c r="L431" t="str">
        <x:v>Công ty cổ phần sản xuất và thương mại Bio Cosmetics</x:v>
      </x:c>
      <x:c r="M431"/>
      <x:c r="N431" t="str">
        <x:v>Công ty TNHH mỹ phẩm Việt Hương</x:v>
      </x:c>
      <x:c r="O431" t="str">
        <x:v>Đình chỉ lưu hành, thu hồi và tiêu hủy – Công văn 1772/QLD-MP</x:v>
      </x:c>
      <x:c r="P431" t="str">
        <x:v>A++ – Cục Quản lý Dược; tổ chức chịu trách nhiệm explicit</x:v>
      </x:c>
      <x:c r="Q431" t="str">
        <x:v>Phụ lục 511 sản phẩm, STT 47, trang 4. Công ty Việt Hương là cơ sở sản xuất; cột tổ chức chịu trách nhiệm lấy nguyên văn từ phụ lục.</x:v>
      </x:c>
      <x:c r="R431" t="str">
        <x:v>https://dav.gov.vn/cong-van-so-1772qld-mp-ve-viec-dinh-chi-luu-hanh-thu-hoi-va-tieu-huy-my-pham-vi-pham-cong-ty-tnhh-my-pham-viet-huong-n5334.html</x:v>
      </x:c>
      <x:c r="S431" t="str">
        <x:v>Hà Nội</x:v>
      </x:c>
      <x:c r="T431" t="str">
        <x:v>01</x:v>
      </x:c>
    </x:row>
    <x:row r="432">
      <x:c r="A432" t="n">
        <x:v>431</x:v>
      </x:c>
      <x:c r="B432" s="330"/>
      <x:c r="C432" s="330" t="n">
        <x:v>46155</x:v>
      </x:c>
      <x:c r="D432" t="n">
        <x:v>2024</x:v>
      </x:c>
      <x:c r="E432"/>
      <x:c r="F432" t="str">
        <x:v>20737/24/CBMP-HN</x:v>
      </x:c>
      <x:c r="G432"/>
      <x:c r="H432" t="str">
        <x:v>Perfect Sun Cream</x:v>
      </x:c>
      <x:c r="I432"/>
      <x:c r="J432" t="str">
        <x:v>Kem chống nắng</x:v>
      </x:c>
      <x:c r="K432"/>
      <x:c r="L432" t="str">
        <x:v>Công ty cổ phần sản xuất và thương mại Bio Cosmetics</x:v>
      </x:c>
      <x:c r="M432"/>
      <x:c r="N432" t="str">
        <x:v>Công ty TNHH mỹ phẩm Việt Hương</x:v>
      </x:c>
      <x:c r="O432" t="str">
        <x:v>Đình chỉ lưu hành, thu hồi và tiêu hủy – Công văn 1772/QLD-MP</x:v>
      </x:c>
      <x:c r="P432" t="str">
        <x:v>A++ – Cục Quản lý Dược; tổ chức chịu trách nhiệm explicit</x:v>
      </x:c>
      <x:c r="Q432" t="str">
        <x:v>Phụ lục 511 sản phẩm, STT 48, trang 4. Công ty Việt Hương là cơ sở sản xuất; cột tổ chức chịu trách nhiệm lấy nguyên văn từ phụ lục.</x:v>
      </x:c>
      <x:c r="R432" t="str">
        <x:v>https://dav.gov.vn/cong-van-so-1772qld-mp-ve-viec-dinh-chi-luu-hanh-thu-hoi-va-tieu-huy-my-pham-vi-pham-cong-ty-tnhh-my-pham-viet-huong-n5334.html</x:v>
      </x:c>
      <x:c r="S432" t="str">
        <x:v>Hà Nội</x:v>
      </x:c>
      <x:c r="T432" t="str">
        <x:v>01</x:v>
      </x:c>
    </x:row>
    <x:row r="433">
      <x:c r="A433" t="n">
        <x:v>432</x:v>
      </x:c>
      <x:c r="B433" s="330"/>
      <x:c r="C433" s="330" t="n">
        <x:v>46155</x:v>
      </x:c>
      <x:c r="D433" t="n">
        <x:v>2024</x:v>
      </x:c>
      <x:c r="E433"/>
      <x:c r="F433" t="str">
        <x:v>20738/24/CBMP-HN</x:v>
      </x:c>
      <x:c r="G433"/>
      <x:c r="H433" t="str">
        <x:v>Spotless Perfect Remover</x:v>
      </x:c>
      <x:c r="I433"/>
      <x:c r="J433" t="str">
        <x:v>Tẩy trang</x:v>
      </x:c>
      <x:c r="K433"/>
      <x:c r="L433" t="str">
        <x:v>Công ty cổ phần sản xuất và thương mại Bio Cosmetics</x:v>
      </x:c>
      <x:c r="M433"/>
      <x:c r="N433" t="str">
        <x:v>Công ty TNHH mỹ phẩm Việt Hương</x:v>
      </x:c>
      <x:c r="O433" t="str">
        <x:v>Đình chỉ lưu hành, thu hồi và tiêu hủy – Công văn 1772/QLD-MP</x:v>
      </x:c>
      <x:c r="P433" t="str">
        <x:v>A++ – Cục Quản lý Dược; tổ chức chịu trách nhiệm explicit</x:v>
      </x:c>
      <x:c r="Q433" t="str">
        <x:v>Phụ lục 511 sản phẩm, STT 49, trang 4. Công ty Việt Hương là cơ sở sản xuất; cột tổ chức chịu trách nhiệm lấy nguyên văn từ phụ lục.</x:v>
      </x:c>
      <x:c r="R433" t="str">
        <x:v>https://dav.gov.vn/cong-van-so-1772qld-mp-ve-viec-dinh-chi-luu-hanh-thu-hoi-va-tieu-huy-my-pham-vi-pham-cong-ty-tnhh-my-pham-viet-huong-n5334.html</x:v>
      </x:c>
      <x:c r="S433" t="str">
        <x:v>Hà Nội</x:v>
      </x:c>
      <x:c r="T433" t="str">
        <x:v>01</x:v>
      </x:c>
    </x:row>
    <x:row r="434">
      <x:c r="A434" t="n">
        <x:v>433</x:v>
      </x:c>
      <x:c r="B434" s="330"/>
      <x:c r="C434" s="330" t="n">
        <x:v>46155</x:v>
      </x:c>
      <x:c r="D434" t="n">
        <x:v>2024</x:v>
      </x:c>
      <x:c r="E434"/>
      <x:c r="F434" t="str">
        <x:v>22314/24/CBMP-HN</x:v>
      </x:c>
      <x:c r="G434"/>
      <x:c r="H434" t="str">
        <x:v>Bio Lip Balm</x:v>
      </x:c>
      <x:c r="I434"/>
      <x:c r="J434" t="str">
        <x:v>Sản phẩm môi</x:v>
      </x:c>
      <x:c r="K434"/>
      <x:c r="L434" t="str">
        <x:v>Công ty cổ phần sản xuất và thương mại Bio Cosmetics</x:v>
      </x:c>
      <x:c r="M434"/>
      <x:c r="N434" t="str">
        <x:v>Công ty TNHH mỹ phẩm Việt Hương</x:v>
      </x:c>
      <x:c r="O434" t="str">
        <x:v>Đình chỉ lưu hành, thu hồi và tiêu hủy – Công văn 1772/QLD-MP</x:v>
      </x:c>
      <x:c r="P434" t="str">
        <x:v>A++ – Cục Quản lý Dược; tổ chức chịu trách nhiệm explicit</x:v>
      </x:c>
      <x:c r="Q434" t="str">
        <x:v>Phụ lục 511 sản phẩm, STT 50, trang 4. Công ty Việt Hương là cơ sở sản xuất; cột tổ chức chịu trách nhiệm lấy nguyên văn từ phụ lục.</x:v>
      </x:c>
      <x:c r="R434" t="str">
        <x:v>https://dav.gov.vn/cong-van-so-1772qld-mp-ve-viec-dinh-chi-luu-hanh-thu-hoi-va-tieu-huy-my-pham-vi-pham-cong-ty-tnhh-my-pham-viet-huong-n5334.html</x:v>
      </x:c>
      <x:c r="S434" t="str">
        <x:v>Hà Nội</x:v>
      </x:c>
      <x:c r="T434" t="str">
        <x:v>01</x:v>
      </x:c>
    </x:row>
    <x:row r="435">
      <x:c r="A435" t="n">
        <x:v>434</x:v>
      </x:c>
      <x:c r="B435" s="330"/>
      <x:c r="C435" s="330" t="n">
        <x:v>46155</x:v>
      </x:c>
      <x:c r="D435" t="n">
        <x:v>2024</x:v>
      </x:c>
      <x:c r="E435"/>
      <x:c r="F435" t="str">
        <x:v>22010/24/CBMP-HN</x:v>
      </x:c>
      <x:c r="G435"/>
      <x:c r="H435" t="str">
        <x:v>Spotless Perfect Serum</x:v>
      </x:c>
      <x:c r="I435"/>
      <x:c r="J435" t="str">
        <x:v>Serum/Essence da</x:v>
      </x:c>
      <x:c r="K435"/>
      <x:c r="L435" t="str">
        <x:v>Công ty cổ phần sản xuất và thương mại Bio Cosmetics</x:v>
      </x:c>
      <x:c r="M435"/>
      <x:c r="N435" t="str">
        <x:v>Công ty TNHH mỹ phẩm Việt Hương</x:v>
      </x:c>
      <x:c r="O435" t="str">
        <x:v>Đình chỉ lưu hành, thu hồi và tiêu hủy – Công văn 1772/QLD-MP</x:v>
      </x:c>
      <x:c r="P435" t="str">
        <x:v>A++ – Cục Quản lý Dược; tổ chức chịu trách nhiệm explicit</x:v>
      </x:c>
      <x:c r="Q435" t="str">
        <x:v>Phụ lục 511 sản phẩm, STT 51, trang 4. Công ty Việt Hương là cơ sở sản xuất; cột tổ chức chịu trách nhiệm lấy nguyên văn từ phụ lục.</x:v>
      </x:c>
      <x:c r="R435" t="str">
        <x:v>https://dav.gov.vn/cong-van-so-1772qld-mp-ve-viec-dinh-chi-luu-hanh-thu-hoi-va-tieu-huy-my-pham-vi-pham-cong-ty-tnhh-my-pham-viet-huong-n5334.html</x:v>
      </x:c>
      <x:c r="S435" t="str">
        <x:v>Hà Nội</x:v>
      </x:c>
      <x:c r="T435" t="str">
        <x:v>01</x:v>
      </x:c>
    </x:row>
    <x:row r="436">
      <x:c r="A436" t="n">
        <x:v>435</x:v>
      </x:c>
      <x:c r="B436" s="330"/>
      <x:c r="C436" s="330" t="n">
        <x:v>46155</x:v>
      </x:c>
      <x:c r="D436" t="n">
        <x:v>2024</x:v>
      </x:c>
      <x:c r="E436"/>
      <x:c r="F436" t="str">
        <x:v>22922/24/CBMP-HN</x:v>
      </x:c>
      <x:c r="G436"/>
      <x:c r="H436" t="str">
        <x:v>Bio Hydration Toner</x:v>
      </x:c>
      <x:c r="I436"/>
      <x:c r="J436" t="str">
        <x:v>Serum/Essence da</x:v>
      </x:c>
      <x:c r="K436"/>
      <x:c r="L436" t="str">
        <x:v>Công ty cổ phần sản xuất và thương mại Bio Cosmetics</x:v>
      </x:c>
      <x:c r="M436"/>
      <x:c r="N436" t="str">
        <x:v>Công ty TNHH mỹ phẩm Việt Hương</x:v>
      </x:c>
      <x:c r="O436" t="str">
        <x:v>Đình chỉ lưu hành, thu hồi và tiêu hủy – Công văn 1772/QLD-MP</x:v>
      </x:c>
      <x:c r="P436" t="str">
        <x:v>A++ – Cục Quản lý Dược; tổ chức chịu trách nhiệm explicit</x:v>
      </x:c>
      <x:c r="Q436" t="str">
        <x:v>Phụ lục 511 sản phẩm, STT 52, trang 4. Công ty Việt Hương là cơ sở sản xuất; cột tổ chức chịu trách nhiệm lấy nguyên văn từ phụ lục.</x:v>
      </x:c>
      <x:c r="R436" t="str">
        <x:v>https://dav.gov.vn/cong-van-so-1772qld-mp-ve-viec-dinh-chi-luu-hanh-thu-hoi-va-tieu-huy-my-pham-vi-pham-cong-ty-tnhh-my-pham-viet-huong-n5334.html</x:v>
      </x:c>
      <x:c r="S436" t="str">
        <x:v>Hà Nội</x:v>
      </x:c>
      <x:c r="T436" t="str">
        <x:v>01</x:v>
      </x:c>
    </x:row>
    <x:row r="437">
      <x:c r="A437" t="n">
        <x:v>436</x:v>
      </x:c>
      <x:c r="B437" s="330"/>
      <x:c r="C437" s="330" t="n">
        <x:v>46155</x:v>
      </x:c>
      <x:c r="D437" t="n">
        <x:v>2025</x:v>
      </x:c>
      <x:c r="E437"/>
      <x:c r="F437" t="str">
        <x:v>24004/25/CBMP-HN</x:v>
      </x:c>
      <x:c r="G437"/>
      <x:c r="H437" t="str">
        <x:v>Lumi white peel</x:v>
      </x:c>
      <x:c r="I437"/>
      <x:c r="J437" t="str">
        <x:v>Khác</x:v>
      </x:c>
      <x:c r="K437"/>
      <x:c r="L437" t="str">
        <x:v>Công ty cổ phần sản xuất và thương mại Bio Cosmetics</x:v>
      </x:c>
      <x:c r="M437"/>
      <x:c r="N437" t="str">
        <x:v>Công ty TNHH mỹ phẩm Việt Hương</x:v>
      </x:c>
      <x:c r="O437" t="str">
        <x:v>Đình chỉ lưu hành, thu hồi và tiêu hủy – Công văn 1772/QLD-MP</x:v>
      </x:c>
      <x:c r="P437" t="str">
        <x:v>A++ – Cục Quản lý Dược; tổ chức chịu trách nhiệm explicit</x:v>
      </x:c>
      <x:c r="Q437" t="str">
        <x:v>Phụ lục 511 sản phẩm, STT 53, trang 4. Công ty Việt Hương là cơ sở sản xuất; cột tổ chức chịu trách nhiệm lấy nguyên văn từ phụ lục.</x:v>
      </x:c>
      <x:c r="R437" t="str">
        <x:v>https://dav.gov.vn/cong-van-so-1772qld-mp-ve-viec-dinh-chi-luu-hanh-thu-hoi-va-tieu-huy-my-pham-vi-pham-cong-ty-tnhh-my-pham-viet-huong-n5334.html</x:v>
      </x:c>
      <x:c r="S437" t="str">
        <x:v>Hà Nội</x:v>
      </x:c>
      <x:c r="T437" t="str">
        <x:v>01</x:v>
      </x:c>
    </x:row>
    <x:row r="438">
      <x:c r="A438" t="n">
        <x:v>437</x:v>
      </x:c>
      <x:c r="B438" s="330"/>
      <x:c r="C438" s="330" t="n">
        <x:v>46155</x:v>
      </x:c>
      <x:c r="D438" t="n">
        <x:v>2025</x:v>
      </x:c>
      <x:c r="E438"/>
      <x:c r="F438" t="str">
        <x:v>24005/25/CBMP-HN</x:v>
      </x:c>
      <x:c r="G438"/>
      <x:c r="H438" t="str">
        <x:v>Dark spot spotless perfect serum</x:v>
      </x:c>
      <x:c r="I438"/>
      <x:c r="J438" t="str">
        <x:v>Serum/Essence da</x:v>
      </x:c>
      <x:c r="K438"/>
      <x:c r="L438" t="str">
        <x:v>Công ty cổ phần sản xuất và thương mại Bio Cosmetics</x:v>
      </x:c>
      <x:c r="M438"/>
      <x:c r="N438" t="str">
        <x:v>Công ty TNHH mỹ phẩm Việt Hương</x:v>
      </x:c>
      <x:c r="O438" t="str">
        <x:v>Đình chỉ lưu hành, thu hồi và tiêu hủy – Công văn 1772/QLD-MP</x:v>
      </x:c>
      <x:c r="P438" t="str">
        <x:v>A++ – Cục Quản lý Dược; tổ chức chịu trách nhiệm explicit</x:v>
      </x:c>
      <x:c r="Q438" t="str">
        <x:v>Phụ lục 511 sản phẩm, STT 54, trang 4. Công ty Việt Hương là cơ sở sản xuất; cột tổ chức chịu trách nhiệm lấy nguyên văn từ phụ lục.</x:v>
      </x:c>
      <x:c r="R438" t="str">
        <x:v>https://dav.gov.vn/cong-van-so-1772qld-mp-ve-viec-dinh-chi-luu-hanh-thu-hoi-va-tieu-huy-my-pham-vi-pham-cong-ty-tnhh-my-pham-viet-huong-n5334.html</x:v>
      </x:c>
      <x:c r="S438" t="str">
        <x:v>Hà Nội</x:v>
      </x:c>
      <x:c r="T438" t="str">
        <x:v>01</x:v>
      </x:c>
    </x:row>
    <x:row r="439">
      <x:c r="A439" t="n">
        <x:v>438</x:v>
      </x:c>
      <x:c r="B439" s="330"/>
      <x:c r="C439" s="330" t="n">
        <x:v>46155</x:v>
      </x:c>
      <x:c r="D439" t="n">
        <x:v>2024</x:v>
      </x:c>
      <x:c r="E439"/>
      <x:c r="F439" t="str">
        <x:v>21767/24/CBMP-HN</x:v>
      </x:c>
      <x:c r="G439"/>
      <x:c r="H439" t="str">
        <x:v>Serum Collagen Peptide</x:v>
      </x:c>
      <x:c r="I439"/>
      <x:c r="J439" t="str">
        <x:v>Serum/Essence da</x:v>
      </x:c>
      <x:c r="K439"/>
      <x:c r="L439" t="str">
        <x:v>Công ty cổ phần sản xuất và thương mại Bio Cosmetics</x:v>
      </x:c>
      <x:c r="M439"/>
      <x:c r="N439" t="str">
        <x:v>Công ty TNHH mỹ phẩm Việt Hương</x:v>
      </x:c>
      <x:c r="O439" t="str">
        <x:v>Đình chỉ lưu hành, thu hồi và tiêu hủy – Công văn 1772/QLD-MP</x:v>
      </x:c>
      <x:c r="P439" t="str">
        <x:v>A++ – Cục Quản lý Dược; tổ chức chịu trách nhiệm explicit</x:v>
      </x:c>
      <x:c r="Q439" t="str">
        <x:v>Phụ lục 511 sản phẩm, STT 55, trang 4. Công ty Việt Hương là cơ sở sản xuất; cột tổ chức chịu trách nhiệm lấy nguyên văn từ phụ lục.</x:v>
      </x:c>
      <x:c r="R439" t="str">
        <x:v>https://dav.gov.vn/cong-van-so-1772qld-mp-ve-viec-dinh-chi-luu-hanh-thu-hoi-va-tieu-huy-my-pham-vi-pham-cong-ty-tnhh-my-pham-viet-huong-n5334.html</x:v>
      </x:c>
      <x:c r="S439" t="str">
        <x:v>Hà Nội</x:v>
      </x:c>
      <x:c r="T439" t="str">
        <x:v>01</x:v>
      </x:c>
    </x:row>
    <x:row r="440">
      <x:c r="A440" t="n">
        <x:v>439</x:v>
      </x:c>
      <x:c r="B440" s="330"/>
      <x:c r="C440" s="330" t="n">
        <x:v>46155</x:v>
      </x:c>
      <x:c r="D440" t="n">
        <x:v>2022</x:v>
      </x:c>
      <x:c r="E440"/>
      <x:c r="F440" t="str">
        <x:v>13384/22/CBMP-HN</x:v>
      </x:c>
      <x:c r="G440"/>
      <x:c r="H440" t="str">
        <x:v>Dung dịch vệ sinh phụ nữ I'm Nature Plus</x:v>
      </x:c>
      <x:c r="I440"/>
      <x:c r="J440" t="str">
        <x:v>Dung dịch vệ sinh</x:v>
      </x:c>
      <x:c r="K440"/>
      <x:c r="L440" t="str">
        <x:v>Công ty tnhh một thành viên Mommy &amp; Baby center</x:v>
      </x:c>
      <x:c r="M440"/>
      <x:c r="N440" t="str">
        <x:v>Công ty TNHH mỹ phẩm Việt Hương</x:v>
      </x:c>
      <x:c r="O440" t="str">
        <x:v>Đình chỉ lưu hành, thu hồi và tiêu hủy – Công văn 1772/QLD-MP</x:v>
      </x:c>
      <x:c r="P440" t="str">
        <x:v>A++ – Cục Quản lý Dược; tổ chức chịu trách nhiệm explicit</x:v>
      </x:c>
      <x:c r="Q440" t="str">
        <x:v>Phụ lục 511 sản phẩm, STT 59, trang 4. Công ty Việt Hương là cơ sở sản xuất; cột tổ chức chịu trách nhiệm lấy nguyên văn từ phụ lục.</x:v>
      </x:c>
      <x:c r="R440" t="str">
        <x:v>https://dav.gov.vn/cong-van-so-1772qld-mp-ve-viec-dinh-chi-luu-hanh-thu-hoi-va-tieu-huy-my-pham-vi-pham-cong-ty-tnhh-my-pham-viet-huong-n5334.html</x:v>
      </x:c>
      <x:c r="S440" t="str">
        <x:v>Hà Nội</x:v>
      </x:c>
      <x:c r="T440" t="str">
        <x:v>01</x:v>
      </x:c>
    </x:row>
    <x:row r="441">
      <x:c r="A441" t="n">
        <x:v>440</x:v>
      </x:c>
      <x:c r="B441" s="330"/>
      <x:c r="C441" s="330" t="n">
        <x:v>46155</x:v>
      </x:c>
      <x:c r="D441" t="n">
        <x:v>2022</x:v>
      </x:c>
      <x:c r="E441"/>
      <x:c r="F441" t="str">
        <x:v>13610/22/CBMP-HN</x:v>
      </x:c>
      <x:c r="G441"/>
      <x:c r="H441" t="str">
        <x:v>Dung dịch vệ sinh phụ nữ I'm Nature Plus</x:v>
      </x:c>
      <x:c r="I441"/>
      <x:c r="J441" t="str">
        <x:v>Dung dịch vệ sinh</x:v>
      </x:c>
      <x:c r="K441"/>
      <x:c r="L441" t="str">
        <x:v>Công ty tnhh một thành viên Mommy &amp; Baby center</x:v>
      </x:c>
      <x:c r="M441"/>
      <x:c r="N441" t="str">
        <x:v>Công ty TNHH mỹ phẩm Việt Hương</x:v>
      </x:c>
      <x:c r="O441" t="str">
        <x:v>Đình chỉ lưu hành, thu hồi và tiêu hủy – Công văn 1772/QLD-MP</x:v>
      </x:c>
      <x:c r="P441" t="str">
        <x:v>A++ – Cục Quản lý Dược; tổ chức chịu trách nhiệm explicit</x:v>
      </x:c>
      <x:c r="Q441" t="str">
        <x:v>Phụ lục 511 sản phẩm, STT 60, trang 4. Công ty Việt Hương là cơ sở sản xuất; cột tổ chức chịu trách nhiệm lấy nguyên văn từ phụ lục.</x:v>
      </x:c>
      <x:c r="R441" t="str">
        <x:v>https://dav.gov.vn/cong-van-so-1772qld-mp-ve-viec-dinh-chi-luu-hanh-thu-hoi-va-tieu-huy-my-pham-vi-pham-cong-ty-tnhh-my-pham-viet-huong-n5334.html</x:v>
      </x:c>
      <x:c r="S441" t="str">
        <x:v>Hà Nội</x:v>
      </x:c>
      <x:c r="T441" t="str">
        <x:v>01</x:v>
      </x:c>
    </x:row>
    <x:row r="442">
      <x:c r="A442" t="n">
        <x:v>441</x:v>
      </x:c>
      <x:c r="B442" s="330"/>
      <x:c r="C442" s="330" t="n">
        <x:v>46155</x:v>
      </x:c>
      <x:c r="D442" t="n">
        <x:v>2022</x:v>
      </x:c>
      <x:c r="E442"/>
      <x:c r="F442" t="str">
        <x:v>14421/22/CBMP-HN</x:v>
      </x:c>
      <x:c r="G442"/>
      <x:c r="H442" t="str">
        <x:v>Dung dịch vệ sinh phụ nữ I'm Nature</x:v>
      </x:c>
      <x:c r="I442"/>
      <x:c r="J442" t="str">
        <x:v>Dung dịch vệ sinh</x:v>
      </x:c>
      <x:c r="K442"/>
      <x:c r="L442" t="str">
        <x:v>Công ty tnhh một thành viên Mommy &amp; Baby center</x:v>
      </x:c>
      <x:c r="M442"/>
      <x:c r="N442" t="str">
        <x:v>Công ty TNHH mỹ phẩm Việt Hương</x:v>
      </x:c>
      <x:c r="O442" t="str">
        <x:v>Đình chỉ lưu hành, thu hồi và tiêu hủy – Công văn 1772/QLD-MP</x:v>
      </x:c>
      <x:c r="P442" t="str">
        <x:v>A++ – Cục Quản lý Dược; tổ chức chịu trách nhiệm explicit</x:v>
      </x:c>
      <x:c r="Q442" t="str">
        <x:v>Phụ lục 511 sản phẩm, STT 61, trang 4. Công ty Việt Hương là cơ sở sản xuất; cột tổ chức chịu trách nhiệm lấy nguyên văn từ phụ lục.</x:v>
      </x:c>
      <x:c r="R442" t="str">
        <x:v>https://dav.gov.vn/cong-van-so-1772qld-mp-ve-viec-dinh-chi-luu-hanh-thu-hoi-va-tieu-huy-my-pham-vi-pham-cong-ty-tnhh-my-pham-viet-huong-n5334.html</x:v>
      </x:c>
      <x:c r="S442" t="str">
        <x:v>Hà Nội</x:v>
      </x:c>
      <x:c r="T442" t="str">
        <x:v>01</x:v>
      </x:c>
    </x:row>
    <x:row r="443">
      <x:c r="A443" t="n">
        <x:v>442</x:v>
      </x:c>
      <x:c r="B443" s="330"/>
      <x:c r="C443" s="330" t="n">
        <x:v>46155</x:v>
      </x:c>
      <x:c r="D443" t="n">
        <x:v>2022</x:v>
      </x:c>
      <x:c r="E443"/>
      <x:c r="F443" t="str">
        <x:v>14882/22/CBMP-HN</x:v>
      </x:c>
      <x:c r="G443"/>
      <x:c r="H443" t="str">
        <x:v>Toner I'm Nature</x:v>
      </x:c>
      <x:c r="I443"/>
      <x:c r="J443" t="str">
        <x:v>Serum/Essence da</x:v>
      </x:c>
      <x:c r="K443"/>
      <x:c r="L443" t="str">
        <x:v>Công ty tnhh một thành viên Mommy &amp; Baby center</x:v>
      </x:c>
      <x:c r="M443"/>
      <x:c r="N443" t="str">
        <x:v>Công ty TNHH mỹ phẩm Việt Hương</x:v>
      </x:c>
      <x:c r="O443" t="str">
        <x:v>Đình chỉ lưu hành, thu hồi và tiêu hủy – Công văn 1772/QLD-MP</x:v>
      </x:c>
      <x:c r="P443" t="str">
        <x:v>A++ – Cục Quản lý Dược; tổ chức chịu trách nhiệm explicit</x:v>
      </x:c>
      <x:c r="Q443" t="str">
        <x:v>Phụ lục 511 sản phẩm, STT 62, trang 4. Công ty Việt Hương là cơ sở sản xuất; cột tổ chức chịu trách nhiệm lấy nguyên văn từ phụ lục.</x:v>
      </x:c>
      <x:c r="R443" t="str">
        <x:v>https://dav.gov.vn/cong-van-so-1772qld-mp-ve-viec-dinh-chi-luu-hanh-thu-hoi-va-tieu-huy-my-pham-vi-pham-cong-ty-tnhh-my-pham-viet-huong-n5334.html</x:v>
      </x:c>
      <x:c r="S443" t="str">
        <x:v>Hà Nội</x:v>
      </x:c>
      <x:c r="T443" t="str">
        <x:v>01</x:v>
      </x:c>
    </x:row>
    <x:row r="444">
      <x:c r="A444" t="n">
        <x:v>443</x:v>
      </x:c>
      <x:c r="B444" s="330"/>
      <x:c r="C444" s="330" t="n">
        <x:v>46155</x:v>
      </x:c>
      <x:c r="D444" t="n">
        <x:v>2022</x:v>
      </x:c>
      <x:c r="E444"/>
      <x:c r="F444" t="str">
        <x:v>14883/22/CBMP-HN</x:v>
      </x:c>
      <x:c r="G444"/>
      <x:c r="H444" t="str">
        <x:v>Oran Baby</x:v>
      </x:c>
      <x:c r="I444"/>
      <x:c r="J444" t="str">
        <x:v>Khác</x:v>
      </x:c>
      <x:c r="K444"/>
      <x:c r="L444" t="str">
        <x:v>Công ty tnhh một thành viên Mommy &amp; Baby center</x:v>
      </x:c>
      <x:c r="M444"/>
      <x:c r="N444" t="str">
        <x:v>Công ty TNHH mỹ phẩm Việt Hương</x:v>
      </x:c>
      <x:c r="O444" t="str">
        <x:v>Đình chỉ lưu hành, thu hồi và tiêu hủy – Công văn 1772/QLD-MP</x:v>
      </x:c>
      <x:c r="P444" t="str">
        <x:v>A++ – Cục Quản lý Dược; tổ chức chịu trách nhiệm explicit</x:v>
      </x:c>
      <x:c r="Q444" t="str">
        <x:v>Phụ lục 511 sản phẩm, STT 63, trang 4. Công ty Việt Hương là cơ sở sản xuất; cột tổ chức chịu trách nhiệm lấy nguyên văn từ phụ lục.</x:v>
      </x:c>
      <x:c r="R444" t="str">
        <x:v>https://dav.gov.vn/cong-van-so-1772qld-mp-ve-viec-dinh-chi-luu-hanh-thu-hoi-va-tieu-huy-my-pham-vi-pham-cong-ty-tnhh-my-pham-viet-huong-n5334.html</x:v>
      </x:c>
      <x:c r="S444" t="str">
        <x:v>Hà Nội</x:v>
      </x:c>
      <x:c r="T444" t="str">
        <x:v>01</x:v>
      </x:c>
    </x:row>
    <x:row r="445">
      <x:c r="A445" t="n">
        <x:v>444</x:v>
      </x:c>
      <x:c r="B445" s="330"/>
      <x:c r="C445" s="330" t="n">
        <x:v>46155</x:v>
      </x:c>
      <x:c r="D445" t="n">
        <x:v>2022</x:v>
      </x:c>
      <x:c r="E445"/>
      <x:c r="F445" t="str">
        <x:v>14884/22/CBMP-HN</x:v>
      </x:c>
      <x:c r="G445"/>
      <x:c r="H445" t="str">
        <x:v>Bath Salt I'm Nature</x:v>
      </x:c>
      <x:c r="I445"/>
      <x:c r="J445" t="str">
        <x:v>Khác</x:v>
      </x:c>
      <x:c r="K445"/>
      <x:c r="L445" t="str">
        <x:v>Công ty tnhh một thành viên Mommy &amp; Baby center</x:v>
      </x:c>
      <x:c r="M445"/>
      <x:c r="N445" t="str">
        <x:v>Công ty TNHH mỹ phẩm Việt Hương</x:v>
      </x:c>
      <x:c r="O445" t="str">
        <x:v>Đình chỉ lưu hành, thu hồi và tiêu hủy – Công văn 1772/QLD-MP</x:v>
      </x:c>
      <x:c r="P445" t="str">
        <x:v>A++ – Cục Quản lý Dược; tổ chức chịu trách nhiệm explicit</x:v>
      </x:c>
      <x:c r="Q445" t="str">
        <x:v>Phụ lục 511 sản phẩm, STT 64, trang 4. Công ty Việt Hương là cơ sở sản xuất; cột tổ chức chịu trách nhiệm lấy nguyên văn từ phụ lục.</x:v>
      </x:c>
      <x:c r="R445" t="str">
        <x:v>https://dav.gov.vn/cong-van-so-1772qld-mp-ve-viec-dinh-chi-luu-hanh-thu-hoi-va-tieu-huy-my-pham-vi-pham-cong-ty-tnhh-my-pham-viet-huong-n5334.html</x:v>
      </x:c>
      <x:c r="S445" t="str">
        <x:v>Hà Nội</x:v>
      </x:c>
      <x:c r="T445" t="str">
        <x:v>01</x:v>
      </x:c>
    </x:row>
    <x:row r="446">
      <x:c r="A446" t="n">
        <x:v>445</x:v>
      </x:c>
      <x:c r="B446" s="330"/>
      <x:c r="C446" s="330" t="n">
        <x:v>46155</x:v>
      </x:c>
      <x:c r="D446" t="n">
        <x:v>2022</x:v>
      </x:c>
      <x:c r="E446"/>
      <x:c r="F446" t="str">
        <x:v>14885/22/CBMP-HN</x:v>
      </x:c>
      <x:c r="G446"/>
      <x:c r="H446" t="str">
        <x:v>Perfect Sunblock Cream I'm Nature</x:v>
      </x:c>
      <x:c r="I446"/>
      <x:c r="J446" t="str">
        <x:v>Kem chống nắng</x:v>
      </x:c>
      <x:c r="K446"/>
      <x:c r="L446" t="str">
        <x:v>Công ty tnhh một thành viên Mommy &amp; Baby center</x:v>
      </x:c>
      <x:c r="M446"/>
      <x:c r="N446" t="str">
        <x:v>Công ty TNHH mỹ phẩm Việt Hương</x:v>
      </x:c>
      <x:c r="O446" t="str">
        <x:v>Đình chỉ lưu hành, thu hồi và tiêu hủy – Công văn 1772/QLD-MP</x:v>
      </x:c>
      <x:c r="P446" t="str">
        <x:v>A++ – Cục Quản lý Dược; tổ chức chịu trách nhiệm explicit</x:v>
      </x:c>
      <x:c r="Q446" t="str">
        <x:v>Phụ lục 511 sản phẩm, STT 65, trang 4. Công ty Việt Hương là cơ sở sản xuất; cột tổ chức chịu trách nhiệm lấy nguyên văn từ phụ lục.</x:v>
      </x:c>
      <x:c r="R446" t="str">
        <x:v>https://dav.gov.vn/cong-van-so-1772qld-mp-ve-viec-dinh-chi-luu-hanh-thu-hoi-va-tieu-huy-my-pham-vi-pham-cong-ty-tnhh-my-pham-viet-huong-n5334.html</x:v>
      </x:c>
      <x:c r="S446" t="str">
        <x:v>Hà Nội</x:v>
      </x:c>
      <x:c r="T446" t="str">
        <x:v>01</x:v>
      </x:c>
    </x:row>
    <x:row r="447">
      <x:c r="A447" t="n">
        <x:v>446</x:v>
      </x:c>
      <x:c r="B447" s="330"/>
      <x:c r="C447" s="330" t="n">
        <x:v>46155</x:v>
      </x:c>
      <x:c r="D447" t="n">
        <x:v>2023</x:v>
      </x:c>
      <x:c r="E447"/>
      <x:c r="F447" t="str">
        <x:v>15709/23/CBMP-HN</x:v>
      </x:c>
      <x:c r="G447"/>
      <x:c r="H447" t="str">
        <x:v>Bath Salt I'm Nature</x:v>
      </x:c>
      <x:c r="I447"/>
      <x:c r="J447" t="str">
        <x:v>Khác</x:v>
      </x:c>
      <x:c r="K447"/>
      <x:c r="L447" t="str">
        <x:v>Công ty tnhh một thành viên Mommy &amp; Baby center</x:v>
      </x:c>
      <x:c r="M447"/>
      <x:c r="N447" t="str">
        <x:v>Công ty TNHH mỹ phẩm Việt Hương</x:v>
      </x:c>
      <x:c r="O447" t="str">
        <x:v>Đình chỉ lưu hành, thu hồi và tiêu hủy – Công văn 1772/QLD-MP</x:v>
      </x:c>
      <x:c r="P447" t="str">
        <x:v>A++ – Cục Quản lý Dược; tổ chức chịu trách nhiệm explicit</x:v>
      </x:c>
      <x:c r="Q447" t="str">
        <x:v>Phụ lục 511 sản phẩm, STT 66, trang 4. Công ty Việt Hương là cơ sở sản xuất; cột tổ chức chịu trách nhiệm lấy nguyên văn từ phụ lục.</x:v>
      </x:c>
      <x:c r="R447" t="str">
        <x:v>https://dav.gov.vn/cong-van-so-1772qld-mp-ve-viec-dinh-chi-luu-hanh-thu-hoi-va-tieu-huy-my-pham-vi-pham-cong-ty-tnhh-my-pham-viet-huong-n5334.html</x:v>
      </x:c>
      <x:c r="S447" t="str">
        <x:v>Hà Nội</x:v>
      </x:c>
      <x:c r="T447" t="str">
        <x:v>01</x:v>
      </x:c>
    </x:row>
    <x:row r="448">
      <x:c r="A448" t="n">
        <x:v>447</x:v>
      </x:c>
      <x:c r="B448" s="330"/>
      <x:c r="C448" s="330" t="n">
        <x:v>46155</x:v>
      </x:c>
      <x:c r="D448" t="n">
        <x:v>2023</x:v>
      </x:c>
      <x:c r="E448"/>
      <x:c r="F448" t="str">
        <x:v>16267/23/CBMP-HN</x:v>
      </x:c>
      <x:c r="G448"/>
      <x:c r="H448" t="str">
        <x:v>Oran Baby</x:v>
      </x:c>
      <x:c r="I448"/>
      <x:c r="J448" t="str">
        <x:v>Khác</x:v>
      </x:c>
      <x:c r="K448"/>
      <x:c r="L448" t="str">
        <x:v>Công ty tnhh một thành viên Mommy &amp; Baby center</x:v>
      </x:c>
      <x:c r="M448"/>
      <x:c r="N448" t="str">
        <x:v>Công ty TNHH mỹ phẩm Việt Hương</x:v>
      </x:c>
      <x:c r="O448" t="str">
        <x:v>Đình chỉ lưu hành, thu hồi và tiêu hủy – Công văn 1772/QLD-MP</x:v>
      </x:c>
      <x:c r="P448" t="str">
        <x:v>A++ – Cục Quản lý Dược; tổ chức chịu trách nhiệm explicit</x:v>
      </x:c>
      <x:c r="Q448" t="str">
        <x:v>Phụ lục 511 sản phẩm, STT 67, trang 4. Công ty Việt Hương là cơ sở sản xuất; cột tổ chức chịu trách nhiệm lấy nguyên văn từ phụ lục.</x:v>
      </x:c>
      <x:c r="R448" t="str">
        <x:v>https://dav.gov.vn/cong-van-so-1772qld-mp-ve-viec-dinh-chi-luu-hanh-thu-hoi-va-tieu-huy-my-pham-vi-pham-cong-ty-tnhh-my-pham-viet-huong-n5334.html</x:v>
      </x:c>
      <x:c r="S448" t="str">
        <x:v>Hà Nội</x:v>
      </x:c>
      <x:c r="T448" t="str">
        <x:v>01</x:v>
      </x:c>
    </x:row>
    <x:row r="449">
      <x:c r="A449" t="n">
        <x:v>448</x:v>
      </x:c>
      <x:c r="B449" s="330"/>
      <x:c r="C449" s="330" t="n">
        <x:v>46155</x:v>
      </x:c>
      <x:c r="D449" t="n">
        <x:v>2023</x:v>
      </x:c>
      <x:c r="E449"/>
      <x:c r="F449" t="str">
        <x:v>17286/23/CBMP-HN</x:v>
      </x:c>
      <x:c r="G449"/>
      <x:c r="H449" t="str">
        <x:v>Sữa rửa mặt I'm Nature</x:v>
      </x:c>
      <x:c r="I449"/>
      <x:c r="J449" t="str">
        <x:v>Sữa rửa mặt</x:v>
      </x:c>
      <x:c r="K449"/>
      <x:c r="L449" t="str">
        <x:v>Công ty tnhh một thành viên Mommy &amp; Baby center</x:v>
      </x:c>
      <x:c r="M449"/>
      <x:c r="N449" t="str">
        <x:v>Công ty TNHH mỹ phẩm Việt Hương</x:v>
      </x:c>
      <x:c r="O449" t="str">
        <x:v>Đình chỉ lưu hành, thu hồi và tiêu hủy – Công văn 1772/QLD-MP</x:v>
      </x:c>
      <x:c r="P449" t="str">
        <x:v>A++ – Cục Quản lý Dược; tổ chức chịu trách nhiệm explicit</x:v>
      </x:c>
      <x:c r="Q449" t="str">
        <x:v>Phụ lục 511 sản phẩm, STT 68, trang 4. Công ty Việt Hương là cơ sở sản xuất; cột tổ chức chịu trách nhiệm lấy nguyên văn từ phụ lục.</x:v>
      </x:c>
      <x:c r="R449" t="str">
        <x:v>https://dav.gov.vn/cong-van-so-1772qld-mp-ve-viec-dinh-chi-luu-hanh-thu-hoi-va-tieu-huy-my-pham-vi-pham-cong-ty-tnhh-my-pham-viet-huong-n5334.html</x:v>
      </x:c>
      <x:c r="S449" t="str">
        <x:v>Hà Nội</x:v>
      </x:c>
      <x:c r="T449" t="str">
        <x:v>01</x:v>
      </x:c>
    </x:row>
    <x:row r="450">
      <x:c r="A450" t="n">
        <x:v>449</x:v>
      </x:c>
      <x:c r="B450" s="330"/>
      <x:c r="C450" s="330" t="n">
        <x:v>46155</x:v>
      </x:c>
      <x:c r="D450" t="n">
        <x:v>2023</x:v>
      </x:c>
      <x:c r="E450"/>
      <x:c r="F450" t="str">
        <x:v>17397/23/CBMP-HN</x:v>
      </x:c>
      <x:c r="G450"/>
      <x:c r="H450" t="str">
        <x:v>Hers</x:v>
      </x:c>
      <x:c r="I450"/>
      <x:c r="J450" t="str">
        <x:v>Khác</x:v>
      </x:c>
      <x:c r="K450"/>
      <x:c r="L450" t="str">
        <x:v>Công ty tnhh một thành viên Mommy &amp; Baby center</x:v>
      </x:c>
      <x:c r="M450"/>
      <x:c r="N450" t="str">
        <x:v>Công ty TNHH mỹ phẩm Việt Hương</x:v>
      </x:c>
      <x:c r="O450" t="str">
        <x:v>Đình chỉ lưu hành, thu hồi và tiêu hủy – Công văn 1772/QLD-MP</x:v>
      </x:c>
      <x:c r="P450" t="str">
        <x:v>A++ – Cục Quản lý Dược; tổ chức chịu trách nhiệm explicit</x:v>
      </x:c>
      <x:c r="Q450" t="str">
        <x:v>Phụ lục 511 sản phẩm, STT 69, trang 5. Công ty Việt Hương là cơ sở sản xuất; cột tổ chức chịu trách nhiệm lấy nguyên văn từ phụ lục.</x:v>
      </x:c>
      <x:c r="R450" t="str">
        <x:v>https://dav.gov.vn/cong-van-so-1772qld-mp-ve-viec-dinh-chi-luu-hanh-thu-hoi-va-tieu-huy-my-pham-vi-pham-cong-ty-tnhh-my-pham-viet-huong-n5334.html</x:v>
      </x:c>
      <x:c r="S450" t="str">
        <x:v>Hà Nội</x:v>
      </x:c>
      <x:c r="T450" t="str">
        <x:v>01</x:v>
      </x:c>
    </x:row>
    <x:row r="451">
      <x:c r="A451" t="n">
        <x:v>450</x:v>
      </x:c>
      <x:c r="B451" s="330"/>
      <x:c r="C451" s="330" t="n">
        <x:v>46155</x:v>
      </x:c>
      <x:c r="D451" t="n">
        <x:v>2023</x:v>
      </x:c>
      <x:c r="E451"/>
      <x:c r="F451" t="str">
        <x:v>18658/23/CBMP-HN</x:v>
      </x:c>
      <x:c r="G451"/>
      <x:c r="H451" t="str">
        <x:v>Dầu gội Argan</x:v>
      </x:c>
      <x:c r="I451"/>
      <x:c r="J451" t="str">
        <x:v>Dầu gội</x:v>
      </x:c>
      <x:c r="K451"/>
      <x:c r="L451" t="str">
        <x:v>Công ty tnhh một thành viên Mommy &amp; Baby center</x:v>
      </x:c>
      <x:c r="M451"/>
      <x:c r="N451" t="str">
        <x:v>Công ty TNHH mỹ phẩm Việt Hương</x:v>
      </x:c>
      <x:c r="O451" t="str">
        <x:v>Đình chỉ lưu hành, thu hồi và tiêu hủy – Công văn 1772/QLD-MP</x:v>
      </x:c>
      <x:c r="P451" t="str">
        <x:v>A++ – Cục Quản lý Dược; tổ chức chịu trách nhiệm explicit</x:v>
      </x:c>
      <x:c r="Q451" t="str">
        <x:v>Phụ lục 511 sản phẩm, STT 70, trang 5. Công ty Việt Hương là cơ sở sản xuất; cột tổ chức chịu trách nhiệm lấy nguyên văn từ phụ lục.</x:v>
      </x:c>
      <x:c r="R451" t="str">
        <x:v>https://dav.gov.vn/cong-van-so-1772qld-mp-ve-viec-dinh-chi-luu-hanh-thu-hoi-va-tieu-huy-my-pham-vi-pham-cong-ty-tnhh-my-pham-viet-huong-n5334.html</x:v>
      </x:c>
      <x:c r="S451" t="str">
        <x:v>Hà Nội</x:v>
      </x:c>
      <x:c r="T451" t="str">
        <x:v>01</x:v>
      </x:c>
    </x:row>
    <x:row r="452">
      <x:c r="A452" t="n">
        <x:v>451</x:v>
      </x:c>
      <x:c r="B452" s="330"/>
      <x:c r="C452" s="330" t="n">
        <x:v>46155</x:v>
      </x:c>
      <x:c r="D452" t="n">
        <x:v>2023</x:v>
      </x:c>
      <x:c r="E452"/>
      <x:c r="F452" t="str">
        <x:v>17432/23/CBMP-HN</x:v>
      </x:c>
      <x:c r="G452"/>
      <x:c r="H452" t="str">
        <x:v>Herb Cushion</x:v>
      </x:c>
      <x:c r="I452"/>
      <x:c r="J452" t="str">
        <x:v>Khác</x:v>
      </x:c>
      <x:c r="K452"/>
      <x:c r="L452" t="str">
        <x:v>Công ty tnhh một thành viên Mommy &amp; Baby center</x:v>
      </x:c>
      <x:c r="M452"/>
      <x:c r="N452" t="str">
        <x:v>Công ty TNHH mỹ phẩm Việt Hương</x:v>
      </x:c>
      <x:c r="O452" t="str">
        <x:v>Đình chỉ lưu hành, thu hồi và tiêu hủy – Công văn 1772/QLD-MP</x:v>
      </x:c>
      <x:c r="P452" t="str">
        <x:v>A++ – Cục Quản lý Dược; tổ chức chịu trách nhiệm explicit</x:v>
      </x:c>
      <x:c r="Q452" t="str">
        <x:v>Phụ lục 511 sản phẩm, STT 71, trang 5. Công ty Việt Hương là cơ sở sản xuất; cột tổ chức chịu trách nhiệm lấy nguyên văn từ phụ lục.</x:v>
      </x:c>
      <x:c r="R452" t="str">
        <x:v>https://dav.gov.vn/cong-van-so-1772qld-mp-ve-viec-dinh-chi-luu-hanh-thu-hoi-va-tieu-huy-my-pham-vi-pham-cong-ty-tnhh-my-pham-viet-huong-n5334.html</x:v>
      </x:c>
      <x:c r="S452" t="str">
        <x:v>Hà Nội</x:v>
      </x:c>
      <x:c r="T452" t="str">
        <x:v>01</x:v>
      </x:c>
    </x:row>
    <x:row r="453">
      <x:c r="A453" t="n">
        <x:v>452</x:v>
      </x:c>
      <x:c r="B453" s="330"/>
      <x:c r="C453" s="330" t="n">
        <x:v>46155</x:v>
      </x:c>
      <x:c r="D453" t="n">
        <x:v>2023</x:v>
      </x:c>
      <x:c r="E453"/>
      <x:c r="F453" t="str">
        <x:v>18723/23/CBMP-HN</x:v>
      </x:c>
      <x:c r="G453"/>
      <x:c r="H453" t="str">
        <x:v>Sữa tắm trẻ em I'm Nature</x:v>
      </x:c>
      <x:c r="I453"/>
      <x:c r="J453" t="str">
        <x:v>Sữa tắm/Gel tắm</x:v>
      </x:c>
      <x:c r="K453"/>
      <x:c r="L453" t="str">
        <x:v>Công ty tnhh một thành viên Mommy &amp; Baby center</x:v>
      </x:c>
      <x:c r="M453"/>
      <x:c r="N453" t="str">
        <x:v>Công ty TNHH mỹ phẩm Việt Hương</x:v>
      </x:c>
      <x:c r="O453" t="str">
        <x:v>Đình chỉ lưu hành, thu hồi và tiêu hủy – Công văn 1772/QLD-MP</x:v>
      </x:c>
      <x:c r="P453" t="str">
        <x:v>A++ – Cục Quản lý Dược; tổ chức chịu trách nhiệm explicit</x:v>
      </x:c>
      <x:c r="Q453" t="str">
        <x:v>Phụ lục 511 sản phẩm, STT 72, trang 5. Công ty Việt Hương là cơ sở sản xuất; cột tổ chức chịu trách nhiệm lấy nguyên văn từ phụ lục.</x:v>
      </x:c>
      <x:c r="R453" t="str">
        <x:v>https://dav.gov.vn/cong-van-so-1772qld-mp-ve-viec-dinh-chi-luu-hanh-thu-hoi-va-tieu-huy-my-pham-vi-pham-cong-ty-tnhh-my-pham-viet-huong-n5334.html</x:v>
      </x:c>
      <x:c r="S453" t="str">
        <x:v>Hà Nội</x:v>
      </x:c>
      <x:c r="T453" t="str">
        <x:v>01</x:v>
      </x:c>
    </x:row>
    <x:row r="454">
      <x:c r="A454" t="n">
        <x:v>453</x:v>
      </x:c>
      <x:c r="B454" s="330"/>
      <x:c r="C454" s="330" t="n">
        <x:v>46155</x:v>
      </x:c>
      <x:c r="D454" t="n">
        <x:v>2024</x:v>
      </x:c>
      <x:c r="E454"/>
      <x:c r="F454" t="str">
        <x:v>19368/24/CBMP-HN</x:v>
      </x:c>
      <x:c r="G454"/>
      <x:c r="H454" t="str">
        <x:v>Perfect Sunblock Cream I'm Nature</x:v>
      </x:c>
      <x:c r="I454"/>
      <x:c r="J454" t="str">
        <x:v>Kem chống nắng</x:v>
      </x:c>
      <x:c r="K454"/>
      <x:c r="L454" t="str">
        <x:v>Công ty tnhh một thành viên Mommy &amp; Baby center</x:v>
      </x:c>
      <x:c r="M454"/>
      <x:c r="N454" t="str">
        <x:v>Công ty TNHH mỹ phẩm Việt Hương</x:v>
      </x:c>
      <x:c r="O454" t="str">
        <x:v>Đình chỉ lưu hành, thu hồi và tiêu hủy – Công văn 1772/QLD-MP</x:v>
      </x:c>
      <x:c r="P454" t="str">
        <x:v>A++ – Cục Quản lý Dược; tổ chức chịu trách nhiệm explicit</x:v>
      </x:c>
      <x:c r="Q454" t="str">
        <x:v>Phụ lục 511 sản phẩm, STT 73, trang 5. Công ty Việt Hương là cơ sở sản xuất; cột tổ chức chịu trách nhiệm lấy nguyên văn từ phụ lục.</x:v>
      </x:c>
      <x:c r="R454" t="str">
        <x:v>https://dav.gov.vn/cong-van-so-1772qld-mp-ve-viec-dinh-chi-luu-hanh-thu-hoi-va-tieu-huy-my-pham-vi-pham-cong-ty-tnhh-my-pham-viet-huong-n5334.html</x:v>
      </x:c>
      <x:c r="S454" t="str">
        <x:v>Hà Nội</x:v>
      </x:c>
      <x:c r="T454" t="str">
        <x:v>01</x:v>
      </x:c>
    </x:row>
    <x:row r="455">
      <x:c r="A455" t="n">
        <x:v>454</x:v>
      </x:c>
      <x:c r="B455" s="330"/>
      <x:c r="C455" s="330" t="n">
        <x:v>46155</x:v>
      </x:c>
      <x:c r="D455" t="n">
        <x:v>2025</x:v>
      </x:c>
      <x:c r="E455"/>
      <x:c r="F455" t="str">
        <x:v>24988/25/CBMP-HN</x:v>
      </x:c>
      <x:c r="G455"/>
      <x:c r="H455" t="str">
        <x:v>Dung dịch vệ sinh phụ nữ I'm Nature</x:v>
      </x:c>
      <x:c r="I455"/>
      <x:c r="J455" t="str">
        <x:v>Dung dịch vệ sinh</x:v>
      </x:c>
      <x:c r="K455"/>
      <x:c r="L455" t="str">
        <x:v>Công ty tnhh một thành viên Mommy &amp; Baby center</x:v>
      </x:c>
      <x:c r="M455"/>
      <x:c r="N455" t="str">
        <x:v>Công ty TNHH mỹ phẩm Việt Hương</x:v>
      </x:c>
      <x:c r="O455" t="str">
        <x:v>Đình chỉ lưu hành, thu hồi và tiêu hủy – Công văn 1772/QLD-MP</x:v>
      </x:c>
      <x:c r="P455" t="str">
        <x:v>A++ – Cục Quản lý Dược; tổ chức chịu trách nhiệm explicit</x:v>
      </x:c>
      <x:c r="Q455" t="str">
        <x:v>Phụ lục 511 sản phẩm, STT 74, trang 5. Công ty Việt Hương là cơ sở sản xuất; cột tổ chức chịu trách nhiệm lấy nguyên văn từ phụ lục.</x:v>
      </x:c>
      <x:c r="R455" t="str">
        <x:v>https://dav.gov.vn/cong-van-so-1772qld-mp-ve-viec-dinh-chi-luu-hanh-thu-hoi-va-tieu-huy-my-pham-vi-pham-cong-ty-tnhh-my-pham-viet-huong-n5334.html</x:v>
      </x:c>
      <x:c r="S455" t="str">
        <x:v>Hà Nội</x:v>
      </x:c>
      <x:c r="T455" t="str">
        <x:v>01</x:v>
      </x:c>
    </x:row>
    <x:row r="456">
      <x:c r="A456" t="n">
        <x:v>455</x:v>
      </x:c>
      <x:c r="B456" s="330"/>
      <x:c r="C456" s="330" t="n">
        <x:v>46155</x:v>
      </x:c>
      <x:c r="D456" t="n">
        <x:v>2023</x:v>
      </x:c>
      <x:c r="E456"/>
      <x:c r="F456" t="str">
        <x:v>18450/23/CBMP-HN</x:v>
      </x:c>
      <x:c r="G456"/>
      <x:c r="H456" t="str">
        <x:v>Daily Facial Cleanser</x:v>
      </x:c>
      <x:c r="I456"/>
      <x:c r="J456" t="str">
        <x:v>Sữa rửa mặt</x:v>
      </x:c>
      <x:c r="K456"/>
      <x:c r="L456" t="str">
        <x:v>Công ty TNHH mỹ phẩm Mộc Tâm Nature</x:v>
      </x:c>
      <x:c r="M456"/>
      <x:c r="N456" t="str">
        <x:v>Công ty TNHH mỹ phẩm Việt Hương</x:v>
      </x:c>
      <x:c r="O456" t="str">
        <x:v>Đình chỉ lưu hành, thu hồi và tiêu hủy – Công văn 1772/QLD-MP</x:v>
      </x:c>
      <x:c r="P456" t="str">
        <x:v>A++ – Cục Quản lý Dược; tổ chức chịu trách nhiệm explicit</x:v>
      </x:c>
      <x:c r="Q456" t="str">
        <x:v>Phụ lục 511 sản phẩm, STT 76, trang 5. Công ty Việt Hương là cơ sở sản xuất; cột tổ chức chịu trách nhiệm lấy nguyên văn từ phụ lục.</x:v>
      </x:c>
      <x:c r="R456" t="str">
        <x:v>https://dav.gov.vn/cong-van-so-1772qld-mp-ve-viec-dinh-chi-luu-hanh-thu-hoi-va-tieu-huy-my-pham-vi-pham-cong-ty-tnhh-my-pham-viet-huong-n5334.html</x:v>
      </x:c>
      <x:c r="S456" t="str">
        <x:v>Hà Nội</x:v>
      </x:c>
      <x:c r="T456" t="str">
        <x:v>01</x:v>
      </x:c>
    </x:row>
    <x:row r="457">
      <x:c r="A457" t="n">
        <x:v>456</x:v>
      </x:c>
      <x:c r="B457" s="330"/>
      <x:c r="C457" s="330" t="n">
        <x:v>46155</x:v>
      </x:c>
      <x:c r="D457" t="n">
        <x:v>2023</x:v>
      </x:c>
      <x:c r="E457"/>
      <x:c r="F457" t="str">
        <x:v>18451/23/CBMP-HN</x:v>
      </x:c>
      <x:c r="G457"/>
      <x:c r="H457" t="str">
        <x:v>Daily Brightening Scrub</x:v>
      </x:c>
      <x:c r="I457"/>
      <x:c r="J457" t="str">
        <x:v>Khác</x:v>
      </x:c>
      <x:c r="K457"/>
      <x:c r="L457" t="str">
        <x:v>Công ty TNHH mỹ phẩm Mộc Tâm Nature</x:v>
      </x:c>
      <x:c r="M457"/>
      <x:c r="N457" t="str">
        <x:v>Công ty TNHH mỹ phẩm Việt Hương</x:v>
      </x:c>
      <x:c r="O457" t="str">
        <x:v>Đình chỉ lưu hành, thu hồi và tiêu hủy – Công văn 1772/QLD-MP</x:v>
      </x:c>
      <x:c r="P457" t="str">
        <x:v>A++ – Cục Quản lý Dược; tổ chức chịu trách nhiệm explicit</x:v>
      </x:c>
      <x:c r="Q457" t="str">
        <x:v>Phụ lục 511 sản phẩm, STT 77, trang 5. Công ty Việt Hương là cơ sở sản xuất; cột tổ chức chịu trách nhiệm lấy nguyên văn từ phụ lục.</x:v>
      </x:c>
      <x:c r="R457" t="str">
        <x:v>https://dav.gov.vn/cong-van-so-1772qld-mp-ve-viec-dinh-chi-luu-hanh-thu-hoi-va-tieu-huy-my-pham-vi-pham-cong-ty-tnhh-my-pham-viet-huong-n5334.html</x:v>
      </x:c>
      <x:c r="S457" t="str">
        <x:v>Hà Nội</x:v>
      </x:c>
      <x:c r="T457" t="str">
        <x:v>01</x:v>
      </x:c>
    </x:row>
    <x:row r="458">
      <x:c r="A458" t="n">
        <x:v>457</x:v>
      </x:c>
      <x:c r="B458" s="330"/>
      <x:c r="C458" s="330" t="n">
        <x:v>46155</x:v>
      </x:c>
      <x:c r="D458" t="n">
        <x:v>2023</x:v>
      </x:c>
      <x:c r="E458"/>
      <x:c r="F458" t="str">
        <x:v>18452/23/CBMP-HN</x:v>
      </x:c>
      <x:c r="G458"/>
      <x:c r="H458" t="str">
        <x:v>Nature Care Shampoo</x:v>
      </x:c>
      <x:c r="I458"/>
      <x:c r="J458" t="str">
        <x:v>Dầu gội</x:v>
      </x:c>
      <x:c r="K458"/>
      <x:c r="L458" t="str">
        <x:v>Công ty TNHH mỹ phẩm Mộc Tâm Nature</x:v>
      </x:c>
      <x:c r="M458"/>
      <x:c r="N458" t="str">
        <x:v>Công ty TNHH mỹ phẩm Việt Hương</x:v>
      </x:c>
      <x:c r="O458" t="str">
        <x:v>Đình chỉ lưu hành, thu hồi và tiêu hủy – Công văn 1772/QLD-MP</x:v>
      </x:c>
      <x:c r="P458" t="str">
        <x:v>A++ – Cục Quản lý Dược; tổ chức chịu trách nhiệm explicit</x:v>
      </x:c>
      <x:c r="Q458" t="str">
        <x:v>Phụ lục 511 sản phẩm, STT 78, trang 5. Công ty Việt Hương là cơ sở sản xuất; cột tổ chức chịu trách nhiệm lấy nguyên văn từ phụ lục.</x:v>
      </x:c>
      <x:c r="R458" t="str">
        <x:v>https://dav.gov.vn/cong-van-so-1772qld-mp-ve-viec-dinh-chi-luu-hanh-thu-hoi-va-tieu-huy-my-pham-vi-pham-cong-ty-tnhh-my-pham-viet-huong-n5334.html</x:v>
      </x:c>
      <x:c r="S458" t="str">
        <x:v>Hà Nội</x:v>
      </x:c>
      <x:c r="T458" t="str">
        <x:v>01</x:v>
      </x:c>
    </x:row>
    <x:row r="459">
      <x:c r="A459" t="n">
        <x:v>458</x:v>
      </x:c>
      <x:c r="B459" s="330"/>
      <x:c r="C459" s="330" t="n">
        <x:v>46155</x:v>
      </x:c>
      <x:c r="D459" t="n">
        <x:v>2023</x:v>
      </x:c>
      <x:c r="E459"/>
      <x:c r="F459" t="str">
        <x:v>18453/23/CBMP-HN</x:v>
      </x:c>
      <x:c r="G459"/>
      <x:c r="H459" t="str">
        <x:v>Nature Care Conditioner</x:v>
      </x:c>
      <x:c r="I459"/>
      <x:c r="J459" t="str">
        <x:v>Dầu xả</x:v>
      </x:c>
      <x:c r="K459"/>
      <x:c r="L459" t="str">
        <x:v>Công ty TNHH mỹ phẩm Mộc Tâm Nature</x:v>
      </x:c>
      <x:c r="M459"/>
      <x:c r="N459" t="str">
        <x:v>Công ty TNHH mỹ phẩm Việt Hương</x:v>
      </x:c>
      <x:c r="O459" t="str">
        <x:v>Đình chỉ lưu hành, thu hồi và tiêu hủy – Công văn 1772/QLD-MP</x:v>
      </x:c>
      <x:c r="P459" t="str">
        <x:v>A++ – Cục Quản lý Dược; tổ chức chịu trách nhiệm explicit</x:v>
      </x:c>
      <x:c r="Q459" t="str">
        <x:v>Phụ lục 511 sản phẩm, STT 79, trang 5. Công ty Việt Hương là cơ sở sản xuất; cột tổ chức chịu trách nhiệm lấy nguyên văn từ phụ lục.</x:v>
      </x:c>
      <x:c r="R459" t="str">
        <x:v>https://dav.gov.vn/cong-van-so-1772qld-mp-ve-viec-dinh-chi-luu-hanh-thu-hoi-va-tieu-huy-my-pham-vi-pham-cong-ty-tnhh-my-pham-viet-huong-n5334.html</x:v>
      </x:c>
      <x:c r="S459" t="str">
        <x:v>Hà Nội</x:v>
      </x:c>
      <x:c r="T459" t="str">
        <x:v>01</x:v>
      </x:c>
    </x:row>
    <x:row r="460">
      <x:c r="A460" t="n">
        <x:v>459</x:v>
      </x:c>
      <x:c r="B460" s="330"/>
      <x:c r="C460" s="330" t="n">
        <x:v>46155</x:v>
      </x:c>
      <x:c r="D460" t="n">
        <x:v>2024</x:v>
      </x:c>
      <x:c r="E460"/>
      <x:c r="F460" t="str">
        <x:v>21677/24/CBMP-HN</x:v>
      </x:c>
      <x:c r="G460"/>
      <x:c r="H460" t="str">
        <x:v>Dầu gội đầu</x:v>
      </x:c>
      <x:c r="I460"/>
      <x:c r="J460" t="str">
        <x:v>Dầu gội</x:v>
      </x:c>
      <x:c r="K460"/>
      <x:c r="L460" t="str">
        <x:v>Công ty TNHH mỹ phẩm Mộc Tâm Nature</x:v>
      </x:c>
      <x:c r="M460"/>
      <x:c r="N460" t="str">
        <x:v>Công ty TNHH mỹ phẩm Việt Hương</x:v>
      </x:c>
      <x:c r="O460" t="str">
        <x:v>Đình chỉ lưu hành, thu hồi và tiêu hủy – Công văn 1772/QLD-MP</x:v>
      </x:c>
      <x:c r="P460" t="str">
        <x:v>A++ – Cục Quản lý Dược; tổ chức chịu trách nhiệm explicit</x:v>
      </x:c>
      <x:c r="Q460" t="str">
        <x:v>Phụ lục 511 sản phẩm, STT 80, trang 5. Công ty Việt Hương là cơ sở sản xuất; cột tổ chức chịu trách nhiệm lấy nguyên văn từ phụ lục.</x:v>
      </x:c>
      <x:c r="R460" t="str">
        <x:v>https://dav.gov.vn/cong-van-so-1772qld-mp-ve-viec-dinh-chi-luu-hanh-thu-hoi-va-tieu-huy-my-pham-vi-pham-cong-ty-tnhh-my-pham-viet-huong-n5334.html</x:v>
      </x:c>
      <x:c r="S460" t="str">
        <x:v>Hà Nội</x:v>
      </x:c>
      <x:c r="T460" t="str">
        <x:v>01</x:v>
      </x:c>
    </x:row>
    <x:row r="461">
      <x:c r="A461" t="n">
        <x:v>460</x:v>
      </x:c>
      <x:c r="B461" s="330"/>
      <x:c r="C461" s="330" t="n">
        <x:v>46155</x:v>
      </x:c>
      <x:c r="D461" t="n">
        <x:v>2024</x:v>
      </x:c>
      <x:c r="E461"/>
      <x:c r="F461" t="str">
        <x:v>21678/24/CBMP-HN</x:v>
      </x:c>
      <x:c r="G461"/>
      <x:c r="H461" t="str">
        <x:v>Ủ tóc</x:v>
      </x:c>
      <x:c r="I461"/>
      <x:c r="J461" t="str">
        <x:v>Khác</x:v>
      </x:c>
      <x:c r="K461"/>
      <x:c r="L461" t="str">
        <x:v>Công ty TNHH mỹ phẩm Mộc Tâm Nature</x:v>
      </x:c>
      <x:c r="M461"/>
      <x:c r="N461" t="str">
        <x:v>Công ty TNHH mỹ phẩm Việt Hương</x:v>
      </x:c>
      <x:c r="O461" t="str">
        <x:v>Đình chỉ lưu hành, thu hồi và tiêu hủy – Công văn 1772/QLD-MP</x:v>
      </x:c>
      <x:c r="P461" t="str">
        <x:v>A++ – Cục Quản lý Dược; tổ chức chịu trách nhiệm explicit</x:v>
      </x:c>
      <x:c r="Q461" t="str">
        <x:v>Phụ lục 511 sản phẩm, STT 81, trang 5. Công ty Việt Hương là cơ sở sản xuất; cột tổ chức chịu trách nhiệm lấy nguyên văn từ phụ lục.</x:v>
      </x:c>
      <x:c r="R461" t="str">
        <x:v>https://dav.gov.vn/cong-van-so-1772qld-mp-ve-viec-dinh-chi-luu-hanh-thu-hoi-va-tieu-huy-my-pham-vi-pham-cong-ty-tnhh-my-pham-viet-huong-n5334.html</x:v>
      </x:c>
      <x:c r="S461" t="str">
        <x:v>Hà Nội</x:v>
      </x:c>
      <x:c r="T461" t="str">
        <x:v>01</x:v>
      </x:c>
    </x:row>
    <x:row r="462">
      <x:c r="A462" t="n">
        <x:v>461</x:v>
      </x:c>
      <x:c r="B462" s="330"/>
      <x:c r="C462" s="330" t="n">
        <x:v>46155</x:v>
      </x:c>
      <x:c r="D462" t="n">
        <x:v>2024</x:v>
      </x:c>
      <x:c r="E462"/>
      <x:c r="F462" t="str">
        <x:v>21679/24/CBMP-HN</x:v>
      </x:c>
      <x:c r="G462"/>
      <x:c r="H462" t="str">
        <x:v>Sữa rửa mặt</x:v>
      </x:c>
      <x:c r="I462"/>
      <x:c r="J462" t="str">
        <x:v>Sữa rửa mặt</x:v>
      </x:c>
      <x:c r="K462"/>
      <x:c r="L462" t="str">
        <x:v>Công ty TNHH mỹ phẩm Mộc Tâm Nature</x:v>
      </x:c>
      <x:c r="M462"/>
      <x:c r="N462" t="str">
        <x:v>Công ty TNHH mỹ phẩm Việt Hương</x:v>
      </x:c>
      <x:c r="O462" t="str">
        <x:v>Đình chỉ lưu hành, thu hồi và tiêu hủy – Công văn 1772/QLD-MP</x:v>
      </x:c>
      <x:c r="P462" t="str">
        <x:v>A++ – Cục Quản lý Dược; tổ chức chịu trách nhiệm explicit</x:v>
      </x:c>
      <x:c r="Q462" t="str">
        <x:v>Phụ lục 511 sản phẩm, STT 82, trang 5. Công ty Việt Hương là cơ sở sản xuất; cột tổ chức chịu trách nhiệm lấy nguyên văn từ phụ lục.</x:v>
      </x:c>
      <x:c r="R462" t="str">
        <x:v>https://dav.gov.vn/cong-van-so-1772qld-mp-ve-viec-dinh-chi-luu-hanh-thu-hoi-va-tieu-huy-my-pham-vi-pham-cong-ty-tnhh-my-pham-viet-huong-n5334.html</x:v>
      </x:c>
      <x:c r="S462" t="str">
        <x:v>Hà Nội</x:v>
      </x:c>
      <x:c r="T462" t="str">
        <x:v>01</x:v>
      </x:c>
    </x:row>
    <x:row r="463">
      <x:c r="A463" t="n">
        <x:v>462</x:v>
      </x:c>
      <x:c r="B463" s="330"/>
      <x:c r="C463" s="330" t="n">
        <x:v>46155</x:v>
      </x:c>
      <x:c r="D463" t="n">
        <x:v>2024</x:v>
      </x:c>
      <x:c r="E463"/>
      <x:c r="F463" t="str">
        <x:v>21896/24/CBMP-HN</x:v>
      </x:c>
      <x:c r="G463"/>
      <x:c r="H463" t="str">
        <x:v>Anna Beauty</x:v>
      </x:c>
      <x:c r="I463"/>
      <x:c r="J463" t="str">
        <x:v>Khác</x:v>
      </x:c>
      <x:c r="K463"/>
      <x:c r="L463" t="str">
        <x:v>Công ty TNHH mỹ phẩm Mộc Tâm Nature</x:v>
      </x:c>
      <x:c r="M463"/>
      <x:c r="N463" t="str">
        <x:v>Công ty TNHH mỹ phẩm Việt Hương</x:v>
      </x:c>
      <x:c r="O463" t="str">
        <x:v>Đình chỉ lưu hành, thu hồi và tiêu hủy – Công văn 1772/QLD-MP</x:v>
      </x:c>
      <x:c r="P463" t="str">
        <x:v>A++ – Cục Quản lý Dược; tổ chức chịu trách nhiệm explicit</x:v>
      </x:c>
      <x:c r="Q463" t="str">
        <x:v>Phụ lục 511 sản phẩm, STT 83, trang 5. Công ty Việt Hương là cơ sở sản xuất; cột tổ chức chịu trách nhiệm lấy nguyên văn từ phụ lục.</x:v>
      </x:c>
      <x:c r="R463" t="str">
        <x:v>https://dav.gov.vn/cong-van-so-1772qld-mp-ve-viec-dinh-chi-luu-hanh-thu-hoi-va-tieu-huy-my-pham-vi-pham-cong-ty-tnhh-my-pham-viet-huong-n5334.html</x:v>
      </x:c>
      <x:c r="S463" t="str">
        <x:v>Hà Nội</x:v>
      </x:c>
      <x:c r="T463" t="str">
        <x:v>01</x:v>
      </x:c>
    </x:row>
    <x:row r="464">
      <x:c r="A464" t="n">
        <x:v>463</x:v>
      </x:c>
      <x:c r="B464" s="330"/>
      <x:c r="C464" s="330" t="n">
        <x:v>46155</x:v>
      </x:c>
      <x:c r="D464" t="n">
        <x:v>2024</x:v>
      </x:c>
      <x:c r="E464"/>
      <x:c r="F464" t="str">
        <x:v>21962/24/CBMP-HN</x:v>
      </x:c>
      <x:c r="G464"/>
      <x:c r="H464" t="str">
        <x:v>Sugar Boss</x:v>
      </x:c>
      <x:c r="I464"/>
      <x:c r="J464" t="str">
        <x:v>Khác</x:v>
      </x:c>
      <x:c r="K464"/>
      <x:c r="L464" t="str">
        <x:v>Công ty TNHH mỹ phẩm Mộc Tâm Nature</x:v>
      </x:c>
      <x:c r="M464"/>
      <x:c r="N464" t="str">
        <x:v>Công ty TNHH mỹ phẩm Việt Hương</x:v>
      </x:c>
      <x:c r="O464" t="str">
        <x:v>Đình chỉ lưu hành, thu hồi và tiêu hủy – Công văn 1772/QLD-MP</x:v>
      </x:c>
      <x:c r="P464" t="str">
        <x:v>A++ – Cục Quản lý Dược; tổ chức chịu trách nhiệm explicit</x:v>
      </x:c>
      <x:c r="Q464" t="str">
        <x:v>Phụ lục 511 sản phẩm, STT 84, trang 5. Công ty Việt Hương là cơ sở sản xuất; cột tổ chức chịu trách nhiệm lấy nguyên văn từ phụ lục.</x:v>
      </x:c>
      <x:c r="R464" t="str">
        <x:v>https://dav.gov.vn/cong-van-so-1772qld-mp-ve-viec-dinh-chi-luu-hanh-thu-hoi-va-tieu-huy-my-pham-vi-pham-cong-ty-tnhh-my-pham-viet-huong-n5334.html</x:v>
      </x:c>
      <x:c r="S464" t="str">
        <x:v>Hà Nội</x:v>
      </x:c>
      <x:c r="T464" t="str">
        <x:v>01</x:v>
      </x:c>
    </x:row>
    <x:row r="465">
      <x:c r="A465" t="n">
        <x:v>464</x:v>
      </x:c>
      <x:c r="B465" s="330"/>
      <x:c r="C465" s="330" t="n">
        <x:v>46155</x:v>
      </x:c>
      <x:c r="D465" t="n">
        <x:v>2024</x:v>
      </x:c>
      <x:c r="E465"/>
      <x:c r="F465" t="str">
        <x:v>21963/24/CBMP-HN</x:v>
      </x:c>
      <x:c r="G465"/>
      <x:c r="H465" t="str">
        <x:v>So Charming</x:v>
      </x:c>
      <x:c r="I465"/>
      <x:c r="J465" t="str">
        <x:v>Khác</x:v>
      </x:c>
      <x:c r="K465"/>
      <x:c r="L465" t="str">
        <x:v>Công ty TNHH mỹ phẩm Mộc Tâm Nature</x:v>
      </x:c>
      <x:c r="M465"/>
      <x:c r="N465" t="str">
        <x:v>Công ty TNHH mỹ phẩm Việt Hương</x:v>
      </x:c>
      <x:c r="O465" t="str">
        <x:v>Đình chỉ lưu hành, thu hồi và tiêu hủy – Công văn 1772/QLD-MP</x:v>
      </x:c>
      <x:c r="P465" t="str">
        <x:v>A++ – Cục Quản lý Dược; tổ chức chịu trách nhiệm explicit</x:v>
      </x:c>
      <x:c r="Q465" t="str">
        <x:v>Phụ lục 511 sản phẩm, STT 85, trang 5. Công ty Việt Hương là cơ sở sản xuất; cột tổ chức chịu trách nhiệm lấy nguyên văn từ phụ lục.</x:v>
      </x:c>
      <x:c r="R465" t="str">
        <x:v>https://dav.gov.vn/cong-van-so-1772qld-mp-ve-viec-dinh-chi-luu-hanh-thu-hoi-va-tieu-huy-my-pham-vi-pham-cong-ty-tnhh-my-pham-viet-huong-n5334.html</x:v>
      </x:c>
      <x:c r="S465" t="str">
        <x:v>Hà Nội</x:v>
      </x:c>
      <x:c r="T465" t="str">
        <x:v>01</x:v>
      </x:c>
    </x:row>
    <x:row r="466">
      <x:c r="A466" t="n">
        <x:v>465</x:v>
      </x:c>
      <x:c r="B466" s="330"/>
      <x:c r="C466" s="330" t="n">
        <x:v>46155</x:v>
      </x:c>
      <x:c r="D466" t="n">
        <x:v>2024</x:v>
      </x:c>
      <x:c r="E466"/>
      <x:c r="F466" t="str">
        <x:v>21964/24/CBMP-HN</x:v>
      </x:c>
      <x:c r="G466"/>
      <x:c r="H466" t="str">
        <x:v>So Sexy</x:v>
      </x:c>
      <x:c r="I466"/>
      <x:c r="J466" t="str">
        <x:v>Khác</x:v>
      </x:c>
      <x:c r="K466"/>
      <x:c r="L466" t="str">
        <x:v>Công ty TNHH mỹ phẩm Mộc Tâm Nature</x:v>
      </x:c>
      <x:c r="M466"/>
      <x:c r="N466" t="str">
        <x:v>Công ty TNHH mỹ phẩm Việt Hương</x:v>
      </x:c>
      <x:c r="O466" t="str">
        <x:v>Đình chỉ lưu hành, thu hồi và tiêu hủy – Công văn 1772/QLD-MP</x:v>
      </x:c>
      <x:c r="P466" t="str">
        <x:v>A++ – Cục Quản lý Dược; tổ chức chịu trách nhiệm explicit</x:v>
      </x:c>
      <x:c r="Q466" t="str">
        <x:v>Phụ lục 511 sản phẩm, STT 86, trang 5. Công ty Việt Hương là cơ sở sản xuất; cột tổ chức chịu trách nhiệm lấy nguyên văn từ phụ lục.</x:v>
      </x:c>
      <x:c r="R466" t="str">
        <x:v>https://dav.gov.vn/cong-van-so-1772qld-mp-ve-viec-dinh-chi-luu-hanh-thu-hoi-va-tieu-huy-my-pham-vi-pham-cong-ty-tnhh-my-pham-viet-huong-n5334.html</x:v>
      </x:c>
      <x:c r="S466" t="str">
        <x:v>Hà Nội</x:v>
      </x:c>
      <x:c r="T466" t="str">
        <x:v>01</x:v>
      </x:c>
    </x:row>
    <x:row r="467">
      <x:c r="A467" t="n">
        <x:v>466</x:v>
      </x:c>
      <x:c r="B467" s="330"/>
      <x:c r="C467" s="330" t="n">
        <x:v>46155</x:v>
      </x:c>
      <x:c r="D467" t="n">
        <x:v>2024</x:v>
      </x:c>
      <x:c r="E467"/>
      <x:c r="F467" t="str">
        <x:v>21965/24/CBMP-HN</x:v>
      </x:c>
      <x:c r="G467"/>
      <x:c r="H467" t="str">
        <x:v>Sugar Star</x:v>
      </x:c>
      <x:c r="I467"/>
      <x:c r="J467" t="str">
        <x:v>Khác</x:v>
      </x:c>
      <x:c r="K467"/>
      <x:c r="L467" t="str">
        <x:v>Công ty TNHH mỹ phẩm Mộc Tâm Nature</x:v>
      </x:c>
      <x:c r="M467"/>
      <x:c r="N467" t="str">
        <x:v>Công ty TNHH mỹ phẩm Việt Hương</x:v>
      </x:c>
      <x:c r="O467" t="str">
        <x:v>Đình chỉ lưu hành, thu hồi và tiêu hủy – Công văn 1772/QLD-MP</x:v>
      </x:c>
      <x:c r="P467" t="str">
        <x:v>A++ – Cục Quản lý Dược; tổ chức chịu trách nhiệm explicit</x:v>
      </x:c>
      <x:c r="Q467" t="str">
        <x:v>Phụ lục 511 sản phẩm, STT 87, trang 5. Công ty Việt Hương là cơ sở sản xuất; cột tổ chức chịu trách nhiệm lấy nguyên văn từ phụ lục.</x:v>
      </x:c>
      <x:c r="R467" t="str">
        <x:v>https://dav.gov.vn/cong-van-so-1772qld-mp-ve-viec-dinh-chi-luu-hanh-thu-hoi-va-tieu-huy-my-pham-vi-pham-cong-ty-tnhh-my-pham-viet-huong-n5334.html</x:v>
      </x:c>
      <x:c r="S467" t="str">
        <x:v>Hà Nội</x:v>
      </x:c>
      <x:c r="T467" t="str">
        <x:v>01</x:v>
      </x:c>
    </x:row>
    <x:row r="468">
      <x:c r="A468" t="n">
        <x:v>467</x:v>
      </x:c>
      <x:c r="B468" s="330"/>
      <x:c r="C468" s="330" t="n">
        <x:v>46155</x:v>
      </x:c>
      <x:c r="D468" t="n">
        <x:v>2024</x:v>
      </x:c>
      <x:c r="E468"/>
      <x:c r="F468" t="str">
        <x:v>21966/24/CBMP-HN</x:v>
      </x:c>
      <x:c r="G468"/>
      <x:c r="H468" t="str">
        <x:v>Sweet Love</x:v>
      </x:c>
      <x:c r="I468"/>
      <x:c r="J468" t="str">
        <x:v>Khác</x:v>
      </x:c>
      <x:c r="K468"/>
      <x:c r="L468" t="str">
        <x:v>Công ty TNHH mỹ phẩm Mộc Tâm Nature</x:v>
      </x:c>
      <x:c r="M468"/>
      <x:c r="N468" t="str">
        <x:v>Công ty TNHH mỹ phẩm Việt Hương</x:v>
      </x:c>
      <x:c r="O468" t="str">
        <x:v>Đình chỉ lưu hành, thu hồi và tiêu hủy – Công văn 1772/QLD-MP</x:v>
      </x:c>
      <x:c r="P468" t="str">
        <x:v>A++ – Cục Quản lý Dược; tổ chức chịu trách nhiệm explicit</x:v>
      </x:c>
      <x:c r="Q468" t="str">
        <x:v>Phụ lục 511 sản phẩm, STT 88, trang 5. Công ty Việt Hương là cơ sở sản xuất; cột tổ chức chịu trách nhiệm lấy nguyên văn từ phụ lục.</x:v>
      </x:c>
      <x:c r="R468" t="str">
        <x:v>https://dav.gov.vn/cong-van-so-1772qld-mp-ve-viec-dinh-chi-luu-hanh-thu-hoi-va-tieu-huy-my-pham-vi-pham-cong-ty-tnhh-my-pham-viet-huong-n5334.html</x:v>
      </x:c>
      <x:c r="S468" t="str">
        <x:v>Hà Nội</x:v>
      </x:c>
      <x:c r="T468" t="str">
        <x:v>01</x:v>
      </x:c>
    </x:row>
    <x:row r="469">
      <x:c r="A469" t="n">
        <x:v>468</x:v>
      </x:c>
      <x:c r="B469" s="330"/>
      <x:c r="C469" s="330" t="n">
        <x:v>46155</x:v>
      </x:c>
      <x:c r="D469" t="n">
        <x:v>2024</x:v>
      </x:c>
      <x:c r="E469"/>
      <x:c r="F469" t="str">
        <x:v>22643/24/CBMP-HN</x:v>
      </x:c>
      <x:c r="G469"/>
      <x:c r="H469" t="str">
        <x:v>Anna Beauty Day Cream</x:v>
      </x:c>
      <x:c r="I469"/>
      <x:c r="J469" t="str">
        <x:v>Kem dưỡng da</x:v>
      </x:c>
      <x:c r="K469"/>
      <x:c r="L469" t="str">
        <x:v>Công ty TNHH mỹ phẩm Mộc Tâm Nature</x:v>
      </x:c>
      <x:c r="M469"/>
      <x:c r="N469" t="str">
        <x:v>Công ty TNHH mỹ phẩm Việt Hương</x:v>
      </x:c>
      <x:c r="O469" t="str">
        <x:v>Đình chỉ lưu hành, thu hồi và tiêu hủy – Công văn 1772/QLD-MP</x:v>
      </x:c>
      <x:c r="P469" t="str">
        <x:v>A++ – Cục Quản lý Dược; tổ chức chịu trách nhiệm explicit</x:v>
      </x:c>
      <x:c r="Q469" t="str">
        <x:v>Phụ lục 511 sản phẩm, STT 89, trang 5. Công ty Việt Hương là cơ sở sản xuất; cột tổ chức chịu trách nhiệm lấy nguyên văn từ phụ lục.</x:v>
      </x:c>
      <x:c r="R469" t="str">
        <x:v>https://dav.gov.vn/cong-van-so-1772qld-mp-ve-viec-dinh-chi-luu-hanh-thu-hoi-va-tieu-huy-my-pham-vi-pham-cong-ty-tnhh-my-pham-viet-huong-n5334.html</x:v>
      </x:c>
      <x:c r="S469" t="str">
        <x:v>Hà Nội</x:v>
      </x:c>
      <x:c r="T469" t="str">
        <x:v>01</x:v>
      </x:c>
    </x:row>
    <x:row r="470">
      <x:c r="A470" t="n">
        <x:v>469</x:v>
      </x:c>
      <x:c r="B470" s="330"/>
      <x:c r="C470" s="330" t="n">
        <x:v>46155</x:v>
      </x:c>
      <x:c r="D470" t="n">
        <x:v>2024</x:v>
      </x:c>
      <x:c r="E470"/>
      <x:c r="F470" t="str">
        <x:v>22644/24/CBMP-HN</x:v>
      </x:c>
      <x:c r="G470"/>
      <x:c r="H470" t="str">
        <x:v>Anna Beauty Night Cream</x:v>
      </x:c>
      <x:c r="I470"/>
      <x:c r="J470" t="str">
        <x:v>Kem dưỡng da</x:v>
      </x:c>
      <x:c r="K470"/>
      <x:c r="L470" t="str">
        <x:v>Công ty TNHH mỹ phẩm Mộc Tâm Nature</x:v>
      </x:c>
      <x:c r="M470"/>
      <x:c r="N470" t="str">
        <x:v>Công ty TNHH mỹ phẩm Việt Hương</x:v>
      </x:c>
      <x:c r="O470" t="str">
        <x:v>Đình chỉ lưu hành, thu hồi và tiêu hủy – Công văn 1772/QLD-MP</x:v>
      </x:c>
      <x:c r="P470" t="str">
        <x:v>A++ – Cục Quản lý Dược; tổ chức chịu trách nhiệm explicit</x:v>
      </x:c>
      <x:c r="Q470" t="str">
        <x:v>Phụ lục 511 sản phẩm, STT 90, trang 5. Công ty Việt Hương là cơ sở sản xuất; cột tổ chức chịu trách nhiệm lấy nguyên văn từ phụ lục.</x:v>
      </x:c>
      <x:c r="R470" t="str">
        <x:v>https://dav.gov.vn/cong-van-so-1772qld-mp-ve-viec-dinh-chi-luu-hanh-thu-hoi-va-tieu-huy-my-pham-vi-pham-cong-ty-tnhh-my-pham-viet-huong-n5334.html</x:v>
      </x:c>
      <x:c r="S470" t="str">
        <x:v>Hà Nội</x:v>
      </x:c>
      <x:c r="T470" t="str">
        <x:v>01</x:v>
      </x:c>
    </x:row>
    <x:row r="471">
      <x:c r="A471" t="n">
        <x:v>470</x:v>
      </x:c>
      <x:c r="B471" s="330"/>
      <x:c r="C471" s="330" t="n">
        <x:v>46155</x:v>
      </x:c>
      <x:c r="D471" t="n">
        <x:v>2022</x:v>
      </x:c>
      <x:c r="E471"/>
      <x:c r="F471" t="str">
        <x:v>12772/22/CBMP-HN</x:v>
      </x:c>
      <x:c r="G471"/>
      <x:c r="H471" t="str">
        <x:v>Locust Pomelo Conditioner</x:v>
      </x:c>
      <x:c r="I471"/>
      <x:c r="J471" t="str">
        <x:v>Dầu xả</x:v>
      </x:c>
      <x:c r="K471"/>
      <x:c r="L471" t="str">
        <x:v>Công ty cổ phần đầu tư Seimy Paris</x:v>
      </x:c>
      <x:c r="M471"/>
      <x:c r="N471" t="str">
        <x:v>Công ty TNHH mỹ phẩm Việt Hương</x:v>
      </x:c>
      <x:c r="O471" t="str">
        <x:v>Đình chỉ lưu hành, thu hồi và tiêu hủy – Công văn 1772/QLD-MP</x:v>
      </x:c>
      <x:c r="P471" t="str">
        <x:v>A++ – Cục Quản lý Dược; tổ chức chịu trách nhiệm explicit</x:v>
      </x:c>
      <x:c r="Q471" t="str">
        <x:v>Phụ lục 511 sản phẩm, STT 98, trang 5. Công ty Việt Hương là cơ sở sản xuất; cột tổ chức chịu trách nhiệm lấy nguyên văn từ phụ lục.</x:v>
      </x:c>
      <x:c r="R471" t="str">
        <x:v>https://dav.gov.vn/cong-van-so-1772qld-mp-ve-viec-dinh-chi-luu-hanh-thu-hoi-va-tieu-huy-my-pham-vi-pham-cong-ty-tnhh-my-pham-viet-huong-n5334.html</x:v>
      </x:c>
      <x:c r="S471" t="str">
        <x:v>Hà Nội</x:v>
      </x:c>
      <x:c r="T471" t="str">
        <x:v>01</x:v>
      </x:c>
    </x:row>
    <x:row r="472">
      <x:c r="A472" t="n">
        <x:v>471</x:v>
      </x:c>
      <x:c r="B472" s="330"/>
      <x:c r="C472" s="330" t="n">
        <x:v>46155</x:v>
      </x:c>
      <x:c r="D472" t="n">
        <x:v>2022</x:v>
      </x:c>
      <x:c r="E472"/>
      <x:c r="F472" t="str">
        <x:v>12826/22/CBMP-HN</x:v>
      </x:c>
      <x:c r="G472"/>
      <x:c r="H472" t="str">
        <x:v>Pomelo Hair Essence</x:v>
      </x:c>
      <x:c r="I472"/>
      <x:c r="J472" t="str">
        <x:v>Serum/Essence da</x:v>
      </x:c>
      <x:c r="K472"/>
      <x:c r="L472" t="str">
        <x:v>Công ty cổ phần đầu tư Seimy Paris</x:v>
      </x:c>
      <x:c r="M472"/>
      <x:c r="N472" t="str">
        <x:v>Công ty TNHH mỹ phẩm Việt Hương</x:v>
      </x:c>
      <x:c r="O472" t="str">
        <x:v>Đình chỉ lưu hành, thu hồi và tiêu hủy – Công văn 1772/QLD-MP</x:v>
      </x:c>
      <x:c r="P472" t="str">
        <x:v>A++ – Cục Quản lý Dược; tổ chức chịu trách nhiệm explicit</x:v>
      </x:c>
      <x:c r="Q472" t="str">
        <x:v>Phụ lục 511 sản phẩm, STT 99, trang 5. Công ty Việt Hương là cơ sở sản xuất; cột tổ chức chịu trách nhiệm lấy nguyên văn từ phụ lục.</x:v>
      </x:c>
      <x:c r="R472" t="str">
        <x:v>https://dav.gov.vn/cong-van-so-1772qld-mp-ve-viec-dinh-chi-luu-hanh-thu-hoi-va-tieu-huy-my-pham-vi-pham-cong-ty-tnhh-my-pham-viet-huong-n5334.html</x:v>
      </x:c>
      <x:c r="S472" t="str">
        <x:v>Hà Nội</x:v>
      </x:c>
      <x:c r="T472" t="str">
        <x:v>01</x:v>
      </x:c>
    </x:row>
    <x:row r="473">
      <x:c r="A473" t="n">
        <x:v>472</x:v>
      </x:c>
      <x:c r="B473" s="330"/>
      <x:c r="C473" s="330" t="n">
        <x:v>46155</x:v>
      </x:c>
      <x:c r="D473" t="n">
        <x:v>2022</x:v>
      </x:c>
      <x:c r="E473"/>
      <x:c r="F473" t="str">
        <x:v>13028/22/CBMP-HN</x:v>
      </x:c>
      <x:c r="G473"/>
      <x:c r="H473" t="str">
        <x:v>Odor Treatment Serum</x:v>
      </x:c>
      <x:c r="I473"/>
      <x:c r="J473" t="str">
        <x:v>Serum/Essence da</x:v>
      </x:c>
      <x:c r="K473"/>
      <x:c r="L473" t="str">
        <x:v>Công ty cổ phần đầu tư Seimy Paris</x:v>
      </x:c>
      <x:c r="M473"/>
      <x:c r="N473" t="str">
        <x:v>Công ty TNHH mỹ phẩm Việt Hương</x:v>
      </x:c>
      <x:c r="O473" t="str">
        <x:v>Đình chỉ lưu hành, thu hồi và tiêu hủy – Công văn 1772/QLD-MP</x:v>
      </x:c>
      <x:c r="P473" t="str">
        <x:v>A++ – Cục Quản lý Dược; tổ chức chịu trách nhiệm explicit</x:v>
      </x:c>
      <x:c r="Q473" t="str">
        <x:v>Phụ lục 511 sản phẩm, STT 100, trang 5. Công ty Việt Hương là cơ sở sản xuất; cột tổ chức chịu trách nhiệm lấy nguyên văn từ phụ lục.</x:v>
      </x:c>
      <x:c r="R473" t="str">
        <x:v>https://dav.gov.vn/cong-van-so-1772qld-mp-ve-viec-dinh-chi-luu-hanh-thu-hoi-va-tieu-huy-my-pham-vi-pham-cong-ty-tnhh-my-pham-viet-huong-n5334.html</x:v>
      </x:c>
      <x:c r="S473" t="str">
        <x:v>Hà Nội</x:v>
      </x:c>
      <x:c r="T473" t="str">
        <x:v>01</x:v>
      </x:c>
    </x:row>
    <x:row r="474">
      <x:c r="A474" t="n">
        <x:v>473</x:v>
      </x:c>
      <x:c r="B474" s="330"/>
      <x:c r="C474" s="330" t="n">
        <x:v>46155</x:v>
      </x:c>
      <x:c r="D474" t="n">
        <x:v>2022</x:v>
      </x:c>
      <x:c r="E474"/>
      <x:c r="F474" t="str">
        <x:v>13385/22/CBMP-HN</x:v>
      </x:c>
      <x:c r="G474"/>
      <x:c r="H474" t="str">
        <x:v>Face Cleanser Foam Collagen</x:v>
      </x:c>
      <x:c r="I474"/>
      <x:c r="J474" t="str">
        <x:v>Sữa rửa mặt</x:v>
      </x:c>
      <x:c r="K474"/>
      <x:c r="L474" t="str">
        <x:v>Công ty cổ phần đầu tư Seimy Paris</x:v>
      </x:c>
      <x:c r="M474"/>
      <x:c r="N474" t="str">
        <x:v>Công ty TNHH mỹ phẩm Việt Hương</x:v>
      </x:c>
      <x:c r="O474" t="str">
        <x:v>Đình chỉ lưu hành, thu hồi và tiêu hủy – Công văn 1772/QLD-MP</x:v>
      </x:c>
      <x:c r="P474" t="str">
        <x:v>A++ – Cục Quản lý Dược; tổ chức chịu trách nhiệm explicit</x:v>
      </x:c>
      <x:c r="Q474" t="str">
        <x:v>Phụ lục 511 sản phẩm, STT 101, trang 5. Công ty Việt Hương là cơ sở sản xuất; cột tổ chức chịu trách nhiệm lấy nguyên văn từ phụ lục.</x:v>
      </x:c>
      <x:c r="R474" t="str">
        <x:v>https://dav.gov.vn/cong-van-so-1772qld-mp-ve-viec-dinh-chi-luu-hanh-thu-hoi-va-tieu-huy-my-pham-vi-pham-cong-ty-tnhh-my-pham-viet-huong-n5334.html</x:v>
      </x:c>
      <x:c r="S474" t="str">
        <x:v>Hà Nội</x:v>
      </x:c>
      <x:c r="T474" t="str">
        <x:v>01</x:v>
      </x:c>
    </x:row>
    <x:row r="475">
      <x:c r="A475" t="n">
        <x:v>474</x:v>
      </x:c>
      <x:c r="B475" s="330"/>
      <x:c r="C475" s="330" t="n">
        <x:v>46155</x:v>
      </x:c>
      <x:c r="D475" t="n">
        <x:v>2022</x:v>
      </x:c>
      <x:c r="E475"/>
      <x:c r="F475" t="str">
        <x:v>13681/22/CBMP-HN</x:v>
      </x:c>
      <x:c r="G475"/>
      <x:c r="H475" t="str">
        <x:v>Avocado Coffee Exfoliate</x:v>
      </x:c>
      <x:c r="I475"/>
      <x:c r="J475" t="str">
        <x:v>Khác</x:v>
      </x:c>
      <x:c r="K475"/>
      <x:c r="L475" t="str">
        <x:v>Công ty cổ phần đầu tư Seimy Paris</x:v>
      </x:c>
      <x:c r="M475"/>
      <x:c r="N475" t="str">
        <x:v>Công ty TNHH mỹ phẩm Việt Hương</x:v>
      </x:c>
      <x:c r="O475" t="str">
        <x:v>Đình chỉ lưu hành, thu hồi và tiêu hủy – Công văn 1772/QLD-MP</x:v>
      </x:c>
      <x:c r="P475" t="str">
        <x:v>A++ – Cục Quản lý Dược; tổ chức chịu trách nhiệm explicit</x:v>
      </x:c>
      <x:c r="Q475" t="str">
        <x:v>Phụ lục 511 sản phẩm, STT 102, trang 5. Công ty Việt Hương là cơ sở sản xuất; cột tổ chức chịu trách nhiệm lấy nguyên văn từ phụ lục.</x:v>
      </x:c>
      <x:c r="R475" t="str">
        <x:v>https://dav.gov.vn/cong-van-so-1772qld-mp-ve-viec-dinh-chi-luu-hanh-thu-hoi-va-tieu-huy-my-pham-vi-pham-cong-ty-tnhh-my-pham-viet-huong-n5334.html</x:v>
      </x:c>
      <x:c r="S475" t="str">
        <x:v>Hà Nội</x:v>
      </x:c>
      <x:c r="T475" t="str">
        <x:v>01</x:v>
      </x:c>
    </x:row>
    <x:row r="476">
      <x:c r="A476" t="n">
        <x:v>475</x:v>
      </x:c>
      <x:c r="B476" s="330"/>
      <x:c r="C476" s="330" t="n">
        <x:v>46155</x:v>
      </x:c>
      <x:c r="D476" t="n">
        <x:v>2022</x:v>
      </x:c>
      <x:c r="E476"/>
      <x:c r="F476" t="str">
        <x:v>13685/22/CBMP-HN</x:v>
      </x:c>
      <x:c r="G476"/>
      <x:c r="H476" t="str">
        <x:v>Gold Skin Cushion</x:v>
      </x:c>
      <x:c r="I476"/>
      <x:c r="J476" t="str">
        <x:v>Khác</x:v>
      </x:c>
      <x:c r="K476"/>
      <x:c r="L476" t="str">
        <x:v>Công ty cổ phần đầu tư Seimy Paris</x:v>
      </x:c>
      <x:c r="M476"/>
      <x:c r="N476" t="str">
        <x:v>Công ty TNHH mỹ phẩm Việt Hương</x:v>
      </x:c>
      <x:c r="O476" t="str">
        <x:v>Đình chỉ lưu hành, thu hồi và tiêu hủy – Công văn 1772/QLD-MP</x:v>
      </x:c>
      <x:c r="P476" t="str">
        <x:v>A++ – Cục Quản lý Dược; tổ chức chịu trách nhiệm explicit</x:v>
      </x:c>
      <x:c r="Q476" t="str">
        <x:v>Phụ lục 511 sản phẩm, STT 103, trang 5. Công ty Việt Hương là cơ sở sản xuất; cột tổ chức chịu trách nhiệm lấy nguyên văn từ phụ lục.</x:v>
      </x:c>
      <x:c r="R476" t="str">
        <x:v>https://dav.gov.vn/cong-van-so-1772qld-mp-ve-viec-dinh-chi-luu-hanh-thu-hoi-va-tieu-huy-my-pham-vi-pham-cong-ty-tnhh-my-pham-viet-huong-n5334.html</x:v>
      </x:c>
      <x:c r="S476" t="str">
        <x:v>Hà Nội</x:v>
      </x:c>
      <x:c r="T476" t="str">
        <x:v>01</x:v>
      </x:c>
    </x:row>
    <x:row r="477">
      <x:c r="A477" t="n">
        <x:v>476</x:v>
      </x:c>
      <x:c r="B477" s="330"/>
      <x:c r="C477" s="330" t="n">
        <x:v>46155</x:v>
      </x:c>
      <x:c r="D477" t="n">
        <x:v>2022</x:v>
      </x:c>
      <x:c r="E477"/>
      <x:c r="F477" t="str">
        <x:v>14053/22/CBMP-HN</x:v>
      </x:c>
      <x:c r="G477"/>
      <x:c r="H477" t="str">
        <x:v>Perfect Concealer</x:v>
      </x:c>
      <x:c r="I477"/>
      <x:c r="J477" t="str">
        <x:v>Khác</x:v>
      </x:c>
      <x:c r="K477"/>
      <x:c r="L477" t="str">
        <x:v>Công ty cổ phần đầu tư Seimy Paris</x:v>
      </x:c>
      <x:c r="M477"/>
      <x:c r="N477" t="str">
        <x:v>Công ty TNHH mỹ phẩm Việt Hương</x:v>
      </x:c>
      <x:c r="O477" t="str">
        <x:v>Đình chỉ lưu hành, thu hồi và tiêu hủy – Công văn 1772/QLD-MP</x:v>
      </x:c>
      <x:c r="P477" t="str">
        <x:v>A++ – Cục Quản lý Dược; tổ chức chịu trách nhiệm explicit</x:v>
      </x:c>
      <x:c r="Q477" t="str">
        <x:v>Phụ lục 511 sản phẩm, STT 104, trang 5. Công ty Việt Hương là cơ sở sản xuất; cột tổ chức chịu trách nhiệm lấy nguyên văn từ phụ lục.</x:v>
      </x:c>
      <x:c r="R477" t="str">
        <x:v>https://dav.gov.vn/cong-van-so-1772qld-mp-ve-viec-dinh-chi-luu-hanh-thu-hoi-va-tieu-huy-my-pham-vi-pham-cong-ty-tnhh-my-pham-viet-huong-n5334.html</x:v>
      </x:c>
      <x:c r="S477" t="str">
        <x:v>Hà Nội</x:v>
      </x:c>
      <x:c r="T477" t="str">
        <x:v>01</x:v>
      </x:c>
    </x:row>
    <x:row r="478">
      <x:c r="A478" t="n">
        <x:v>477</x:v>
      </x:c>
      <x:c r="B478" s="330"/>
      <x:c r="C478" s="330" t="n">
        <x:v>46155</x:v>
      </x:c>
      <x:c r="D478" t="n">
        <x:v>2023</x:v>
      </x:c>
      <x:c r="E478"/>
      <x:c r="F478" t="str">
        <x:v>16496/23/CBMP-HN</x:v>
      </x:c>
      <x:c r="G478"/>
      <x:c r="H478" t="str">
        <x:v>Daisy Skin Cleanser</x:v>
      </x:c>
      <x:c r="I478"/>
      <x:c r="J478" t="str">
        <x:v>Sữa rửa mặt</x:v>
      </x:c>
      <x:c r="K478"/>
      <x:c r="L478" t="str">
        <x:v>Công ty cổ phần đầu tư Seimy Paris</x:v>
      </x:c>
      <x:c r="M478"/>
      <x:c r="N478" t="str">
        <x:v>Công ty TNHH mỹ phẩm Việt Hương</x:v>
      </x:c>
      <x:c r="O478" t="str">
        <x:v>Đình chỉ lưu hành, thu hồi và tiêu hủy – Công văn 1772/QLD-MP</x:v>
      </x:c>
      <x:c r="P478" t="str">
        <x:v>A++ – Cục Quản lý Dược; tổ chức chịu trách nhiệm explicit</x:v>
      </x:c>
      <x:c r="Q478" t="str">
        <x:v>Phụ lục 511 sản phẩm, STT 105, trang 5. Công ty Việt Hương là cơ sở sản xuất; cột tổ chức chịu trách nhiệm lấy nguyên văn từ phụ lục.</x:v>
      </x:c>
      <x:c r="R478" t="str">
        <x:v>https://dav.gov.vn/cong-van-so-1772qld-mp-ve-viec-dinh-chi-luu-hanh-thu-hoi-va-tieu-huy-my-pham-vi-pham-cong-ty-tnhh-my-pham-viet-huong-n5334.html</x:v>
      </x:c>
      <x:c r="S478" t="str">
        <x:v>Hà Nội</x:v>
      </x:c>
      <x:c r="T478" t="str">
        <x:v>01</x:v>
      </x:c>
    </x:row>
    <x:row r="479">
      <x:c r="A479" t="n">
        <x:v>478</x:v>
      </x:c>
      <x:c r="B479" s="330"/>
      <x:c r="C479" s="330" t="n">
        <x:v>46155</x:v>
      </x:c>
      <x:c r="D479" t="n">
        <x:v>2023</x:v>
      </x:c>
      <x:c r="E479"/>
      <x:c r="F479" t="str">
        <x:v>17289/23/CBMP-HN</x:v>
      </x:c>
      <x:c r="G479"/>
      <x:c r="H479" t="str">
        <x:v>Pro Acne Treatment</x:v>
      </x:c>
      <x:c r="I479"/>
      <x:c r="J479" t="str">
        <x:v>Khác</x:v>
      </x:c>
      <x:c r="K479"/>
      <x:c r="L479" t="str">
        <x:v>Công ty cổ phần đầu tư Seimy Paris</x:v>
      </x:c>
      <x:c r="M479"/>
      <x:c r="N479" t="str">
        <x:v>Công ty TNHH mỹ phẩm Việt Hương</x:v>
      </x:c>
      <x:c r="O479" t="str">
        <x:v>Đình chỉ lưu hành, thu hồi và tiêu hủy – Công văn 1772/QLD-MP</x:v>
      </x:c>
      <x:c r="P479" t="str">
        <x:v>A++ – Cục Quản lý Dược; tổ chức chịu trách nhiệm explicit</x:v>
      </x:c>
      <x:c r="Q479" t="str">
        <x:v>Phụ lục 511 sản phẩm, STT 106, trang 5. Công ty Việt Hương là cơ sở sản xuất; cột tổ chức chịu trách nhiệm lấy nguyên văn từ phụ lục.</x:v>
      </x:c>
      <x:c r="R479" t="str">
        <x:v>https://dav.gov.vn/cong-van-so-1772qld-mp-ve-viec-dinh-chi-luu-hanh-thu-hoi-va-tieu-huy-my-pham-vi-pham-cong-ty-tnhh-my-pham-viet-huong-n5334.html</x:v>
      </x:c>
      <x:c r="S479" t="str">
        <x:v>Hà Nội</x:v>
      </x:c>
      <x:c r="T479" t="str">
        <x:v>01</x:v>
      </x:c>
    </x:row>
    <x:row r="480">
      <x:c r="A480" t="n">
        <x:v>479</x:v>
      </x:c>
      <x:c r="B480" s="330"/>
      <x:c r="C480" s="330" t="n">
        <x:v>46155</x:v>
      </x:c>
      <x:c r="D480" t="n">
        <x:v>2024</x:v>
      </x:c>
      <x:c r="E480"/>
      <x:c r="F480" t="str">
        <x:v>20453/24/CBMP-HN</x:v>
      </x:c>
      <x:c r="G480"/>
      <x:c r="H480" t="str">
        <x:v>Diamond Luxury Cream</x:v>
      </x:c>
      <x:c r="I480"/>
      <x:c r="J480" t="str">
        <x:v>Kem dưỡng da</x:v>
      </x:c>
      <x:c r="K480"/>
      <x:c r="L480" t="str">
        <x:v>Công ty cổ phần đầu tư Seimy Paris</x:v>
      </x:c>
      <x:c r="M480"/>
      <x:c r="N480" t="str">
        <x:v>Công ty TNHH mỹ phẩm Việt Hương</x:v>
      </x:c>
      <x:c r="O480" t="str">
        <x:v>Đình chỉ lưu hành, thu hồi và tiêu hủy – Công văn 1772/QLD-MP</x:v>
      </x:c>
      <x:c r="P480" t="str">
        <x:v>A++ – Cục Quản lý Dược; tổ chức chịu trách nhiệm explicit</x:v>
      </x:c>
      <x:c r="Q480" t="str">
        <x:v>Phụ lục 511 sản phẩm, STT 107, trang 5. Công ty Việt Hương là cơ sở sản xuất; cột tổ chức chịu trách nhiệm lấy nguyên văn từ phụ lục.</x:v>
      </x:c>
      <x:c r="R480" t="str">
        <x:v>https://dav.gov.vn/cong-van-so-1772qld-mp-ve-viec-dinh-chi-luu-hanh-thu-hoi-va-tieu-huy-my-pham-vi-pham-cong-ty-tnhh-my-pham-viet-huong-n5334.html</x:v>
      </x:c>
      <x:c r="S480" t="str">
        <x:v>Hà Nội</x:v>
      </x:c>
      <x:c r="T480" t="str">
        <x:v>01</x:v>
      </x:c>
    </x:row>
    <x:row r="481">
      <x:c r="A481" t="n">
        <x:v>480</x:v>
      </x:c>
      <x:c r="B481" s="330"/>
      <x:c r="C481" s="330" t="n">
        <x:v>46155</x:v>
      </x:c>
      <x:c r="D481" t="n">
        <x:v>2024</x:v>
      </x:c>
      <x:c r="E481"/>
      <x:c r="F481" t="str">
        <x:v>20841/24/CBMP-HN</x:v>
      </x:c>
      <x:c r="G481"/>
      <x:c r="H481" t="str">
        <x:v>Skin 7 Days Plus</x:v>
      </x:c>
      <x:c r="I481"/>
      <x:c r="J481" t="str">
        <x:v>Khác</x:v>
      </x:c>
      <x:c r="K481"/>
      <x:c r="L481" t="str">
        <x:v>Công ty cổ phần đầu tư Seimy Paris</x:v>
      </x:c>
      <x:c r="M481"/>
      <x:c r="N481" t="str">
        <x:v>Công ty TNHH mỹ phẩm Việt Hương</x:v>
      </x:c>
      <x:c r="O481" t="str">
        <x:v>Đình chỉ lưu hành, thu hồi và tiêu hủy – Công văn 1772/QLD-MP</x:v>
      </x:c>
      <x:c r="P481" t="str">
        <x:v>A++ – Cục Quản lý Dược; tổ chức chịu trách nhiệm explicit</x:v>
      </x:c>
      <x:c r="Q481" t="str">
        <x:v>Phụ lục 511 sản phẩm, STT 108, trang 5. Công ty Việt Hương là cơ sở sản xuất; cột tổ chức chịu trách nhiệm lấy nguyên văn từ phụ lục.</x:v>
      </x:c>
      <x:c r="R481" t="str">
        <x:v>https://dav.gov.vn/cong-van-so-1772qld-mp-ve-viec-dinh-chi-luu-hanh-thu-hoi-va-tieu-huy-my-pham-vi-pham-cong-ty-tnhh-my-pham-viet-huong-n5334.html</x:v>
      </x:c>
      <x:c r="S481" t="str">
        <x:v>Hà Nội</x:v>
      </x:c>
      <x:c r="T481" t="str">
        <x:v>01</x:v>
      </x:c>
    </x:row>
    <x:row r="482">
      <x:c r="A482" t="n">
        <x:v>481</x:v>
      </x:c>
      <x:c r="B482" s="330"/>
      <x:c r="C482" s="330" t="n">
        <x:v>46155</x:v>
      </x:c>
      <x:c r="D482" t="n">
        <x:v>2024</x:v>
      </x:c>
      <x:c r="E482"/>
      <x:c r="F482" t="str">
        <x:v>22689/24/CBMP-HN</x:v>
      </x:c>
      <x:c r="G482"/>
      <x:c r="H482" t="str">
        <x:v>Pro Melasma Cream</x:v>
      </x:c>
      <x:c r="I482"/>
      <x:c r="J482" t="str">
        <x:v>Kem dưỡng da</x:v>
      </x:c>
      <x:c r="K482"/>
      <x:c r="L482" t="str">
        <x:v>Công ty cổ phần đầu tư Seimy Paris</x:v>
      </x:c>
      <x:c r="M482"/>
      <x:c r="N482" t="str">
        <x:v>Công ty TNHH mỹ phẩm Việt Hương</x:v>
      </x:c>
      <x:c r="O482" t="str">
        <x:v>Đình chỉ lưu hành, thu hồi và tiêu hủy – Công văn 1772/QLD-MP</x:v>
      </x:c>
      <x:c r="P482" t="str">
        <x:v>A++ – Cục Quản lý Dược; tổ chức chịu trách nhiệm explicit</x:v>
      </x:c>
      <x:c r="Q482" t="str">
        <x:v>Phụ lục 511 sản phẩm, STT 109, trang 6. Công ty Việt Hương là cơ sở sản xuất; cột tổ chức chịu trách nhiệm lấy nguyên văn từ phụ lục.</x:v>
      </x:c>
      <x:c r="R482" t="str">
        <x:v>https://dav.gov.vn/cong-van-so-1772qld-mp-ve-viec-dinh-chi-luu-hanh-thu-hoi-va-tieu-huy-my-pham-vi-pham-cong-ty-tnhh-my-pham-viet-huong-n5334.html</x:v>
      </x:c>
      <x:c r="S482" t="str">
        <x:v>Hà Nội</x:v>
      </x:c>
      <x:c r="T482" t="str">
        <x:v>01</x:v>
      </x:c>
    </x:row>
    <x:row r="483">
      <x:c r="A483" t="n">
        <x:v>482</x:v>
      </x:c>
      <x:c r="B483" s="330"/>
      <x:c r="C483" s="330" t="n">
        <x:v>46155</x:v>
      </x:c>
      <x:c r="D483" t="n">
        <x:v>2024</x:v>
      </x:c>
      <x:c r="E483"/>
      <x:c r="F483" t="str">
        <x:v>21024/24/CBMP-HN</x:v>
      </x:c>
      <x:c r="G483"/>
      <x:c r="H483" t="str">
        <x:v>Diamond Luxury Serum</x:v>
      </x:c>
      <x:c r="I483"/>
      <x:c r="J483" t="str">
        <x:v>Serum/Essence da</x:v>
      </x:c>
      <x:c r="K483"/>
      <x:c r="L483" t="str">
        <x:v>Công ty cổ phần đầu tư Seimy Paris</x:v>
      </x:c>
      <x:c r="M483"/>
      <x:c r="N483" t="str">
        <x:v>Công ty TNHH mỹ phẩm Việt Hương</x:v>
      </x:c>
      <x:c r="O483" t="str">
        <x:v>Đình chỉ lưu hành, thu hồi và tiêu hủy – Công văn 1772/QLD-MP</x:v>
      </x:c>
      <x:c r="P483" t="str">
        <x:v>A++ – Cục Quản lý Dược; tổ chức chịu trách nhiệm explicit</x:v>
      </x:c>
      <x:c r="Q483" t="str">
        <x:v>Phụ lục 511 sản phẩm, STT 110, trang 6. Công ty Việt Hương là cơ sở sản xuất; cột tổ chức chịu trách nhiệm lấy nguyên văn từ phụ lục.</x:v>
      </x:c>
      <x:c r="R483" t="str">
        <x:v>https://dav.gov.vn/cong-van-so-1772qld-mp-ve-viec-dinh-chi-luu-hanh-thu-hoi-va-tieu-huy-my-pham-vi-pham-cong-ty-tnhh-my-pham-viet-huong-n5334.html</x:v>
      </x:c>
      <x:c r="S483" t="str">
        <x:v>Hà Nội</x:v>
      </x:c>
      <x:c r="T483" t="str">
        <x:v>01</x:v>
      </x:c>
    </x:row>
    <x:row r="484">
      <x:c r="A484" t="n">
        <x:v>483</x:v>
      </x:c>
      <x:c r="B484" s="330"/>
      <x:c r="C484" s="330" t="n">
        <x:v>46155</x:v>
      </x:c>
      <x:c r="D484" t="n">
        <x:v>2024</x:v>
      </x:c>
      <x:c r="E484"/>
      <x:c r="F484" t="str">
        <x:v>21120/24/CBMP-HN</x:v>
      </x:c>
      <x:c r="G484"/>
      <x:c r="H484" t="str">
        <x:v>Pro Melasma Cream</x:v>
      </x:c>
      <x:c r="I484"/>
      <x:c r="J484" t="str">
        <x:v>Kem dưỡng da</x:v>
      </x:c>
      <x:c r="K484"/>
      <x:c r="L484" t="str">
        <x:v>Công ty cổ phần đầu tư Seimy Paris</x:v>
      </x:c>
      <x:c r="M484"/>
      <x:c r="N484" t="str">
        <x:v>Công ty TNHH mỹ phẩm Việt Hương</x:v>
      </x:c>
      <x:c r="O484" t="str">
        <x:v>Đình chỉ lưu hành, thu hồi và tiêu hủy – Công văn 1772/QLD-MP</x:v>
      </x:c>
      <x:c r="P484" t="str">
        <x:v>A++ – Cục Quản lý Dược; tổ chức chịu trách nhiệm explicit</x:v>
      </x:c>
      <x:c r="Q484" t="str">
        <x:v>Phụ lục 511 sản phẩm, STT 111, trang 6. Công ty Việt Hương là cơ sở sản xuất; cột tổ chức chịu trách nhiệm lấy nguyên văn từ phụ lục.</x:v>
      </x:c>
      <x:c r="R484" t="str">
        <x:v>https://dav.gov.vn/cong-van-so-1772qld-mp-ve-viec-dinh-chi-luu-hanh-thu-hoi-va-tieu-huy-my-pham-vi-pham-cong-ty-tnhh-my-pham-viet-huong-n5334.html</x:v>
      </x:c>
      <x:c r="S484" t="str">
        <x:v>Hà Nội</x:v>
      </x:c>
      <x:c r="T484" t="str">
        <x:v>01</x:v>
      </x:c>
    </x:row>
    <x:row r="485">
      <x:c r="A485" t="n">
        <x:v>484</x:v>
      </x:c>
      <x:c r="B485" s="330"/>
      <x:c r="C485" s="330" t="n">
        <x:v>46155</x:v>
      </x:c>
      <x:c r="D485" t="n">
        <x:v>2025</x:v>
      </x:c>
      <x:c r="E485"/>
      <x:c r="F485" t="str">
        <x:v>25700/25/CBMP-HN</x:v>
      </x:c>
      <x:c r="G485"/>
      <x:c r="H485" t="str">
        <x:v>Toner purehydra</x:v>
      </x:c>
      <x:c r="I485"/>
      <x:c r="J485" t="str">
        <x:v>Serum/Essence da</x:v>
      </x:c>
      <x:c r="K485"/>
      <x:c r="L485" t="str">
        <x:v>Công ty cổ phần đầu tư Seimy Paris</x:v>
      </x:c>
      <x:c r="M485"/>
      <x:c r="N485" t="str">
        <x:v>Công ty TNHH mỹ phẩm Việt Hương</x:v>
      </x:c>
      <x:c r="O485" t="str">
        <x:v>Đình chỉ lưu hành, thu hồi và tiêu hủy – Công văn 1772/QLD-MP</x:v>
      </x:c>
      <x:c r="P485" t="str">
        <x:v>A++ – Cục Quản lý Dược; tổ chức chịu trách nhiệm explicit</x:v>
      </x:c>
      <x:c r="Q485" t="str">
        <x:v>Phụ lục 511 sản phẩm, STT 112, trang 6. Công ty Việt Hương là cơ sở sản xuất; cột tổ chức chịu trách nhiệm lấy nguyên văn từ phụ lục.</x:v>
      </x:c>
      <x:c r="R485" t="str">
        <x:v>https://dav.gov.vn/cong-van-so-1772qld-mp-ve-viec-dinh-chi-luu-hanh-thu-hoi-va-tieu-huy-my-pham-vi-pham-cong-ty-tnhh-my-pham-viet-huong-n5334.html</x:v>
      </x:c>
      <x:c r="S485" t="str">
        <x:v>Hà Nội</x:v>
      </x:c>
      <x:c r="T485" t="str">
        <x:v>01</x:v>
      </x:c>
    </x:row>
    <x:row r="486">
      <x:c r="A486" t="n">
        <x:v>485</x:v>
      </x:c>
      <x:c r="B486" s="330"/>
      <x:c r="C486" s="330" t="n">
        <x:v>46155</x:v>
      </x:c>
      <x:c r="D486" t="n">
        <x:v>2022</x:v>
      </x:c>
      <x:c r="E486"/>
      <x:c r="F486" t="str">
        <x:v>12302/22/CBMP-HN</x:v>
      </x:c>
      <x:c r="G486"/>
      <x:c r="H486" t="str">
        <x:v>Locust Pomelo Shampoo</x:v>
      </x:c>
      <x:c r="I486"/>
      <x:c r="J486" t="str">
        <x:v>Dầu gội</x:v>
      </x:c>
      <x:c r="K486"/>
      <x:c r="L486" t="str">
        <x:v>Công ty cổ phần đầu tư Seimy Paris</x:v>
      </x:c>
      <x:c r="M486"/>
      <x:c r="N486" t="str">
        <x:v>Công ty TNHH mỹ phẩm Việt Hương</x:v>
      </x:c>
      <x:c r="O486" t="str">
        <x:v>Đình chỉ lưu hành, thu hồi và tiêu hủy – Công văn 1772/QLD-MP</x:v>
      </x:c>
      <x:c r="P486" t="str">
        <x:v>A++ – Cục Quản lý Dược; tổ chức chịu trách nhiệm explicit</x:v>
      </x:c>
      <x:c r="Q486" t="str">
        <x:v>Phụ lục 511 sản phẩm, STT 113, trang 6. Công ty Việt Hương là cơ sở sản xuất; cột tổ chức chịu trách nhiệm lấy nguyên văn từ phụ lục.</x:v>
      </x:c>
      <x:c r="R486" t="str">
        <x:v>https://dav.gov.vn/cong-van-so-1772qld-mp-ve-viec-dinh-chi-luu-hanh-thu-hoi-va-tieu-huy-my-pham-vi-pham-cong-ty-tnhh-my-pham-viet-huong-n5334.html</x:v>
      </x:c>
      <x:c r="S486" t="str">
        <x:v>Hà Nội</x:v>
      </x:c>
      <x:c r="T486" t="str">
        <x:v>01</x:v>
      </x:c>
    </x:row>
    <x:row r="487">
      <x:c r="A487" t="n">
        <x:v>486</x:v>
      </x:c>
      <x:c r="B487" s="330"/>
      <x:c r="C487" s="330" t="n">
        <x:v>46155</x:v>
      </x:c>
      <x:c r="D487" t="n">
        <x:v>2023</x:v>
      </x:c>
      <x:c r="E487"/>
      <x:c r="F487" t="str">
        <x:v>17583/23/CBMP-HN</x:v>
      </x:c>
      <x:c r="G487"/>
      <x:c r="H487" t="str">
        <x:v>Calendula Cleansing Gel</x:v>
      </x:c>
      <x:c r="I487"/>
      <x:c r="J487" t="str">
        <x:v>Sữa rửa mặt</x:v>
      </x:c>
      <x:c r="K487"/>
      <x:c r="L487" t="str">
        <x:v>Công ty TNHH Fujiwon</x:v>
      </x:c>
      <x:c r="M487"/>
      <x:c r="N487" t="str">
        <x:v>Công ty TNHH mỹ phẩm Việt Hương</x:v>
      </x:c>
      <x:c r="O487" t="str">
        <x:v>Đình chỉ lưu hành, thu hồi và tiêu hủy – Công văn 1772/QLD-MP</x:v>
      </x:c>
      <x:c r="P487" t="str">
        <x:v>A++ – Cục Quản lý Dược; tổ chức chịu trách nhiệm explicit</x:v>
      </x:c>
      <x:c r="Q487" t="str">
        <x:v>Phụ lục 511 sản phẩm, STT 117, trang 6. Công ty Việt Hương là cơ sở sản xuất; cột tổ chức chịu trách nhiệm lấy nguyên văn từ phụ lục.</x:v>
      </x:c>
      <x:c r="R487" t="str">
        <x:v>https://dav.gov.vn/cong-van-so-1772qld-mp-ve-viec-dinh-chi-luu-hanh-thu-hoi-va-tieu-huy-my-pham-vi-pham-cong-ty-tnhh-my-pham-viet-huong-n5334.html</x:v>
      </x:c>
      <x:c r="S487" t="str">
        <x:v>Hà Nội</x:v>
      </x:c>
      <x:c r="T487" t="str">
        <x:v>01</x:v>
      </x:c>
    </x:row>
    <x:row r="488">
      <x:c r="A488" t="n">
        <x:v>487</x:v>
      </x:c>
      <x:c r="B488" s="330"/>
      <x:c r="C488" s="330" t="n">
        <x:v>46155</x:v>
      </x:c>
      <x:c r="D488" t="n">
        <x:v>2025</x:v>
      </x:c>
      <x:c r="E488"/>
      <x:c r="F488" t="str">
        <x:v>23159/25/CBMP-HN</x:v>
      </x:c>
      <x:c r="G488"/>
      <x:c r="H488" t="str">
        <x:v>Centella acnesafe</x:v>
      </x:c>
      <x:c r="I488"/>
      <x:c r="J488" t="str">
        <x:v>Khác</x:v>
      </x:c>
      <x:c r="K488"/>
      <x:c r="L488" t="str">
        <x:v>Công ty TNHH Fujiwon</x:v>
      </x:c>
      <x:c r="M488"/>
      <x:c r="N488" t="str">
        <x:v>Công ty TNHH mỹ phẩm Việt Hương</x:v>
      </x:c>
      <x:c r="O488" t="str">
        <x:v>Đình chỉ lưu hành, thu hồi và tiêu hủy – Công văn 1772/QLD-MP</x:v>
      </x:c>
      <x:c r="P488" t="str">
        <x:v>A++ – Cục Quản lý Dược; tổ chức chịu trách nhiệm explicit</x:v>
      </x:c>
      <x:c r="Q488" t="str">
        <x:v>Phụ lục 511 sản phẩm, STT 118, trang 6. Công ty Việt Hương là cơ sở sản xuất; cột tổ chức chịu trách nhiệm lấy nguyên văn từ phụ lục.</x:v>
      </x:c>
      <x:c r="R488" t="str">
        <x:v>https://dav.gov.vn/cong-van-so-1772qld-mp-ve-viec-dinh-chi-luu-hanh-thu-hoi-va-tieu-huy-my-pham-vi-pham-cong-ty-tnhh-my-pham-viet-huong-n5334.html</x:v>
      </x:c>
      <x:c r="S488" t="str">
        <x:v>Hà Nội</x:v>
      </x:c>
      <x:c r="T488" t="str">
        <x:v>01</x:v>
      </x:c>
    </x:row>
    <x:row r="489">
      <x:c r="A489" t="n">
        <x:v>488</x:v>
      </x:c>
      <x:c r="B489" s="330"/>
      <x:c r="C489" s="330" t="n">
        <x:v>46155</x:v>
      </x:c>
      <x:c r="D489" t="n">
        <x:v>2022</x:v>
      </x:c>
      <x:c r="E489"/>
      <x:c r="F489" t="str">
        <x:v>11598/22/CBMP-HN</x:v>
      </x:c>
      <x:c r="G489"/>
      <x:c r="H489" t="str">
        <x:v>Tẩy da chết Cafe dành cho mặt</x:v>
      </x:c>
      <x:c r="I489"/>
      <x:c r="J489" t="str">
        <x:v>Khác</x:v>
      </x:c>
      <x:c r="K489"/>
      <x:c r="L489" t="str">
        <x:v>Công ty TNHH thương mại Moore</x:v>
      </x:c>
      <x:c r="M489"/>
      <x:c r="N489" t="str">
        <x:v>Công ty TNHH mỹ phẩm Việt Hương</x:v>
      </x:c>
      <x:c r="O489" t="str">
        <x:v>Đình chỉ lưu hành, thu hồi và tiêu hủy – Công văn 1772/QLD-MP</x:v>
      </x:c>
      <x:c r="P489" t="str">
        <x:v>A++ – Cục Quản lý Dược; tổ chức chịu trách nhiệm explicit</x:v>
      </x:c>
      <x:c r="Q489" t="str">
        <x:v>Phụ lục 511 sản phẩm, STT 124, trang 6. Công ty Việt Hương là cơ sở sản xuất; cột tổ chức chịu trách nhiệm lấy nguyên văn từ phụ lục.</x:v>
      </x:c>
      <x:c r="R489" t="str">
        <x:v>https://dav.gov.vn/cong-van-so-1772qld-mp-ve-viec-dinh-chi-luu-hanh-thu-hoi-va-tieu-huy-my-pham-vi-pham-cong-ty-tnhh-my-pham-viet-huong-n5334.html</x:v>
      </x:c>
      <x:c r="S489" t="str">
        <x:v>Hà Nội</x:v>
      </x:c>
      <x:c r="T489" t="str">
        <x:v>01</x:v>
      </x:c>
    </x:row>
    <x:row r="490">
      <x:c r="A490" t="n">
        <x:v>489</x:v>
      </x:c>
      <x:c r="B490" s="330"/>
      <x:c r="C490" s="330" t="n">
        <x:v>46155</x:v>
      </x:c>
      <x:c r="D490" t="n">
        <x:v>2022</x:v>
      </x:c>
      <x:c r="E490"/>
      <x:c r="F490" t="str">
        <x:v>11801/22/CBMP-HN</x:v>
      </x:c>
      <x:c r="G490"/>
      <x:c r="H490" t="str">
        <x:v>Dầu gội Collagen Bưởi Gừng</x:v>
      </x:c>
      <x:c r="I490"/>
      <x:c r="J490" t="str">
        <x:v>Dầu gội</x:v>
      </x:c>
      <x:c r="K490"/>
      <x:c r="L490" t="str">
        <x:v>Công ty TNHH thương mại Moore</x:v>
      </x:c>
      <x:c r="M490"/>
      <x:c r="N490" t="str">
        <x:v>Công ty TNHH mỹ phẩm Việt Hương</x:v>
      </x:c>
      <x:c r="O490" t="str">
        <x:v>Đình chỉ lưu hành, thu hồi và tiêu hủy – Công văn 1772/QLD-MP</x:v>
      </x:c>
      <x:c r="P490" t="str">
        <x:v>A++ – Cục Quản lý Dược; tổ chức chịu trách nhiệm explicit</x:v>
      </x:c>
      <x:c r="Q490" t="str">
        <x:v>Phụ lục 511 sản phẩm, STT 125, trang 6. Công ty Việt Hương là cơ sở sản xuất; cột tổ chức chịu trách nhiệm lấy nguyên văn từ phụ lục.</x:v>
      </x:c>
      <x:c r="R490" t="str">
        <x:v>https://dav.gov.vn/cong-van-so-1772qld-mp-ve-viec-dinh-chi-luu-hanh-thu-hoi-va-tieu-huy-my-pham-vi-pham-cong-ty-tnhh-my-pham-viet-huong-n5334.html</x:v>
      </x:c>
      <x:c r="S490" t="str">
        <x:v>Hà Nội</x:v>
      </x:c>
      <x:c r="T490" t="str">
        <x:v>01</x:v>
      </x:c>
    </x:row>
    <x:row r="491">
      <x:c r="A491" t="n">
        <x:v>490</x:v>
      </x:c>
      <x:c r="B491" s="330"/>
      <x:c r="C491" s="330" t="n">
        <x:v>46155</x:v>
      </x:c>
      <x:c r="D491" t="n">
        <x:v>2022</x:v>
      </x:c>
      <x:c r="E491"/>
      <x:c r="F491" t="str">
        <x:v>11802/22/CBMP-HN</x:v>
      </x:c>
      <x:c r="G491"/>
      <x:c r="H491" t="str">
        <x:v>Dầu xả Collagen Bưởi Gừng</x:v>
      </x:c>
      <x:c r="I491"/>
      <x:c r="J491" t="str">
        <x:v>Dầu xả</x:v>
      </x:c>
      <x:c r="K491"/>
      <x:c r="L491" t="str">
        <x:v>Công ty TNHH thương mại Moore</x:v>
      </x:c>
      <x:c r="M491"/>
      <x:c r="N491" t="str">
        <x:v>Công ty TNHH mỹ phẩm Việt Hương</x:v>
      </x:c>
      <x:c r="O491" t="str">
        <x:v>Đình chỉ lưu hành, thu hồi và tiêu hủy – Công văn 1772/QLD-MP</x:v>
      </x:c>
      <x:c r="P491" t="str">
        <x:v>A++ – Cục Quản lý Dược; tổ chức chịu trách nhiệm explicit</x:v>
      </x:c>
      <x:c r="Q491" t="str">
        <x:v>Phụ lục 511 sản phẩm, STT 126, trang 6. Công ty Việt Hương là cơ sở sản xuất; cột tổ chức chịu trách nhiệm lấy nguyên văn từ phụ lục.</x:v>
      </x:c>
      <x:c r="R491" t="str">
        <x:v>https://dav.gov.vn/cong-van-so-1772qld-mp-ve-viec-dinh-chi-luu-hanh-thu-hoi-va-tieu-huy-my-pham-vi-pham-cong-ty-tnhh-my-pham-viet-huong-n5334.html</x:v>
      </x:c>
      <x:c r="S491" t="str">
        <x:v>Hà Nội</x:v>
      </x:c>
      <x:c r="T491" t="str">
        <x:v>01</x:v>
      </x:c>
    </x:row>
    <x:row r="492">
      <x:c r="A492" t="n">
        <x:v>491</x:v>
      </x:c>
      <x:c r="B492" s="330"/>
      <x:c r="C492" s="330" t="n">
        <x:v>46155</x:v>
      </x:c>
      <x:c r="D492" t="n">
        <x:v>2022</x:v>
      </x:c>
      <x:c r="E492"/>
      <x:c r="F492" t="str">
        <x:v>11803/22/CBMP-HN</x:v>
      </x:c>
      <x:c r="G492"/>
      <x:c r="H492" t="str">
        <x:v>Xịt dưỡng tóc Collagen Bưởi Gừng</x:v>
      </x:c>
      <x:c r="I492"/>
      <x:c r="J492" t="str">
        <x:v>Khác</x:v>
      </x:c>
      <x:c r="K492"/>
      <x:c r="L492" t="str">
        <x:v>Công ty TNHH thương mại Moore</x:v>
      </x:c>
      <x:c r="M492"/>
      <x:c r="N492" t="str">
        <x:v>Công ty TNHH mỹ phẩm Việt Hương</x:v>
      </x:c>
      <x:c r="O492" t="str">
        <x:v>Đình chỉ lưu hành, thu hồi và tiêu hủy – Công văn 1772/QLD-MP</x:v>
      </x:c>
      <x:c r="P492" t="str">
        <x:v>A++ – Cục Quản lý Dược; tổ chức chịu trách nhiệm explicit</x:v>
      </x:c>
      <x:c r="Q492" t="str">
        <x:v>Phụ lục 511 sản phẩm, STT 127, trang 6. Công ty Việt Hương là cơ sở sản xuất; cột tổ chức chịu trách nhiệm lấy nguyên văn từ phụ lục.</x:v>
      </x:c>
      <x:c r="R492" t="str">
        <x:v>https://dav.gov.vn/cong-van-so-1772qld-mp-ve-viec-dinh-chi-luu-hanh-thu-hoi-va-tieu-huy-my-pham-vi-pham-cong-ty-tnhh-my-pham-viet-huong-n5334.html</x:v>
      </x:c>
      <x:c r="S492" t="str">
        <x:v>Hà Nội</x:v>
      </x:c>
      <x:c r="T492" t="str">
        <x:v>01</x:v>
      </x:c>
    </x:row>
    <x:row r="493">
      <x:c r="A493" t="n">
        <x:v>492</x:v>
      </x:c>
      <x:c r="B493" s="330"/>
      <x:c r="C493" s="330" t="n">
        <x:v>46155</x:v>
      </x:c>
      <x:c r="D493" t="n">
        <x:v>2022</x:v>
      </x:c>
      <x:c r="E493"/>
      <x:c r="F493" t="str">
        <x:v>11804/22/CBMP-HN</x:v>
      </x:c>
      <x:c r="G493"/>
      <x:c r="H493" t="str">
        <x:v>Centella Micellar Water</x:v>
      </x:c>
      <x:c r="I493"/>
      <x:c r="J493" t="str">
        <x:v>Tẩy trang</x:v>
      </x:c>
      <x:c r="K493"/>
      <x:c r="L493" t="str">
        <x:v>Công ty TNHH thương mại Moore</x:v>
      </x:c>
      <x:c r="M493"/>
      <x:c r="N493" t="str">
        <x:v>Công ty TNHH mỹ phẩm Việt Hương</x:v>
      </x:c>
      <x:c r="O493" t="str">
        <x:v>Đình chỉ lưu hành, thu hồi và tiêu hủy – Công văn 1772/QLD-MP</x:v>
      </x:c>
      <x:c r="P493" t="str">
        <x:v>A++ – Cục Quản lý Dược; tổ chức chịu trách nhiệm explicit</x:v>
      </x:c>
      <x:c r="Q493" t="str">
        <x:v>Phụ lục 511 sản phẩm, STT 128, trang 6. Công ty Việt Hương là cơ sở sản xuất; cột tổ chức chịu trách nhiệm lấy nguyên văn từ phụ lục.</x:v>
      </x:c>
      <x:c r="R493" t="str">
        <x:v>https://dav.gov.vn/cong-van-so-1772qld-mp-ve-viec-dinh-chi-luu-hanh-thu-hoi-va-tieu-huy-my-pham-vi-pham-cong-ty-tnhh-my-pham-viet-huong-n5334.html</x:v>
      </x:c>
      <x:c r="S493" t="str">
        <x:v>Hà Nội</x:v>
      </x:c>
      <x:c r="T493" t="str">
        <x:v>01</x:v>
      </x:c>
    </x:row>
    <x:row r="494">
      <x:c r="A494" t="n">
        <x:v>493</x:v>
      </x:c>
      <x:c r="B494" s="330"/>
      <x:c r="C494" s="330" t="n">
        <x:v>46155</x:v>
      </x:c>
      <x:c r="D494" t="n">
        <x:v>2022</x:v>
      </x:c>
      <x:c r="E494"/>
      <x:c r="F494" t="str">
        <x:v>12350/22/CBMP-HN</x:v>
      </x:c>
      <x:c r="G494"/>
      <x:c r="H494" t="str">
        <x:v>Whitening Peptide Mask</x:v>
      </x:c>
      <x:c r="I494"/>
      <x:c r="J494" t="str">
        <x:v>Mặt nạ</x:v>
      </x:c>
      <x:c r="K494"/>
      <x:c r="L494" t="str">
        <x:v>Công ty TNHH thương mại Moore</x:v>
      </x:c>
      <x:c r="M494"/>
      <x:c r="N494" t="str">
        <x:v>Công ty TNHH mỹ phẩm Việt Hương</x:v>
      </x:c>
      <x:c r="O494" t="str">
        <x:v>Đình chỉ lưu hành, thu hồi và tiêu hủy – Công văn 1772/QLD-MP</x:v>
      </x:c>
      <x:c r="P494" t="str">
        <x:v>A++ – Cục Quản lý Dược; tổ chức chịu trách nhiệm explicit</x:v>
      </x:c>
      <x:c r="Q494" t="str">
        <x:v>Phụ lục 511 sản phẩm, STT 129, trang 6. Công ty Việt Hương là cơ sở sản xuất; cột tổ chức chịu trách nhiệm lấy nguyên văn từ phụ lục.</x:v>
      </x:c>
      <x:c r="R494" t="str">
        <x:v>https://dav.gov.vn/cong-van-so-1772qld-mp-ve-viec-dinh-chi-luu-hanh-thu-hoi-va-tieu-huy-my-pham-vi-pham-cong-ty-tnhh-my-pham-viet-huong-n5334.html</x:v>
      </x:c>
      <x:c r="S494" t="str">
        <x:v>Hà Nội</x:v>
      </x:c>
      <x:c r="T494" t="str">
        <x:v>01</x:v>
      </x:c>
    </x:row>
    <x:row r="495">
      <x:c r="A495" t="n">
        <x:v>494</x:v>
      </x:c>
      <x:c r="B495" s="330"/>
      <x:c r="C495" s="330" t="n">
        <x:v>46155</x:v>
      </x:c>
      <x:c r="D495" t="n">
        <x:v>2022</x:v>
      </x:c>
      <x:c r="E495"/>
      <x:c r="F495" t="str">
        <x:v>12351/22/CBMP-HN</x:v>
      </x:c>
      <x:c r="G495"/>
      <x:c r="H495" t="str">
        <x:v>Moisturizing Peptide Mask</x:v>
      </x:c>
      <x:c r="I495"/>
      <x:c r="J495" t="str">
        <x:v>Mặt nạ</x:v>
      </x:c>
      <x:c r="K495"/>
      <x:c r="L495" t="str">
        <x:v>Công ty TNHH thương mại Moore</x:v>
      </x:c>
      <x:c r="M495"/>
      <x:c r="N495" t="str">
        <x:v>Công ty TNHH mỹ phẩm Việt Hương</x:v>
      </x:c>
      <x:c r="O495" t="str">
        <x:v>Đình chỉ lưu hành, thu hồi và tiêu hủy – Công văn 1772/QLD-MP</x:v>
      </x:c>
      <x:c r="P495" t="str">
        <x:v>A++ – Cục Quản lý Dược; tổ chức chịu trách nhiệm explicit</x:v>
      </x:c>
      <x:c r="Q495" t="str">
        <x:v>Phụ lục 511 sản phẩm, STT 130, trang 6. Công ty Việt Hương là cơ sở sản xuất; cột tổ chức chịu trách nhiệm lấy nguyên văn từ phụ lục.</x:v>
      </x:c>
      <x:c r="R495" t="str">
        <x:v>https://dav.gov.vn/cong-van-so-1772qld-mp-ve-viec-dinh-chi-luu-hanh-thu-hoi-va-tieu-huy-my-pham-vi-pham-cong-ty-tnhh-my-pham-viet-huong-n5334.html</x:v>
      </x:c>
      <x:c r="S495" t="str">
        <x:v>Hà Nội</x:v>
      </x:c>
      <x:c r="T495" t="str">
        <x:v>01</x:v>
      </x:c>
    </x:row>
    <x:row r="496">
      <x:c r="A496" t="n">
        <x:v>495</x:v>
      </x:c>
      <x:c r="B496" s="330"/>
      <x:c r="C496" s="330" t="n">
        <x:v>46155</x:v>
      </x:c>
      <x:c r="D496" t="n">
        <x:v>2022</x:v>
      </x:c>
      <x:c r="E496"/>
      <x:c r="F496" t="str">
        <x:v>12773/22/CBMP-HN</x:v>
      </x:c>
      <x:c r="G496"/>
      <x:c r="H496" t="str">
        <x:v>Premium Whitening Body Lotion</x:v>
      </x:c>
      <x:c r="I496"/>
      <x:c r="J496" t="str">
        <x:v>Kem body</x:v>
      </x:c>
      <x:c r="K496"/>
      <x:c r="L496" t="str">
        <x:v>Công ty TNHH thương mại Moore</x:v>
      </x:c>
      <x:c r="M496"/>
      <x:c r="N496" t="str">
        <x:v>Công ty TNHH mỹ phẩm Việt Hương</x:v>
      </x:c>
      <x:c r="O496" t="str">
        <x:v>Đình chỉ lưu hành, thu hồi và tiêu hủy – Công văn 1772/QLD-MP</x:v>
      </x:c>
      <x:c r="P496" t="str">
        <x:v>A++ – Cục Quản lý Dược; tổ chức chịu trách nhiệm explicit</x:v>
      </x:c>
      <x:c r="Q496" t="str">
        <x:v>Phụ lục 511 sản phẩm, STT 131, trang 6. Công ty Việt Hương là cơ sở sản xuất; cột tổ chức chịu trách nhiệm lấy nguyên văn từ phụ lục.</x:v>
      </x:c>
      <x:c r="R496" t="str">
        <x:v>https://dav.gov.vn/cong-van-so-1772qld-mp-ve-viec-dinh-chi-luu-hanh-thu-hoi-va-tieu-huy-my-pham-vi-pham-cong-ty-tnhh-my-pham-viet-huong-n5334.html</x:v>
      </x:c>
      <x:c r="S496" t="str">
        <x:v>Hà Nội</x:v>
      </x:c>
      <x:c r="T496" t="str">
        <x:v>01</x:v>
      </x:c>
    </x:row>
    <x:row r="497">
      <x:c r="A497" t="n">
        <x:v>496</x:v>
      </x:c>
      <x:c r="B497" s="330"/>
      <x:c r="C497" s="330" t="n">
        <x:v>46155</x:v>
      </x:c>
      <x:c r="D497" t="n">
        <x:v>2022</x:v>
      </x:c>
      <x:c r="E497"/>
      <x:c r="F497" t="str">
        <x:v>11599/22/CBMP-HN</x:v>
      </x:c>
      <x:c r="G497"/>
      <x:c r="H497" t="str">
        <x:v>Agarwood Mask</x:v>
      </x:c>
      <x:c r="I497"/>
      <x:c r="J497" t="str">
        <x:v>Mặt nạ</x:v>
      </x:c>
      <x:c r="K497"/>
      <x:c r="L497" t="str">
        <x:v>Công ty cổ phần công nghệ cao Trầm Tuệ</x:v>
      </x:c>
      <x:c r="M497"/>
      <x:c r="N497" t="str">
        <x:v>Công ty TNHH mỹ phẩm Việt Hương</x:v>
      </x:c>
      <x:c r="O497" t="str">
        <x:v>Đình chỉ lưu hành, thu hồi và tiêu hủy – Công văn 1772/QLD-MP</x:v>
      </x:c>
      <x:c r="P497" t="str">
        <x:v>A++ – Cục Quản lý Dược; tổ chức chịu trách nhiệm explicit</x:v>
      </x:c>
      <x:c r="Q497" t="str">
        <x:v>Phụ lục 511 sản phẩm, STT 132, trang 6. Công ty Việt Hương là cơ sở sản xuất; cột tổ chức chịu trách nhiệm lấy nguyên văn từ phụ lục.</x:v>
      </x:c>
      <x:c r="R497" t="str">
        <x:v>https://dav.gov.vn/cong-van-so-1772qld-mp-ve-viec-dinh-chi-luu-hanh-thu-hoi-va-tieu-huy-my-pham-vi-pham-cong-ty-tnhh-my-pham-viet-huong-n5334.html</x:v>
      </x:c>
      <x:c r="S497" t="str">
        <x:v>Hà Nội</x:v>
      </x:c>
      <x:c r="T497" t="str">
        <x:v>01</x:v>
      </x:c>
    </x:row>
    <x:row r="498">
      <x:c r="A498" t="n">
        <x:v>497</x:v>
      </x:c>
      <x:c r="B498" s="330"/>
      <x:c r="C498" s="330" t="n">
        <x:v>46155</x:v>
      </x:c>
      <x:c r="D498" t="n">
        <x:v>2022</x:v>
      </x:c>
      <x:c r="E498"/>
      <x:c r="F498" t="str">
        <x:v>11600/22/CBMP-HN</x:v>
      </x:c>
      <x:c r="G498"/>
      <x:c r="H498" t="str">
        <x:v>Agarwood Serum</x:v>
      </x:c>
      <x:c r="I498"/>
      <x:c r="J498" t="str">
        <x:v>Serum/Essence da</x:v>
      </x:c>
      <x:c r="K498"/>
      <x:c r="L498" t="str">
        <x:v>Công ty cổ phần công nghệ cao Trầm Tuệ</x:v>
      </x:c>
      <x:c r="M498"/>
      <x:c r="N498" t="str">
        <x:v>Công ty TNHH mỹ phẩm Việt Hương</x:v>
      </x:c>
      <x:c r="O498" t="str">
        <x:v>Đình chỉ lưu hành, thu hồi và tiêu hủy – Công văn 1772/QLD-MP</x:v>
      </x:c>
      <x:c r="P498" t="str">
        <x:v>A++ – Cục Quản lý Dược; tổ chức chịu trách nhiệm explicit</x:v>
      </x:c>
      <x:c r="Q498" t="str">
        <x:v>Phụ lục 511 sản phẩm, STT 133, trang 6. Công ty Việt Hương là cơ sở sản xuất; cột tổ chức chịu trách nhiệm lấy nguyên văn từ phụ lục.</x:v>
      </x:c>
      <x:c r="R498" t="str">
        <x:v>https://dav.gov.vn/cong-van-so-1772qld-mp-ve-viec-dinh-chi-luu-hanh-thu-hoi-va-tieu-huy-my-pham-vi-pham-cong-ty-tnhh-my-pham-viet-huong-n5334.html</x:v>
      </x:c>
      <x:c r="S498" t="str">
        <x:v>Hà Nội</x:v>
      </x:c>
      <x:c r="T498" t="str">
        <x:v>01</x:v>
      </x:c>
    </x:row>
    <x:row r="499">
      <x:c r="A499" t="n">
        <x:v>498</x:v>
      </x:c>
      <x:c r="B499" s="330"/>
      <x:c r="C499" s="330" t="n">
        <x:v>46155</x:v>
      </x:c>
      <x:c r="D499" t="n">
        <x:v>2022</x:v>
      </x:c>
      <x:c r="E499"/>
      <x:c r="F499" t="str">
        <x:v>11725/22/CBMP-HN</x:v>
      </x:c>
      <x:c r="G499"/>
      <x:c r="H499" t="str">
        <x:v>Agarwood Cream</x:v>
      </x:c>
      <x:c r="I499"/>
      <x:c r="J499" t="str">
        <x:v>Kem dưỡng da</x:v>
      </x:c>
      <x:c r="K499"/>
      <x:c r="L499" t="str">
        <x:v>Công ty cổ phần công nghệ cao Trầm Tuệ</x:v>
      </x:c>
      <x:c r="M499"/>
      <x:c r="N499" t="str">
        <x:v>Công ty TNHH mỹ phẩm Việt Hương</x:v>
      </x:c>
      <x:c r="O499" t="str">
        <x:v>Đình chỉ lưu hành, thu hồi và tiêu hủy – Công văn 1772/QLD-MP</x:v>
      </x:c>
      <x:c r="P499" t="str">
        <x:v>A++ – Cục Quản lý Dược; tổ chức chịu trách nhiệm explicit</x:v>
      </x:c>
      <x:c r="Q499" t="str">
        <x:v>Phụ lục 511 sản phẩm, STT 134, trang 6. Công ty Việt Hương là cơ sở sản xuất; cột tổ chức chịu trách nhiệm lấy nguyên văn từ phụ lục.</x:v>
      </x:c>
      <x:c r="R499" t="str">
        <x:v>https://dav.gov.vn/cong-van-so-1772qld-mp-ve-viec-dinh-chi-luu-hanh-thu-hoi-va-tieu-huy-my-pham-vi-pham-cong-ty-tnhh-my-pham-viet-huong-n5334.html</x:v>
      </x:c>
      <x:c r="S499" t="str">
        <x:v>Hà Nội</x:v>
      </x:c>
      <x:c r="T499" t="str">
        <x:v>01</x:v>
      </x:c>
    </x:row>
    <x:row r="500">
      <x:c r="A500" t="n">
        <x:v>499</x:v>
      </x:c>
      <x:c r="B500" s="330"/>
      <x:c r="C500" s="330" t="n">
        <x:v>46155</x:v>
      </x:c>
      <x:c r="D500" t="n">
        <x:v>2022</x:v>
      </x:c>
      <x:c r="E500"/>
      <x:c r="F500" t="str">
        <x:v>11805/22/CBMP-HN</x:v>
      </x:c>
      <x:c r="G500"/>
      <x:c r="H500" t="str">
        <x:v>Agarwood Toner</x:v>
      </x:c>
      <x:c r="I500"/>
      <x:c r="J500" t="str">
        <x:v>Serum/Essence da</x:v>
      </x:c>
      <x:c r="K500"/>
      <x:c r="L500" t="str">
        <x:v>Công ty cổ phần công nghệ cao Trầm Tuệ</x:v>
      </x:c>
      <x:c r="M500"/>
      <x:c r="N500" t="str">
        <x:v>Công ty TNHH mỹ phẩm Việt Hương</x:v>
      </x:c>
      <x:c r="O500" t="str">
        <x:v>Đình chỉ lưu hành, thu hồi và tiêu hủy – Công văn 1772/QLD-MP</x:v>
      </x:c>
      <x:c r="P500" t="str">
        <x:v>A++ – Cục Quản lý Dược; tổ chức chịu trách nhiệm explicit</x:v>
      </x:c>
      <x:c r="Q500" t="str">
        <x:v>Phụ lục 511 sản phẩm, STT 135, trang 6. Công ty Việt Hương là cơ sở sản xuất; cột tổ chức chịu trách nhiệm lấy nguyên văn từ phụ lục.</x:v>
      </x:c>
      <x:c r="R500" t="str">
        <x:v>https://dav.gov.vn/cong-van-so-1772qld-mp-ve-viec-dinh-chi-luu-hanh-thu-hoi-va-tieu-huy-my-pham-vi-pham-cong-ty-tnhh-my-pham-viet-huong-n5334.html</x:v>
      </x:c>
      <x:c r="S500" t="str">
        <x:v>Hà Nội</x:v>
      </x:c>
      <x:c r="T500" t="str">
        <x:v>01</x:v>
      </x:c>
    </x:row>
    <x:row r="501">
      <x:c r="A501" t="n">
        <x:v>500</x:v>
      </x:c>
      <x:c r="B501" s="330"/>
      <x:c r="C501" s="330" t="n">
        <x:v>46155</x:v>
      </x:c>
      <x:c r="D501" t="n">
        <x:v>2022</x:v>
      </x:c>
      <x:c r="E501"/>
      <x:c r="F501" t="str">
        <x:v>11921/22/CBMP-HN</x:v>
      </x:c>
      <x:c r="G501"/>
      <x:c r="H501" t="str">
        <x:v>Serum Melasma Collagen</x:v>
      </x:c>
      <x:c r="I501"/>
      <x:c r="J501" t="str">
        <x:v>Serum/Essence da</x:v>
      </x:c>
      <x:c r="K501"/>
      <x:c r="L501" t="str">
        <x:v>Công ty TNHH Gem+ Cometics</x:v>
      </x:c>
      <x:c r="M501"/>
      <x:c r="N501" t="str">
        <x:v>Công ty TNHH mỹ phẩm Việt Hương</x:v>
      </x:c>
      <x:c r="O501" t="str">
        <x:v>Đình chỉ lưu hành, thu hồi và tiêu hủy – Công văn 1772/QLD-MP</x:v>
      </x:c>
      <x:c r="P501" t="str">
        <x:v>A++ – Cục Quản lý Dược; tổ chức chịu trách nhiệm explicit</x:v>
      </x:c>
      <x:c r="Q501" t="str">
        <x:v>Phụ lục 511 sản phẩm, STT 136, trang 6. Công ty Việt Hương là cơ sở sản xuất; cột tổ chức chịu trách nhiệm lấy nguyên văn từ phụ lục.</x:v>
      </x:c>
      <x:c r="R501" t="str">
        <x:v>https://dav.gov.vn/cong-van-so-1772qld-mp-ve-viec-dinh-chi-luu-hanh-thu-hoi-va-tieu-huy-my-pham-vi-pham-cong-ty-tnhh-my-pham-viet-huong-n5334.html</x:v>
      </x:c>
      <x:c r="S501" t="str">
        <x:v>Hà Nội</x:v>
      </x:c>
      <x:c r="T501" t="str">
        <x:v>01</x:v>
      </x:c>
    </x:row>
    <x:row r="502">
      <x:c r="A502" t="n">
        <x:v>501</x:v>
      </x:c>
      <x:c r="B502" s="330"/>
      <x:c r="C502" s="330" t="n">
        <x:v>46155</x:v>
      </x:c>
      <x:c r="D502" t="n">
        <x:v>2022</x:v>
      </x:c>
      <x:c r="E502"/>
      <x:c r="F502" t="str">
        <x:v>12172/22/CBMP-HN</x:v>
      </x:c>
      <x:c r="G502"/>
      <x:c r="H502" t="str">
        <x:v>Whitening Facial Cleanser</x:v>
      </x:c>
      <x:c r="I502"/>
      <x:c r="J502" t="str">
        <x:v>Sữa rửa mặt</x:v>
      </x:c>
      <x:c r="K502"/>
      <x:c r="L502" t="str">
        <x:v>Công ty cổ phần tập đoàn quốc tế HT</x:v>
      </x:c>
      <x:c r="M502"/>
      <x:c r="N502" t="str">
        <x:v>Công ty TNHH mỹ phẩm Việt Hương</x:v>
      </x:c>
      <x:c r="O502" t="str">
        <x:v>Đình chỉ lưu hành, thu hồi và tiêu hủy – Công văn 1772/QLD-MP</x:v>
      </x:c>
      <x:c r="P502" t="str">
        <x:v>A++ – Cục Quản lý Dược; tổ chức chịu trách nhiệm explicit</x:v>
      </x:c>
      <x:c r="Q502" t="str">
        <x:v>Phụ lục 511 sản phẩm, STT 137, trang 6. Công ty Việt Hương là cơ sở sản xuất; cột tổ chức chịu trách nhiệm lấy nguyên văn từ phụ lục.</x:v>
      </x:c>
      <x:c r="R502" t="str">
        <x:v>https://dav.gov.vn/cong-van-so-1772qld-mp-ve-viec-dinh-chi-luu-hanh-thu-hoi-va-tieu-huy-my-pham-vi-pham-cong-ty-tnhh-my-pham-viet-huong-n5334.html</x:v>
      </x:c>
      <x:c r="S502" t="str">
        <x:v>Hà Nội</x:v>
      </x:c>
      <x:c r="T502" t="str">
        <x:v>01</x:v>
      </x:c>
    </x:row>
    <x:row r="503">
      <x:c r="A503" t="n">
        <x:v>502</x:v>
      </x:c>
      <x:c r="B503" s="330"/>
      <x:c r="C503" s="330" t="n">
        <x:v>46155</x:v>
      </x:c>
      <x:c r="D503" t="n">
        <x:v>2022</x:v>
      </x:c>
      <x:c r="E503"/>
      <x:c r="F503" t="str">
        <x:v>12173/22/CBMP-HN</x:v>
      </x:c>
      <x:c r="G503"/>
      <x:c r="H503" t="str">
        <x:v>Sun Plus Cream</x:v>
      </x:c>
      <x:c r="I503"/>
      <x:c r="J503" t="str">
        <x:v>Kem dưỡng da</x:v>
      </x:c>
      <x:c r="K503"/>
      <x:c r="L503" t="str">
        <x:v>Công ty cổ phần tập đoàn quốc tế HT</x:v>
      </x:c>
      <x:c r="M503"/>
      <x:c r="N503" t="str">
        <x:v>Công ty TNHH mỹ phẩm Việt Hương</x:v>
      </x:c>
      <x:c r="O503" t="str">
        <x:v>Đình chỉ lưu hành, thu hồi và tiêu hủy – Công văn 1772/QLD-MP</x:v>
      </x:c>
      <x:c r="P503" t="str">
        <x:v>A++ – Cục Quản lý Dược; tổ chức chịu trách nhiệm explicit</x:v>
      </x:c>
      <x:c r="Q503" t="str">
        <x:v>Phụ lục 511 sản phẩm, STT 138, trang 6. Công ty Việt Hương là cơ sở sản xuất; cột tổ chức chịu trách nhiệm lấy nguyên văn từ phụ lục.</x:v>
      </x:c>
      <x:c r="R503" t="str">
        <x:v>https://dav.gov.vn/cong-van-so-1772qld-mp-ve-viec-dinh-chi-luu-hanh-thu-hoi-va-tieu-huy-my-pham-vi-pham-cong-ty-tnhh-my-pham-viet-huong-n5334.html</x:v>
      </x:c>
      <x:c r="S503" t="str">
        <x:v>Hà Nội</x:v>
      </x:c>
      <x:c r="T503" t="str">
        <x:v>01</x:v>
      </x:c>
    </x:row>
    <x:row r="504">
      <x:c r="A504" t="n">
        <x:v>503</x:v>
      </x:c>
      <x:c r="B504" s="330"/>
      <x:c r="C504" s="330" t="n">
        <x:v>46155</x:v>
      </x:c>
      <x:c r="D504" t="n">
        <x:v>2022</x:v>
      </x:c>
      <x:c r="E504"/>
      <x:c r="F504" t="str">
        <x:v>12301/22/CBMP-HN</x:v>
      </x:c>
      <x:c r="G504"/>
      <x:c r="H504" t="str">
        <x:v>Whitening Facial Serum</x:v>
      </x:c>
      <x:c r="I504"/>
      <x:c r="J504" t="str">
        <x:v>Serum/Essence da</x:v>
      </x:c>
      <x:c r="K504"/>
      <x:c r="L504" t="str">
        <x:v>Công ty cổ phần tập đoàn quốc tế HT</x:v>
      </x:c>
      <x:c r="M504"/>
      <x:c r="N504" t="str">
        <x:v>Công ty TNHH mỹ phẩm Việt Hương</x:v>
      </x:c>
      <x:c r="O504" t="str">
        <x:v>Đình chỉ lưu hành, thu hồi và tiêu hủy – Công văn 1772/QLD-MP</x:v>
      </x:c>
      <x:c r="P504" t="str">
        <x:v>A++ – Cục Quản lý Dược; tổ chức chịu trách nhiệm explicit</x:v>
      </x:c>
      <x:c r="Q504" t="str">
        <x:v>Phụ lục 511 sản phẩm, STT 139, trang 6. Công ty Việt Hương là cơ sở sản xuất; cột tổ chức chịu trách nhiệm lấy nguyên văn từ phụ lục.</x:v>
      </x:c>
      <x:c r="R504" t="str">
        <x:v>https://dav.gov.vn/cong-van-so-1772qld-mp-ve-viec-dinh-chi-luu-hanh-thu-hoi-va-tieu-huy-my-pham-vi-pham-cong-ty-tnhh-my-pham-viet-huong-n5334.html</x:v>
      </x:c>
      <x:c r="S504" t="str">
        <x:v>Hà Nội</x:v>
      </x:c>
      <x:c r="T504" t="str">
        <x:v>01</x:v>
      </x:c>
    </x:row>
    <x:row r="505">
      <x:c r="A505" t="n">
        <x:v>504</x:v>
      </x:c>
      <x:c r="B505" s="330"/>
      <x:c r="C505" s="330" t="n">
        <x:v>46155</x:v>
      </x:c>
      <x:c r="D505" t="n">
        <x:v>2022</x:v>
      </x:c>
      <x:c r="E505"/>
      <x:c r="F505" t="str">
        <x:v>12347/22/CBMP-HN</x:v>
      </x:c>
      <x:c r="G505"/>
      <x:c r="H505" t="str">
        <x:v>Skin Recovery Cream</x:v>
      </x:c>
      <x:c r="I505"/>
      <x:c r="J505" t="str">
        <x:v>Kem dưỡng da</x:v>
      </x:c>
      <x:c r="K505"/>
      <x:c r="L505" t="str">
        <x:v>Công ty cổ phần tập đoàn quốc tế HT</x:v>
      </x:c>
      <x:c r="M505"/>
      <x:c r="N505" t="str">
        <x:v>Công ty TNHH mỹ phẩm Việt Hương</x:v>
      </x:c>
      <x:c r="O505" t="str">
        <x:v>Đình chỉ lưu hành, thu hồi và tiêu hủy – Công văn 1772/QLD-MP</x:v>
      </x:c>
      <x:c r="P505" t="str">
        <x:v>A++ – Cục Quản lý Dược; tổ chức chịu trách nhiệm explicit</x:v>
      </x:c>
      <x:c r="Q505" t="str">
        <x:v>Phụ lục 511 sản phẩm, STT 140, trang 6. Công ty Việt Hương là cơ sở sản xuất; cột tổ chức chịu trách nhiệm lấy nguyên văn từ phụ lục.</x:v>
      </x:c>
      <x:c r="R505" t="str">
        <x:v>https://dav.gov.vn/cong-van-so-1772qld-mp-ve-viec-dinh-chi-luu-hanh-thu-hoi-va-tieu-huy-my-pham-vi-pham-cong-ty-tnhh-my-pham-viet-huong-n5334.html</x:v>
      </x:c>
      <x:c r="S505" t="str">
        <x:v>Hà Nội</x:v>
      </x:c>
      <x:c r="T505" t="str">
        <x:v>01</x:v>
      </x:c>
    </x:row>
    <x:row r="506">
      <x:c r="A506" t="n">
        <x:v>505</x:v>
      </x:c>
      <x:c r="B506" s="330"/>
      <x:c r="C506" s="330" t="n">
        <x:v>46155</x:v>
      </x:c>
      <x:c r="D506" t="n">
        <x:v>2022</x:v>
      </x:c>
      <x:c r="E506"/>
      <x:c r="F506" t="str">
        <x:v>12513/22/CBMP-HN</x:v>
      </x:c>
      <x:c r="G506"/>
      <x:c r="H506" t="str">
        <x:v>Kem nách Ngô Gia</x:v>
      </x:c>
      <x:c r="I506"/>
      <x:c r="J506" t="str">
        <x:v>Khác</x:v>
      </x:c>
      <x:c r="K506"/>
      <x:c r="L506" t="str">
        <x:v>Công ty cổ phần tập đoàn quốc tế HT</x:v>
      </x:c>
      <x:c r="M506"/>
      <x:c r="N506" t="str">
        <x:v>Công ty TNHH mỹ phẩm Việt Hương</x:v>
      </x:c>
      <x:c r="O506" t="str">
        <x:v>Đình chỉ lưu hành, thu hồi và tiêu hủy – Công văn 1772/QLD-MP</x:v>
      </x:c>
      <x:c r="P506" t="str">
        <x:v>A++ – Cục Quản lý Dược; tổ chức chịu trách nhiệm explicit</x:v>
      </x:c>
      <x:c r="Q506" t="str">
        <x:v>Phụ lục 511 sản phẩm, STT 141, trang 6. Công ty Việt Hương là cơ sở sản xuất; cột tổ chức chịu trách nhiệm lấy nguyên văn từ phụ lục.</x:v>
      </x:c>
      <x:c r="R506" t="str">
        <x:v>https://dav.gov.vn/cong-van-so-1772qld-mp-ve-viec-dinh-chi-luu-hanh-thu-hoi-va-tieu-huy-my-pham-vi-pham-cong-ty-tnhh-my-pham-viet-huong-n5334.html</x:v>
      </x:c>
      <x:c r="S506" t="str">
        <x:v>Hà Nội</x:v>
      </x:c>
      <x:c r="T506" t="str">
        <x:v>01</x:v>
      </x:c>
    </x:row>
    <x:row r="507">
      <x:c r="A507" t="n">
        <x:v>506</x:v>
      </x:c>
      <x:c r="B507" s="330"/>
      <x:c r="C507" s="330" t="n">
        <x:v>46155</x:v>
      </x:c>
      <x:c r="D507" t="n">
        <x:v>2022</x:v>
      </x:c>
      <x:c r="E507"/>
      <x:c r="F507" t="str">
        <x:v>14179/22/CBMP-HN</x:v>
      </x:c>
      <x:c r="G507"/>
      <x:c r="H507" t="str">
        <x:v>Rice Toner</x:v>
      </x:c>
      <x:c r="I507"/>
      <x:c r="J507" t="str">
        <x:v>Serum/Essence da</x:v>
      </x:c>
      <x:c r="K507"/>
      <x:c r="L507" t="str">
        <x:v>Công ty cổ phần tập đoàn quốc tế HT</x:v>
      </x:c>
      <x:c r="M507"/>
      <x:c r="N507" t="str">
        <x:v>Công ty TNHH mỹ phẩm Việt Hương</x:v>
      </x:c>
      <x:c r="O507" t="str">
        <x:v>Đình chỉ lưu hành, thu hồi và tiêu hủy – Công văn 1772/QLD-MP</x:v>
      </x:c>
      <x:c r="P507" t="str">
        <x:v>A++ – Cục Quản lý Dược; tổ chức chịu trách nhiệm explicit</x:v>
      </x:c>
      <x:c r="Q507" t="str">
        <x:v>Phụ lục 511 sản phẩm, STT 142, trang 6. Công ty Việt Hương là cơ sở sản xuất; cột tổ chức chịu trách nhiệm lấy nguyên văn từ phụ lục.</x:v>
      </x:c>
      <x:c r="R507" t="str">
        <x:v>https://dav.gov.vn/cong-van-so-1772qld-mp-ve-viec-dinh-chi-luu-hanh-thu-hoi-va-tieu-huy-my-pham-vi-pham-cong-ty-tnhh-my-pham-viet-huong-n5334.html</x:v>
      </x:c>
      <x:c r="S507" t="str">
        <x:v>Hà Nội</x:v>
      </x:c>
      <x:c r="T507" t="str">
        <x:v>01</x:v>
      </x:c>
    </x:row>
    <x:row r="508">
      <x:c r="A508" t="n">
        <x:v>507</x:v>
      </x:c>
      <x:c r="B508" s="330"/>
      <x:c r="C508" s="330" t="n">
        <x:v>46155</x:v>
      </x:c>
      <x:c r="D508" t="n">
        <x:v>2023</x:v>
      </x:c>
      <x:c r="E508"/>
      <x:c r="F508" t="str">
        <x:v>15784/23/CBMP-HN</x:v>
      </x:c>
      <x:c r="G508"/>
      <x:c r="H508" t="str">
        <x:v>Nước tẩy trang Bùn Khoáng</x:v>
      </x:c>
      <x:c r="I508"/>
      <x:c r="J508" t="str">
        <x:v>Tẩy trang</x:v>
      </x:c>
      <x:c r="K508"/>
      <x:c r="L508" t="str">
        <x:v>Công ty cổ phần tập đoàn quốc tế HT</x:v>
      </x:c>
      <x:c r="M508"/>
      <x:c r="N508" t="str">
        <x:v>Công ty TNHH mỹ phẩm Việt Hương</x:v>
      </x:c>
      <x:c r="O508" t="str">
        <x:v>Đình chỉ lưu hành, thu hồi và tiêu hủy – Công văn 1772/QLD-MP</x:v>
      </x:c>
      <x:c r="P508" t="str">
        <x:v>A++ – Cục Quản lý Dược; tổ chức chịu trách nhiệm explicit</x:v>
      </x:c>
      <x:c r="Q508" t="str">
        <x:v>Phụ lục 511 sản phẩm, STT 143, trang 6. Công ty Việt Hương là cơ sở sản xuất; cột tổ chức chịu trách nhiệm lấy nguyên văn từ phụ lục.</x:v>
      </x:c>
      <x:c r="R508" t="str">
        <x:v>https://dav.gov.vn/cong-van-so-1772qld-mp-ve-viec-dinh-chi-luu-hanh-thu-hoi-va-tieu-huy-my-pham-vi-pham-cong-ty-tnhh-my-pham-viet-huong-n5334.html</x:v>
      </x:c>
      <x:c r="S508" t="str">
        <x:v>Hà Nội</x:v>
      </x:c>
      <x:c r="T508" t="str">
        <x:v>01</x:v>
      </x:c>
    </x:row>
    <x:row r="509">
      <x:c r="A509" t="n">
        <x:v>508</x:v>
      </x:c>
      <x:c r="B509" s="330"/>
      <x:c r="C509" s="330" t="n">
        <x:v>46155</x:v>
      </x:c>
      <x:c r="D509" t="n">
        <x:v>2022</x:v>
      </x:c>
      <x:c r="E509"/>
      <x:c r="F509" t="str">
        <x:v>12297/22/CBMP-HN</x:v>
      </x:c>
      <x:c r="G509"/>
      <x:c r="H509" t="str">
        <x:v>Dưỡng mi</x:v>
      </x:c>
      <x:c r="I509"/>
      <x:c r="J509" t="str">
        <x:v>Khác</x:v>
      </x:c>
      <x:c r="K509"/>
      <x:c r="L509" t="str">
        <x:v>Công ty TNHH tập đoàn OHM</x:v>
      </x:c>
      <x:c r="M509"/>
      <x:c r="N509" t="str">
        <x:v>Công ty TNHH mỹ phẩm Việt Hương</x:v>
      </x:c>
      <x:c r="O509" t="str">
        <x:v>Đình chỉ lưu hành, thu hồi và tiêu hủy – Công văn 1772/QLD-MP</x:v>
      </x:c>
      <x:c r="P509" t="str">
        <x:v>A++ – Cục Quản lý Dược; tổ chức chịu trách nhiệm explicit</x:v>
      </x:c>
      <x:c r="Q509" t="str">
        <x:v>Phụ lục 511 sản phẩm, STT 144, trang 6. Công ty Việt Hương là cơ sở sản xuất; cột tổ chức chịu trách nhiệm lấy nguyên văn từ phụ lục.</x:v>
      </x:c>
      <x:c r="R509" t="str">
        <x:v>https://dav.gov.vn/cong-van-so-1772qld-mp-ve-viec-dinh-chi-luu-hanh-thu-hoi-va-tieu-huy-my-pham-vi-pham-cong-ty-tnhh-my-pham-viet-huong-n5334.html</x:v>
      </x:c>
      <x:c r="S509" t="str">
        <x:v>Hà Nội</x:v>
      </x:c>
      <x:c r="T509" t="str">
        <x:v>01</x:v>
      </x:c>
    </x:row>
    <x:row r="510">
      <x:c r="A510" t="n">
        <x:v>509</x:v>
      </x:c>
      <x:c r="B510" s="330"/>
      <x:c r="C510" s="330" t="n">
        <x:v>46155</x:v>
      </x:c>
      <x:c r="D510" t="n">
        <x:v>2022</x:v>
      </x:c>
      <x:c r="E510"/>
      <x:c r="F510" t="str">
        <x:v>12298/22/CBMP-HN</x:v>
      </x:c>
      <x:c r="G510"/>
      <x:c r="H510" t="str">
        <x:v>Hôi nách</x:v>
      </x:c>
      <x:c r="I510"/>
      <x:c r="J510" t="str">
        <x:v>Khử mùi</x:v>
      </x:c>
      <x:c r="K510"/>
      <x:c r="L510" t="str">
        <x:v>Công ty TNHH tập đoàn OHM</x:v>
      </x:c>
      <x:c r="M510"/>
      <x:c r="N510" t="str">
        <x:v>Công ty TNHH mỹ phẩm Việt Hương</x:v>
      </x:c>
      <x:c r="O510" t="str">
        <x:v>Đình chỉ lưu hành, thu hồi và tiêu hủy – Công văn 1772/QLD-MP</x:v>
      </x:c>
      <x:c r="P510" t="str">
        <x:v>A++ – Cục Quản lý Dược; tổ chức chịu trách nhiệm explicit</x:v>
      </x:c>
      <x:c r="Q510" t="str">
        <x:v>Phụ lục 511 sản phẩm, STT 145, trang 6. Công ty Việt Hương là cơ sở sản xuất; cột tổ chức chịu trách nhiệm lấy nguyên văn từ phụ lục.</x:v>
      </x:c>
      <x:c r="R510" t="str">
        <x:v>https://dav.gov.vn/cong-van-so-1772qld-mp-ve-viec-dinh-chi-luu-hanh-thu-hoi-va-tieu-huy-my-pham-vi-pham-cong-ty-tnhh-my-pham-viet-huong-n5334.html</x:v>
      </x:c>
      <x:c r="S510" t="str">
        <x:v>Hà Nội</x:v>
      </x:c>
      <x:c r="T510" t="str">
        <x:v>01</x:v>
      </x:c>
    </x:row>
    <x:row r="511">
      <x:c r="A511" t="n">
        <x:v>510</x:v>
      </x:c>
      <x:c r="B511" s="330"/>
      <x:c r="C511" s="330" t="n">
        <x:v>46155</x:v>
      </x:c>
      <x:c r="D511" t="n">
        <x:v>2022</x:v>
      </x:c>
      <x:c r="E511"/>
      <x:c r="F511" t="str">
        <x:v>12299/22/CBMP-HN</x:v>
      </x:c>
      <x:c r="G511"/>
      <x:c r="H511" t="str">
        <x:v>Phủ bạc Nano</x:v>
      </x:c>
      <x:c r="I511"/>
      <x:c r="J511" t="str">
        <x:v>Nhuộm/tẩy màu tóc</x:v>
      </x:c>
      <x:c r="K511"/>
      <x:c r="L511" t="str">
        <x:v>Công ty TNHH tập đoàn OHM</x:v>
      </x:c>
      <x:c r="M511"/>
      <x:c r="N511" t="str">
        <x:v>Công ty TNHH mỹ phẩm Việt Hương</x:v>
      </x:c>
      <x:c r="O511" t="str">
        <x:v>Đình chỉ lưu hành, thu hồi và tiêu hủy – Công văn 1772/QLD-MP</x:v>
      </x:c>
      <x:c r="P511" t="str">
        <x:v>A++ – Cục Quản lý Dược; tổ chức chịu trách nhiệm explicit</x:v>
      </x:c>
      <x:c r="Q511" t="str">
        <x:v>Phụ lục 511 sản phẩm, STT 146, trang 6. Công ty Việt Hương là cơ sở sản xuất; cột tổ chức chịu trách nhiệm lấy nguyên văn từ phụ lục.</x:v>
      </x:c>
      <x:c r="R511" t="str">
        <x:v>https://dav.gov.vn/cong-van-so-1772qld-mp-ve-viec-dinh-chi-luu-hanh-thu-hoi-va-tieu-huy-my-pham-vi-pham-cong-ty-tnhh-my-pham-viet-huong-n5334.html</x:v>
      </x:c>
      <x:c r="S511" t="str">
        <x:v>Hà Nội</x:v>
      </x:c>
      <x:c r="T511" t="str">
        <x:v>01</x:v>
      </x:c>
    </x:row>
    <x:row r="512">
      <x:c r="A512" t="n">
        <x:v>511</x:v>
      </x:c>
      <x:c r="B512" s="330"/>
      <x:c r="C512" s="330" t="n">
        <x:v>46155</x:v>
      </x:c>
      <x:c r="D512" t="n">
        <x:v>2022</x:v>
      </x:c>
      <x:c r="E512"/>
      <x:c r="F512" t="str">
        <x:v>12300/22/CBMP-HN</x:v>
      </x:c>
      <x:c r="G512"/>
      <x:c r="H512" t="str">
        <x:v>Collagen Whitening Serum</x:v>
      </x:c>
      <x:c r="I512"/>
      <x:c r="J512" t="str">
        <x:v>Serum/Essence da</x:v>
      </x:c>
      <x:c r="K512"/>
      <x:c r="L512" t="str">
        <x:v>Công ty cổ phần mỹ phẩm Hoàng Phát</x:v>
      </x:c>
      <x:c r="M512"/>
      <x:c r="N512" t="str">
        <x:v>Công ty TNHH mỹ phẩm Việt Hương</x:v>
      </x:c>
      <x:c r="O512" t="str">
        <x:v>Đình chỉ lưu hành, thu hồi và tiêu hủy – Công văn 1772/QLD-MP</x:v>
      </x:c>
      <x:c r="P512" t="str">
        <x:v>A++ – Cục Quản lý Dược; tổ chức chịu trách nhiệm explicit</x:v>
      </x:c>
      <x:c r="Q512" t="str">
        <x:v>Phụ lục 511 sản phẩm, STT 147, trang 7. Công ty Việt Hương là cơ sở sản xuất; cột tổ chức chịu trách nhiệm lấy nguyên văn từ phụ lục.</x:v>
      </x:c>
      <x:c r="R512" t="str">
        <x:v>https://dav.gov.vn/cong-van-so-1772qld-mp-ve-viec-dinh-chi-luu-hanh-thu-hoi-va-tieu-huy-my-pham-vi-pham-cong-ty-tnhh-my-pham-viet-huong-n5334.html</x:v>
      </x:c>
      <x:c r="S512" t="str">
        <x:v>Hà Nội</x:v>
      </x:c>
      <x:c r="T512" t="str">
        <x:v>01</x:v>
      </x:c>
    </x:row>
    <x:row r="513">
      <x:c r="A513" t="n">
        <x:v>512</x:v>
      </x:c>
      <x:c r="B513" s="330"/>
      <x:c r="C513" s="330" t="n">
        <x:v>46155</x:v>
      </x:c>
      <x:c r="D513" t="n">
        <x:v>2022</x:v>
      </x:c>
      <x:c r="E513"/>
      <x:c r="F513" t="str">
        <x:v>13835/22/CBMP-HN</x:v>
      </x:c>
      <x:c r="G513"/>
      <x:c r="H513" t="str">
        <x:v>Nano Gold Face Cream Day &amp; Night</x:v>
      </x:c>
      <x:c r="I513"/>
      <x:c r="J513" t="str">
        <x:v>Kem dưỡng da</x:v>
      </x:c>
      <x:c r="K513"/>
      <x:c r="L513" t="str">
        <x:v>Công ty cổ phần mỹ phẩm Hoàng Phát</x:v>
      </x:c>
      <x:c r="M513"/>
      <x:c r="N513" t="str">
        <x:v>Công ty TNHH mỹ phẩm Việt Hương</x:v>
      </x:c>
      <x:c r="O513" t="str">
        <x:v>Đình chỉ lưu hành, thu hồi và tiêu hủy – Công văn 1772/QLD-MP</x:v>
      </x:c>
      <x:c r="P513" t="str">
        <x:v>A++ – Cục Quản lý Dược; tổ chức chịu trách nhiệm explicit</x:v>
      </x:c>
      <x:c r="Q513" t="str">
        <x:v>Phụ lục 511 sản phẩm, STT 148, trang 7. Công ty Việt Hương là cơ sở sản xuất; cột tổ chức chịu trách nhiệm lấy nguyên văn từ phụ lục.</x:v>
      </x:c>
      <x:c r="R513" t="str">
        <x:v>https://dav.gov.vn/cong-van-so-1772qld-mp-ve-viec-dinh-chi-luu-hanh-thu-hoi-va-tieu-huy-my-pham-vi-pham-cong-ty-tnhh-my-pham-viet-huong-n5334.html</x:v>
      </x:c>
      <x:c r="S513" t="str">
        <x:v>Hà Nội</x:v>
      </x:c>
      <x:c r="T513" t="str">
        <x:v>01</x:v>
      </x:c>
    </x:row>
    <x:row r="514">
      <x:c r="A514" t="n">
        <x:v>513</x:v>
      </x:c>
      <x:c r="B514" s="330"/>
      <x:c r="C514" s="330" t="n">
        <x:v>46155</x:v>
      </x:c>
      <x:c r="D514" t="n">
        <x:v>2022</x:v>
      </x:c>
      <x:c r="E514"/>
      <x:c r="F514" t="str">
        <x:v>13836/22/CBMP-HN</x:v>
      </x:c>
      <x:c r="G514"/>
      <x:c r="H514" t="str">
        <x:v>Nano Gold AHA Serum</x:v>
      </x:c>
      <x:c r="I514"/>
      <x:c r="J514" t="str">
        <x:v>Serum/Essence da</x:v>
      </x:c>
      <x:c r="K514"/>
      <x:c r="L514" t="str">
        <x:v>Công ty cổ phần mỹ phẩm Hoàng Phát</x:v>
      </x:c>
      <x:c r="M514"/>
      <x:c r="N514" t="str">
        <x:v>Công ty TNHH mỹ phẩm Việt Hương</x:v>
      </x:c>
      <x:c r="O514" t="str">
        <x:v>Đình chỉ lưu hành, thu hồi và tiêu hủy – Công văn 1772/QLD-MP</x:v>
      </x:c>
      <x:c r="P514" t="str">
        <x:v>A++ – Cục Quản lý Dược; tổ chức chịu trách nhiệm explicit</x:v>
      </x:c>
      <x:c r="Q514" t="str">
        <x:v>Phụ lục 511 sản phẩm, STT 149, trang 7. Công ty Việt Hương là cơ sở sản xuất; cột tổ chức chịu trách nhiệm lấy nguyên văn từ phụ lục.</x:v>
      </x:c>
      <x:c r="R514" t="str">
        <x:v>https://dav.gov.vn/cong-van-so-1772qld-mp-ve-viec-dinh-chi-luu-hanh-thu-hoi-va-tieu-huy-my-pham-vi-pham-cong-ty-tnhh-my-pham-viet-huong-n5334.html</x:v>
      </x:c>
      <x:c r="S514" t="str">
        <x:v>Hà Nội</x:v>
      </x:c>
      <x:c r="T514" t="str">
        <x:v>01</x:v>
      </x:c>
    </x:row>
    <x:row r="515">
      <x:c r="A515" t="n">
        <x:v>514</x:v>
      </x:c>
      <x:c r="B515" s="330"/>
      <x:c r="C515" s="330" t="n">
        <x:v>46155</x:v>
      </x:c>
      <x:c r="D515" t="n">
        <x:v>2022</x:v>
      </x:c>
      <x:c r="E515"/>
      <x:c r="F515" t="str">
        <x:v>13837/22/CBMP-HN</x:v>
      </x:c>
      <x:c r="G515"/>
      <x:c r="H515" t="str">
        <x:v>Nano Gold Detox Mask</x:v>
      </x:c>
      <x:c r="I515"/>
      <x:c r="J515" t="str">
        <x:v>Mặt nạ</x:v>
      </x:c>
      <x:c r="K515"/>
      <x:c r="L515" t="str">
        <x:v>Công ty cổ phần mỹ phẩm Hoàng Phát</x:v>
      </x:c>
      <x:c r="M515"/>
      <x:c r="N515" t="str">
        <x:v>Công ty TNHH mỹ phẩm Việt Hương</x:v>
      </x:c>
      <x:c r="O515" t="str">
        <x:v>Đình chỉ lưu hành, thu hồi và tiêu hủy – Công văn 1772/QLD-MP</x:v>
      </x:c>
      <x:c r="P515" t="str">
        <x:v>A++ – Cục Quản lý Dược; tổ chức chịu trách nhiệm explicit</x:v>
      </x:c>
      <x:c r="Q515" t="str">
        <x:v>Phụ lục 511 sản phẩm, STT 150, trang 7. Công ty Việt Hương là cơ sở sản xuất; cột tổ chức chịu trách nhiệm lấy nguyên văn từ phụ lục.</x:v>
      </x:c>
      <x:c r="R515" t="str">
        <x:v>https://dav.gov.vn/cong-van-so-1772qld-mp-ve-viec-dinh-chi-luu-hanh-thu-hoi-va-tieu-huy-my-pham-vi-pham-cong-ty-tnhh-my-pham-viet-huong-n5334.html</x:v>
      </x:c>
      <x:c r="S515" t="str">
        <x:v>Hà Nội</x:v>
      </x:c>
      <x:c r="T515" t="str">
        <x:v>01</x:v>
      </x:c>
    </x:row>
    <x:row r="516">
      <x:c r="A516" t="n">
        <x:v>515</x:v>
      </x:c>
      <x:c r="B516" s="330"/>
      <x:c r="C516" s="330" t="n">
        <x:v>46155</x:v>
      </x:c>
      <x:c r="D516" t="n">
        <x:v>2023</x:v>
      </x:c>
      <x:c r="E516"/>
      <x:c r="F516" t="str">
        <x:v>18587/23/CBMP-HN</x:v>
      </x:c>
      <x:c r="G516"/>
      <x:c r="H516" t="str">
        <x:v>Lubobo No3</x:v>
      </x:c>
      <x:c r="I516"/>
      <x:c r="J516" t="str">
        <x:v>Khác</x:v>
      </x:c>
      <x:c r="K516"/>
      <x:c r="L516" t="str">
        <x:v>Công ty cổ phần mỹ phẩm Hoàng Phát</x:v>
      </x:c>
      <x:c r="M516"/>
      <x:c r="N516" t="str">
        <x:v>Công ty TNHH mỹ phẩm Việt Hương</x:v>
      </x:c>
      <x:c r="O516" t="str">
        <x:v>Đình chỉ lưu hành, thu hồi và tiêu hủy – Công văn 1772/QLD-MP</x:v>
      </x:c>
      <x:c r="P516" t="str">
        <x:v>A++ – Cục Quản lý Dược; tổ chức chịu trách nhiệm explicit</x:v>
      </x:c>
      <x:c r="Q516" t="str">
        <x:v>Phụ lục 511 sản phẩm, STT 151, trang 7. Công ty Việt Hương là cơ sở sản xuất; cột tổ chức chịu trách nhiệm lấy nguyên văn từ phụ lục.</x:v>
      </x:c>
      <x:c r="R516" t="str">
        <x:v>https://dav.gov.vn/cong-van-so-1772qld-mp-ve-viec-dinh-chi-luu-hanh-thu-hoi-va-tieu-huy-my-pham-vi-pham-cong-ty-tnhh-my-pham-viet-huong-n5334.html</x:v>
      </x:c>
      <x:c r="S516" t="str">
        <x:v>Hà Nội</x:v>
      </x:c>
      <x:c r="T516" t="str">
        <x:v>01</x:v>
      </x:c>
    </x:row>
    <x:row r="517">
      <x:c r="A517" t="n">
        <x:v>516</x:v>
      </x:c>
      <x:c r="B517" s="330"/>
      <x:c r="C517" s="330" t="n">
        <x:v>46155</x:v>
      </x:c>
      <x:c r="D517" t="n">
        <x:v>2024</x:v>
      </x:c>
      <x:c r="E517"/>
      <x:c r="F517" t="str">
        <x:v>19371/24/CBMP-HN</x:v>
      </x:c>
      <x:c r="G517"/>
      <x:c r="H517" t="str">
        <x:v>Nano Gold Face Cream Day Plus</x:v>
      </x:c>
      <x:c r="I517"/>
      <x:c r="J517" t="str">
        <x:v>Kem dưỡng da</x:v>
      </x:c>
      <x:c r="K517"/>
      <x:c r="L517" t="str">
        <x:v>Công ty cổ phần mỹ phẩm Hoàng Phát</x:v>
      </x:c>
      <x:c r="M517"/>
      <x:c r="N517" t="str">
        <x:v>Công ty TNHH mỹ phẩm Việt Hương</x:v>
      </x:c>
      <x:c r="O517" t="str">
        <x:v>Đình chỉ lưu hành, thu hồi và tiêu hủy – Công văn 1772/QLD-MP</x:v>
      </x:c>
      <x:c r="P517" t="str">
        <x:v>A++ – Cục Quản lý Dược; tổ chức chịu trách nhiệm explicit</x:v>
      </x:c>
      <x:c r="Q517" t="str">
        <x:v>Phụ lục 511 sản phẩm, STT 152, trang 7. Công ty Việt Hương là cơ sở sản xuất; cột tổ chức chịu trách nhiệm lấy nguyên văn từ phụ lục.</x:v>
      </x:c>
      <x:c r="R517" t="str">
        <x:v>https://dav.gov.vn/cong-van-so-1772qld-mp-ve-viec-dinh-chi-luu-hanh-thu-hoi-va-tieu-huy-my-pham-vi-pham-cong-ty-tnhh-my-pham-viet-huong-n5334.html</x:v>
      </x:c>
      <x:c r="S517" t="str">
        <x:v>Hà Nội</x:v>
      </x:c>
      <x:c r="T517" t="str">
        <x:v>01</x:v>
      </x:c>
    </x:row>
    <x:row r="518">
      <x:c r="A518" t="n">
        <x:v>517</x:v>
      </x:c>
      <x:c r="B518" s="330"/>
      <x:c r="C518" s="330" t="n">
        <x:v>46155</x:v>
      </x:c>
      <x:c r="D518" t="n">
        <x:v>2023</x:v>
      </x:c>
      <x:c r="E518"/>
      <x:c r="F518" t="str">
        <x:v>18586/23/CBMP-HN</x:v>
      </x:c>
      <x:c r="G518"/>
      <x:c r="H518" t="str">
        <x:v>Lubobo No2</x:v>
      </x:c>
      <x:c r="I518"/>
      <x:c r="J518" t="str">
        <x:v>Khác</x:v>
      </x:c>
      <x:c r="K518"/>
      <x:c r="L518" t="str">
        <x:v>Công ty cổ phần mỹ phẩm Hoàng Phát</x:v>
      </x:c>
      <x:c r="M518"/>
      <x:c r="N518" t="str">
        <x:v>Công ty TNHH mỹ phẩm Việt Hương</x:v>
      </x:c>
      <x:c r="O518" t="str">
        <x:v>Đình chỉ lưu hành, thu hồi và tiêu hủy – Công văn 1772/QLD-MP</x:v>
      </x:c>
      <x:c r="P518" t="str">
        <x:v>A++ – Cục Quản lý Dược; tổ chức chịu trách nhiệm explicit</x:v>
      </x:c>
      <x:c r="Q518" t="str">
        <x:v>Phụ lục 511 sản phẩm, STT 153, trang 7. Công ty Việt Hương là cơ sở sản xuất; cột tổ chức chịu trách nhiệm lấy nguyên văn từ phụ lục.</x:v>
      </x:c>
      <x:c r="R518" t="str">
        <x:v>https://dav.gov.vn/cong-van-so-1772qld-mp-ve-viec-dinh-chi-luu-hanh-thu-hoi-va-tieu-huy-my-pham-vi-pham-cong-ty-tnhh-my-pham-viet-huong-n5334.html</x:v>
      </x:c>
      <x:c r="S518" t="str">
        <x:v>Hà Nội</x:v>
      </x:c>
      <x:c r="T518" t="str">
        <x:v>01</x:v>
      </x:c>
    </x:row>
    <x:row r="519">
      <x:c r="A519" t="n">
        <x:v>518</x:v>
      </x:c>
      <x:c r="B519" s="330"/>
      <x:c r="C519" s="330" t="n">
        <x:v>46155</x:v>
      </x:c>
      <x:c r="D519" t="n">
        <x:v>2022</x:v>
      </x:c>
      <x:c r="E519"/>
      <x:c r="F519" t="str">
        <x:v>12575/22/CBMP-HN</x:v>
      </x:c>
      <x:c r="G519"/>
      <x:c r="H519" t="str">
        <x:v>AHA Serum</x:v>
      </x:c>
      <x:c r="I519"/>
      <x:c r="J519" t="str">
        <x:v>Serum/Essence da</x:v>
      </x:c>
      <x:c r="K519"/>
      <x:c r="L519" t="str">
        <x:v>Công ty cổ phần đầu tư LD</x:v>
      </x:c>
      <x:c r="M519"/>
      <x:c r="N519" t="str">
        <x:v>Công ty TNHH mỹ phẩm Việt Hương</x:v>
      </x:c>
      <x:c r="O519" t="str">
        <x:v>Đình chỉ lưu hành, thu hồi và tiêu hủy – Công văn 1772/QLD-MP</x:v>
      </x:c>
      <x:c r="P519" t="str">
        <x:v>A++ – Cục Quản lý Dược; tổ chức chịu trách nhiệm explicit</x:v>
      </x:c>
      <x:c r="Q519" t="str">
        <x:v>Phụ lục 511 sản phẩm, STT 154, trang 7. Công ty Việt Hương là cơ sở sản xuất; cột tổ chức chịu trách nhiệm lấy nguyên văn từ phụ lục.</x:v>
      </x:c>
      <x:c r="R519" t="str">
        <x:v>https://dav.gov.vn/cong-van-so-1772qld-mp-ve-viec-dinh-chi-luu-hanh-thu-hoi-va-tieu-huy-my-pham-vi-pham-cong-ty-tnhh-my-pham-viet-huong-n5334.html</x:v>
      </x:c>
      <x:c r="S519" t="str">
        <x:v>Hà Nội</x:v>
      </x:c>
      <x:c r="T519" t="str">
        <x:v>01</x:v>
      </x:c>
    </x:row>
    <x:row r="520">
      <x:c r="A520" t="n">
        <x:v>519</x:v>
      </x:c>
      <x:c r="B520" s="330"/>
      <x:c r="C520" s="330" t="n">
        <x:v>46155</x:v>
      </x:c>
      <x:c r="D520" t="n">
        <x:v>2022</x:v>
      </x:c>
      <x:c r="E520"/>
      <x:c r="F520" t="str">
        <x:v>12576/22/CBMP-HN</x:v>
      </x:c>
      <x:c r="G520"/>
      <x:c r="H520" t="str">
        <x:v>Ultracalming Serum Concentrate</x:v>
      </x:c>
      <x:c r="I520"/>
      <x:c r="J520" t="str">
        <x:v>Serum/Essence da</x:v>
      </x:c>
      <x:c r="K520"/>
      <x:c r="L520" t="str">
        <x:v>Công ty cổ phần đầu tư LD</x:v>
      </x:c>
      <x:c r="M520"/>
      <x:c r="N520" t="str">
        <x:v>Công ty TNHH mỹ phẩm Việt Hương</x:v>
      </x:c>
      <x:c r="O520" t="str">
        <x:v>Đình chỉ lưu hành, thu hồi và tiêu hủy – Công văn 1772/QLD-MP</x:v>
      </x:c>
      <x:c r="P520" t="str">
        <x:v>A++ – Cục Quản lý Dược; tổ chức chịu trách nhiệm explicit</x:v>
      </x:c>
      <x:c r="Q520" t="str">
        <x:v>Phụ lục 511 sản phẩm, STT 155, trang 7. Công ty Việt Hương là cơ sở sản xuất; cột tổ chức chịu trách nhiệm lấy nguyên văn từ phụ lục.</x:v>
      </x:c>
      <x:c r="R520" t="str">
        <x:v>https://dav.gov.vn/cong-van-so-1772qld-mp-ve-viec-dinh-chi-luu-hanh-thu-hoi-va-tieu-huy-my-pham-vi-pham-cong-ty-tnhh-my-pham-viet-huong-n5334.html</x:v>
      </x:c>
      <x:c r="S520" t="str">
        <x:v>Hà Nội</x:v>
      </x:c>
      <x:c r="T520" t="str">
        <x:v>01</x:v>
      </x:c>
    </x:row>
    <x:row r="521">
      <x:c r="A521" t="n">
        <x:v>520</x:v>
      </x:c>
      <x:c r="B521" s="330"/>
      <x:c r="C521" s="330" t="n">
        <x:v>46155</x:v>
      </x:c>
      <x:c r="D521" t="n">
        <x:v>2022</x:v>
      </x:c>
      <x:c r="E521"/>
      <x:c r="F521" t="str">
        <x:v>12577/22/CBMP-HN</x:v>
      </x:c>
      <x:c r="G521"/>
      <x:c r="H521" t="str">
        <x:v>Super Serum-Pro Acne</x:v>
      </x:c>
      <x:c r="I521"/>
      <x:c r="J521" t="str">
        <x:v>Serum/Essence da</x:v>
      </x:c>
      <x:c r="K521"/>
      <x:c r="L521" t="str">
        <x:v>Công ty cổ phần đầu tư LD</x:v>
      </x:c>
      <x:c r="M521"/>
      <x:c r="N521" t="str">
        <x:v>Công ty TNHH mỹ phẩm Việt Hương</x:v>
      </x:c>
      <x:c r="O521" t="str">
        <x:v>Đình chỉ lưu hành, thu hồi và tiêu hủy – Công văn 1772/QLD-MP</x:v>
      </x:c>
      <x:c r="P521" t="str">
        <x:v>A++ – Cục Quản lý Dược; tổ chức chịu trách nhiệm explicit</x:v>
      </x:c>
      <x:c r="Q521" t="str">
        <x:v>Phụ lục 511 sản phẩm, STT 156, trang 7. Công ty Việt Hương là cơ sở sản xuất; cột tổ chức chịu trách nhiệm lấy nguyên văn từ phụ lục.</x:v>
      </x:c>
      <x:c r="R521" t="str">
        <x:v>https://dav.gov.vn/cong-van-so-1772qld-mp-ve-viec-dinh-chi-luu-hanh-thu-hoi-va-tieu-huy-my-pham-vi-pham-cong-ty-tnhh-my-pham-viet-huong-n5334.html</x:v>
      </x:c>
      <x:c r="S521" t="str">
        <x:v>Hà Nội</x:v>
      </x:c>
      <x:c r="T521" t="str">
        <x:v>01</x:v>
      </x:c>
    </x:row>
    <x:row r="522">
      <x:c r="A522" t="n">
        <x:v>521</x:v>
      </x:c>
      <x:c r="B522" s="330"/>
      <x:c r="C522" s="330" t="n">
        <x:v>46155</x:v>
      </x:c>
      <x:c r="D522" t="n">
        <x:v>2022</x:v>
      </x:c>
      <x:c r="E522"/>
      <x:c r="F522" t="str">
        <x:v>12578/22/CBMP-HN</x:v>
      </x:c>
      <x:c r="G522"/>
      <x:c r="H522" t="str">
        <x:v>Super Rich Repair</x:v>
      </x:c>
      <x:c r="I522"/>
      <x:c r="J522" t="str">
        <x:v>Khác</x:v>
      </x:c>
      <x:c r="K522"/>
      <x:c r="L522" t="str">
        <x:v>Công ty cổ phần đầu tư LD</x:v>
      </x:c>
      <x:c r="M522"/>
      <x:c r="N522" t="str">
        <x:v>Công ty TNHH mỹ phẩm Việt Hương</x:v>
      </x:c>
      <x:c r="O522" t="str">
        <x:v>Đình chỉ lưu hành, thu hồi và tiêu hủy – Công văn 1772/QLD-MP</x:v>
      </x:c>
      <x:c r="P522" t="str">
        <x:v>A++ – Cục Quản lý Dược; tổ chức chịu trách nhiệm explicit</x:v>
      </x:c>
      <x:c r="Q522" t="str">
        <x:v>Phụ lục 511 sản phẩm, STT 157, trang 7. Công ty Việt Hương là cơ sở sản xuất; cột tổ chức chịu trách nhiệm lấy nguyên văn từ phụ lục.</x:v>
      </x:c>
      <x:c r="R522" t="str">
        <x:v>https://dav.gov.vn/cong-van-so-1772qld-mp-ve-viec-dinh-chi-luu-hanh-thu-hoi-va-tieu-huy-my-pham-vi-pham-cong-ty-tnhh-my-pham-viet-huong-n5334.html</x:v>
      </x:c>
      <x:c r="S522" t="str">
        <x:v>Hà Nội</x:v>
      </x:c>
      <x:c r="T522" t="str">
        <x:v>01</x:v>
      </x:c>
    </x:row>
    <x:row r="523">
      <x:c r="A523" t="n">
        <x:v>522</x:v>
      </x:c>
      <x:c r="B523" s="330"/>
      <x:c r="C523" s="330" t="n">
        <x:v>46155</x:v>
      </x:c>
      <x:c r="D523" t="n">
        <x:v>2022</x:v>
      </x:c>
      <x:c r="E523"/>
      <x:c r="F523" t="str">
        <x:v>12824/22/CBMP-HN</x:v>
      </x:c>
      <x:c r="G523"/>
      <x:c r="H523" t="str">
        <x:v>Mặt nạ ngừa lão hóa da Provitamin B5</x:v>
      </x:c>
      <x:c r="I523"/>
      <x:c r="J523" t="str">
        <x:v>Mặt nạ</x:v>
      </x:c>
      <x:c r="K523"/>
      <x:c r="L523" t="str">
        <x:v>Công ty cổ phần đầu tư LD</x:v>
      </x:c>
      <x:c r="M523"/>
      <x:c r="N523" t="str">
        <x:v>Công ty TNHH mỹ phẩm Việt Hương</x:v>
      </x:c>
      <x:c r="O523" t="str">
        <x:v>Đình chỉ lưu hành, thu hồi và tiêu hủy – Công văn 1772/QLD-MP</x:v>
      </x:c>
      <x:c r="P523" t="str">
        <x:v>A++ – Cục Quản lý Dược; tổ chức chịu trách nhiệm explicit</x:v>
      </x:c>
      <x:c r="Q523" t="str">
        <x:v>Phụ lục 511 sản phẩm, STT 158, trang 7. Công ty Việt Hương là cơ sở sản xuất; cột tổ chức chịu trách nhiệm lấy nguyên văn từ phụ lục.</x:v>
      </x:c>
      <x:c r="R523" t="str">
        <x:v>https://dav.gov.vn/cong-van-so-1772qld-mp-ve-viec-dinh-chi-luu-hanh-thu-hoi-va-tieu-huy-my-pham-vi-pham-cong-ty-tnhh-my-pham-viet-huong-n5334.html</x:v>
      </x:c>
      <x:c r="S523" t="str">
        <x:v>Hà Nội</x:v>
      </x:c>
      <x:c r="T523" t="str">
        <x:v>01</x:v>
      </x:c>
    </x:row>
    <x:row r="524">
      <x:c r="A524" t="n">
        <x:v>523</x:v>
      </x:c>
      <x:c r="B524" s="330"/>
      <x:c r="C524" s="330" t="n">
        <x:v>46155</x:v>
      </x:c>
      <x:c r="D524" t="n">
        <x:v>2022</x:v>
      </x:c>
      <x:c r="E524"/>
      <x:c r="F524" t="str">
        <x:v>12825/22/CBMP-HN</x:v>
      </x:c>
      <x:c r="G524"/>
      <x:c r="H524" t="str">
        <x:v>Serum Peptide</x:v>
      </x:c>
      <x:c r="I524"/>
      <x:c r="J524" t="str">
        <x:v>Serum/Essence da</x:v>
      </x:c>
      <x:c r="K524"/>
      <x:c r="L524" t="str">
        <x:v>Công ty cổ phần đầu tư LD</x:v>
      </x:c>
      <x:c r="M524"/>
      <x:c r="N524" t="str">
        <x:v>Công ty TNHH mỹ phẩm Việt Hương</x:v>
      </x:c>
      <x:c r="O524" t="str">
        <x:v>Đình chỉ lưu hành, thu hồi và tiêu hủy – Công văn 1772/QLD-MP</x:v>
      </x:c>
      <x:c r="P524" t="str">
        <x:v>A++ – Cục Quản lý Dược; tổ chức chịu trách nhiệm explicit</x:v>
      </x:c>
      <x:c r="Q524" t="str">
        <x:v>Phụ lục 511 sản phẩm, STT 159, trang 7. Công ty Việt Hương là cơ sở sản xuất; cột tổ chức chịu trách nhiệm lấy nguyên văn từ phụ lục.</x:v>
      </x:c>
      <x:c r="R524" t="str">
        <x:v>https://dav.gov.vn/cong-van-so-1772qld-mp-ve-viec-dinh-chi-luu-hanh-thu-hoi-va-tieu-huy-my-pham-vi-pham-cong-ty-tnhh-my-pham-viet-huong-n5334.html</x:v>
      </x:c>
      <x:c r="S524" t="str">
        <x:v>Hà Nội</x:v>
      </x:c>
      <x:c r="T524" t="str">
        <x:v>01</x:v>
      </x:c>
    </x:row>
    <x:row r="525">
      <x:c r="A525" t="n">
        <x:v>524</x:v>
      </x:c>
      <x:c r="B525" s="330"/>
      <x:c r="C525" s="330" t="n">
        <x:v>46155</x:v>
      </x:c>
      <x:c r="D525" t="n">
        <x:v>2025</x:v>
      </x:c>
      <x:c r="E525"/>
      <x:c r="F525" t="str">
        <x:v>26079/25/CBMP-HN</x:v>
      </x:c>
      <x:c r="G525"/>
      <x:c r="H525" t="str">
        <x:v>Mask dưỡng ẩm</x:v>
      </x:c>
      <x:c r="I525"/>
      <x:c r="J525" t="str">
        <x:v>Mặt nạ</x:v>
      </x:c>
      <x:c r="K525"/>
      <x:c r="L525" t="str">
        <x:v>Công ty cổ phần đầu tư LD</x:v>
      </x:c>
      <x:c r="M525"/>
      <x:c r="N525" t="str">
        <x:v>Công ty TNHH mỹ phẩm Việt Hương</x:v>
      </x:c>
      <x:c r="O525" t="str">
        <x:v>Đình chỉ lưu hành, thu hồi và tiêu hủy – Công văn 1772/QLD-MP</x:v>
      </x:c>
      <x:c r="P525" t="str">
        <x:v>A++ – Cục Quản lý Dược; tổ chức chịu trách nhiệm explicit</x:v>
      </x:c>
      <x:c r="Q525" t="str">
        <x:v>Phụ lục 511 sản phẩm, STT 160, trang 7. Công ty Việt Hương là cơ sở sản xuất; cột tổ chức chịu trách nhiệm lấy nguyên văn từ phụ lục.</x:v>
      </x:c>
      <x:c r="R525" t="str">
        <x:v>https://dav.gov.vn/cong-van-so-1772qld-mp-ve-viec-dinh-chi-luu-hanh-thu-hoi-va-tieu-huy-my-pham-vi-pham-cong-ty-tnhh-my-pham-viet-huong-n5334.html</x:v>
      </x:c>
      <x:c r="S525" t="str">
        <x:v>Hà Nội</x:v>
      </x:c>
      <x:c r="T525" t="str">
        <x:v>01</x:v>
      </x:c>
    </x:row>
    <x:row r="526">
      <x:c r="A526" t="n">
        <x:v>525</x:v>
      </x:c>
      <x:c r="B526" s="330"/>
      <x:c r="C526" s="330" t="n">
        <x:v>46155</x:v>
      </x:c>
      <x:c r="D526" t="n">
        <x:v>2025</x:v>
      </x:c>
      <x:c r="E526"/>
      <x:c r="F526" t="str">
        <x:v>26080/25/CBMP-HN</x:v>
      </x:c>
      <x:c r="G526"/>
      <x:c r="H526" t="str">
        <x:v>Mặt nạ dưỡng da mềm mượt</x:v>
      </x:c>
      <x:c r="I526"/>
      <x:c r="J526" t="str">
        <x:v>Mặt nạ</x:v>
      </x:c>
      <x:c r="K526"/>
      <x:c r="L526" t="str">
        <x:v>Công ty cổ phần đầu tư LD</x:v>
      </x:c>
      <x:c r="M526"/>
      <x:c r="N526" t="str">
        <x:v>Công ty TNHH mỹ phẩm Việt Hương</x:v>
      </x:c>
      <x:c r="O526" t="str">
        <x:v>Đình chỉ lưu hành, thu hồi và tiêu hủy – Công văn 1772/QLD-MP</x:v>
      </x:c>
      <x:c r="P526" t="str">
        <x:v>A++ – Cục Quản lý Dược; tổ chức chịu trách nhiệm explicit</x:v>
      </x:c>
      <x:c r="Q526" t="str">
        <x:v>Phụ lục 511 sản phẩm, STT 161, trang 7. Công ty Việt Hương là cơ sở sản xuất; cột tổ chức chịu trách nhiệm lấy nguyên văn từ phụ lục.</x:v>
      </x:c>
      <x:c r="R526" t="str">
        <x:v>https://dav.gov.vn/cong-van-so-1772qld-mp-ve-viec-dinh-chi-luu-hanh-thu-hoi-va-tieu-huy-my-pham-vi-pham-cong-ty-tnhh-my-pham-viet-huong-n5334.html</x:v>
      </x:c>
      <x:c r="S526" t="str">
        <x:v>Hà Nội</x:v>
      </x:c>
      <x:c r="T526" t="str">
        <x:v>01</x:v>
      </x:c>
    </x:row>
    <x:row r="527">
      <x:c r="A527" t="n">
        <x:v>526</x:v>
      </x:c>
      <x:c r="B527" s="330"/>
      <x:c r="C527" s="330" t="n">
        <x:v>46155</x:v>
      </x:c>
      <x:c r="D527" t="n">
        <x:v>2022</x:v>
      </x:c>
      <x:c r="E527"/>
      <x:c r="F527" t="str">
        <x:v>12579/22/CBMP-HN</x:v>
      </x:c>
      <x:c r="G527"/>
      <x:c r="H527" t="str">
        <x:v>Tinh dầu thơm vùng kín Beau Lotus HL</x:v>
      </x:c>
      <x:c r="I527"/>
      <x:c r="J527" t="str">
        <x:v>Khác</x:v>
      </x:c>
      <x:c r="K527"/>
      <x:c r="L527" t="str">
        <x:v>Công ty cổ phần tư vấn và đầu tư dịch vụ y tế Hoàng Long</x:v>
      </x:c>
      <x:c r="M527"/>
      <x:c r="N527" t="str">
        <x:v>Công ty TNHH mỹ phẩm Việt Hương</x:v>
      </x:c>
      <x:c r="O527" t="str">
        <x:v>Đình chỉ lưu hành, thu hồi và tiêu hủy – Công văn 1772/QLD-MP</x:v>
      </x:c>
      <x:c r="P527" t="str">
        <x:v>A++ – Cục Quản lý Dược; tổ chức chịu trách nhiệm explicit</x:v>
      </x:c>
      <x:c r="Q527" t="str">
        <x:v>Phụ lục 511 sản phẩm, STT 162, trang 7. Công ty Việt Hương là cơ sở sản xuất; cột tổ chức chịu trách nhiệm lấy nguyên văn từ phụ lục.</x:v>
      </x:c>
      <x:c r="R527" t="str">
        <x:v>https://dav.gov.vn/cong-van-so-1772qld-mp-ve-viec-dinh-chi-luu-hanh-thu-hoi-va-tieu-huy-my-pham-vi-pham-cong-ty-tnhh-my-pham-viet-huong-n5334.html</x:v>
      </x:c>
      <x:c r="S527" t="str">
        <x:v>Hà Nội</x:v>
      </x:c>
      <x:c r="T527" t="str">
        <x:v>01</x:v>
      </x:c>
    </x:row>
    <x:row r="528">
      <x:c r="A528" t="n">
        <x:v>527</x:v>
      </x:c>
      <x:c r="B528" s="330"/>
      <x:c r="C528" s="330" t="n">
        <x:v>46155</x:v>
      </x:c>
      <x:c r="D528" t="n">
        <x:v>2022</x:v>
      </x:c>
      <x:c r="E528"/>
      <x:c r="F528" t="str">
        <x:v>12766/22/CBMP-HN</x:v>
      </x:c>
      <x:c r="G528"/>
      <x:c r="H528" t="str">
        <x:v>Toner phục hồi da</x:v>
      </x:c>
      <x:c r="I528"/>
      <x:c r="J528" t="str">
        <x:v>Serum/Essence da</x:v>
      </x:c>
      <x:c r="K528"/>
      <x:c r="L528" t="str">
        <x:v>Công ty TNHH Sản xuất và thương mại Vinza Cosmetics</x:v>
      </x:c>
      <x:c r="M528"/>
      <x:c r="N528" t="str">
        <x:v>Công ty TNHH mỹ phẩm Việt Hương</x:v>
      </x:c>
      <x:c r="O528" t="str">
        <x:v>Đình chỉ lưu hành, thu hồi và tiêu hủy – Công văn 1772/QLD-MP</x:v>
      </x:c>
      <x:c r="P528" t="str">
        <x:v>A++ – Cục Quản lý Dược; tổ chức chịu trách nhiệm explicit</x:v>
      </x:c>
      <x:c r="Q528" t="str">
        <x:v>Phụ lục 511 sản phẩm, STT 163, trang 7. Công ty Việt Hương là cơ sở sản xuất; cột tổ chức chịu trách nhiệm lấy nguyên văn từ phụ lục.</x:v>
      </x:c>
      <x:c r="R528" t="str">
        <x:v>https://dav.gov.vn/cong-van-so-1772qld-mp-ve-viec-dinh-chi-luu-hanh-thu-hoi-va-tieu-huy-my-pham-vi-pham-cong-ty-tnhh-my-pham-viet-huong-n5334.html</x:v>
      </x:c>
      <x:c r="S528" t="str">
        <x:v>Hà Nội</x:v>
      </x:c>
      <x:c r="T528" t="str">
        <x:v>01</x:v>
      </x:c>
    </x:row>
    <x:row r="529">
      <x:c r="A529" t="n">
        <x:v>528</x:v>
      </x:c>
      <x:c r="B529" s="330"/>
      <x:c r="C529" s="330" t="n">
        <x:v>46155</x:v>
      </x:c>
      <x:c r="D529" t="n">
        <x:v>2022</x:v>
      </x:c>
      <x:c r="E529"/>
      <x:c r="F529" t="str">
        <x:v>12767/22/CBMP-HN</x:v>
      </x:c>
      <x:c r="G529"/>
      <x:c r="H529" t="str">
        <x:v>Nước tẩy trang</x:v>
      </x:c>
      <x:c r="I529"/>
      <x:c r="J529" t="str">
        <x:v>Tẩy trang</x:v>
      </x:c>
      <x:c r="K529"/>
      <x:c r="L529" t="str">
        <x:v>Công ty TNHH Sản xuất và thương mại Vinza Cosmetics</x:v>
      </x:c>
      <x:c r="M529"/>
      <x:c r="N529" t="str">
        <x:v>Công ty TNHH mỹ phẩm Việt Hương</x:v>
      </x:c>
      <x:c r="O529" t="str">
        <x:v>Đình chỉ lưu hành, thu hồi và tiêu hủy – Công văn 1772/QLD-MP</x:v>
      </x:c>
      <x:c r="P529" t="str">
        <x:v>A++ – Cục Quản lý Dược; tổ chức chịu trách nhiệm explicit</x:v>
      </x:c>
      <x:c r="Q529" t="str">
        <x:v>Phụ lục 511 sản phẩm, STT 164, trang 7. Công ty Việt Hương là cơ sở sản xuất; cột tổ chức chịu trách nhiệm lấy nguyên văn từ phụ lục.</x:v>
      </x:c>
      <x:c r="R529" t="str">
        <x:v>https://dav.gov.vn/cong-van-so-1772qld-mp-ve-viec-dinh-chi-luu-hanh-thu-hoi-va-tieu-huy-my-pham-vi-pham-cong-ty-tnhh-my-pham-viet-huong-n5334.html</x:v>
      </x:c>
      <x:c r="S529" t="str">
        <x:v>Hà Nội</x:v>
      </x:c>
      <x:c r="T529" t="str">
        <x:v>01</x:v>
      </x:c>
    </x:row>
    <x:row r="530">
      <x:c r="A530" t="n">
        <x:v>529</x:v>
      </x:c>
      <x:c r="B530" s="330"/>
      <x:c r="C530" s="330" t="n">
        <x:v>46155</x:v>
      </x:c>
      <x:c r="D530" t="n">
        <x:v>2022</x:v>
      </x:c>
      <x:c r="E530"/>
      <x:c r="F530" t="str">
        <x:v>12768/22/CBMP-HN</x:v>
      </x:c>
      <x:c r="G530"/>
      <x:c r="H530" t="str">
        <x:v>Serum Collagen</x:v>
      </x:c>
      <x:c r="I530"/>
      <x:c r="J530" t="str">
        <x:v>Serum/Essence da</x:v>
      </x:c>
      <x:c r="K530"/>
      <x:c r="L530" t="str">
        <x:v>Công ty TNHH Sản xuất và thương mại Vinza Cosmetics</x:v>
      </x:c>
      <x:c r="M530"/>
      <x:c r="N530" t="str">
        <x:v>Công ty TNHH mỹ phẩm Việt Hương</x:v>
      </x:c>
      <x:c r="O530" t="str">
        <x:v>Đình chỉ lưu hành, thu hồi và tiêu hủy – Công văn 1772/QLD-MP</x:v>
      </x:c>
      <x:c r="P530" t="str">
        <x:v>A++ – Cục Quản lý Dược; tổ chức chịu trách nhiệm explicit</x:v>
      </x:c>
      <x:c r="Q530" t="str">
        <x:v>Phụ lục 511 sản phẩm, STT 165, trang 7. Công ty Việt Hương là cơ sở sản xuất; cột tổ chức chịu trách nhiệm lấy nguyên văn từ phụ lục.</x:v>
      </x:c>
      <x:c r="R530" t="str">
        <x:v>https://dav.gov.vn/cong-van-so-1772qld-mp-ve-viec-dinh-chi-luu-hanh-thu-hoi-va-tieu-huy-my-pham-vi-pham-cong-ty-tnhh-my-pham-viet-huong-n5334.html</x:v>
      </x:c>
      <x:c r="S530" t="str">
        <x:v>Hà Nội</x:v>
      </x:c>
      <x:c r="T530" t="str">
        <x:v>01</x:v>
      </x:c>
    </x:row>
    <x:row r="531">
      <x:c r="A531" t="n">
        <x:v>530</x:v>
      </x:c>
      <x:c r="B531" s="330"/>
      <x:c r="C531" s="330" t="n">
        <x:v>46155</x:v>
      </x:c>
      <x:c r="D531" t="n">
        <x:v>2022</x:v>
      </x:c>
      <x:c r="E531"/>
      <x:c r="F531" t="str">
        <x:v>12769/22/CBMP-HN</x:v>
      </x:c>
      <x:c r="G531"/>
      <x:c r="H531" t="str">
        <x:v>Tẩy tế bào da chết</x:v>
      </x:c>
      <x:c r="I531"/>
      <x:c r="J531" t="str">
        <x:v>Khác</x:v>
      </x:c>
      <x:c r="K531"/>
      <x:c r="L531" t="str">
        <x:v>Công ty TNHH Sản xuất và thương mại Vinza Cosmetics</x:v>
      </x:c>
      <x:c r="M531"/>
      <x:c r="N531" t="str">
        <x:v>Công ty TNHH mỹ phẩm Việt Hương</x:v>
      </x:c>
      <x:c r="O531" t="str">
        <x:v>Đình chỉ lưu hành, thu hồi và tiêu hủy – Công văn 1772/QLD-MP</x:v>
      </x:c>
      <x:c r="P531" t="str">
        <x:v>A++ – Cục Quản lý Dược; tổ chức chịu trách nhiệm explicit</x:v>
      </x:c>
      <x:c r="Q531" t="str">
        <x:v>Phụ lục 511 sản phẩm, STT 166, trang 7. Công ty Việt Hương là cơ sở sản xuất; cột tổ chức chịu trách nhiệm lấy nguyên văn từ phụ lục.</x:v>
      </x:c>
      <x:c r="R531" t="str">
        <x:v>https://dav.gov.vn/cong-van-so-1772qld-mp-ve-viec-dinh-chi-luu-hanh-thu-hoi-va-tieu-huy-my-pham-vi-pham-cong-ty-tnhh-my-pham-viet-huong-n5334.html</x:v>
      </x:c>
      <x:c r="S531" t="str">
        <x:v>Hà Nội</x:v>
      </x:c>
      <x:c r="T531" t="str">
        <x:v>01</x:v>
      </x:c>
    </x:row>
    <x:row r="532">
      <x:c r="A532" t="n">
        <x:v>531</x:v>
      </x:c>
      <x:c r="B532" s="330"/>
      <x:c r="C532" s="330" t="n">
        <x:v>46155</x:v>
      </x:c>
      <x:c r="D532" t="n">
        <x:v>2022</x:v>
      </x:c>
      <x:c r="E532"/>
      <x:c r="F532" t="str">
        <x:v>12770/22/CBMP-HN</x:v>
      </x:c>
      <x:c r="G532"/>
      <x:c r="H532" t="str">
        <x:v>Sữa rửa mặt</x:v>
      </x:c>
      <x:c r="I532"/>
      <x:c r="J532" t="str">
        <x:v>Sữa rửa mặt</x:v>
      </x:c>
      <x:c r="K532"/>
      <x:c r="L532" t="str">
        <x:v>Công ty TNHH Sản xuất và thương mại Vinza Cosmetics</x:v>
      </x:c>
      <x:c r="M532"/>
      <x:c r="N532" t="str">
        <x:v>Công ty TNHH mỹ phẩm Việt Hương</x:v>
      </x:c>
      <x:c r="O532" t="str">
        <x:v>Đình chỉ lưu hành, thu hồi và tiêu hủy – Công văn 1772/QLD-MP</x:v>
      </x:c>
      <x:c r="P532" t="str">
        <x:v>A++ – Cục Quản lý Dược; tổ chức chịu trách nhiệm explicit</x:v>
      </x:c>
      <x:c r="Q532" t="str">
        <x:v>Phụ lục 511 sản phẩm, STT 167, trang 7. Công ty Việt Hương là cơ sở sản xuất; cột tổ chức chịu trách nhiệm lấy nguyên văn từ phụ lục.</x:v>
      </x:c>
      <x:c r="R532" t="str">
        <x:v>https://dav.gov.vn/cong-van-so-1772qld-mp-ve-viec-dinh-chi-luu-hanh-thu-hoi-va-tieu-huy-my-pham-vi-pham-cong-ty-tnhh-my-pham-viet-huong-n5334.html</x:v>
      </x:c>
      <x:c r="S532" t="str">
        <x:v>Hà Nội</x:v>
      </x:c>
      <x:c r="T532" t="str">
        <x:v>01</x:v>
      </x:c>
    </x:row>
    <x:row r="533">
      <x:c r="A533" t="n">
        <x:v>532</x:v>
      </x:c>
      <x:c r="B533" s="330"/>
      <x:c r="C533" s="330" t="n">
        <x:v>46155</x:v>
      </x:c>
      <x:c r="D533" t="n">
        <x:v>2022</x:v>
      </x:c>
      <x:c r="E533"/>
      <x:c r="F533" t="str">
        <x:v>12771/22/CBMP-HN</x:v>
      </x:c>
      <x:c r="G533"/>
      <x:c r="H533" t="str">
        <x:v>Dung dịch vệ sinh</x:v>
      </x:c>
      <x:c r="I533"/>
      <x:c r="J533" t="str">
        <x:v>Khác</x:v>
      </x:c>
      <x:c r="K533"/>
      <x:c r="L533" t="str">
        <x:v>Công ty TNHH Sản xuất và thương mại Vinza Cosmetics</x:v>
      </x:c>
      <x:c r="M533"/>
      <x:c r="N533" t="str">
        <x:v>Công ty TNHH mỹ phẩm Việt Hương</x:v>
      </x:c>
      <x:c r="O533" t="str">
        <x:v>Đình chỉ lưu hành, thu hồi và tiêu hủy – Công văn 1772/QLD-MP</x:v>
      </x:c>
      <x:c r="P533" t="str">
        <x:v>A++ – Cục Quản lý Dược; tổ chức chịu trách nhiệm explicit</x:v>
      </x:c>
      <x:c r="Q533" t="str">
        <x:v>Phụ lục 511 sản phẩm, STT 168, trang 7. Công ty Việt Hương là cơ sở sản xuất; cột tổ chức chịu trách nhiệm lấy nguyên văn từ phụ lục.</x:v>
      </x:c>
      <x:c r="R533" t="str">
        <x:v>https://dav.gov.vn/cong-van-so-1772qld-mp-ve-viec-dinh-chi-luu-hanh-thu-hoi-va-tieu-huy-my-pham-vi-pham-cong-ty-tnhh-my-pham-viet-huong-n5334.html</x:v>
      </x:c>
      <x:c r="S533" t="str">
        <x:v>Hà Nội</x:v>
      </x:c>
      <x:c r="T533" t="str">
        <x:v>01</x:v>
      </x:c>
    </x:row>
    <x:row r="534">
      <x:c r="A534" t="n">
        <x:v>533</x:v>
      </x:c>
      <x:c r="B534" s="330"/>
      <x:c r="C534" s="330" t="n">
        <x:v>46155</x:v>
      </x:c>
      <x:c r="D534" t="n">
        <x:v>2022</x:v>
      </x:c>
      <x:c r="E534"/>
      <x:c r="F534" t="str">
        <x:v>12774/22/CBMP-HN</x:v>
      </x:c>
      <x:c r="G534"/>
      <x:c r="H534" t="str">
        <x:v>Serum Oral Cleaning</x:v>
      </x:c>
      <x:c r="I534"/>
      <x:c r="J534" t="str">
        <x:v>Serum/Essence da</x:v>
      </x:c>
      <x:c r="K534"/>
      <x:c r="L534" t="str">
        <x:v>Công ty TNHH đầu tư và thương mại PA</x:v>
      </x:c>
      <x:c r="M534"/>
      <x:c r="N534" t="str">
        <x:v>Công ty TNHH mỹ phẩm Việt Hương</x:v>
      </x:c>
      <x:c r="O534" t="str">
        <x:v>Đình chỉ lưu hành, thu hồi và tiêu hủy – Công văn 1772/QLD-MP</x:v>
      </x:c>
      <x:c r="P534" t="str">
        <x:v>A++ – Cục Quản lý Dược; tổ chức chịu trách nhiệm explicit</x:v>
      </x:c>
      <x:c r="Q534" t="str">
        <x:v>Phụ lục 511 sản phẩm, STT 169, trang 7. Công ty Việt Hương là cơ sở sản xuất; cột tổ chức chịu trách nhiệm lấy nguyên văn từ phụ lục.</x:v>
      </x:c>
      <x:c r="R534" t="str">
        <x:v>https://dav.gov.vn/cong-van-so-1772qld-mp-ve-viec-dinh-chi-luu-hanh-thu-hoi-va-tieu-huy-my-pham-vi-pham-cong-ty-tnhh-my-pham-viet-huong-n5334.html</x:v>
      </x:c>
      <x:c r="S534" t="str">
        <x:v>Hà Nội</x:v>
      </x:c>
      <x:c r="T534" t="str">
        <x:v>01</x:v>
      </x:c>
    </x:row>
    <x:row r="535">
      <x:c r="A535" t="n">
        <x:v>534</x:v>
      </x:c>
      <x:c r="B535" s="330"/>
      <x:c r="C535" s="330" t="n">
        <x:v>46155</x:v>
      </x:c>
      <x:c r="D535" t="n">
        <x:v>2022</x:v>
      </x:c>
      <x:c r="E535"/>
      <x:c r="F535" t="str">
        <x:v>12775/22/CBMP-HN</x:v>
      </x:c>
      <x:c r="G535"/>
      <x:c r="H535" t="str">
        <x:v>Anti-Odor Serum For Body</x:v>
      </x:c>
      <x:c r="I535"/>
      <x:c r="J535" t="str">
        <x:v>Serum/Essence da</x:v>
      </x:c>
      <x:c r="K535"/>
      <x:c r="L535" t="str">
        <x:v>Công ty TNHH đầu tư và thương mại PA</x:v>
      </x:c>
      <x:c r="M535"/>
      <x:c r="N535" t="str">
        <x:v>Công ty TNHH mỹ phẩm Việt Hương</x:v>
      </x:c>
      <x:c r="O535" t="str">
        <x:v>Đình chỉ lưu hành, thu hồi và tiêu hủy – Công văn 1772/QLD-MP</x:v>
      </x:c>
      <x:c r="P535" t="str">
        <x:v>A++ – Cục Quản lý Dược; tổ chức chịu trách nhiệm explicit</x:v>
      </x:c>
      <x:c r="Q535" t="str">
        <x:v>Phụ lục 511 sản phẩm, STT 170, trang 7. Công ty Việt Hương là cơ sở sản xuất; cột tổ chức chịu trách nhiệm lấy nguyên văn từ phụ lục.</x:v>
      </x:c>
      <x:c r="R535" t="str">
        <x:v>https://dav.gov.vn/cong-van-so-1772qld-mp-ve-viec-dinh-chi-luu-hanh-thu-hoi-va-tieu-huy-my-pham-vi-pham-cong-ty-tnhh-my-pham-viet-huong-n5334.html</x:v>
      </x:c>
      <x:c r="S535" t="str">
        <x:v>Hà Nội</x:v>
      </x:c>
      <x:c r="T535" t="str">
        <x:v>01</x:v>
      </x:c>
    </x:row>
    <x:row r="536">
      <x:c r="A536" t="n">
        <x:v>535</x:v>
      </x:c>
      <x:c r="B536" s="330"/>
      <x:c r="C536" s="330" t="n">
        <x:v>46155</x:v>
      </x:c>
      <x:c r="D536" t="n">
        <x:v>2022</x:v>
      </x:c>
      <x:c r="E536"/>
      <x:c r="F536" t="str">
        <x:v>12777/22/CBMP-HN</x:v>
      </x:c>
      <x:c r="G536"/>
      <x:c r="H536" t="str">
        <x:v>Mặt nạ Sữa Tảo Hana</x:v>
      </x:c>
      <x:c r="I536"/>
      <x:c r="J536" t="str">
        <x:v>Mặt nạ</x:v>
      </x:c>
      <x:c r="K536"/>
      <x:c r="L536" t="str">
        <x:v>Công ty TNHH thương mại Hana Cosmetics</x:v>
      </x:c>
      <x:c r="M536"/>
      <x:c r="N536" t="str">
        <x:v>Công ty TNHH mỹ phẩm Việt Hương</x:v>
      </x:c>
      <x:c r="O536" t="str">
        <x:v>Đình chỉ lưu hành, thu hồi và tiêu hủy – Công văn 1772/QLD-MP</x:v>
      </x:c>
      <x:c r="P536" t="str">
        <x:v>A++ – Cục Quản lý Dược; tổ chức chịu trách nhiệm explicit</x:v>
      </x:c>
      <x:c r="Q536" t="str">
        <x:v>Phụ lục 511 sản phẩm, STT 171, trang 7. Công ty Việt Hương là cơ sở sản xuất; cột tổ chức chịu trách nhiệm lấy nguyên văn từ phụ lục.</x:v>
      </x:c>
      <x:c r="R536" t="str">
        <x:v>https://dav.gov.vn/cong-van-so-1772qld-mp-ve-viec-dinh-chi-luu-hanh-thu-hoi-va-tieu-huy-my-pham-vi-pham-cong-ty-tnhh-my-pham-viet-huong-n5334.html</x:v>
      </x:c>
      <x:c r="S536" t="str">
        <x:v>Hà Nội</x:v>
      </x:c>
      <x:c r="T536" t="str">
        <x:v>01</x:v>
      </x:c>
    </x:row>
    <x:row r="537">
      <x:c r="A537" t="n">
        <x:v>536</x:v>
      </x:c>
      <x:c r="B537" s="330"/>
      <x:c r="C537" s="330" t="n">
        <x:v>46155</x:v>
      </x:c>
      <x:c r="D537" t="n">
        <x:v>2022</x:v>
      </x:c>
      <x:c r="E537"/>
      <x:c r="F537" t="str">
        <x:v>12827/22/CBMP-HN</x:v>
      </x:c>
      <x:c r="G537"/>
      <x:c r="H537" t="str">
        <x:v>Natural Whitening Cream</x:v>
      </x:c>
      <x:c r="I537"/>
      <x:c r="J537" t="str">
        <x:v>Kem dưỡng da</x:v>
      </x:c>
      <x:c r="K537"/>
      <x:c r="L537" t="str">
        <x:v>Công ty TNHH quốc tế Mercury</x:v>
      </x:c>
      <x:c r="M537"/>
      <x:c r="N537" t="str">
        <x:v>Công ty TNHH mỹ phẩm Việt Hương</x:v>
      </x:c>
      <x:c r="O537" t="str">
        <x:v>Đình chỉ lưu hành, thu hồi và tiêu hủy – Công văn 1772/QLD-MP</x:v>
      </x:c>
      <x:c r="P537" t="str">
        <x:v>A++ – Cục Quản lý Dược; tổ chức chịu trách nhiệm explicit</x:v>
      </x:c>
      <x:c r="Q537" t="str">
        <x:v>Phụ lục 511 sản phẩm, STT 172, trang 7. Công ty Việt Hương là cơ sở sản xuất; cột tổ chức chịu trách nhiệm lấy nguyên văn từ phụ lục.</x:v>
      </x:c>
      <x:c r="R537" t="str">
        <x:v>https://dav.gov.vn/cong-van-so-1772qld-mp-ve-viec-dinh-chi-luu-hanh-thu-hoi-va-tieu-huy-my-pham-vi-pham-cong-ty-tnhh-my-pham-viet-huong-n5334.html</x:v>
      </x:c>
      <x:c r="S537" t="str">
        <x:v>Hà Nội</x:v>
      </x:c>
      <x:c r="T537" t="str">
        <x:v>01</x:v>
      </x:c>
    </x:row>
    <x:row r="538">
      <x:c r="A538" t="n">
        <x:v>537</x:v>
      </x:c>
      <x:c r="B538" s="330"/>
      <x:c r="C538" s="330" t="n">
        <x:v>46155</x:v>
      </x:c>
      <x:c r="D538" t="n">
        <x:v>2022</x:v>
      </x:c>
      <x:c r="E538"/>
      <x:c r="F538" t="str">
        <x:v>13027/22/CBMP-HN</x:v>
      </x:c>
      <x:c r="G538"/>
      <x:c r="H538" t="str">
        <x:v>Feminine Hygiene Solution</x:v>
      </x:c>
      <x:c r="I538"/>
      <x:c r="J538" t="str">
        <x:v>Dung dịch vệ sinh</x:v>
      </x:c>
      <x:c r="K538"/>
      <x:c r="L538" t="str">
        <x:v>Công ty TNHH Mitudo Việt Nam</x:v>
      </x:c>
      <x:c r="M538"/>
      <x:c r="N538" t="str">
        <x:v>Công ty TNHH mỹ phẩm Việt Hương</x:v>
      </x:c>
      <x:c r="O538" t="str">
        <x:v>Đình chỉ lưu hành, thu hồi và tiêu hủy – Công văn 1772/QLD-MP</x:v>
      </x:c>
      <x:c r="P538" t="str">
        <x:v>A++ – Cục Quản lý Dược; tổ chức chịu trách nhiệm explicit</x:v>
      </x:c>
      <x:c r="Q538" t="str">
        <x:v>Phụ lục 511 sản phẩm, STT 173, trang 7. Công ty Việt Hương là cơ sở sản xuất; cột tổ chức chịu trách nhiệm lấy nguyên văn từ phụ lục.</x:v>
      </x:c>
      <x:c r="R538" t="str">
        <x:v>https://dav.gov.vn/cong-van-so-1772qld-mp-ve-viec-dinh-chi-luu-hanh-thu-hoi-va-tieu-huy-my-pham-vi-pham-cong-ty-tnhh-my-pham-viet-huong-n5334.html</x:v>
      </x:c>
      <x:c r="S538" t="str">
        <x:v>Hà Nội</x:v>
      </x:c>
      <x:c r="T538" t="str">
        <x:v>01</x:v>
      </x:c>
    </x:row>
    <x:row r="539">
      <x:c r="A539" t="n">
        <x:v>538</x:v>
      </x:c>
      <x:c r="B539" s="330"/>
      <x:c r="C539" s="330" t="n">
        <x:v>46155</x:v>
      </x:c>
      <x:c r="D539" t="n">
        <x:v>2022</x:v>
      </x:c>
      <x:c r="E539"/>
      <x:c r="F539" t="str">
        <x:v>13134/22/CBMP-HN</x:v>
      </x:c>
      <x:c r="G539"/>
      <x:c r="H539" t="str">
        <x:v>Senshe</x:v>
      </x:c>
      <x:c r="I539"/>
      <x:c r="J539" t="str">
        <x:v>Khác</x:v>
      </x:c>
      <x:c r="K539"/>
      <x:c r="L539" t="str">
        <x:v>Công ty TNHH Mitudo Việt Nam</x:v>
      </x:c>
      <x:c r="M539"/>
      <x:c r="N539" t="str">
        <x:v>Công ty TNHH mỹ phẩm Việt Hương</x:v>
      </x:c>
      <x:c r="O539" t="str">
        <x:v>Đình chỉ lưu hành, thu hồi và tiêu hủy – Công văn 1772/QLD-MP</x:v>
      </x:c>
      <x:c r="P539" t="str">
        <x:v>A++ – Cục Quản lý Dược; tổ chức chịu trách nhiệm explicit</x:v>
      </x:c>
      <x:c r="Q539" t="str">
        <x:v>Phụ lục 511 sản phẩm, STT 174, trang 7. Công ty Việt Hương là cơ sở sản xuất; cột tổ chức chịu trách nhiệm lấy nguyên văn từ phụ lục.</x:v>
      </x:c>
      <x:c r="R539" t="str">
        <x:v>https://dav.gov.vn/cong-van-so-1772qld-mp-ve-viec-dinh-chi-luu-hanh-thu-hoi-va-tieu-huy-my-pham-vi-pham-cong-ty-tnhh-my-pham-viet-huong-n5334.html</x:v>
      </x:c>
      <x:c r="S539" t="str">
        <x:v>Hà Nội</x:v>
      </x:c>
      <x:c r="T539" t="str">
        <x:v>01</x:v>
      </x:c>
    </x:row>
    <x:row r="540">
      <x:c r="A540" t="n">
        <x:v>539</x:v>
      </x:c>
      <x:c r="B540" s="330"/>
      <x:c r="C540" s="330" t="n">
        <x:v>46155</x:v>
      </x:c>
      <x:c r="D540" t="n">
        <x:v>2022</x:v>
      </x:c>
      <x:c r="E540"/>
      <x:c r="F540" t="str">
        <x:v>13959/22/CBMP-HN</x:v>
      </x:c>
      <x:c r="G540"/>
      <x:c r="H540" t="str">
        <x:v>Senshe</x:v>
      </x:c>
      <x:c r="I540"/>
      <x:c r="J540" t="str">
        <x:v>Khác</x:v>
      </x:c>
      <x:c r="K540"/>
      <x:c r="L540" t="str">
        <x:v>Công ty TNHH Mitudo Việt Nam</x:v>
      </x:c>
      <x:c r="M540"/>
      <x:c r="N540" t="str">
        <x:v>Công ty TNHH mỹ phẩm Việt Hương</x:v>
      </x:c>
      <x:c r="O540" t="str">
        <x:v>Đình chỉ lưu hành, thu hồi và tiêu hủy – Công văn 1772/QLD-MP</x:v>
      </x:c>
      <x:c r="P540" t="str">
        <x:v>A++ – Cục Quản lý Dược; tổ chức chịu trách nhiệm explicit</x:v>
      </x:c>
      <x:c r="Q540" t="str">
        <x:v>Phụ lục 511 sản phẩm, STT 175, trang 7. Công ty Việt Hương là cơ sở sản xuất; cột tổ chức chịu trách nhiệm lấy nguyên văn từ phụ lục.</x:v>
      </x:c>
      <x:c r="R540" t="str">
        <x:v>https://dav.gov.vn/cong-van-so-1772qld-mp-ve-viec-dinh-chi-luu-hanh-thu-hoi-va-tieu-huy-my-pham-vi-pham-cong-ty-tnhh-my-pham-viet-huong-n5334.html</x:v>
      </x:c>
      <x:c r="S540" t="str">
        <x:v>Hà Nội</x:v>
      </x:c>
      <x:c r="T540" t="str">
        <x:v>01</x:v>
      </x:c>
    </x:row>
    <x:row r="541">
      <x:c r="A541" t="n">
        <x:v>540</x:v>
      </x:c>
      <x:c r="B541" s="330"/>
      <x:c r="C541" s="330" t="n">
        <x:v>46155</x:v>
      </x:c>
      <x:c r="D541" t="n">
        <x:v>2022</x:v>
      </x:c>
      <x:c r="E541"/>
      <x:c r="F541" t="str">
        <x:v>13066/22/CBMP-HN</x:v>
      </x:c>
      <x:c r="G541"/>
      <x:c r="H541" t="str">
        <x:v>Hôi nách Mộc Tâm</x:v>
      </x:c>
      <x:c r="I541"/>
      <x:c r="J541" t="str">
        <x:v>Khử mùi</x:v>
      </x:c>
      <x:c r="K541"/>
      <x:c r="L541" t="str">
        <x:v>Công ty TNHH Dược mỹ phẩm quốc tế Onaga</x:v>
      </x:c>
      <x:c r="M541"/>
      <x:c r="N541" t="str">
        <x:v>Công ty TNHH mỹ phẩm Việt Hương</x:v>
      </x:c>
      <x:c r="O541" t="str">
        <x:v>Đình chỉ lưu hành, thu hồi và tiêu hủy – Công văn 1772/QLD-MP</x:v>
      </x:c>
      <x:c r="P541" t="str">
        <x:v>A++ – Cục Quản lý Dược; tổ chức chịu trách nhiệm explicit</x:v>
      </x:c>
      <x:c r="Q541" t="str">
        <x:v>Phụ lục 511 sản phẩm, STT 176, trang 7. Công ty Việt Hương là cơ sở sản xuất; cột tổ chức chịu trách nhiệm lấy nguyên văn từ phụ lục.</x:v>
      </x:c>
      <x:c r="R541" t="str">
        <x:v>https://dav.gov.vn/cong-van-so-1772qld-mp-ve-viec-dinh-chi-luu-hanh-thu-hoi-va-tieu-huy-my-pham-vi-pham-cong-ty-tnhh-my-pham-viet-huong-n5334.html</x:v>
      </x:c>
      <x:c r="S541" t="str">
        <x:v>Hà Nội</x:v>
      </x:c>
      <x:c r="T541" t="str">
        <x:v>01</x:v>
      </x:c>
    </x:row>
    <x:row r="542">
      <x:c r="A542" t="n">
        <x:v>541</x:v>
      </x:c>
      <x:c r="B542" s="330"/>
      <x:c r="C542" s="330" t="n">
        <x:v>46155</x:v>
      </x:c>
      <x:c r="D542" t="n">
        <x:v>2022</x:v>
      </x:c>
      <x:c r="E542"/>
      <x:c r="F542" t="str">
        <x:v>13253/22/CBMP-HN</x:v>
      </x:c>
      <x:c r="G542"/>
      <x:c r="H542" t="str">
        <x:v>Skin Protection</x:v>
      </x:c>
      <x:c r="I542"/>
      <x:c r="J542" t="str">
        <x:v>Khác</x:v>
      </x:c>
      <x:c r="K542"/>
      <x:c r="L542" t="str">
        <x:v>Công ty TNHH Dược mỹ phẩm quốc tế Onaga</x:v>
      </x:c>
      <x:c r="M542"/>
      <x:c r="N542" t="str">
        <x:v>Công ty TNHH mỹ phẩm Việt Hương</x:v>
      </x:c>
      <x:c r="O542" t="str">
        <x:v>Đình chỉ lưu hành, thu hồi và tiêu hủy – Công văn 1772/QLD-MP</x:v>
      </x:c>
      <x:c r="P542" t="str">
        <x:v>A++ – Cục Quản lý Dược; tổ chức chịu trách nhiệm explicit</x:v>
      </x:c>
      <x:c r="Q542" t="str">
        <x:v>Phụ lục 511 sản phẩm, STT 177, trang 7. Công ty Việt Hương là cơ sở sản xuất; cột tổ chức chịu trách nhiệm lấy nguyên văn từ phụ lục.</x:v>
      </x:c>
      <x:c r="R542" t="str">
        <x:v>https://dav.gov.vn/cong-van-so-1772qld-mp-ve-viec-dinh-chi-luu-hanh-thu-hoi-va-tieu-huy-my-pham-vi-pham-cong-ty-tnhh-my-pham-viet-huong-n5334.html</x:v>
      </x:c>
      <x:c r="S542" t="str">
        <x:v>Hà Nội</x:v>
      </x:c>
      <x:c r="T542" t="str">
        <x:v>01</x:v>
      </x:c>
    </x:row>
    <x:row r="543">
      <x:c r="A543" t="n">
        <x:v>542</x:v>
      </x:c>
      <x:c r="B543" s="330"/>
      <x:c r="C543" s="330" t="n">
        <x:v>46155</x:v>
      </x:c>
      <x:c r="D543" t="n">
        <x:v>2022</x:v>
      </x:c>
      <x:c r="E543"/>
      <x:c r="F543" t="str">
        <x:v>13380/22/CBMP-HN</x:v>
      </x:c>
      <x:c r="G543"/>
      <x:c r="H543" t="str">
        <x:v>Kem Face đêm</x:v>
      </x:c>
      <x:c r="I543"/>
      <x:c r="J543" t="str">
        <x:v>Khác</x:v>
      </x:c>
      <x:c r="K543"/>
      <x:c r="L543" t="str">
        <x:v>Công ty TNHH Dược mỹ phẩm quốc tế Onaga</x:v>
      </x:c>
      <x:c r="M543"/>
      <x:c r="N543" t="str">
        <x:v>Công ty TNHH mỹ phẩm Việt Hương</x:v>
      </x:c>
      <x:c r="O543" t="str">
        <x:v>Đình chỉ lưu hành, thu hồi và tiêu hủy – Công văn 1772/QLD-MP</x:v>
      </x:c>
      <x:c r="P543" t="str">
        <x:v>A++ – Cục Quản lý Dược; tổ chức chịu trách nhiệm explicit</x:v>
      </x:c>
      <x:c r="Q543" t="str">
        <x:v>Phụ lục 511 sản phẩm, STT 178, trang 7. Công ty Việt Hương là cơ sở sản xuất; cột tổ chức chịu trách nhiệm lấy nguyên văn từ phụ lục.</x:v>
      </x:c>
      <x:c r="R543" t="str">
        <x:v>https://dav.gov.vn/cong-van-so-1772qld-mp-ve-viec-dinh-chi-luu-hanh-thu-hoi-va-tieu-huy-my-pham-vi-pham-cong-ty-tnhh-my-pham-viet-huong-n5334.html</x:v>
      </x:c>
      <x:c r="S543" t="str">
        <x:v>Hà Nội</x:v>
      </x:c>
      <x:c r="T543" t="str">
        <x:v>01</x:v>
      </x:c>
    </x:row>
    <x:row r="544">
      <x:c r="A544" t="n">
        <x:v>543</x:v>
      </x:c>
      <x:c r="B544" s="330"/>
      <x:c r="C544" s="330" t="n">
        <x:v>46155</x:v>
      </x:c>
      <x:c r="D544" t="n">
        <x:v>2022</x:v>
      </x:c>
      <x:c r="E544"/>
      <x:c r="F544" t="str">
        <x:v>13252/22/CBMP-HN</x:v>
      </x:c>
      <x:c r="G544"/>
      <x:c r="H544" t="str">
        <x:v>Kem Face ngày</x:v>
      </x:c>
      <x:c r="I544"/>
      <x:c r="J544" t="str">
        <x:v>Khác</x:v>
      </x:c>
      <x:c r="K544"/>
      <x:c r="L544" t="str">
        <x:v>Công ty TNHH Dược mỹ phẩm quốc tế Onaga</x:v>
      </x:c>
      <x:c r="M544"/>
      <x:c r="N544" t="str">
        <x:v>Công ty TNHH mỹ phẩm Việt Hương</x:v>
      </x:c>
      <x:c r="O544" t="str">
        <x:v>Đình chỉ lưu hành, thu hồi và tiêu hủy – Công văn 1772/QLD-MP</x:v>
      </x:c>
      <x:c r="P544" t="str">
        <x:v>A++ – Cục Quản lý Dược; tổ chức chịu trách nhiệm explicit</x:v>
      </x:c>
      <x:c r="Q544" t="str">
        <x:v>Phụ lục 511 sản phẩm, STT 179, trang 7. Công ty Việt Hương là cơ sở sản xuất; cột tổ chức chịu trách nhiệm lấy nguyên văn từ phụ lục.</x:v>
      </x:c>
      <x:c r="R544" t="str">
        <x:v>https://dav.gov.vn/cong-van-so-1772qld-mp-ve-viec-dinh-chi-luu-hanh-thu-hoi-va-tieu-huy-my-pham-vi-pham-cong-ty-tnhh-my-pham-viet-huong-n5334.html</x:v>
      </x:c>
      <x:c r="S544" t="str">
        <x:v>Hà Nội</x:v>
      </x:c>
      <x:c r="T544" t="str">
        <x:v>01</x:v>
      </x:c>
    </x:row>
    <x:row r="545">
      <x:c r="A545" t="n">
        <x:v>544</x:v>
      </x:c>
      <x:c r="B545" s="330"/>
      <x:c r="C545" s="330" t="n">
        <x:v>46155</x:v>
      </x:c>
      <x:c r="D545" t="n">
        <x:v>2022</x:v>
      </x:c>
      <x:c r="E545"/>
      <x:c r="F545" t="str">
        <x:v>13067/22/CBMP-HN</x:v>
      </x:c>
      <x:c r="G545"/>
      <x:c r="H545" t="str">
        <x:v>Armpit Serum</x:v>
      </x:c>
      <x:c r="I545"/>
      <x:c r="J545" t="str">
        <x:v>Serum/Essence da</x:v>
      </x:c>
      <x:c r="K545"/>
      <x:c r="L545" t="str">
        <x:v>Công ty TNHH thương mại dịch vụ Go.Era</x:v>
      </x:c>
      <x:c r="M545"/>
      <x:c r="N545" t="str">
        <x:v>Công ty TNHH mỹ phẩm Việt Hương</x:v>
      </x:c>
      <x:c r="O545" t="str">
        <x:v>Đình chỉ lưu hành, thu hồi và tiêu hủy – Công văn 1772/QLD-MP</x:v>
      </x:c>
      <x:c r="P545" t="str">
        <x:v>A++ – Cục Quản lý Dược; tổ chức chịu trách nhiệm explicit</x:v>
      </x:c>
      <x:c r="Q545" t="str">
        <x:v>Phụ lục 511 sản phẩm, STT 180, trang 7. Công ty Việt Hương là cơ sở sản xuất; cột tổ chức chịu trách nhiệm lấy nguyên văn từ phụ lục.</x:v>
      </x:c>
      <x:c r="R545" t="str">
        <x:v>https://dav.gov.vn/cong-van-so-1772qld-mp-ve-viec-dinh-chi-luu-hanh-thu-hoi-va-tieu-huy-my-pham-vi-pham-cong-ty-tnhh-my-pham-viet-huong-n5334.html</x:v>
      </x:c>
      <x:c r="S545" t="str">
        <x:v>Hà Nội</x:v>
      </x:c>
      <x:c r="T545" t="str">
        <x:v>01</x:v>
      </x:c>
    </x:row>
    <x:row r="546">
      <x:c r="A546" t="n">
        <x:v>545</x:v>
      </x:c>
      <x:c r="B546" s="330"/>
      <x:c r="C546" s="330" t="n">
        <x:v>46155</x:v>
      </x:c>
      <x:c r="D546" t="n">
        <x:v>2022</x:v>
      </x:c>
      <x:c r="E546"/>
      <x:c r="F546" t="str">
        <x:v>13068/22/CBMP-HN</x:v>
      </x:c>
      <x:c r="G546"/>
      <x:c r="H546" t="str">
        <x:v>Hôi nách Thảo Mộc Xanh</x:v>
      </x:c>
      <x:c r="I546"/>
      <x:c r="J546" t="str">
        <x:v>Khử mùi</x:v>
      </x:c>
      <x:c r="K546"/>
      <x:c r="L546" t="str">
        <x:v>Công ty cổ phần tinh dầu và hương liệu Family</x:v>
      </x:c>
      <x:c r="M546"/>
      <x:c r="N546" t="str">
        <x:v>Công ty TNHH mỹ phẩm Việt Hương</x:v>
      </x:c>
      <x:c r="O546" t="str">
        <x:v>Đình chỉ lưu hành, thu hồi và tiêu hủy – Công văn 1772/QLD-MP</x:v>
      </x:c>
      <x:c r="P546" t="str">
        <x:v>A++ – Cục Quản lý Dược; tổ chức chịu trách nhiệm explicit</x:v>
      </x:c>
      <x:c r="Q546" t="str">
        <x:v>Phụ lục 511 sản phẩm, STT 181, trang 8. Công ty Việt Hương là cơ sở sản xuất; cột tổ chức chịu trách nhiệm lấy nguyên văn từ phụ lục.</x:v>
      </x:c>
      <x:c r="R546" t="str">
        <x:v>https://dav.gov.vn/cong-van-so-1772qld-mp-ve-viec-dinh-chi-luu-hanh-thu-hoi-va-tieu-huy-my-pham-vi-pham-cong-ty-tnhh-my-pham-viet-huong-n5334.html</x:v>
      </x:c>
      <x:c r="S546" t="str">
        <x:v>Hà Nội</x:v>
      </x:c>
      <x:c r="T546" t="str">
        <x:v>01</x:v>
      </x:c>
    </x:row>
    <x:row r="547">
      <x:c r="A547" t="n">
        <x:v>546</x:v>
      </x:c>
      <x:c r="B547" s="330"/>
      <x:c r="C547" s="330" t="n">
        <x:v>46155</x:v>
      </x:c>
      <x:c r="D547" t="n">
        <x:v>2022</x:v>
      </x:c>
      <x:c r="E547"/>
      <x:c r="F547" t="str">
        <x:v>14978/22/CBMP-HN</x:v>
      </x:c>
      <x:c r="G547"/>
      <x:c r="H547" t="str">
        <x:v>Mesotherapy Aura</x:v>
      </x:c>
      <x:c r="I547"/>
      <x:c r="J547" t="str">
        <x:v>Khác</x:v>
      </x:c>
      <x:c r="K547"/>
      <x:c r="L547" t="str">
        <x:v>Công ty TNHH xuất nhập khẩu và sản xuất MK</x:v>
      </x:c>
      <x:c r="M547"/>
      <x:c r="N547" t="str">
        <x:v>Công ty TNHH mỹ phẩm Việt Hương</x:v>
      </x:c>
      <x:c r="O547" t="str">
        <x:v>Đình chỉ lưu hành, thu hồi và tiêu hủy – Công văn 1772/QLD-MP</x:v>
      </x:c>
      <x:c r="P547" t="str">
        <x:v>A++ – Cục Quản lý Dược; tổ chức chịu trách nhiệm explicit</x:v>
      </x:c>
      <x:c r="Q547" t="str">
        <x:v>Phụ lục 511 sản phẩm, STT 182, trang 8. Công ty Việt Hương là cơ sở sản xuất; cột tổ chức chịu trách nhiệm lấy nguyên văn từ phụ lục.</x:v>
      </x:c>
      <x:c r="R547" t="str">
        <x:v>https://dav.gov.vn/cong-van-so-1772qld-mp-ve-viec-dinh-chi-luu-hanh-thu-hoi-va-tieu-huy-my-pham-vi-pham-cong-ty-tnhh-my-pham-viet-huong-n5334.html</x:v>
      </x:c>
      <x:c r="S547" t="str">
        <x:v>Hà Nội</x:v>
      </x:c>
      <x:c r="T547" t="str">
        <x:v>01</x:v>
      </x:c>
    </x:row>
    <x:row r="548">
      <x:c r="A548" t="n">
        <x:v>547</x:v>
      </x:c>
      <x:c r="B548" s="330"/>
      <x:c r="C548" s="330" t="n">
        <x:v>46155</x:v>
      </x:c>
      <x:c r="D548" t="n">
        <x:v>2023</x:v>
      </x:c>
      <x:c r="E548"/>
      <x:c r="F548" t="str">
        <x:v>15271/23/CBMP-HN</x:v>
      </x:c>
      <x:c r="G548"/>
      <x:c r="H548" t="str">
        <x:v>MK Skin Recovery Cream</x:v>
      </x:c>
      <x:c r="I548"/>
      <x:c r="J548" t="str">
        <x:v>Kem dưỡng da</x:v>
      </x:c>
      <x:c r="K548"/>
      <x:c r="L548" t="str">
        <x:v>Công ty TNHH xuất nhập khẩu và sản xuất MK</x:v>
      </x:c>
      <x:c r="M548"/>
      <x:c r="N548" t="str">
        <x:v>Công ty TNHH mỹ phẩm Việt Hương</x:v>
      </x:c>
      <x:c r="O548" t="str">
        <x:v>Đình chỉ lưu hành, thu hồi và tiêu hủy – Công văn 1772/QLD-MP</x:v>
      </x:c>
      <x:c r="P548" t="str">
        <x:v>A++ – Cục Quản lý Dược; tổ chức chịu trách nhiệm explicit</x:v>
      </x:c>
      <x:c r="Q548" t="str">
        <x:v>Phụ lục 511 sản phẩm, STT 183, trang 8. Công ty Việt Hương là cơ sở sản xuất; cột tổ chức chịu trách nhiệm lấy nguyên văn từ phụ lục.</x:v>
      </x:c>
      <x:c r="R548" t="str">
        <x:v>https://dav.gov.vn/cong-van-so-1772qld-mp-ve-viec-dinh-chi-luu-hanh-thu-hoi-va-tieu-huy-my-pham-vi-pham-cong-ty-tnhh-my-pham-viet-huong-n5334.html</x:v>
      </x:c>
      <x:c r="S548" t="str">
        <x:v>Hà Nội</x:v>
      </x:c>
      <x:c r="T548" t="str">
        <x:v>01</x:v>
      </x:c>
    </x:row>
    <x:row r="549">
      <x:c r="A549" t="n">
        <x:v>548</x:v>
      </x:c>
      <x:c r="B549" s="330"/>
      <x:c r="C549" s="330" t="n">
        <x:v>46155</x:v>
      </x:c>
      <x:c r="D549" t="n">
        <x:v>2023</x:v>
      </x:c>
      <x:c r="E549"/>
      <x:c r="F549" t="str">
        <x:v>15272/23/CBMP-HN</x:v>
      </x:c>
      <x:c r="G549"/>
      <x:c r="H549" t="str">
        <x:v>MK Spot Essence</x:v>
      </x:c>
      <x:c r="I549"/>
      <x:c r="J549" t="str">
        <x:v>Serum/Essence da</x:v>
      </x:c>
      <x:c r="K549"/>
      <x:c r="L549" t="str">
        <x:v>Công ty TNHH xuất nhập khẩu và sản xuất MK</x:v>
      </x:c>
      <x:c r="M549"/>
      <x:c r="N549" t="str">
        <x:v>Công ty TNHH mỹ phẩm Việt Hương</x:v>
      </x:c>
      <x:c r="O549" t="str">
        <x:v>Đình chỉ lưu hành, thu hồi và tiêu hủy – Công văn 1772/QLD-MP</x:v>
      </x:c>
      <x:c r="P549" t="str">
        <x:v>A++ – Cục Quản lý Dược; tổ chức chịu trách nhiệm explicit</x:v>
      </x:c>
      <x:c r="Q549" t="str">
        <x:v>Phụ lục 511 sản phẩm, STT 184, trang 8. Công ty Việt Hương là cơ sở sản xuất; cột tổ chức chịu trách nhiệm lấy nguyên văn từ phụ lục.</x:v>
      </x:c>
      <x:c r="R549" t="str">
        <x:v>https://dav.gov.vn/cong-van-so-1772qld-mp-ve-viec-dinh-chi-luu-hanh-thu-hoi-va-tieu-huy-my-pham-vi-pham-cong-ty-tnhh-my-pham-viet-huong-n5334.html</x:v>
      </x:c>
      <x:c r="S549" t="str">
        <x:v>Hà Nội</x:v>
      </x:c>
      <x:c r="T549" t="str">
        <x:v>01</x:v>
      </x:c>
    </x:row>
    <x:row r="550">
      <x:c r="A550" t="n">
        <x:v>549</x:v>
      </x:c>
      <x:c r="B550" s="330"/>
      <x:c r="C550" s="330" t="n">
        <x:v>46155</x:v>
      </x:c>
      <x:c r="D550" t="n">
        <x:v>2023</x:v>
      </x:c>
      <x:c r="E550"/>
      <x:c r="F550" t="str">
        <x:v>16268/23/CBMP-HN</x:v>
      </x:c>
      <x:c r="G550"/>
      <x:c r="H550" t="str">
        <x:v>MK Uv Plus</x:v>
      </x:c>
      <x:c r="I550"/>
      <x:c r="J550" t="str">
        <x:v>Khác</x:v>
      </x:c>
      <x:c r="K550"/>
      <x:c r="L550" t="str">
        <x:v>Công ty TNHH xuất nhập khẩu và sản xuất MK</x:v>
      </x:c>
      <x:c r="M550"/>
      <x:c r="N550" t="str">
        <x:v>Công ty TNHH mỹ phẩm Việt Hương</x:v>
      </x:c>
      <x:c r="O550" t="str">
        <x:v>Đình chỉ lưu hành, thu hồi và tiêu hủy – Công văn 1772/QLD-MP</x:v>
      </x:c>
      <x:c r="P550" t="str">
        <x:v>A++ – Cục Quản lý Dược; tổ chức chịu trách nhiệm explicit</x:v>
      </x:c>
      <x:c r="Q550" t="str">
        <x:v>Phụ lục 511 sản phẩm, STT 185, trang 8. Công ty Việt Hương là cơ sở sản xuất; cột tổ chức chịu trách nhiệm lấy nguyên văn từ phụ lục.</x:v>
      </x:c>
      <x:c r="R550" t="str">
        <x:v>https://dav.gov.vn/cong-van-so-1772qld-mp-ve-viec-dinh-chi-luu-hanh-thu-hoi-va-tieu-huy-my-pham-vi-pham-cong-ty-tnhh-my-pham-viet-huong-n5334.html</x:v>
      </x:c>
      <x:c r="S550" t="str">
        <x:v>Hà Nội</x:v>
      </x:c>
      <x:c r="T550" t="str">
        <x:v>01</x:v>
      </x:c>
    </x:row>
    <x:row r="551">
      <x:c r="A551" t="n">
        <x:v>550</x:v>
      </x:c>
      <x:c r="B551" s="330"/>
      <x:c r="C551" s="330" t="n">
        <x:v>46155</x:v>
      </x:c>
      <x:c r="D551" t="n">
        <x:v>2022</x:v>
      </x:c>
      <x:c r="E551"/>
      <x:c r="F551" t="str">
        <x:v>13137/22/CBMP-HN</x:v>
      </x:c>
      <x:c r="G551"/>
      <x:c r="H551" t="str">
        <x:v>Feeling</x:v>
      </x:c>
      <x:c r="I551"/>
      <x:c r="J551" t="str">
        <x:v>Khác</x:v>
      </x:c>
      <x:c r="K551"/>
      <x:c r="L551" t="str">
        <x:v>Công ty TNHH xuất nhập khẩu và sản xuất MK</x:v>
      </x:c>
      <x:c r="M551"/>
      <x:c r="N551" t="str">
        <x:v>Công ty TNHH mỹ phẩm Việt Hương</x:v>
      </x:c>
      <x:c r="O551" t="str">
        <x:v>Đình chỉ lưu hành, thu hồi và tiêu hủy – Công văn 1772/QLD-MP</x:v>
      </x:c>
      <x:c r="P551" t="str">
        <x:v>A++ – Cục Quản lý Dược; tổ chức chịu trách nhiệm explicit</x:v>
      </x:c>
      <x:c r="Q551" t="str">
        <x:v>Phụ lục 511 sản phẩm, STT 186, trang 8. Công ty Việt Hương là cơ sở sản xuất; cột tổ chức chịu trách nhiệm lấy nguyên văn từ phụ lục.</x:v>
      </x:c>
      <x:c r="R551" t="str">
        <x:v>https://dav.gov.vn/cong-van-so-1772qld-mp-ve-viec-dinh-chi-luu-hanh-thu-hoi-va-tieu-huy-my-pham-vi-pham-cong-ty-tnhh-my-pham-viet-huong-n5334.html</x:v>
      </x:c>
      <x:c r="S551" t="str">
        <x:v>Hà Nội</x:v>
      </x:c>
      <x:c r="T551" t="str">
        <x:v>01</x:v>
      </x:c>
    </x:row>
    <x:row r="552">
      <x:c r="A552" t="n">
        <x:v>551</x:v>
      </x:c>
      <x:c r="B552" s="330"/>
      <x:c r="C552" s="330" t="n">
        <x:v>46155</x:v>
      </x:c>
      <x:c r="D552" t="n">
        <x:v>2022</x:v>
      </x:c>
      <x:c r="E552"/>
      <x:c r="F552" t="str">
        <x:v>13838/22/CBMP-HN</x:v>
      </x:c>
      <x:c r="G552"/>
      <x:c r="H552" t="str">
        <x:v>Muki</x:v>
      </x:c>
      <x:c r="I552"/>
      <x:c r="J552" t="str">
        <x:v>Khác</x:v>
      </x:c>
      <x:c r="K552"/>
      <x:c r="L552" t="str">
        <x:v>Công ty TNHH xuất nhập khẩu và sản xuất MK</x:v>
      </x:c>
      <x:c r="M552"/>
      <x:c r="N552" t="str">
        <x:v>Công ty TNHH mỹ phẩm Việt Hương</x:v>
      </x:c>
      <x:c r="O552" t="str">
        <x:v>Đình chỉ lưu hành, thu hồi và tiêu hủy – Công văn 1772/QLD-MP</x:v>
      </x:c>
      <x:c r="P552" t="str">
        <x:v>A++ – Cục Quản lý Dược; tổ chức chịu trách nhiệm explicit</x:v>
      </x:c>
      <x:c r="Q552" t="str">
        <x:v>Phụ lục 511 sản phẩm, STT 187, trang 8. Công ty Việt Hương là cơ sở sản xuất; cột tổ chức chịu trách nhiệm lấy nguyên văn từ phụ lục.</x:v>
      </x:c>
      <x:c r="R552" t="str">
        <x:v>https://dav.gov.vn/cong-van-so-1772qld-mp-ve-viec-dinh-chi-luu-hanh-thu-hoi-va-tieu-huy-my-pham-vi-pham-cong-ty-tnhh-my-pham-viet-huong-n5334.html</x:v>
      </x:c>
      <x:c r="S552" t="str">
        <x:v>Hà Nội</x:v>
      </x:c>
      <x:c r="T552" t="str">
        <x:v>01</x:v>
      </x:c>
    </x:row>
    <x:row r="553">
      <x:c r="A553" t="n">
        <x:v>552</x:v>
      </x:c>
      <x:c r="B553" s="330"/>
      <x:c r="C553" s="330" t="n">
        <x:v>46155</x:v>
      </x:c>
      <x:c r="D553" t="n">
        <x:v>2022</x:v>
      </x:c>
      <x:c r="E553"/>
      <x:c r="F553" t="str">
        <x:v>13138/22/CBMP-HN</x:v>
      </x:c>
      <x:c r="G553"/>
      <x:c r="H553" t="str">
        <x:v>Pink Love</x:v>
      </x:c>
      <x:c r="I553"/>
      <x:c r="J553" t="str">
        <x:v>Khác</x:v>
      </x:c>
      <x:c r="K553"/>
      <x:c r="L553" t="str">
        <x:v>Công ty TNHH thương mại và dịch vụ Ly Ly Lê</x:v>
      </x:c>
      <x:c r="M553"/>
      <x:c r="N553" t="str">
        <x:v>Công ty TNHH mỹ phẩm Việt Hương</x:v>
      </x:c>
      <x:c r="O553" t="str">
        <x:v>Đình chỉ lưu hành, thu hồi và tiêu hủy – Công văn 1772/QLD-MP</x:v>
      </x:c>
      <x:c r="P553" t="str">
        <x:v>A++ – Cục Quản lý Dược; tổ chức chịu trách nhiệm explicit</x:v>
      </x:c>
      <x:c r="Q553" t="str">
        <x:v>Phụ lục 511 sản phẩm, STT 188, trang 8. Công ty Việt Hương là cơ sở sản xuất; cột tổ chức chịu trách nhiệm lấy nguyên văn từ phụ lục.</x:v>
      </x:c>
      <x:c r="R553" t="str">
        <x:v>https://dav.gov.vn/cong-van-so-1772qld-mp-ve-viec-dinh-chi-luu-hanh-thu-hoi-va-tieu-huy-my-pham-vi-pham-cong-ty-tnhh-my-pham-viet-huong-n5334.html</x:v>
      </x:c>
      <x:c r="S553" t="str">
        <x:v>Hà Nội</x:v>
      </x:c>
      <x:c r="T553" t="str">
        <x:v>01</x:v>
      </x:c>
    </x:row>
    <x:row r="554">
      <x:c r="A554" t="n">
        <x:v>553</x:v>
      </x:c>
      <x:c r="B554" s="330"/>
      <x:c r="C554" s="330" t="n">
        <x:v>46155</x:v>
      </x:c>
      <x:c r="D554" t="n">
        <x:v>2022</x:v>
      </x:c>
      <x:c r="E554"/>
      <x:c r="F554" t="str">
        <x:v>13139/22/CBMP-HN</x:v>
      </x:c>
      <x:c r="G554"/>
      <x:c r="H554" t="str">
        <x:v>Summer Love</x:v>
      </x:c>
      <x:c r="I554"/>
      <x:c r="J554" t="str">
        <x:v>Khác</x:v>
      </x:c>
      <x:c r="K554"/>
      <x:c r="L554" t="str">
        <x:v>Công ty TNHH thương mại và dịch vụ Ly Ly Lê</x:v>
      </x:c>
      <x:c r="M554"/>
      <x:c r="N554" t="str">
        <x:v>Công ty TNHH mỹ phẩm Việt Hương</x:v>
      </x:c>
      <x:c r="O554" t="str">
        <x:v>Đình chỉ lưu hành, thu hồi và tiêu hủy – Công văn 1772/QLD-MP</x:v>
      </x:c>
      <x:c r="P554" t="str">
        <x:v>A++ – Cục Quản lý Dược; tổ chức chịu trách nhiệm explicit</x:v>
      </x:c>
      <x:c r="Q554" t="str">
        <x:v>Phụ lục 511 sản phẩm, STT 189, trang 8. Công ty Việt Hương là cơ sở sản xuất; cột tổ chức chịu trách nhiệm lấy nguyên văn từ phụ lục.</x:v>
      </x:c>
      <x:c r="R554" t="str">
        <x:v>https://dav.gov.vn/cong-van-so-1772qld-mp-ve-viec-dinh-chi-luu-hanh-thu-hoi-va-tieu-huy-my-pham-vi-pham-cong-ty-tnhh-my-pham-viet-huong-n5334.html</x:v>
      </x:c>
      <x:c r="S554" t="str">
        <x:v>Hà Nội</x:v>
      </x:c>
      <x:c r="T554" t="str">
        <x:v>01</x:v>
      </x:c>
    </x:row>
    <x:row r="555">
      <x:c r="A555" t="n">
        <x:v>554</x:v>
      </x:c>
      <x:c r="B555" s="330"/>
      <x:c r="C555" s="330" t="n">
        <x:v>46155</x:v>
      </x:c>
      <x:c r="D555" t="n">
        <x:v>2022</x:v>
      </x:c>
      <x:c r="E555"/>
      <x:c r="F555" t="str">
        <x:v>13140/22/CBMP-HN</x:v>
      </x:c>
      <x:c r="G555"/>
      <x:c r="H555" t="str">
        <x:v>Perfect Sun Cream</x:v>
      </x:c>
      <x:c r="I555"/>
      <x:c r="J555" t="str">
        <x:v>Kem chống nắng</x:v>
      </x:c>
      <x:c r="K555"/>
      <x:c r="L555" t="str">
        <x:v>Công ty TNHH đầu tư quốc tế HQ Global Việt Nam</x:v>
      </x:c>
      <x:c r="M555"/>
      <x:c r="N555" t="str">
        <x:v>Công ty TNHH mỹ phẩm Việt Hương</x:v>
      </x:c>
      <x:c r="O555" t="str">
        <x:v>Đình chỉ lưu hành, thu hồi và tiêu hủy – Công văn 1772/QLD-MP</x:v>
      </x:c>
      <x:c r="P555" t="str">
        <x:v>A++ – Cục Quản lý Dược; tổ chức chịu trách nhiệm explicit</x:v>
      </x:c>
      <x:c r="Q555" t="str">
        <x:v>Phụ lục 511 sản phẩm, STT 190, trang 8. Công ty Việt Hương là cơ sở sản xuất; cột tổ chức chịu trách nhiệm lấy nguyên văn từ phụ lục.</x:v>
      </x:c>
      <x:c r="R555" t="str">
        <x:v>https://dav.gov.vn/cong-van-so-1772qld-mp-ve-viec-dinh-chi-luu-hanh-thu-hoi-va-tieu-huy-my-pham-vi-pham-cong-ty-tnhh-my-pham-viet-huong-n5334.html</x:v>
      </x:c>
      <x:c r="S555" t="str">
        <x:v>Hà Nội</x:v>
      </x:c>
      <x:c r="T555" t="str">
        <x:v>01</x:v>
      </x:c>
    </x:row>
    <x:row r="556">
      <x:c r="A556" t="n">
        <x:v>555</x:v>
      </x:c>
      <x:c r="B556" s="330"/>
      <x:c r="C556" s="330" t="n">
        <x:v>46155</x:v>
      </x:c>
      <x:c r="D556" t="n">
        <x:v>2022</x:v>
      </x:c>
      <x:c r="E556"/>
      <x:c r="F556" t="str">
        <x:v>13141/22/CBMP-HN</x:v>
      </x:c>
      <x:c r="G556"/>
      <x:c r="H556" t="str">
        <x:v>Perfect Body Lotion</x:v>
      </x:c>
      <x:c r="I556"/>
      <x:c r="J556" t="str">
        <x:v>Kem body</x:v>
      </x:c>
      <x:c r="K556"/>
      <x:c r="L556" t="str">
        <x:v>Công ty TNHH đầu tư quốc tế HQ Global Việt Nam</x:v>
      </x:c>
      <x:c r="M556"/>
      <x:c r="N556" t="str">
        <x:v>Công ty TNHH mỹ phẩm Việt Hương</x:v>
      </x:c>
      <x:c r="O556" t="str">
        <x:v>Đình chỉ lưu hành, thu hồi và tiêu hủy – Công văn 1772/QLD-MP</x:v>
      </x:c>
      <x:c r="P556" t="str">
        <x:v>A++ – Cục Quản lý Dược; tổ chức chịu trách nhiệm explicit</x:v>
      </x:c>
      <x:c r="Q556" t="str">
        <x:v>Phụ lục 511 sản phẩm, STT 191, trang 8. Công ty Việt Hương là cơ sở sản xuất; cột tổ chức chịu trách nhiệm lấy nguyên văn từ phụ lục.</x:v>
      </x:c>
      <x:c r="R556" t="str">
        <x:v>https://dav.gov.vn/cong-van-so-1772qld-mp-ve-viec-dinh-chi-luu-hanh-thu-hoi-va-tieu-huy-my-pham-vi-pham-cong-ty-tnhh-my-pham-viet-huong-n5334.html</x:v>
      </x:c>
      <x:c r="S556" t="str">
        <x:v>Hà Nội</x:v>
      </x:c>
      <x:c r="T556" t="str">
        <x:v>01</x:v>
      </x:c>
    </x:row>
    <x:row r="557">
      <x:c r="A557" t="n">
        <x:v>556</x:v>
      </x:c>
      <x:c r="B557" s="330"/>
      <x:c r="C557" s="330" t="n">
        <x:v>46155</x:v>
      </x:c>
      <x:c r="D557" t="n">
        <x:v>2022</x:v>
      </x:c>
      <x:c r="E557"/>
      <x:c r="F557" t="str">
        <x:v>13249/22/CBMP-HN</x:v>
      </x:c>
      <x:c r="G557"/>
      <x:c r="H557" t="str">
        <x:v>Dầu gội Hà Thủ Ô</x:v>
      </x:c>
      <x:c r="I557"/>
      <x:c r="J557" t="str">
        <x:v>Dầu gội</x:v>
      </x:c>
      <x:c r="K557"/>
      <x:c r="L557" t="str">
        <x:v>Công ty TNHH đào tạo và phát triển Spa Miền Nam</x:v>
      </x:c>
      <x:c r="M557"/>
      <x:c r="N557" t="str">
        <x:v>Công ty TNHH mỹ phẩm Việt Hương</x:v>
      </x:c>
      <x:c r="O557" t="str">
        <x:v>Đình chỉ lưu hành, thu hồi và tiêu hủy – Công văn 1772/QLD-MP</x:v>
      </x:c>
      <x:c r="P557" t="str">
        <x:v>A++ – Cục Quản lý Dược; tổ chức chịu trách nhiệm explicit</x:v>
      </x:c>
      <x:c r="Q557" t="str">
        <x:v>Phụ lục 511 sản phẩm, STT 192, trang 8. Công ty Việt Hương là cơ sở sản xuất; cột tổ chức chịu trách nhiệm lấy nguyên văn từ phụ lục.</x:v>
      </x:c>
      <x:c r="R557" t="str">
        <x:v>https://dav.gov.vn/cong-van-so-1772qld-mp-ve-viec-dinh-chi-luu-hanh-thu-hoi-va-tieu-huy-my-pham-vi-pham-cong-ty-tnhh-my-pham-viet-huong-n5334.html</x:v>
      </x:c>
      <x:c r="S557" t="str">
        <x:v>Hà Nội</x:v>
      </x:c>
      <x:c r="T557" t="str">
        <x:v>01</x:v>
      </x:c>
    </x:row>
    <x:row r="558">
      <x:c r="A558" t="n">
        <x:v>557</x:v>
      </x:c>
      <x:c r="B558" s="330"/>
      <x:c r="C558" s="330" t="n">
        <x:v>46155</x:v>
      </x:c>
      <x:c r="D558" t="n">
        <x:v>2022</x:v>
      </x:c>
      <x:c r="E558"/>
      <x:c r="F558" t="str">
        <x:v>13383/22/CBMP-HN</x:v>
      </x:c>
      <x:c r="G558"/>
      <x:c r="H558" t="str">
        <x:v>Intimate Perfume</x:v>
      </x:c>
      <x:c r="I558"/>
      <x:c r="J558" t="str">
        <x:v>Nước hoa</x:v>
      </x:c>
      <x:c r="K558"/>
      <x:c r="L558" t="str">
        <x:v>Công ty TNHH Reviewty</x:v>
      </x:c>
      <x:c r="M558"/>
      <x:c r="N558" t="str">
        <x:v>Công ty TNHH mỹ phẩm Việt Hương</x:v>
      </x:c>
      <x:c r="O558" t="str">
        <x:v>Đình chỉ lưu hành, thu hồi và tiêu hủy – Công văn 1772/QLD-MP</x:v>
      </x:c>
      <x:c r="P558" t="str">
        <x:v>A++ – Cục Quản lý Dược; tổ chức chịu trách nhiệm explicit</x:v>
      </x:c>
      <x:c r="Q558" t="str">
        <x:v>Phụ lục 511 sản phẩm, STT 193, trang 8. Công ty Việt Hương là cơ sở sản xuất; cột tổ chức chịu trách nhiệm lấy nguyên văn từ phụ lục.</x:v>
      </x:c>
      <x:c r="R558" t="str">
        <x:v>https://dav.gov.vn/cong-van-so-1772qld-mp-ve-viec-dinh-chi-luu-hanh-thu-hoi-va-tieu-huy-my-pham-vi-pham-cong-ty-tnhh-my-pham-viet-huong-n5334.html</x:v>
      </x:c>
      <x:c r="S558" t="str">
        <x:v>Hà Nội</x:v>
      </x:c>
      <x:c r="T558" t="str">
        <x:v>01</x:v>
      </x:c>
    </x:row>
    <x:row r="559">
      <x:c r="A559" t="n">
        <x:v>558</x:v>
      </x:c>
      <x:c r="B559" s="330"/>
      <x:c r="C559" s="330" t="n">
        <x:v>46155</x:v>
      </x:c>
      <x:c r="D559" t="n">
        <x:v>2022</x:v>
      </x:c>
      <x:c r="E559"/>
      <x:c r="F559" t="str">
        <x:v>13486/22/CBMP-HN</x:v>
      </x:c>
      <x:c r="G559"/>
      <x:c r="H559" t="str">
        <x:v>Muối tắm</x:v>
      </x:c>
      <x:c r="I559"/>
      <x:c r="J559" t="str">
        <x:v>Khác</x:v>
      </x:c>
      <x:c r="K559"/>
      <x:c r="L559" t="str">
        <x:v>Công ty TNHH thương mại DLC</x:v>
      </x:c>
      <x:c r="M559"/>
      <x:c r="N559" t="str">
        <x:v>Công ty TNHH mỹ phẩm Việt Hương</x:v>
      </x:c>
      <x:c r="O559" t="str">
        <x:v>Đình chỉ lưu hành, thu hồi và tiêu hủy – Công văn 1772/QLD-MP</x:v>
      </x:c>
      <x:c r="P559" t="str">
        <x:v>A++ – Cục Quản lý Dược; tổ chức chịu trách nhiệm explicit</x:v>
      </x:c>
      <x:c r="Q559" t="str">
        <x:v>Phụ lục 511 sản phẩm, STT 194, trang 8. Công ty Việt Hương là cơ sở sản xuất; cột tổ chức chịu trách nhiệm lấy nguyên văn từ phụ lục.</x:v>
      </x:c>
      <x:c r="R559" t="str">
        <x:v>https://dav.gov.vn/cong-van-so-1772qld-mp-ve-viec-dinh-chi-luu-hanh-thu-hoi-va-tieu-huy-my-pham-vi-pham-cong-ty-tnhh-my-pham-viet-huong-n5334.html</x:v>
      </x:c>
      <x:c r="S559" t="str">
        <x:v>Hà Nội</x:v>
      </x:c>
      <x:c r="T559" t="str">
        <x:v>01</x:v>
      </x:c>
    </x:row>
    <x:row r="560">
      <x:c r="A560" t="n">
        <x:v>559</x:v>
      </x:c>
      <x:c r="B560" s="330"/>
      <x:c r="C560" s="330" t="n">
        <x:v>46155</x:v>
      </x:c>
      <x:c r="D560" t="n">
        <x:v>2022</x:v>
      </x:c>
      <x:c r="E560"/>
      <x:c r="F560" t="str">
        <x:v>13601/22/CBMP-HN</x:v>
      </x:c>
      <x:c r="G560"/>
      <x:c r="H560" t="str">
        <x:v>Revive Day Cream</x:v>
      </x:c>
      <x:c r="I560"/>
      <x:c r="J560" t="str">
        <x:v>Kem dưỡng da</x:v>
      </x:c>
      <x:c r="K560"/>
      <x:c r="L560" t="str">
        <x:v>Công ty TNHH Organic DTL Việt Nam</x:v>
      </x:c>
      <x:c r="M560"/>
      <x:c r="N560" t="str">
        <x:v>Công ty TNHH mỹ phẩm Việt Hương</x:v>
      </x:c>
      <x:c r="O560" t="str">
        <x:v>Đình chỉ lưu hành, thu hồi và tiêu hủy – Công văn 1772/QLD-MP</x:v>
      </x:c>
      <x:c r="P560" t="str">
        <x:v>A++ – Cục Quản lý Dược; tổ chức chịu trách nhiệm explicit</x:v>
      </x:c>
      <x:c r="Q560" t="str">
        <x:v>Phụ lục 511 sản phẩm, STT 195, trang 8. Công ty Việt Hương là cơ sở sản xuất; cột tổ chức chịu trách nhiệm lấy nguyên văn từ phụ lục.</x:v>
      </x:c>
      <x:c r="R560" t="str">
        <x:v>https://dav.gov.vn/cong-van-so-1772qld-mp-ve-viec-dinh-chi-luu-hanh-thu-hoi-va-tieu-huy-my-pham-vi-pham-cong-ty-tnhh-my-pham-viet-huong-n5334.html</x:v>
      </x:c>
      <x:c r="S560" t="str">
        <x:v>Hà Nội</x:v>
      </x:c>
      <x:c r="T560" t="str">
        <x:v>01</x:v>
      </x:c>
    </x:row>
    <x:row r="561">
      <x:c r="A561" t="n">
        <x:v>560</x:v>
      </x:c>
      <x:c r="B561" s="330"/>
      <x:c r="C561" s="330" t="n">
        <x:v>46155</x:v>
      </x:c>
      <x:c r="D561" t="n">
        <x:v>2022</x:v>
      </x:c>
      <x:c r="E561"/>
      <x:c r="F561" t="str">
        <x:v>13730/22/CBMP-HN</x:v>
      </x:c>
      <x:c r="G561"/>
      <x:c r="H561" t="str">
        <x:v>Revive Collagen Mask</x:v>
      </x:c>
      <x:c r="I561"/>
      <x:c r="J561" t="str">
        <x:v>Mặt nạ</x:v>
      </x:c>
      <x:c r="K561"/>
      <x:c r="L561" t="str">
        <x:v>Công ty TNHH Organic DTL Việt Nam</x:v>
      </x:c>
      <x:c r="M561"/>
      <x:c r="N561" t="str">
        <x:v>Công ty TNHH mỹ phẩm Việt Hương</x:v>
      </x:c>
      <x:c r="O561" t="str">
        <x:v>Đình chỉ lưu hành, thu hồi và tiêu hủy – Công văn 1772/QLD-MP</x:v>
      </x:c>
      <x:c r="P561" t="str">
        <x:v>A++ – Cục Quản lý Dược; tổ chức chịu trách nhiệm explicit</x:v>
      </x:c>
      <x:c r="Q561" t="str">
        <x:v>Phụ lục 511 sản phẩm, STT 196, trang 8. Công ty Việt Hương là cơ sở sản xuất; cột tổ chức chịu trách nhiệm lấy nguyên văn từ phụ lục.</x:v>
      </x:c>
      <x:c r="R561" t="str">
        <x:v>https://dav.gov.vn/cong-van-so-1772qld-mp-ve-viec-dinh-chi-luu-hanh-thu-hoi-va-tieu-huy-my-pham-vi-pham-cong-ty-tnhh-my-pham-viet-huong-n5334.html</x:v>
      </x:c>
      <x:c r="S561" t="str">
        <x:v>Hà Nội</x:v>
      </x:c>
      <x:c r="T561" t="str">
        <x:v>01</x:v>
      </x:c>
    </x:row>
    <x:row r="562">
      <x:c r="A562" t="n">
        <x:v>561</x:v>
      </x:c>
      <x:c r="B562" s="330"/>
      <x:c r="C562" s="330" t="n">
        <x:v>46155</x:v>
      </x:c>
      <x:c r="D562" t="n">
        <x:v>2022</x:v>
      </x:c>
      <x:c r="E562"/>
      <x:c r="F562" t="str">
        <x:v>13731/22/CBMP-HN</x:v>
      </x:c>
      <x:c r="G562"/>
      <x:c r="H562" t="str">
        <x:v>Revive Collagen Serum</x:v>
      </x:c>
      <x:c r="I562"/>
      <x:c r="J562" t="str">
        <x:v>Serum/Essence da</x:v>
      </x:c>
      <x:c r="K562"/>
      <x:c r="L562" t="str">
        <x:v>Công ty TNHH Organic DTL Việt Nam</x:v>
      </x:c>
      <x:c r="M562"/>
      <x:c r="N562" t="str">
        <x:v>Công ty TNHH mỹ phẩm Việt Hương</x:v>
      </x:c>
      <x:c r="O562" t="str">
        <x:v>Đình chỉ lưu hành, thu hồi và tiêu hủy – Công văn 1772/QLD-MP</x:v>
      </x:c>
      <x:c r="P562" t="str">
        <x:v>A++ – Cục Quản lý Dược; tổ chức chịu trách nhiệm explicit</x:v>
      </x:c>
      <x:c r="Q562" t="str">
        <x:v>Phụ lục 511 sản phẩm, STT 197, trang 8. Công ty Việt Hương là cơ sở sản xuất; cột tổ chức chịu trách nhiệm lấy nguyên văn từ phụ lục.</x:v>
      </x:c>
      <x:c r="R562" t="str">
        <x:v>https://dav.gov.vn/cong-van-so-1772qld-mp-ve-viec-dinh-chi-luu-hanh-thu-hoi-va-tieu-huy-my-pham-vi-pham-cong-ty-tnhh-my-pham-viet-huong-n5334.html</x:v>
      </x:c>
      <x:c r="S562" t="str">
        <x:v>Hà Nội</x:v>
      </x:c>
      <x:c r="T562" t="str">
        <x:v>01</x:v>
      </x:c>
    </x:row>
    <x:row r="563">
      <x:c r="A563" t="n">
        <x:v>562</x:v>
      </x:c>
      <x:c r="B563" s="330"/>
      <x:c r="C563" s="330" t="n">
        <x:v>46155</x:v>
      </x:c>
      <x:c r="D563" t="n">
        <x:v>2022</x:v>
      </x:c>
      <x:c r="E563"/>
      <x:c r="F563" t="str">
        <x:v>14176/22/CBMP-HN</x:v>
      </x:c>
      <x:c r="G563"/>
      <x:c r="H563" t="str">
        <x:v>Revive Collagen Cleanser</x:v>
      </x:c>
      <x:c r="I563"/>
      <x:c r="J563" t="str">
        <x:v>Sữa rửa mặt</x:v>
      </x:c>
      <x:c r="K563"/>
      <x:c r="L563" t="str">
        <x:v>Công ty TNHH Organic DTL Việt Nam</x:v>
      </x:c>
      <x:c r="M563"/>
      <x:c r="N563" t="str">
        <x:v>Công ty TNHH mỹ phẩm Việt Hương</x:v>
      </x:c>
      <x:c r="O563" t="str">
        <x:v>Đình chỉ lưu hành, thu hồi và tiêu hủy – Công văn 1772/QLD-MP</x:v>
      </x:c>
      <x:c r="P563" t="str">
        <x:v>A++ – Cục Quản lý Dược; tổ chức chịu trách nhiệm explicit</x:v>
      </x:c>
      <x:c r="Q563" t="str">
        <x:v>Phụ lục 511 sản phẩm, STT 198, trang 8. Công ty Việt Hương là cơ sở sản xuất; cột tổ chức chịu trách nhiệm lấy nguyên văn từ phụ lục.</x:v>
      </x:c>
      <x:c r="R563" t="str">
        <x:v>https://dav.gov.vn/cong-van-so-1772qld-mp-ve-viec-dinh-chi-luu-hanh-thu-hoi-va-tieu-huy-my-pham-vi-pham-cong-ty-tnhh-my-pham-viet-huong-n5334.html</x:v>
      </x:c>
      <x:c r="S563" t="str">
        <x:v>Hà Nội</x:v>
      </x:c>
      <x:c r="T563" t="str">
        <x:v>01</x:v>
      </x:c>
    </x:row>
    <x:row r="564">
      <x:c r="A564" t="n">
        <x:v>563</x:v>
      </x:c>
      <x:c r="B564" s="330"/>
      <x:c r="C564" s="330" t="n">
        <x:v>46155</x:v>
      </x:c>
      <x:c r="D564" t="n">
        <x:v>2022</x:v>
      </x:c>
      <x:c r="E564"/>
      <x:c r="F564" t="str">
        <x:v>14177/22/CBMP-HN</x:v>
      </x:c>
      <x:c r="G564"/>
      <x:c r="H564" t="str">
        <x:v>Revive Night Cream</x:v>
      </x:c>
      <x:c r="I564"/>
      <x:c r="J564" t="str">
        <x:v>Kem dưỡng da</x:v>
      </x:c>
      <x:c r="K564"/>
      <x:c r="L564" t="str">
        <x:v>Công ty TNHH Organic DTL Việt Nam</x:v>
      </x:c>
      <x:c r="M564"/>
      <x:c r="N564" t="str">
        <x:v>Công ty TNHH mỹ phẩm Việt Hương</x:v>
      </x:c>
      <x:c r="O564" t="str">
        <x:v>Đình chỉ lưu hành, thu hồi và tiêu hủy – Công văn 1772/QLD-MP</x:v>
      </x:c>
      <x:c r="P564" t="str">
        <x:v>A++ – Cục Quản lý Dược; tổ chức chịu trách nhiệm explicit</x:v>
      </x:c>
      <x:c r="Q564" t="str">
        <x:v>Phụ lục 511 sản phẩm, STT 199, trang 8. Công ty Việt Hương là cơ sở sản xuất; cột tổ chức chịu trách nhiệm lấy nguyên văn từ phụ lục.</x:v>
      </x:c>
      <x:c r="R564" t="str">
        <x:v>https://dav.gov.vn/cong-van-so-1772qld-mp-ve-viec-dinh-chi-luu-hanh-thu-hoi-va-tieu-huy-my-pham-vi-pham-cong-ty-tnhh-my-pham-viet-huong-n5334.html</x:v>
      </x:c>
      <x:c r="S564" t="str">
        <x:v>Hà Nội</x:v>
      </x:c>
      <x:c r="T564" t="str">
        <x:v>01</x:v>
      </x:c>
    </x:row>
    <x:row r="565">
      <x:c r="A565" t="n">
        <x:v>564</x:v>
      </x:c>
      <x:c r="B565" s="330"/>
      <x:c r="C565" s="330" t="n">
        <x:v>46155</x:v>
      </x:c>
      <x:c r="D565" t="n">
        <x:v>2022</x:v>
      </x:c>
      <x:c r="E565"/>
      <x:c r="F565" t="str">
        <x:v>14178/22/CBMP-HN</x:v>
      </x:c>
      <x:c r="G565"/>
      <x:c r="H565" t="str">
        <x:v>Revive Coffee Scrub</x:v>
      </x:c>
      <x:c r="I565"/>
      <x:c r="J565" t="str">
        <x:v>Khác</x:v>
      </x:c>
      <x:c r="K565"/>
      <x:c r="L565" t="str">
        <x:v>Công ty TNHH Organic DTL Việt Nam</x:v>
      </x:c>
      <x:c r="M565"/>
      <x:c r="N565" t="str">
        <x:v>Công ty TNHH mỹ phẩm Việt Hương</x:v>
      </x:c>
      <x:c r="O565" t="str">
        <x:v>Đình chỉ lưu hành, thu hồi và tiêu hủy – Công văn 1772/QLD-MP</x:v>
      </x:c>
      <x:c r="P565" t="str">
        <x:v>A++ – Cục Quản lý Dược; tổ chức chịu trách nhiệm explicit</x:v>
      </x:c>
      <x:c r="Q565" t="str">
        <x:v>Phụ lục 511 sản phẩm, STT 200, trang 8. Công ty Việt Hương là cơ sở sản xuất; cột tổ chức chịu trách nhiệm lấy nguyên văn từ phụ lục.</x:v>
      </x:c>
      <x:c r="R565" t="str">
        <x:v>https://dav.gov.vn/cong-van-so-1772qld-mp-ve-viec-dinh-chi-luu-hanh-thu-hoi-va-tieu-huy-my-pham-vi-pham-cong-ty-tnhh-my-pham-viet-huong-n5334.html</x:v>
      </x:c>
      <x:c r="S565" t="str">
        <x:v>Hà Nội</x:v>
      </x:c>
      <x:c r="T565" t="str">
        <x:v>01</x:v>
      </x:c>
    </x:row>
    <x:row r="566">
      <x:c r="A566" t="n">
        <x:v>565</x:v>
      </x:c>
      <x:c r="B566" s="330"/>
      <x:c r="C566" s="330" t="n">
        <x:v>46155</x:v>
      </x:c>
      <x:c r="D566" t="n">
        <x:v>2023</x:v>
      </x:c>
      <x:c r="E566"/>
      <x:c r="F566" t="str">
        <x:v>16185/23/CBMP-HN</x:v>
      </x:c>
      <x:c r="G566"/>
      <x:c r="H566" t="str">
        <x:v>Revive Centella Makeup Remover</x:v>
      </x:c>
      <x:c r="I566"/>
      <x:c r="J566" t="str">
        <x:v>Tẩy trang</x:v>
      </x:c>
      <x:c r="K566"/>
      <x:c r="L566" t="str">
        <x:v>Công ty TNHH Organic DTL Việt Nam</x:v>
      </x:c>
      <x:c r="M566"/>
      <x:c r="N566" t="str">
        <x:v>Công ty TNHH mỹ phẩm Việt Hương</x:v>
      </x:c>
      <x:c r="O566" t="str">
        <x:v>Đình chỉ lưu hành, thu hồi và tiêu hủy – Công văn 1772/QLD-MP</x:v>
      </x:c>
      <x:c r="P566" t="str">
        <x:v>A++ – Cục Quản lý Dược; tổ chức chịu trách nhiệm explicit</x:v>
      </x:c>
      <x:c r="Q566" t="str">
        <x:v>Phụ lục 511 sản phẩm, STT 201, trang 8. Công ty Việt Hương là cơ sở sản xuất; cột tổ chức chịu trách nhiệm lấy nguyên văn từ phụ lục.</x:v>
      </x:c>
      <x:c r="R566" t="str">
        <x:v>https://dav.gov.vn/cong-van-so-1772qld-mp-ve-viec-dinh-chi-luu-hanh-thu-hoi-va-tieu-huy-my-pham-vi-pham-cong-ty-tnhh-my-pham-viet-huong-n5334.html</x:v>
      </x:c>
      <x:c r="S566" t="str">
        <x:v>Hà Nội</x:v>
      </x:c>
      <x:c r="T566" t="str">
        <x:v>01</x:v>
      </x:c>
    </x:row>
    <x:row r="567">
      <x:c r="A567" t="n">
        <x:v>566</x:v>
      </x:c>
      <x:c r="B567" s="330"/>
      <x:c r="C567" s="330" t="n">
        <x:v>46155</x:v>
      </x:c>
      <x:c r="D567" t="n">
        <x:v>2022</x:v>
      </x:c>
      <x:c r="E567"/>
      <x:c r="F567" t="str">
        <x:v>13602/22/CBMP-HN</x:v>
      </x:c>
      <x:c r="G567"/>
      <x:c r="H567" t="str">
        <x:v>Fresh 18</x:v>
      </x:c>
      <x:c r="I567"/>
      <x:c r="J567" t="str">
        <x:v>Khác</x:v>
      </x:c>
      <x:c r="K567"/>
      <x:c r="L567" t="str">
        <x:v>Công ty TNHH thương mại và dịch vụ Vitalight</x:v>
      </x:c>
      <x:c r="M567"/>
      <x:c r="N567" t="str">
        <x:v>Công ty TNHH mỹ phẩm Việt Hương</x:v>
      </x:c>
      <x:c r="O567" t="str">
        <x:v>Đình chỉ lưu hành, thu hồi và tiêu hủy – Công văn 1772/QLD-MP</x:v>
      </x:c>
      <x:c r="P567" t="str">
        <x:v>A++ – Cục Quản lý Dược; tổ chức chịu trách nhiệm explicit</x:v>
      </x:c>
      <x:c r="Q567" t="str">
        <x:v>Phụ lục 511 sản phẩm, STT 202, trang 8. Công ty Việt Hương là cơ sở sản xuất; cột tổ chức chịu trách nhiệm lấy nguyên văn từ phụ lục.</x:v>
      </x:c>
      <x:c r="R567" t="str">
        <x:v>https://dav.gov.vn/cong-van-so-1772qld-mp-ve-viec-dinh-chi-luu-hanh-thu-hoi-va-tieu-huy-my-pham-vi-pham-cong-ty-tnhh-my-pham-viet-huong-n5334.html</x:v>
      </x:c>
      <x:c r="S567" t="str">
        <x:v>Hà Nội</x:v>
      </x:c>
      <x:c r="T567" t="str">
        <x:v>01</x:v>
      </x:c>
    </x:row>
    <x:row r="568">
      <x:c r="A568" t="n">
        <x:v>567</x:v>
      </x:c>
      <x:c r="B568" s="330"/>
      <x:c r="C568" s="330" t="n">
        <x:v>46155</x:v>
      </x:c>
      <x:c r="D568" t="n">
        <x:v>2022</x:v>
      </x:c>
      <x:c r="E568"/>
      <x:c r="F568" t="str">
        <x:v>13603/22/CBMP-HN</x:v>
      </x:c>
      <x:c r="G568"/>
      <x:c r="H568" t="str">
        <x:v>Goodgirl-Glamor</x:v>
      </x:c>
      <x:c r="I568"/>
      <x:c r="J568" t="str">
        <x:v>Khác</x:v>
      </x:c>
      <x:c r="K568"/>
      <x:c r="L568" t="str">
        <x:v>Công ty TNHH thương mại và dịch vụ Vitalight</x:v>
      </x:c>
      <x:c r="M568"/>
      <x:c r="N568" t="str">
        <x:v>Công ty TNHH mỹ phẩm Việt Hương</x:v>
      </x:c>
      <x:c r="O568" t="str">
        <x:v>Đình chỉ lưu hành, thu hồi và tiêu hủy – Công văn 1772/QLD-MP</x:v>
      </x:c>
      <x:c r="P568" t="str">
        <x:v>A++ – Cục Quản lý Dược; tổ chức chịu trách nhiệm explicit</x:v>
      </x:c>
      <x:c r="Q568" t="str">
        <x:v>Phụ lục 511 sản phẩm, STT 203, trang 8. Công ty Việt Hương là cơ sở sản xuất; cột tổ chức chịu trách nhiệm lấy nguyên văn từ phụ lục.</x:v>
      </x:c>
      <x:c r="R568" t="str">
        <x:v>https://dav.gov.vn/cong-van-so-1772qld-mp-ve-viec-dinh-chi-luu-hanh-thu-hoi-va-tieu-huy-my-pham-vi-pham-cong-ty-tnhh-my-pham-viet-huong-n5334.html</x:v>
      </x:c>
      <x:c r="S568" t="str">
        <x:v>Hà Nội</x:v>
      </x:c>
      <x:c r="T568" t="str">
        <x:v>01</x:v>
      </x:c>
    </x:row>
    <x:row r="569">
      <x:c r="A569" t="n">
        <x:v>568</x:v>
      </x:c>
      <x:c r="B569" s="330"/>
      <x:c r="C569" s="330" t="n">
        <x:v>46155</x:v>
      </x:c>
      <x:c r="D569" t="n">
        <x:v>2022</x:v>
      </x:c>
      <x:c r="E569"/>
      <x:c r="F569" t="str">
        <x:v>13604/22/CBMP-HN</x:v>
      </x:c>
      <x:c r="G569"/>
      <x:c r="H569" t="str">
        <x:v>Scandal In Paris</x:v>
      </x:c>
      <x:c r="I569"/>
      <x:c r="J569" t="str">
        <x:v>Khác</x:v>
      </x:c>
      <x:c r="K569"/>
      <x:c r="L569" t="str">
        <x:v>Công ty TNHH thương mại và dịch vụ Vitalight</x:v>
      </x:c>
      <x:c r="M569"/>
      <x:c r="N569" t="str">
        <x:v>Công ty TNHH mỹ phẩm Việt Hương</x:v>
      </x:c>
      <x:c r="O569" t="str">
        <x:v>Đình chỉ lưu hành, thu hồi và tiêu hủy – Công văn 1772/QLD-MP</x:v>
      </x:c>
      <x:c r="P569" t="str">
        <x:v>A++ – Cục Quản lý Dược; tổ chức chịu trách nhiệm explicit</x:v>
      </x:c>
      <x:c r="Q569" t="str">
        <x:v>Phụ lục 511 sản phẩm, STT 204, trang 8. Công ty Việt Hương là cơ sở sản xuất; cột tổ chức chịu trách nhiệm lấy nguyên văn từ phụ lục.</x:v>
      </x:c>
      <x:c r="R569" t="str">
        <x:v>https://dav.gov.vn/cong-van-so-1772qld-mp-ve-viec-dinh-chi-luu-hanh-thu-hoi-va-tieu-huy-my-pham-vi-pham-cong-ty-tnhh-my-pham-viet-huong-n5334.html</x:v>
      </x:c>
      <x:c r="S569" t="str">
        <x:v>Hà Nội</x:v>
      </x:c>
      <x:c r="T569" t="str">
        <x:v>01</x:v>
      </x:c>
    </x:row>
    <x:row r="570">
      <x:c r="A570" t="n">
        <x:v>569</x:v>
      </x:c>
      <x:c r="B570" s="330"/>
      <x:c r="C570" s="330" t="n">
        <x:v>46155</x:v>
      </x:c>
      <x:c r="D570" t="n">
        <x:v>2022</x:v>
      </x:c>
      <x:c r="E570"/>
      <x:c r="F570" t="str">
        <x:v>13605/22/CBMP-HN</x:v>
      </x:c>
      <x:c r="G570"/>
      <x:c r="H570" t="str">
        <x:v>Bleu Man</x:v>
      </x:c>
      <x:c r="I570"/>
      <x:c r="J570" t="str">
        <x:v>Khác</x:v>
      </x:c>
      <x:c r="K570"/>
      <x:c r="L570" t="str">
        <x:v>Công ty TNHH thương mại và dịch vụ Vitalight</x:v>
      </x:c>
      <x:c r="M570"/>
      <x:c r="N570" t="str">
        <x:v>Công ty TNHH mỹ phẩm Việt Hương</x:v>
      </x:c>
      <x:c r="O570" t="str">
        <x:v>Đình chỉ lưu hành, thu hồi và tiêu hủy – Công văn 1772/QLD-MP</x:v>
      </x:c>
      <x:c r="P570" t="str">
        <x:v>A++ – Cục Quản lý Dược; tổ chức chịu trách nhiệm explicit</x:v>
      </x:c>
      <x:c r="Q570" t="str">
        <x:v>Phụ lục 511 sản phẩm, STT 205, trang 8. Công ty Việt Hương là cơ sở sản xuất; cột tổ chức chịu trách nhiệm lấy nguyên văn từ phụ lục.</x:v>
      </x:c>
      <x:c r="R570" t="str">
        <x:v>https://dav.gov.vn/cong-van-so-1772qld-mp-ve-viec-dinh-chi-luu-hanh-thu-hoi-va-tieu-huy-my-pham-vi-pham-cong-ty-tnhh-my-pham-viet-huong-n5334.html</x:v>
      </x:c>
      <x:c r="S570" t="str">
        <x:v>Hà Nội</x:v>
      </x:c>
      <x:c r="T570" t="str">
        <x:v>01</x:v>
      </x:c>
    </x:row>
    <x:row r="571">
      <x:c r="A571" t="n">
        <x:v>570</x:v>
      </x:c>
      <x:c r="B571" s="330"/>
      <x:c r="C571" s="330" t="n">
        <x:v>46155</x:v>
      </x:c>
      <x:c r="D571" t="n">
        <x:v>2022</x:v>
      </x:c>
      <x:c r="E571"/>
      <x:c r="F571" t="str">
        <x:v>13606/22/CBMP-HN</x:v>
      </x:c>
      <x:c r="G571"/>
      <x:c r="H571" t="str">
        <x:v>Sexy CK</x:v>
      </x:c>
      <x:c r="I571"/>
      <x:c r="J571" t="str">
        <x:v>Khác</x:v>
      </x:c>
      <x:c r="K571"/>
      <x:c r="L571" t="str">
        <x:v>Công ty TNHH thương mại và dịch vụ Vitalight</x:v>
      </x:c>
      <x:c r="M571"/>
      <x:c r="N571" t="str">
        <x:v>Công ty TNHH mỹ phẩm Việt Hương</x:v>
      </x:c>
      <x:c r="O571" t="str">
        <x:v>Đình chỉ lưu hành, thu hồi và tiêu hủy – Công văn 1772/QLD-MP</x:v>
      </x:c>
      <x:c r="P571" t="str">
        <x:v>A++ – Cục Quản lý Dược; tổ chức chịu trách nhiệm explicit</x:v>
      </x:c>
      <x:c r="Q571" t="str">
        <x:v>Phụ lục 511 sản phẩm, STT 206, trang 8. Công ty Việt Hương là cơ sở sản xuất; cột tổ chức chịu trách nhiệm lấy nguyên văn từ phụ lục.</x:v>
      </x:c>
      <x:c r="R571" t="str">
        <x:v>https://dav.gov.vn/cong-van-so-1772qld-mp-ve-viec-dinh-chi-luu-hanh-thu-hoi-va-tieu-huy-my-pham-vi-pham-cong-ty-tnhh-my-pham-viet-huong-n5334.html</x:v>
      </x:c>
      <x:c r="S571" t="str">
        <x:v>Hà Nội</x:v>
      </x:c>
      <x:c r="T571" t="str">
        <x:v>01</x:v>
      </x:c>
    </x:row>
    <x:row r="572">
      <x:c r="A572" t="n">
        <x:v>571</x:v>
      </x:c>
      <x:c r="B572" s="330"/>
      <x:c r="C572" s="330" t="n">
        <x:v>46155</x:v>
      </x:c>
      <x:c r="D572" t="n">
        <x:v>2022</x:v>
      </x:c>
      <x:c r="E572"/>
      <x:c r="F572" t="str">
        <x:v>13607/22/CBMP-HN</x:v>
      </x:c>
      <x:c r="G572"/>
      <x:c r="H572" t="str">
        <x:v>Sweet Angel</x:v>
      </x:c>
      <x:c r="I572"/>
      <x:c r="J572" t="str">
        <x:v>Khác</x:v>
      </x:c>
      <x:c r="K572"/>
      <x:c r="L572" t="str">
        <x:v>Công ty TNHH thương mại và dịch vụ Vitalight</x:v>
      </x:c>
      <x:c r="M572"/>
      <x:c r="N572" t="str">
        <x:v>Công ty TNHH mỹ phẩm Việt Hương</x:v>
      </x:c>
      <x:c r="O572" t="str">
        <x:v>Đình chỉ lưu hành, thu hồi và tiêu hủy – Công văn 1772/QLD-MP</x:v>
      </x:c>
      <x:c r="P572" t="str">
        <x:v>A++ – Cục Quản lý Dược; tổ chức chịu trách nhiệm explicit</x:v>
      </x:c>
      <x:c r="Q572" t="str">
        <x:v>Phụ lục 511 sản phẩm, STT 207, trang 8. Công ty Việt Hương là cơ sở sản xuất; cột tổ chức chịu trách nhiệm lấy nguyên văn từ phụ lục.</x:v>
      </x:c>
      <x:c r="R572" t="str">
        <x:v>https://dav.gov.vn/cong-van-so-1772qld-mp-ve-viec-dinh-chi-luu-hanh-thu-hoi-va-tieu-huy-my-pham-vi-pham-cong-ty-tnhh-my-pham-viet-huong-n5334.html</x:v>
      </x:c>
      <x:c r="S572" t="str">
        <x:v>Hà Nội</x:v>
      </x:c>
      <x:c r="T572" t="str">
        <x:v>01</x:v>
      </x:c>
    </x:row>
    <x:row r="573">
      <x:c r="A573" t="n">
        <x:v>572</x:v>
      </x:c>
      <x:c r="B573" s="330"/>
      <x:c r="C573" s="330" t="n">
        <x:v>46155</x:v>
      </x:c>
      <x:c r="D573" t="n">
        <x:v>2022</x:v>
      </x:c>
      <x:c r="E573"/>
      <x:c r="F573" t="str">
        <x:v>13608/22/CBMP-HN</x:v>
      </x:c>
      <x:c r="G573"/>
      <x:c r="H573" t="str">
        <x:v>Coco Miss</x:v>
      </x:c>
      <x:c r="I573"/>
      <x:c r="J573" t="str">
        <x:v>Khác</x:v>
      </x:c>
      <x:c r="K573"/>
      <x:c r="L573" t="str">
        <x:v>Công ty TNHH thương mại và dịch vụ Vitalight</x:v>
      </x:c>
      <x:c r="M573"/>
      <x:c r="N573" t="str">
        <x:v>Công ty TNHH mỹ phẩm Việt Hương</x:v>
      </x:c>
      <x:c r="O573" t="str">
        <x:v>Đình chỉ lưu hành, thu hồi và tiêu hủy – Công văn 1772/QLD-MP</x:v>
      </x:c>
      <x:c r="P573" t="str">
        <x:v>A++ – Cục Quản lý Dược; tổ chức chịu trách nhiệm explicit</x:v>
      </x:c>
      <x:c r="Q573" t="str">
        <x:v>Phụ lục 511 sản phẩm, STT 208, trang 8. Công ty Việt Hương là cơ sở sản xuất; cột tổ chức chịu trách nhiệm lấy nguyên văn từ phụ lục.</x:v>
      </x:c>
      <x:c r="R573" t="str">
        <x:v>https://dav.gov.vn/cong-van-so-1772qld-mp-ve-viec-dinh-chi-luu-hanh-thu-hoi-va-tieu-huy-my-pham-vi-pham-cong-ty-tnhh-my-pham-viet-huong-n5334.html</x:v>
      </x:c>
      <x:c r="S573" t="str">
        <x:v>Hà Nội</x:v>
      </x:c>
      <x:c r="T573" t="str">
        <x:v>01</x:v>
      </x:c>
    </x:row>
    <x:row r="574">
      <x:c r="A574" t="n">
        <x:v>573</x:v>
      </x:c>
      <x:c r="B574" s="330"/>
      <x:c r="C574" s="330" t="n">
        <x:v>46155</x:v>
      </x:c>
      <x:c r="D574" t="n">
        <x:v>2022</x:v>
      </x:c>
      <x:c r="E574"/>
      <x:c r="F574" t="str">
        <x:v>13609/22/CBMP-HN</x:v>
      </x:c>
      <x:c r="G574"/>
      <x:c r="H574" t="str">
        <x:v>Granactive Retinoid 1%</x:v>
      </x:c>
      <x:c r="I574"/>
      <x:c r="J574" t="str">
        <x:v>Khác</x:v>
      </x:c>
      <x:c r="K574"/>
      <x:c r="L574" t="str">
        <x:v>Công ty TNHH mỹ phẩm Skinlab</x:v>
      </x:c>
      <x:c r="M574"/>
      <x:c r="N574" t="str">
        <x:v>Công ty TNHH mỹ phẩm Việt Hương</x:v>
      </x:c>
      <x:c r="O574" t="str">
        <x:v>Đình chỉ lưu hành, thu hồi và tiêu hủy – Công văn 1772/QLD-MP</x:v>
      </x:c>
      <x:c r="P574" t="str">
        <x:v>A++ – Cục Quản lý Dược; tổ chức chịu trách nhiệm explicit</x:v>
      </x:c>
      <x:c r="Q574" t="str">
        <x:v>Phụ lục 511 sản phẩm, STT 209, trang 8. Công ty Việt Hương là cơ sở sản xuất; cột tổ chức chịu trách nhiệm lấy nguyên văn từ phụ lục.</x:v>
      </x:c>
      <x:c r="R574" t="str">
        <x:v>https://dav.gov.vn/cong-van-so-1772qld-mp-ve-viec-dinh-chi-luu-hanh-thu-hoi-va-tieu-huy-my-pham-vi-pham-cong-ty-tnhh-my-pham-viet-huong-n5334.html</x:v>
      </x:c>
      <x:c r="S574" t="str">
        <x:v>Hà Nội</x:v>
      </x:c>
      <x:c r="T574" t="str">
        <x:v>01</x:v>
      </x:c>
    </x:row>
    <x:row r="575">
      <x:c r="A575" t="n">
        <x:v>574</x:v>
      </x:c>
      <x:c r="B575" s="330"/>
      <x:c r="C575" s="330" t="n">
        <x:v>46155</x:v>
      </x:c>
      <x:c r="D575" t="n">
        <x:v>2022</x:v>
      </x:c>
      <x:c r="E575"/>
      <x:c r="F575" t="str">
        <x:v>13611/22/CBMP-HN</x:v>
      </x:c>
      <x:c r="G575"/>
      <x:c r="H575" t="str">
        <x:v>Slim</x:v>
      </x:c>
      <x:c r="I575"/>
      <x:c r="J575" t="str">
        <x:v>Khác</x:v>
      </x:c>
      <x:c r="K575"/>
      <x:c r="L575" t="str">
        <x:v>Công ty cổ phần thương mại và dịch vụ QPC Teams</x:v>
      </x:c>
      <x:c r="M575"/>
      <x:c r="N575" t="str">
        <x:v>Công ty TNHH mỹ phẩm Việt Hương</x:v>
      </x:c>
      <x:c r="O575" t="str">
        <x:v>Đình chỉ lưu hành, thu hồi và tiêu hủy – Công văn 1772/QLD-MP</x:v>
      </x:c>
      <x:c r="P575" t="str">
        <x:v>A++ – Cục Quản lý Dược; tổ chức chịu trách nhiệm explicit</x:v>
      </x:c>
      <x:c r="Q575" t="str">
        <x:v>Phụ lục 511 sản phẩm, STT 210, trang 8. Công ty Việt Hương là cơ sở sản xuất; cột tổ chức chịu trách nhiệm lấy nguyên văn từ phụ lục.</x:v>
      </x:c>
      <x:c r="R575" t="str">
        <x:v>https://dav.gov.vn/cong-van-so-1772qld-mp-ve-viec-dinh-chi-luu-hanh-thu-hoi-va-tieu-huy-my-pham-vi-pham-cong-ty-tnhh-my-pham-viet-huong-n5334.html</x:v>
      </x:c>
      <x:c r="S575" t="str">
        <x:v>Hà Nội</x:v>
      </x:c>
      <x:c r="T575" t="str">
        <x:v>01</x:v>
      </x:c>
    </x:row>
    <x:row r="576">
      <x:c r="A576" t="n">
        <x:v>575</x:v>
      </x:c>
      <x:c r="B576" s="330"/>
      <x:c r="C576" s="330" t="n">
        <x:v>46155</x:v>
      </x:c>
      <x:c r="D576" t="n">
        <x:v>2022</x:v>
      </x:c>
      <x:c r="E576"/>
      <x:c r="F576" t="str">
        <x:v>13726/22/CBMP-HN</x:v>
      </x:c>
      <x:c r="G576"/>
      <x:c r="H576" t="str">
        <x:v>Coffee Scrub</x:v>
      </x:c>
      <x:c r="I576"/>
      <x:c r="J576" t="str">
        <x:v>Khác</x:v>
      </x:c>
      <x:c r="K576"/>
      <x:c r="L576" t="str">
        <x:v>Công ty TNHH BTB International</x:v>
      </x:c>
      <x:c r="M576"/>
      <x:c r="N576" t="str">
        <x:v>Công ty TNHH mỹ phẩm Việt Hương</x:v>
      </x:c>
      <x:c r="O576" t="str">
        <x:v>Đình chỉ lưu hành, thu hồi và tiêu hủy – Công văn 1772/QLD-MP</x:v>
      </x:c>
      <x:c r="P576" t="str">
        <x:v>A++ – Cục Quản lý Dược; tổ chức chịu trách nhiệm explicit</x:v>
      </x:c>
      <x:c r="Q576" t="str">
        <x:v>Phụ lục 511 sản phẩm, STT 211, trang 8. Công ty Việt Hương là cơ sở sản xuất; cột tổ chức chịu trách nhiệm lấy nguyên văn từ phụ lục.</x:v>
      </x:c>
      <x:c r="R576" t="str">
        <x:v>https://dav.gov.vn/cong-van-so-1772qld-mp-ve-viec-dinh-chi-luu-hanh-thu-hoi-va-tieu-huy-my-pham-vi-pham-cong-ty-tnhh-my-pham-viet-huong-n5334.html</x:v>
      </x:c>
      <x:c r="S576" t="str">
        <x:v>Hà Nội</x:v>
      </x:c>
      <x:c r="T576" t="str">
        <x:v>01</x:v>
      </x:c>
    </x:row>
    <x:row r="577">
      <x:c r="A577" t="n">
        <x:v>576</x:v>
      </x:c>
      <x:c r="B577" s="330"/>
      <x:c r="C577" s="330" t="n">
        <x:v>46155</x:v>
      </x:c>
      <x:c r="D577" t="n">
        <x:v>2022</x:v>
      </x:c>
      <x:c r="E577"/>
      <x:c r="F577" t="str">
        <x:v>13956/22/CBMP-HN</x:v>
      </x:c>
      <x:c r="G577"/>
      <x:c r="H577" t="str">
        <x:v>Trap Girl</x:v>
      </x:c>
      <x:c r="I577"/>
      <x:c r="J577" t="str">
        <x:v>Khác</x:v>
      </x:c>
      <x:c r="K577"/>
      <x:c r="L577" t="str">
        <x:v>Công ty TNHH Global Health Life</x:v>
      </x:c>
      <x:c r="M577"/>
      <x:c r="N577" t="str">
        <x:v>Công ty TNHH mỹ phẩm Việt Hương</x:v>
      </x:c>
      <x:c r="O577" t="str">
        <x:v>Đình chỉ lưu hành, thu hồi và tiêu hủy – Công văn 1772/QLD-MP</x:v>
      </x:c>
      <x:c r="P577" t="str">
        <x:v>A++ – Cục Quản lý Dược; tổ chức chịu trách nhiệm explicit</x:v>
      </x:c>
      <x:c r="Q577" t="str">
        <x:v>Phụ lục 511 sản phẩm, STT 212, trang 8. Công ty Việt Hương là cơ sở sản xuất; cột tổ chức chịu trách nhiệm lấy nguyên văn từ phụ lục.</x:v>
      </x:c>
      <x:c r="R577" t="str">
        <x:v>https://dav.gov.vn/cong-van-so-1772qld-mp-ve-viec-dinh-chi-luu-hanh-thu-hoi-va-tieu-huy-my-pham-vi-pham-cong-ty-tnhh-my-pham-viet-huong-n5334.html</x:v>
      </x:c>
      <x:c r="S577" t="str">
        <x:v>Hà Nội</x:v>
      </x:c>
      <x:c r="T577" t="str">
        <x:v>01</x:v>
      </x:c>
    </x:row>
    <x:row r="578">
      <x:c r="A578" t="n">
        <x:v>577</x:v>
      </x:c>
      <x:c r="B578" s="330"/>
      <x:c r="C578" s="330" t="n">
        <x:v>46155</x:v>
      </x:c>
      <x:c r="D578" t="n">
        <x:v>2022</x:v>
      </x:c>
      <x:c r="E578"/>
      <x:c r="F578" t="str">
        <x:v>14881/22/CBMP-HN</x:v>
      </x:c>
      <x:c r="G578"/>
      <x:c r="H578" t="str">
        <x:v>Body Trap Girl</x:v>
      </x:c>
      <x:c r="I578"/>
      <x:c r="J578" t="str">
        <x:v>Khác</x:v>
      </x:c>
      <x:c r="K578"/>
      <x:c r="L578" t="str">
        <x:v>Công ty TNHH Global Health Life</x:v>
      </x:c>
      <x:c r="M578"/>
      <x:c r="N578" t="str">
        <x:v>Công ty TNHH mỹ phẩm Việt Hương</x:v>
      </x:c>
      <x:c r="O578" t="str">
        <x:v>Đình chỉ lưu hành, thu hồi và tiêu hủy – Công văn 1772/QLD-MP</x:v>
      </x:c>
      <x:c r="P578" t="str">
        <x:v>A++ – Cục Quản lý Dược; tổ chức chịu trách nhiệm explicit</x:v>
      </x:c>
      <x:c r="Q578" t="str">
        <x:v>Phụ lục 511 sản phẩm, STT 213, trang 8. Công ty Việt Hương là cơ sở sản xuất; cột tổ chức chịu trách nhiệm lấy nguyên văn từ phụ lục.</x:v>
      </x:c>
      <x:c r="R578" t="str">
        <x:v>https://dav.gov.vn/cong-van-so-1772qld-mp-ve-viec-dinh-chi-luu-hanh-thu-hoi-va-tieu-huy-my-pham-vi-pham-cong-ty-tnhh-my-pham-viet-huong-n5334.html</x:v>
      </x:c>
      <x:c r="S578" t="str">
        <x:v>Hà Nội</x:v>
      </x:c>
      <x:c r="T578" t="str">
        <x:v>01</x:v>
      </x:c>
    </x:row>
    <x:row r="579">
      <x:c r="A579" t="n">
        <x:v>578</x:v>
      </x:c>
      <x:c r="B579" s="330"/>
      <x:c r="C579" s="330" t="n">
        <x:v>46155</x:v>
      </x:c>
      <x:c r="D579" t="n">
        <x:v>2023</x:v>
      </x:c>
      <x:c r="E579"/>
      <x:c r="F579" t="str">
        <x:v>15570/23/CBMP-HN</x:v>
      </x:c>
      <x:c r="G579"/>
      <x:c r="H579" t="str">
        <x:v>Gmior</x:v>
      </x:c>
      <x:c r="I579"/>
      <x:c r="J579" t="str">
        <x:v>Khác</x:v>
      </x:c>
      <x:c r="K579"/>
      <x:c r="L579" t="str">
        <x:v>Công ty TNHH Global Health Life</x:v>
      </x:c>
      <x:c r="M579"/>
      <x:c r="N579" t="str">
        <x:v>Công ty TNHH mỹ phẩm Việt Hương</x:v>
      </x:c>
      <x:c r="O579" t="str">
        <x:v>Đình chỉ lưu hành, thu hồi và tiêu hủy – Công văn 1772/QLD-MP</x:v>
      </x:c>
      <x:c r="P579" t="str">
        <x:v>A++ – Cục Quản lý Dược; tổ chức chịu trách nhiệm explicit</x:v>
      </x:c>
      <x:c r="Q579" t="str">
        <x:v>Phụ lục 511 sản phẩm, STT 214, trang 8. Công ty Việt Hương là cơ sở sản xuất; cột tổ chức chịu trách nhiệm lấy nguyên văn từ phụ lục.</x:v>
      </x:c>
      <x:c r="R579" t="str">
        <x:v>https://dav.gov.vn/cong-van-so-1772qld-mp-ve-viec-dinh-chi-luu-hanh-thu-hoi-va-tieu-huy-my-pham-vi-pham-cong-ty-tnhh-my-pham-viet-huong-n5334.html</x:v>
      </x:c>
      <x:c r="S579" t="str">
        <x:v>Hà Nội</x:v>
      </x:c>
      <x:c r="T579" t="str">
        <x:v>01</x:v>
      </x:c>
    </x:row>
    <x:row r="580">
      <x:c r="A580" t="n">
        <x:v>579</x:v>
      </x:c>
      <x:c r="B580" s="330"/>
      <x:c r="C580" s="330" t="n">
        <x:v>46155</x:v>
      </x:c>
      <x:c r="D580" t="n">
        <x:v>2023</x:v>
      </x:c>
      <x:c r="E580"/>
      <x:c r="F580" t="str">
        <x:v>15571/23/CBMP-HN</x:v>
      </x:c>
      <x:c r="G580"/>
      <x:c r="H580" t="str">
        <x:v>Gmio</x:v>
      </x:c>
      <x:c r="I580"/>
      <x:c r="J580" t="str">
        <x:v>Khác</x:v>
      </x:c>
      <x:c r="K580"/>
      <x:c r="L580" t="str">
        <x:v>Công ty TNHH Global Health Life</x:v>
      </x:c>
      <x:c r="M580"/>
      <x:c r="N580" t="str">
        <x:v>Công ty TNHH mỹ phẩm Việt Hương</x:v>
      </x:c>
      <x:c r="O580" t="str">
        <x:v>Đình chỉ lưu hành, thu hồi và tiêu hủy – Công văn 1772/QLD-MP</x:v>
      </x:c>
      <x:c r="P580" t="str">
        <x:v>A++ – Cục Quản lý Dược; tổ chức chịu trách nhiệm explicit</x:v>
      </x:c>
      <x:c r="Q580" t="str">
        <x:v>Phụ lục 511 sản phẩm, STT 215, trang 8. Công ty Việt Hương là cơ sở sản xuất; cột tổ chức chịu trách nhiệm lấy nguyên văn từ phụ lục.</x:v>
      </x:c>
      <x:c r="R580" t="str">
        <x:v>https://dav.gov.vn/cong-van-so-1772qld-mp-ve-viec-dinh-chi-luu-hanh-thu-hoi-va-tieu-huy-my-pham-vi-pham-cong-ty-tnhh-my-pham-viet-huong-n5334.html</x:v>
      </x:c>
      <x:c r="S580" t="str">
        <x:v>Hà Nội</x:v>
      </x:c>
      <x:c r="T580" t="str">
        <x:v>01</x:v>
      </x:c>
    </x:row>
    <x:row r="581">
      <x:c r="A581" t="n">
        <x:v>580</x:v>
      </x:c>
      <x:c r="B581" s="330"/>
      <x:c r="C581" s="330" t="n">
        <x:v>46155</x:v>
      </x:c>
      <x:c r="D581" t="n">
        <x:v>2023</x:v>
      </x:c>
      <x:c r="E581"/>
      <x:c r="F581" t="str">
        <x:v>16960/23/CBMP-HN</x:v>
      </x:c>
      <x:c r="G581"/>
      <x:c r="H581" t="str">
        <x:v>Good Girl Love</x:v>
      </x:c>
      <x:c r="I581"/>
      <x:c r="J581" t="str">
        <x:v>Khác</x:v>
      </x:c>
      <x:c r="K581"/>
      <x:c r="L581" t="str">
        <x:v>Công ty TNHH Global Health Life</x:v>
      </x:c>
      <x:c r="M581"/>
      <x:c r="N581" t="str">
        <x:v>Công ty TNHH mỹ phẩm Việt Hương</x:v>
      </x:c>
      <x:c r="O581" t="str">
        <x:v>Đình chỉ lưu hành, thu hồi và tiêu hủy – Công văn 1772/QLD-MP</x:v>
      </x:c>
      <x:c r="P581" t="str">
        <x:v>A++ – Cục Quản lý Dược; tổ chức chịu trách nhiệm explicit</x:v>
      </x:c>
      <x:c r="Q581" t="str">
        <x:v>Phụ lục 511 sản phẩm, STT 216, trang 8. Công ty Việt Hương là cơ sở sản xuất; cột tổ chức chịu trách nhiệm lấy nguyên văn từ phụ lục.</x:v>
      </x:c>
      <x:c r="R581" t="str">
        <x:v>https://dav.gov.vn/cong-van-so-1772qld-mp-ve-viec-dinh-chi-luu-hanh-thu-hoi-va-tieu-huy-my-pham-vi-pham-cong-ty-tnhh-my-pham-viet-huong-n5334.html</x:v>
      </x:c>
      <x:c r="S581" t="str">
        <x:v>Hà Nội</x:v>
      </x:c>
      <x:c r="T581" t="str">
        <x:v>01</x:v>
      </x:c>
    </x:row>
    <x:row r="582">
      <x:c r="A582" t="n">
        <x:v>581</x:v>
      </x:c>
      <x:c r="B582" s="330"/>
      <x:c r="C582" s="330" t="n">
        <x:v>46155</x:v>
      </x:c>
      <x:c r="D582" t="n">
        <x:v>2023</x:v>
      </x:c>
      <x:c r="E582"/>
      <x:c r="F582" t="str">
        <x:v>17287/23/CBMP-HN</x:v>
      </x:c>
      <x:c r="G582"/>
      <x:c r="H582" t="str">
        <x:v>In Love</x:v>
      </x:c>
      <x:c r="I582"/>
      <x:c r="J582" t="str">
        <x:v>Khác</x:v>
      </x:c>
      <x:c r="K582"/>
      <x:c r="L582" t="str">
        <x:v>Công ty TNHH Global Health Life</x:v>
      </x:c>
      <x:c r="M582"/>
      <x:c r="N582" t="str">
        <x:v>Công ty TNHH mỹ phẩm Việt Hương</x:v>
      </x:c>
      <x:c r="O582" t="str">
        <x:v>Đình chỉ lưu hành, thu hồi và tiêu hủy – Công văn 1772/QLD-MP</x:v>
      </x:c>
      <x:c r="P582" t="str">
        <x:v>A++ – Cục Quản lý Dược; tổ chức chịu trách nhiệm explicit</x:v>
      </x:c>
      <x:c r="Q582" t="str">
        <x:v>Phụ lục 511 sản phẩm, STT 217, trang 9. Công ty Việt Hương là cơ sở sản xuất; cột tổ chức chịu trách nhiệm lấy nguyên văn từ phụ lục.</x:v>
      </x:c>
      <x:c r="R582" t="str">
        <x:v>https://dav.gov.vn/cong-van-so-1772qld-mp-ve-viec-dinh-chi-luu-hanh-thu-hoi-va-tieu-huy-my-pham-vi-pham-cong-ty-tnhh-my-pham-viet-huong-n5334.html</x:v>
      </x:c>
      <x:c r="S582" t="str">
        <x:v>Hà Nội</x:v>
      </x:c>
      <x:c r="T582" t="str">
        <x:v>01</x:v>
      </x:c>
    </x:row>
    <x:row r="583">
      <x:c r="A583" t="n">
        <x:v>582</x:v>
      </x:c>
      <x:c r="B583" s="330"/>
      <x:c r="C583" s="330" t="n">
        <x:v>46155</x:v>
      </x:c>
      <x:c r="D583" t="n">
        <x:v>2023</x:v>
      </x:c>
      <x:c r="E583"/>
      <x:c r="F583" t="str">
        <x:v>17288/23/CBMP-HN</x:v>
      </x:c>
      <x:c r="G583"/>
      <x:c r="H583" t="str">
        <x:v>Good Girl Luxury</x:v>
      </x:c>
      <x:c r="I583"/>
      <x:c r="J583" t="str">
        <x:v>Khác</x:v>
      </x:c>
      <x:c r="K583"/>
      <x:c r="L583" t="str">
        <x:v>Công ty TNHH Global Health Life</x:v>
      </x:c>
      <x:c r="M583"/>
      <x:c r="N583" t="str">
        <x:v>Công ty TNHH mỹ phẩm Việt Hương</x:v>
      </x:c>
      <x:c r="O583" t="str">
        <x:v>Đình chỉ lưu hành, thu hồi và tiêu hủy – Công văn 1772/QLD-MP</x:v>
      </x:c>
      <x:c r="P583" t="str">
        <x:v>A++ – Cục Quản lý Dược; tổ chức chịu trách nhiệm explicit</x:v>
      </x:c>
      <x:c r="Q583" t="str">
        <x:v>Phụ lục 511 sản phẩm, STT 218, trang 9. Công ty Việt Hương là cơ sở sản xuất; cột tổ chức chịu trách nhiệm lấy nguyên văn từ phụ lục.</x:v>
      </x:c>
      <x:c r="R583" t="str">
        <x:v>https://dav.gov.vn/cong-van-so-1772qld-mp-ve-viec-dinh-chi-luu-hanh-thu-hoi-va-tieu-huy-my-pham-vi-pham-cong-ty-tnhh-my-pham-viet-huong-n5334.html</x:v>
      </x:c>
      <x:c r="S583" t="str">
        <x:v>Hà Nội</x:v>
      </x:c>
      <x:c r="T583" t="str">
        <x:v>01</x:v>
      </x:c>
    </x:row>
    <x:row r="584">
      <x:c r="A584" t="n">
        <x:v>583</x:v>
      </x:c>
      <x:c r="B584" s="330"/>
      <x:c r="C584" s="330" t="n">
        <x:v>46155</x:v>
      </x:c>
      <x:c r="D584" t="n">
        <x:v>2023</x:v>
      </x:c>
      <x:c r="E584"/>
      <x:c r="F584" t="str">
        <x:v>18040/23/CBMP-HN</x:v>
      </x:c>
      <x:c r="G584"/>
      <x:c r="H584" t="str">
        <x:v>Bad Boy Plus</x:v>
      </x:c>
      <x:c r="I584"/>
      <x:c r="J584" t="str">
        <x:v>Khác</x:v>
      </x:c>
      <x:c r="K584"/>
      <x:c r="L584" t="str">
        <x:v>Công ty TNHH Global Health Life</x:v>
      </x:c>
      <x:c r="M584"/>
      <x:c r="N584" t="str">
        <x:v>Công ty TNHH mỹ phẩm Việt Hương</x:v>
      </x:c>
      <x:c r="O584" t="str">
        <x:v>Đình chỉ lưu hành, thu hồi và tiêu hủy – Công văn 1772/QLD-MP</x:v>
      </x:c>
      <x:c r="P584" t="str">
        <x:v>A++ – Cục Quản lý Dược; tổ chức chịu trách nhiệm explicit</x:v>
      </x:c>
      <x:c r="Q584" t="str">
        <x:v>Phụ lục 511 sản phẩm, STT 219, trang 9. Công ty Việt Hương là cơ sở sản xuất; cột tổ chức chịu trách nhiệm lấy nguyên văn từ phụ lục.</x:v>
      </x:c>
      <x:c r="R584" t="str">
        <x:v>https://dav.gov.vn/cong-van-so-1772qld-mp-ve-viec-dinh-chi-luu-hanh-thu-hoi-va-tieu-huy-my-pham-vi-pham-cong-ty-tnhh-my-pham-viet-huong-n5334.html</x:v>
      </x:c>
      <x:c r="S584" t="str">
        <x:v>Hà Nội</x:v>
      </x:c>
      <x:c r="T584" t="str">
        <x:v>01</x:v>
      </x:c>
    </x:row>
    <x:row r="585">
      <x:c r="A585" t="n">
        <x:v>584</x:v>
      </x:c>
      <x:c r="B585" s="330"/>
      <x:c r="C585" s="330" t="n">
        <x:v>46155</x:v>
      </x:c>
      <x:c r="D585" t="n">
        <x:v>2022</x:v>
      </x:c>
      <x:c r="E585"/>
      <x:c r="F585" t="str">
        <x:v>13957/22/CBMP-HN</x:v>
      </x:c>
      <x:c r="G585"/>
      <x:c r="H585" t="str">
        <x:v>Dầu gội phủ bạc</x:v>
      </x:c>
      <x:c r="I585"/>
      <x:c r="J585" t="str">
        <x:v>Dầu gội</x:v>
      </x:c>
      <x:c r="K585"/>
      <x:c r="L585" t="str">
        <x:v>Công ty cổ phần Triệu Sơn</x:v>
      </x:c>
      <x:c r="M585"/>
      <x:c r="N585" t="str">
        <x:v>Công ty TNHH mỹ phẩm Việt Hương</x:v>
      </x:c>
      <x:c r="O585" t="str">
        <x:v>Đình chỉ lưu hành, thu hồi và tiêu hủy – Công văn 1772/QLD-MP</x:v>
      </x:c>
      <x:c r="P585" t="str">
        <x:v>A++ – Cục Quản lý Dược; tổ chức chịu trách nhiệm explicit</x:v>
      </x:c>
      <x:c r="Q585" t="str">
        <x:v>Phụ lục 511 sản phẩm, STT 220, trang 9. Công ty Việt Hương là cơ sở sản xuất; cột tổ chức chịu trách nhiệm lấy nguyên văn từ phụ lục.</x:v>
      </x:c>
      <x:c r="R585" t="str">
        <x:v>https://dav.gov.vn/cong-van-so-1772qld-mp-ve-viec-dinh-chi-luu-hanh-thu-hoi-va-tieu-huy-my-pham-vi-pham-cong-ty-tnhh-my-pham-viet-huong-n5334.html</x:v>
      </x:c>
      <x:c r="S585" t="str">
        <x:v>Hà Nội</x:v>
      </x:c>
      <x:c r="T585" t="str">
        <x:v>01</x:v>
      </x:c>
    </x:row>
    <x:row r="586">
      <x:c r="A586" t="n">
        <x:v>585</x:v>
      </x:c>
      <x:c r="B586" s="330"/>
      <x:c r="C586" s="330" t="n">
        <x:v>46155</x:v>
      </x:c>
      <x:c r="D586" t="n">
        <x:v>2022</x:v>
      </x:c>
      <x:c r="E586"/>
      <x:c r="F586" t="str">
        <x:v>13958/22/CBMP-HN</x:v>
      </x:c>
      <x:c r="G586"/>
      <x:c r="H586" t="str">
        <x:v>Serum hôi nách</x:v>
      </x:c>
      <x:c r="I586"/>
      <x:c r="J586" t="str">
        <x:v>Khử mùi</x:v>
      </x:c>
      <x:c r="K586"/>
      <x:c r="L586" t="str">
        <x:v>Công ty cổ phần Triệu Sơn</x:v>
      </x:c>
      <x:c r="M586"/>
      <x:c r="N586" t="str">
        <x:v>Công ty TNHH mỹ phẩm Việt Hương</x:v>
      </x:c>
      <x:c r="O586" t="str">
        <x:v>Đình chỉ lưu hành, thu hồi và tiêu hủy – Công văn 1772/QLD-MP</x:v>
      </x:c>
      <x:c r="P586" t="str">
        <x:v>A++ – Cục Quản lý Dược; tổ chức chịu trách nhiệm explicit</x:v>
      </x:c>
      <x:c r="Q586" t="str">
        <x:v>Phụ lục 511 sản phẩm, STT 221, trang 9. Công ty Việt Hương là cơ sở sản xuất; cột tổ chức chịu trách nhiệm lấy nguyên văn từ phụ lục.</x:v>
      </x:c>
      <x:c r="R586" t="str">
        <x:v>https://dav.gov.vn/cong-van-so-1772qld-mp-ve-viec-dinh-chi-luu-hanh-thu-hoi-va-tieu-huy-my-pham-vi-pham-cong-ty-tnhh-my-pham-viet-huong-n5334.html</x:v>
      </x:c>
      <x:c r="S586" t="str">
        <x:v>Hà Nội</x:v>
      </x:c>
      <x:c r="T586" t="str">
        <x:v>01</x:v>
      </x:c>
    </x:row>
    <x:row r="587">
      <x:c r="A587" t="n">
        <x:v>586</x:v>
      </x:c>
      <x:c r="B587" s="330"/>
      <x:c r="C587" s="330" t="n">
        <x:v>46155</x:v>
      </x:c>
      <x:c r="D587" t="n">
        <x:v>2022</x:v>
      </x:c>
      <x:c r="E587"/>
      <x:c r="F587" t="str">
        <x:v>13961/22/CBMP-HN</x:v>
      </x:c>
      <x:c r="G587"/>
      <x:c r="H587" t="str">
        <x:v>Dầu gội phủ bạc</x:v>
      </x:c>
      <x:c r="I587"/>
      <x:c r="J587" t="str">
        <x:v>Dầu gội</x:v>
      </x:c>
      <x:c r="K587"/>
      <x:c r="L587" t="str">
        <x:v>Công ty cổ phần phát triển Huy Hoàng</x:v>
      </x:c>
      <x:c r="M587"/>
      <x:c r="N587" t="str">
        <x:v>Công ty TNHH mỹ phẩm Việt Hương</x:v>
      </x:c>
      <x:c r="O587" t="str">
        <x:v>Đình chỉ lưu hành, thu hồi và tiêu hủy – Công văn 1772/QLD-MP</x:v>
      </x:c>
      <x:c r="P587" t="str">
        <x:v>A++ – Cục Quản lý Dược; tổ chức chịu trách nhiệm explicit</x:v>
      </x:c>
      <x:c r="Q587" t="str">
        <x:v>Phụ lục 511 sản phẩm, STT 222, trang 9. Công ty Việt Hương là cơ sở sản xuất; cột tổ chức chịu trách nhiệm lấy nguyên văn từ phụ lục.</x:v>
      </x:c>
      <x:c r="R587" t="str">
        <x:v>https://dav.gov.vn/cong-van-so-1772qld-mp-ve-viec-dinh-chi-luu-hanh-thu-hoi-va-tieu-huy-my-pham-vi-pham-cong-ty-tnhh-my-pham-viet-huong-n5334.html</x:v>
      </x:c>
      <x:c r="S587" t="str">
        <x:v>Hà Nội</x:v>
      </x:c>
      <x:c r="T587" t="str">
        <x:v>01</x:v>
      </x:c>
    </x:row>
    <x:row r="588">
      <x:c r="A588" t="n">
        <x:v>587</x:v>
      </x:c>
      <x:c r="B588" s="330"/>
      <x:c r="C588" s="330" t="n">
        <x:v>46155</x:v>
      </x:c>
      <x:c r="D588" t="n">
        <x:v>2023</x:v>
      </x:c>
      <x:c r="E588"/>
      <x:c r="F588" t="str">
        <x:v>15710/23/CBMP-HN</x:v>
      </x:c>
      <x:c r="G588"/>
      <x:c r="H588" t="str">
        <x:v>Dầu gội sạch gàu</x:v>
      </x:c>
      <x:c r="I588"/>
      <x:c r="J588" t="str">
        <x:v>Dầu gội</x:v>
      </x:c>
      <x:c r="K588"/>
      <x:c r="L588" t="str">
        <x:v>Công ty cổ phần phát triển Huy Hoàng</x:v>
      </x:c>
      <x:c r="M588"/>
      <x:c r="N588" t="str">
        <x:v>Công ty TNHH mỹ phẩm Việt Hương</x:v>
      </x:c>
      <x:c r="O588" t="str">
        <x:v>Đình chỉ lưu hành, thu hồi và tiêu hủy – Công văn 1772/QLD-MP</x:v>
      </x:c>
      <x:c r="P588" t="str">
        <x:v>A++ – Cục Quản lý Dược; tổ chức chịu trách nhiệm explicit</x:v>
      </x:c>
      <x:c r="Q588" t="str">
        <x:v>Phụ lục 511 sản phẩm, STT 223, trang 9. Công ty Việt Hương là cơ sở sản xuất; cột tổ chức chịu trách nhiệm lấy nguyên văn từ phụ lục.</x:v>
      </x:c>
      <x:c r="R588" t="str">
        <x:v>https://dav.gov.vn/cong-van-so-1772qld-mp-ve-viec-dinh-chi-luu-hanh-thu-hoi-va-tieu-huy-my-pham-vi-pham-cong-ty-tnhh-my-pham-viet-huong-n5334.html</x:v>
      </x:c>
      <x:c r="S588" t="str">
        <x:v>Hà Nội</x:v>
      </x:c>
      <x:c r="T588" t="str">
        <x:v>01</x:v>
      </x:c>
    </x:row>
    <x:row r="589">
      <x:c r="A589" t="n">
        <x:v>588</x:v>
      </x:c>
      <x:c r="B589" s="330"/>
      <x:c r="C589" s="330" t="n">
        <x:v>46155</x:v>
      </x:c>
      <x:c r="D589" t="n">
        <x:v>2022</x:v>
      </x:c>
      <x:c r="E589"/>
      <x:c r="F589" t="str">
        <x:v>13962/22/CBMP-HN</x:v>
      </x:c>
      <x:c r="G589"/>
      <x:c r="H589" t="str">
        <x:v>Cira Lipbalm</x:v>
      </x:c>
      <x:c r="I589"/>
      <x:c r="J589" t="str">
        <x:v>Sản phẩm môi</x:v>
      </x:c>
      <x:c r="K589"/>
      <x:c r="L589" t="str">
        <x:v>Công ty cổ phần Saffron Việt Nam</x:v>
      </x:c>
      <x:c r="M589"/>
      <x:c r="N589" t="str">
        <x:v>Công ty TNHH mỹ phẩm Việt Hương</x:v>
      </x:c>
      <x:c r="O589" t="str">
        <x:v>Đình chỉ lưu hành, thu hồi và tiêu hủy – Công văn 1772/QLD-MP</x:v>
      </x:c>
      <x:c r="P589" t="str">
        <x:v>A++ – Cục Quản lý Dược; tổ chức chịu trách nhiệm explicit</x:v>
      </x:c>
      <x:c r="Q589" t="str">
        <x:v>Phụ lục 511 sản phẩm, STT 224, trang 9. Công ty Việt Hương là cơ sở sản xuất; cột tổ chức chịu trách nhiệm lấy nguyên văn từ phụ lục.</x:v>
      </x:c>
      <x:c r="R589" t="str">
        <x:v>https://dav.gov.vn/cong-van-so-1772qld-mp-ve-viec-dinh-chi-luu-hanh-thu-hoi-va-tieu-huy-my-pham-vi-pham-cong-ty-tnhh-my-pham-viet-huong-n5334.html</x:v>
      </x:c>
      <x:c r="S589" t="str">
        <x:v>Hà Nội</x:v>
      </x:c>
      <x:c r="T589" t="str">
        <x:v>01</x:v>
      </x:c>
    </x:row>
    <x:row r="590">
      <x:c r="A590" t="n">
        <x:v>589</x:v>
      </x:c>
      <x:c r="B590" s="330"/>
      <x:c r="C590" s="330" t="n">
        <x:v>46155</x:v>
      </x:c>
      <x:c r="D590" t="n">
        <x:v>2022</x:v>
      </x:c>
      <x:c r="E590"/>
      <x:c r="F590" t="str">
        <x:v>13988/22/CBMP-HN</x:v>
      </x:c>
      <x:c r="G590"/>
      <x:c r="H590" t="str">
        <x:v>Premium Coffee Scrub</x:v>
      </x:c>
      <x:c r="I590"/>
      <x:c r="J590" t="str">
        <x:v>Khác</x:v>
      </x:c>
      <x:c r="K590"/>
      <x:c r="L590" t="str">
        <x:v>Công ty TNHH 1 thành viên Maya Kim</x:v>
      </x:c>
      <x:c r="M590"/>
      <x:c r="N590" t="str">
        <x:v>Công ty TNHH mỹ phẩm Việt Hương</x:v>
      </x:c>
      <x:c r="O590" t="str">
        <x:v>Đình chỉ lưu hành, thu hồi và tiêu hủy – Công văn 1772/QLD-MP</x:v>
      </x:c>
      <x:c r="P590" t="str">
        <x:v>A++ – Cục Quản lý Dược; tổ chức chịu trách nhiệm explicit</x:v>
      </x:c>
      <x:c r="Q590" t="str">
        <x:v>Phụ lục 511 sản phẩm, STT 225, trang 9. Công ty Việt Hương là cơ sở sản xuất; cột tổ chức chịu trách nhiệm lấy nguyên văn từ phụ lục.</x:v>
      </x:c>
      <x:c r="R590" t="str">
        <x:v>https://dav.gov.vn/cong-van-so-1772qld-mp-ve-viec-dinh-chi-luu-hanh-thu-hoi-va-tieu-huy-my-pham-vi-pham-cong-ty-tnhh-my-pham-viet-huong-n5334.html</x:v>
      </x:c>
      <x:c r="S590" t="str">
        <x:v>Hà Nội</x:v>
      </x:c>
      <x:c r="T590" t="str">
        <x:v>01</x:v>
      </x:c>
    </x:row>
    <x:row r="591">
      <x:c r="A591" t="n">
        <x:v>590</x:v>
      </x:c>
      <x:c r="B591" s="330"/>
      <x:c r="C591" s="330" t="n">
        <x:v>46155</x:v>
      </x:c>
      <x:c r="D591" t="n">
        <x:v>2026</x:v>
      </x:c>
      <x:c r="E591"/>
      <x:c r="F591" t="str">
        <x:v>26556/26/CBMP-HN</x:v>
      </x:c>
      <x:c r="G591"/>
      <x:c r="H591" t="str">
        <x:v>PREMI COFFEE SCRUB</x:v>
      </x:c>
      <x:c r="I591"/>
      <x:c r="J591" t="str">
        <x:v>Khác</x:v>
      </x:c>
      <x:c r="K591"/>
      <x:c r="L591" t="str">
        <x:v>Công ty TNHH 1 thành viên Maya Kim</x:v>
      </x:c>
      <x:c r="M591"/>
      <x:c r="N591" t="str">
        <x:v>Công ty TNHH mỹ phẩm Việt Hương</x:v>
      </x:c>
      <x:c r="O591" t="str">
        <x:v>Đình chỉ lưu hành, thu hồi và tiêu hủy – Công văn 1772/QLD-MP</x:v>
      </x:c>
      <x:c r="P591" t="str">
        <x:v>A++ – Cục Quản lý Dược; tổ chức chịu trách nhiệm explicit</x:v>
      </x:c>
      <x:c r="Q591" t="str">
        <x:v>Phụ lục 511 sản phẩm, STT 226, trang 9. Công ty Việt Hương là cơ sở sản xuất; cột tổ chức chịu trách nhiệm lấy nguyên văn từ phụ lục.</x:v>
      </x:c>
      <x:c r="R591" t="str">
        <x:v>https://dav.gov.vn/cong-van-so-1772qld-mp-ve-viec-dinh-chi-luu-hanh-thu-hoi-va-tieu-huy-my-pham-vi-pham-cong-ty-tnhh-my-pham-viet-huong-n5334.html</x:v>
      </x:c>
      <x:c r="S591" t="str">
        <x:v>Hà Nội</x:v>
      </x:c>
      <x:c r="T591" t="str">
        <x:v>01</x:v>
      </x:c>
    </x:row>
    <x:row r="592">
      <x:c r="A592" t="n">
        <x:v>591</x:v>
      </x:c>
      <x:c r="B592" s="330"/>
      <x:c r="C592" s="330" t="n">
        <x:v>46155</x:v>
      </x:c>
      <x:c r="D592" t="n">
        <x:v>2022</x:v>
      </x:c>
      <x:c r="E592"/>
      <x:c r="F592" t="str">
        <x:v>14512/22/CBMP-HN</x:v>
      </x:c>
      <x:c r="G592"/>
      <x:c r="H592" t="str">
        <x:v>Marvelous</x:v>
      </x:c>
      <x:c r="I592"/>
      <x:c r="J592" t="str">
        <x:v>Khác</x:v>
      </x:c>
      <x:c r="K592"/>
      <x:c r="L592" t="str">
        <x:v>Công ty TNHH 1 thành viên Rusty Lab</x:v>
      </x:c>
      <x:c r="M592"/>
      <x:c r="N592" t="str">
        <x:v>Công ty TNHH mỹ phẩm Việt Hương</x:v>
      </x:c>
      <x:c r="O592" t="str">
        <x:v>Đình chỉ lưu hành, thu hồi và tiêu hủy – Công văn 1772/QLD-MP</x:v>
      </x:c>
      <x:c r="P592" t="str">
        <x:v>A++ – Cục Quản lý Dược; tổ chức chịu trách nhiệm explicit</x:v>
      </x:c>
      <x:c r="Q592" t="str">
        <x:v>Phụ lục 511 sản phẩm, STT 227, trang 9. Công ty Việt Hương là cơ sở sản xuất; cột tổ chức chịu trách nhiệm lấy nguyên văn từ phụ lục.</x:v>
      </x:c>
      <x:c r="R592" t="str">
        <x:v>https://dav.gov.vn/cong-van-so-1772qld-mp-ve-viec-dinh-chi-luu-hanh-thu-hoi-va-tieu-huy-my-pham-vi-pham-cong-ty-tnhh-my-pham-viet-huong-n5334.html</x:v>
      </x:c>
      <x:c r="S592" t="str">
        <x:v>Hà Nội</x:v>
      </x:c>
      <x:c r="T592" t="str">
        <x:v>01</x:v>
      </x:c>
    </x:row>
    <x:row r="593">
      <x:c r="A593" t="n">
        <x:v>592</x:v>
      </x:c>
      <x:c r="B593" s="330"/>
      <x:c r="C593" s="330" t="n">
        <x:v>46155</x:v>
      </x:c>
      <x:c r="D593" t="n">
        <x:v>2022</x:v>
      </x:c>
      <x:c r="E593"/>
      <x:c r="F593" t="str">
        <x:v>14516/22/CBMP-HN</x:v>
      </x:c>
      <x:c r="G593"/>
      <x:c r="H593" t="str">
        <x:v>Goodgirl</x:v>
      </x:c>
      <x:c r="I593"/>
      <x:c r="J593" t="str">
        <x:v>Khác</x:v>
      </x:c>
      <x:c r="K593"/>
      <x:c r="L593" t="str">
        <x:v>Công ty TNHH DTL Homechef</x:v>
      </x:c>
      <x:c r="M593"/>
      <x:c r="N593" t="str">
        <x:v>Công ty TNHH mỹ phẩm Việt Hương</x:v>
      </x:c>
      <x:c r="O593" t="str">
        <x:v>Đình chỉ lưu hành, thu hồi và tiêu hủy – Công văn 1772/QLD-MP</x:v>
      </x:c>
      <x:c r="P593" t="str">
        <x:v>A++ – Cục Quản lý Dược; tổ chức chịu trách nhiệm explicit</x:v>
      </x:c>
      <x:c r="Q593" t="str">
        <x:v>Phụ lục 511 sản phẩm, STT 228, trang 9. Công ty Việt Hương là cơ sở sản xuất; cột tổ chức chịu trách nhiệm lấy nguyên văn từ phụ lục.</x:v>
      </x:c>
      <x:c r="R593" t="str">
        <x:v>https://dav.gov.vn/cong-van-so-1772qld-mp-ve-viec-dinh-chi-luu-hanh-thu-hoi-va-tieu-huy-my-pham-vi-pham-cong-ty-tnhh-my-pham-viet-huong-n5334.html</x:v>
      </x:c>
      <x:c r="S593" t="str">
        <x:v>Hà Nội</x:v>
      </x:c>
      <x:c r="T593" t="str">
        <x:v>01</x:v>
      </x:c>
    </x:row>
    <x:row r="594">
      <x:c r="A594" t="n">
        <x:v>593</x:v>
      </x:c>
      <x:c r="B594" s="330"/>
      <x:c r="C594" s="330" t="n">
        <x:v>46155</x:v>
      </x:c>
      <x:c r="D594" t="n">
        <x:v>2022</x:v>
      </x:c>
      <x:c r="E594"/>
      <x:c r="F594" t="str">
        <x:v>14700/22/CBMP-HN</x:v>
      </x:c>
      <x:c r="G594"/>
      <x:c r="H594" t="str">
        <x:v>Son dưỡng Trái Bơ Hoa Hồng Thơm</x:v>
      </x:c>
      <x:c r="I594"/>
      <x:c r="J594" t="str">
        <x:v>Khác</x:v>
      </x:c>
      <x:c r="K594"/>
      <x:c r="L594" t="str">
        <x:v>Công ty TNHH mỹ phẩm thiên nhiên Dalat De Beauté</x:v>
      </x:c>
      <x:c r="M594"/>
      <x:c r="N594" t="str">
        <x:v>Công ty TNHH mỹ phẩm Việt Hương</x:v>
      </x:c>
      <x:c r="O594" t="str">
        <x:v>Đình chỉ lưu hành, thu hồi và tiêu hủy – Công văn 1772/QLD-MP</x:v>
      </x:c>
      <x:c r="P594" t="str">
        <x:v>A++ – Cục Quản lý Dược; tổ chức chịu trách nhiệm explicit</x:v>
      </x:c>
      <x:c r="Q594" t="str">
        <x:v>Phụ lục 511 sản phẩm, STT 229, trang 9. Công ty Việt Hương là cơ sở sản xuất; cột tổ chức chịu trách nhiệm lấy nguyên văn từ phụ lục.</x:v>
      </x:c>
      <x:c r="R594" t="str">
        <x:v>https://dav.gov.vn/cong-van-so-1772qld-mp-ve-viec-dinh-chi-luu-hanh-thu-hoi-va-tieu-huy-my-pham-vi-pham-cong-ty-tnhh-my-pham-viet-huong-n5334.html</x:v>
      </x:c>
      <x:c r="S594" t="str">
        <x:v>Hà Nội</x:v>
      </x:c>
      <x:c r="T594" t="str">
        <x:v>01</x:v>
      </x:c>
    </x:row>
    <x:row r="595">
      <x:c r="A595" t="n">
        <x:v>594</x:v>
      </x:c>
      <x:c r="B595" s="330"/>
      <x:c r="C595" s="330" t="n">
        <x:v>46155</x:v>
      </x:c>
      <x:c r="D595" t="n">
        <x:v>2022</x:v>
      </x:c>
      <x:c r="E595"/>
      <x:c r="F595" t="str">
        <x:v>14701/22/CBMP-HN</x:v>
      </x:c>
      <x:c r="G595"/>
      <x:c r="H595" t="str">
        <x:v>Son dưỡng Trái Bơ</x:v>
      </x:c>
      <x:c r="I595"/>
      <x:c r="J595" t="str">
        <x:v>Khác</x:v>
      </x:c>
      <x:c r="K595"/>
      <x:c r="L595" t="str">
        <x:v>Công ty TNHH mỹ phẩm thiên nhiên Dalat De Beauté</x:v>
      </x:c>
      <x:c r="M595"/>
      <x:c r="N595" t="str">
        <x:v>Công ty TNHH mỹ phẩm Việt Hương</x:v>
      </x:c>
      <x:c r="O595" t="str">
        <x:v>Đình chỉ lưu hành, thu hồi và tiêu hủy – Công văn 1772/QLD-MP</x:v>
      </x:c>
      <x:c r="P595" t="str">
        <x:v>A++ – Cục Quản lý Dược; tổ chức chịu trách nhiệm explicit</x:v>
      </x:c>
      <x:c r="Q595" t="str">
        <x:v>Phụ lục 511 sản phẩm, STT 230, trang 9. Công ty Việt Hương là cơ sở sản xuất; cột tổ chức chịu trách nhiệm lấy nguyên văn từ phụ lục.</x:v>
      </x:c>
      <x:c r="R595" t="str">
        <x:v>https://dav.gov.vn/cong-van-so-1772qld-mp-ve-viec-dinh-chi-luu-hanh-thu-hoi-va-tieu-huy-my-pham-vi-pham-cong-ty-tnhh-my-pham-viet-huong-n5334.html</x:v>
      </x:c>
      <x:c r="S595" t="str">
        <x:v>Hà Nội</x:v>
      </x:c>
      <x:c r="T595" t="str">
        <x:v>01</x:v>
      </x:c>
    </x:row>
    <x:row r="596">
      <x:c r="A596" t="n">
        <x:v>595</x:v>
      </x:c>
      <x:c r="B596" s="330"/>
      <x:c r="C596" s="330" t="n">
        <x:v>46155</x:v>
      </x:c>
      <x:c r="D596" t="n">
        <x:v>2022</x:v>
      </x:c>
      <x:c r="E596"/>
      <x:c r="F596" t="str">
        <x:v>14702/22/CBMP-HN</x:v>
      </x:c>
      <x:c r="G596"/>
      <x:c r="H596" t="str">
        <x:v>Forget Me Not</x:v>
      </x:c>
      <x:c r="I596"/>
      <x:c r="J596" t="str">
        <x:v>Khác</x:v>
      </x:c>
      <x:c r="K596"/>
      <x:c r="L596" t="str">
        <x:v>Công ty TNHH mỹ phẩm thiên nhiên Dalat De Beauté</x:v>
      </x:c>
      <x:c r="M596"/>
      <x:c r="N596" t="str">
        <x:v>Công ty TNHH mỹ phẩm Việt Hương</x:v>
      </x:c>
      <x:c r="O596" t="str">
        <x:v>Đình chỉ lưu hành, thu hồi và tiêu hủy – Công văn 1772/QLD-MP</x:v>
      </x:c>
      <x:c r="P596" t="str">
        <x:v>A++ – Cục Quản lý Dược; tổ chức chịu trách nhiệm explicit</x:v>
      </x:c>
      <x:c r="Q596" t="str">
        <x:v>Phụ lục 511 sản phẩm, STT 231, trang 9. Công ty Việt Hương là cơ sở sản xuất; cột tổ chức chịu trách nhiệm lấy nguyên văn từ phụ lục.</x:v>
      </x:c>
      <x:c r="R596" t="str">
        <x:v>https://dav.gov.vn/cong-van-so-1772qld-mp-ve-viec-dinh-chi-luu-hanh-thu-hoi-va-tieu-huy-my-pham-vi-pham-cong-ty-tnhh-my-pham-viet-huong-n5334.html</x:v>
      </x:c>
      <x:c r="S596" t="str">
        <x:v>Hà Nội</x:v>
      </x:c>
      <x:c r="T596" t="str">
        <x:v>01</x:v>
      </x:c>
    </x:row>
    <x:row r="597">
      <x:c r="A597" t="n">
        <x:v>596</x:v>
      </x:c>
      <x:c r="B597" s="330"/>
      <x:c r="C597" s="330" t="n">
        <x:v>46155</x:v>
      </x:c>
      <x:c r="D597" t="n">
        <x:v>2022</x:v>
      </x:c>
      <x:c r="E597"/>
      <x:c r="F597" t="str">
        <x:v>14778/22/CBMP-HN</x:v>
      </x:c>
      <x:c r="G597"/>
      <x:c r="H597" t="str">
        <x:v>Serum</x:v>
      </x:c>
      <x:c r="I597"/>
      <x:c r="J597" t="str">
        <x:v>Serum/Essence da</x:v>
      </x:c>
      <x:c r="K597"/>
      <x:c r="L597" t="str">
        <x:v>Công ty TNHH MH Authentic</x:v>
      </x:c>
      <x:c r="M597"/>
      <x:c r="N597" t="str">
        <x:v>Công ty TNHH mỹ phẩm Việt Hương</x:v>
      </x:c>
      <x:c r="O597" t="str">
        <x:v>Đình chỉ lưu hành, thu hồi và tiêu hủy – Công văn 1772/QLD-MP</x:v>
      </x:c>
      <x:c r="P597" t="str">
        <x:v>A++ – Cục Quản lý Dược; tổ chức chịu trách nhiệm explicit</x:v>
      </x:c>
      <x:c r="Q597" t="str">
        <x:v>Phụ lục 511 sản phẩm, STT 232, trang 9. Công ty Việt Hương là cơ sở sản xuất; cột tổ chức chịu trách nhiệm lấy nguyên văn từ phụ lục.</x:v>
      </x:c>
      <x:c r="R597" t="str">
        <x:v>https://dav.gov.vn/cong-van-so-1772qld-mp-ve-viec-dinh-chi-luu-hanh-thu-hoi-va-tieu-huy-my-pham-vi-pham-cong-ty-tnhh-my-pham-viet-huong-n5334.html</x:v>
      </x:c>
      <x:c r="S597" t="str">
        <x:v>Hà Nội</x:v>
      </x:c>
      <x:c r="T597" t="str">
        <x:v>01</x:v>
      </x:c>
    </x:row>
    <x:row r="598">
      <x:c r="A598" t="n">
        <x:v>597</x:v>
      </x:c>
      <x:c r="B598" s="330"/>
      <x:c r="C598" s="330" t="n">
        <x:v>46155</x:v>
      </x:c>
      <x:c r="D598" t="n">
        <x:v>2022</x:v>
      </x:c>
      <x:c r="E598"/>
      <x:c r="F598" t="str">
        <x:v>14779/22/CBMP-HN</x:v>
      </x:c>
      <x:c r="G598"/>
      <x:c r="H598" t="str">
        <x:v>Kem bôi da</x:v>
      </x:c>
      <x:c r="I598"/>
      <x:c r="J598" t="str">
        <x:v>Khác</x:v>
      </x:c>
      <x:c r="K598"/>
      <x:c r="L598" t="str">
        <x:v>Công ty TNHH MH Authentic</x:v>
      </x:c>
      <x:c r="M598"/>
      <x:c r="N598" t="str">
        <x:v>Công ty TNHH mỹ phẩm Việt Hương</x:v>
      </x:c>
      <x:c r="O598" t="str">
        <x:v>Đình chỉ lưu hành, thu hồi và tiêu hủy – Công văn 1772/QLD-MP</x:v>
      </x:c>
      <x:c r="P598" t="str">
        <x:v>A++ – Cục Quản lý Dược; tổ chức chịu trách nhiệm explicit</x:v>
      </x:c>
      <x:c r="Q598" t="str">
        <x:v>Phụ lục 511 sản phẩm, STT 233, trang 9. Công ty Việt Hương là cơ sở sản xuất; cột tổ chức chịu trách nhiệm lấy nguyên văn từ phụ lục.</x:v>
      </x:c>
      <x:c r="R598" t="str">
        <x:v>https://dav.gov.vn/cong-van-so-1772qld-mp-ve-viec-dinh-chi-luu-hanh-thu-hoi-va-tieu-huy-my-pham-vi-pham-cong-ty-tnhh-my-pham-viet-huong-n5334.html</x:v>
      </x:c>
      <x:c r="S598" t="str">
        <x:v>Hà Nội</x:v>
      </x:c>
      <x:c r="T598" t="str">
        <x:v>01</x:v>
      </x:c>
    </x:row>
    <x:row r="599">
      <x:c r="A599" t="n">
        <x:v>598</x:v>
      </x:c>
      <x:c r="B599" s="330"/>
      <x:c r="C599" s="330" t="n">
        <x:v>46155</x:v>
      </x:c>
      <x:c r="D599" t="n">
        <x:v>2022</x:v>
      </x:c>
      <x:c r="E599"/>
      <x:c r="F599" t="str">
        <x:v>14788/22/CBMP-HN</x:v>
      </x:c>
      <x:c r="G599"/>
      <x:c r="H599" t="str">
        <x:v>Glossy Skin Serum</x:v>
      </x:c>
      <x:c r="I599"/>
      <x:c r="J599" t="str">
        <x:v>Serum/Essence da</x:v>
      </x:c>
      <x:c r="K599"/>
      <x:c r="L599" t="str">
        <x:v>Công ty TNHH mỹ phẩm Amoon</x:v>
      </x:c>
      <x:c r="M599"/>
      <x:c r="N599" t="str">
        <x:v>Công ty TNHH mỹ phẩm Việt Hương</x:v>
      </x:c>
      <x:c r="O599" t="str">
        <x:v>Đình chỉ lưu hành, thu hồi và tiêu hủy – Công văn 1772/QLD-MP</x:v>
      </x:c>
      <x:c r="P599" t="str">
        <x:v>A++ – Cục Quản lý Dược; tổ chức chịu trách nhiệm explicit</x:v>
      </x:c>
      <x:c r="Q599" t="str">
        <x:v>Phụ lục 511 sản phẩm, STT 234, trang 9. Công ty Việt Hương là cơ sở sản xuất; cột tổ chức chịu trách nhiệm lấy nguyên văn từ phụ lục.</x:v>
      </x:c>
      <x:c r="R599" t="str">
        <x:v>https://dav.gov.vn/cong-van-so-1772qld-mp-ve-viec-dinh-chi-luu-hanh-thu-hoi-va-tieu-huy-my-pham-vi-pham-cong-ty-tnhh-my-pham-viet-huong-n5334.html</x:v>
      </x:c>
      <x:c r="S599" t="str">
        <x:v>Hà Nội</x:v>
      </x:c>
      <x:c r="T599" t="str">
        <x:v>01</x:v>
      </x:c>
    </x:row>
    <x:row r="600">
      <x:c r="A600" t="n">
        <x:v>599</x:v>
      </x:c>
      <x:c r="B600" s="330"/>
      <x:c r="C600" s="330" t="n">
        <x:v>46155</x:v>
      </x:c>
      <x:c r="D600" t="n">
        <x:v>2023</x:v>
      </x:c>
      <x:c r="E600"/>
      <x:c r="F600" t="str">
        <x:v>15269/23/CBMP-HN</x:v>
      </x:c>
      <x:c r="G600"/>
      <x:c r="H600" t="str">
        <x:v>Day Cream</x:v>
      </x:c>
      <x:c r="I600"/>
      <x:c r="J600" t="str">
        <x:v>Kem dưỡng da</x:v>
      </x:c>
      <x:c r="K600"/>
      <x:c r="L600" t="str">
        <x:v>Công ty CP đầu tư quốc tế Dược mỹ phẩm An Phát</x:v>
      </x:c>
      <x:c r="M600"/>
      <x:c r="N600" t="str">
        <x:v>Công ty TNHH mỹ phẩm Việt Hương</x:v>
      </x:c>
      <x:c r="O600" t="str">
        <x:v>Đình chỉ lưu hành, thu hồi và tiêu hủy – Công văn 1772/QLD-MP</x:v>
      </x:c>
      <x:c r="P600" t="str">
        <x:v>A++ – Cục Quản lý Dược; tổ chức chịu trách nhiệm explicit</x:v>
      </x:c>
      <x:c r="Q600" t="str">
        <x:v>Phụ lục 511 sản phẩm, STT 235, trang 9. Công ty Việt Hương là cơ sở sản xuất; cột tổ chức chịu trách nhiệm lấy nguyên văn từ phụ lục.</x:v>
      </x:c>
      <x:c r="R600" t="str">
        <x:v>https://dav.gov.vn/cong-van-so-1772qld-mp-ve-viec-dinh-chi-luu-hanh-thu-hoi-va-tieu-huy-my-pham-vi-pham-cong-ty-tnhh-my-pham-viet-huong-n5334.html</x:v>
      </x:c>
      <x:c r="S600" t="str">
        <x:v>Hà Nội</x:v>
      </x:c>
      <x:c r="T600" t="str">
        <x:v>01</x:v>
      </x:c>
    </x:row>
    <x:row r="601">
      <x:c r="A601" t="n">
        <x:v>600</x:v>
      </x:c>
      <x:c r="B601" s="330"/>
      <x:c r="C601" s="330" t="n">
        <x:v>46155</x:v>
      </x:c>
      <x:c r="D601" t="n">
        <x:v>2023</x:v>
      </x:c>
      <x:c r="E601"/>
      <x:c r="F601" t="str">
        <x:v>15270/23/CBMP-HN</x:v>
      </x:c>
      <x:c r="G601"/>
      <x:c r="H601" t="str">
        <x:v>Night Cream</x:v>
      </x:c>
      <x:c r="I601"/>
      <x:c r="J601" t="str">
        <x:v>Kem dưỡng da</x:v>
      </x:c>
      <x:c r="K601"/>
      <x:c r="L601" t="str">
        <x:v>Công ty CP đầu tư quốc tế Dược mỹ phẩm An Phát</x:v>
      </x:c>
      <x:c r="M601"/>
      <x:c r="N601" t="str">
        <x:v>Công ty TNHH mỹ phẩm Việt Hương</x:v>
      </x:c>
      <x:c r="O601" t="str">
        <x:v>Đình chỉ lưu hành, thu hồi và tiêu hủy – Công văn 1772/QLD-MP</x:v>
      </x:c>
      <x:c r="P601" t="str">
        <x:v>A++ – Cục Quản lý Dược; tổ chức chịu trách nhiệm explicit</x:v>
      </x:c>
      <x:c r="Q601" t="str">
        <x:v>Phụ lục 511 sản phẩm, STT 236, trang 9. Công ty Việt Hương là cơ sở sản xuất; cột tổ chức chịu trách nhiệm lấy nguyên văn từ phụ lục.</x:v>
      </x:c>
      <x:c r="R601" t="str">
        <x:v>https://dav.gov.vn/cong-van-so-1772qld-mp-ve-viec-dinh-chi-luu-hanh-thu-hoi-va-tieu-huy-my-pham-vi-pham-cong-ty-tnhh-my-pham-viet-huong-n5334.html</x:v>
      </x:c>
      <x:c r="S601" t="str">
        <x:v>Hà Nội</x:v>
      </x:c>
      <x:c r="T601" t="str">
        <x:v>01</x:v>
      </x:c>
    </x:row>
    <x:row r="602">
      <x:c r="A602" t="n">
        <x:v>601</x:v>
      </x:c>
      <x:c r="B602" s="330"/>
      <x:c r="C602" s="330" t="n">
        <x:v>46155</x:v>
      </x:c>
      <x:c r="D602" t="n">
        <x:v>2023</x:v>
      </x:c>
      <x:c r="E602"/>
      <x:c r="F602" t="str">
        <x:v>15273/23/CBMP-HN</x:v>
      </x:c>
      <x:c r="G602"/>
      <x:c r="H602" t="str">
        <x:v>Hair Lotion</x:v>
      </x:c>
      <x:c r="I602"/>
      <x:c r="J602" t="str">
        <x:v>Kem dưỡng da</x:v>
      </x:c>
      <x:c r="K602"/>
      <x:c r="L602" t="str">
        <x:v>Công ty cổ phần quốc tế Danis Group</x:v>
      </x:c>
      <x:c r="M602"/>
      <x:c r="N602" t="str">
        <x:v>Công ty TNHH mỹ phẩm Việt Hương</x:v>
      </x:c>
      <x:c r="O602" t="str">
        <x:v>Đình chỉ lưu hành, thu hồi và tiêu hủy – Công văn 1772/QLD-MP</x:v>
      </x:c>
      <x:c r="P602" t="str">
        <x:v>A++ – Cục Quản lý Dược; tổ chức chịu trách nhiệm explicit</x:v>
      </x:c>
      <x:c r="Q602" t="str">
        <x:v>Phụ lục 511 sản phẩm, STT 237, trang 9. Công ty Việt Hương là cơ sở sản xuất; cột tổ chức chịu trách nhiệm lấy nguyên văn từ phụ lục.</x:v>
      </x:c>
      <x:c r="R602" t="str">
        <x:v>https://dav.gov.vn/cong-van-so-1772qld-mp-ve-viec-dinh-chi-luu-hanh-thu-hoi-va-tieu-huy-my-pham-vi-pham-cong-ty-tnhh-my-pham-viet-huong-n5334.html</x:v>
      </x:c>
      <x:c r="S602" t="str">
        <x:v>Hà Nội</x:v>
      </x:c>
      <x:c r="T602" t="str">
        <x:v>01</x:v>
      </x:c>
    </x:row>
    <x:row r="603">
      <x:c r="A603" t="n">
        <x:v>602</x:v>
      </x:c>
      <x:c r="B603" s="330"/>
      <x:c r="C603" s="330" t="n">
        <x:v>46155</x:v>
      </x:c>
      <x:c r="D603" t="n">
        <x:v>2023</x:v>
      </x:c>
      <x:c r="E603"/>
      <x:c r="F603" t="str">
        <x:v>16495/23/CBMP-HN</x:v>
      </x:c>
      <x:c r="G603"/>
      <x:c r="H603" t="str">
        <x:v>Dung dịch vệ sinh Nhân Sâm</x:v>
      </x:c>
      <x:c r="I603"/>
      <x:c r="J603" t="str">
        <x:v>Khác</x:v>
      </x:c>
      <x:c r="K603"/>
      <x:c r="L603" t="str">
        <x:v>Công ty cổ phần quốc tế Danis Group</x:v>
      </x:c>
      <x:c r="M603"/>
      <x:c r="N603" t="str">
        <x:v>Công ty TNHH mỹ phẩm Việt Hương</x:v>
      </x:c>
      <x:c r="O603" t="str">
        <x:v>Đình chỉ lưu hành, thu hồi và tiêu hủy – Công văn 1772/QLD-MP</x:v>
      </x:c>
      <x:c r="P603" t="str">
        <x:v>A++ – Cục Quản lý Dược; tổ chức chịu trách nhiệm explicit</x:v>
      </x:c>
      <x:c r="Q603" t="str">
        <x:v>Phụ lục 511 sản phẩm, STT 238, trang 9. Công ty Việt Hương là cơ sở sản xuất; cột tổ chức chịu trách nhiệm lấy nguyên văn từ phụ lục.</x:v>
      </x:c>
      <x:c r="R603" t="str">
        <x:v>https://dav.gov.vn/cong-van-so-1772qld-mp-ve-viec-dinh-chi-luu-hanh-thu-hoi-va-tieu-huy-my-pham-vi-pham-cong-ty-tnhh-my-pham-viet-huong-n5334.html</x:v>
      </x:c>
      <x:c r="S603" t="str">
        <x:v>Hà Nội</x:v>
      </x:c>
      <x:c r="T603" t="str">
        <x:v>01</x:v>
      </x:c>
    </x:row>
    <x:row r="604">
      <x:c r="A604" t="n">
        <x:v>603</x:v>
      </x:c>
      <x:c r="B604" s="330"/>
      <x:c r="C604" s="330" t="n">
        <x:v>46155</x:v>
      </x:c>
      <x:c r="D604" t="n">
        <x:v>2023</x:v>
      </x:c>
      <x:c r="E604"/>
      <x:c r="F604" t="str">
        <x:v>16659/23/CBMP-HN</x:v>
      </x:c>
      <x:c r="G604"/>
      <x:c r="H604" t="str">
        <x:v>Lipstick</x:v>
      </x:c>
      <x:c r="I604"/>
      <x:c r="J604" t="str">
        <x:v>Sản phẩm môi</x:v>
      </x:c>
      <x:c r="K604"/>
      <x:c r="L604" t="str">
        <x:v>Công ty cổ phần quốc tế Danis Group</x:v>
      </x:c>
      <x:c r="M604"/>
      <x:c r="N604" t="str">
        <x:v>Công ty TNHH mỹ phẩm Việt Hương</x:v>
      </x:c>
      <x:c r="O604" t="str">
        <x:v>Đình chỉ lưu hành, thu hồi và tiêu hủy – Công văn 1772/QLD-MP</x:v>
      </x:c>
      <x:c r="P604" t="str">
        <x:v>A++ – Cục Quản lý Dược; tổ chức chịu trách nhiệm explicit</x:v>
      </x:c>
      <x:c r="Q604" t="str">
        <x:v>Phụ lục 511 sản phẩm, STT 239, trang 9. Công ty Việt Hương là cơ sở sản xuất; cột tổ chức chịu trách nhiệm lấy nguyên văn từ phụ lục.</x:v>
      </x:c>
      <x:c r="R604" t="str">
        <x:v>https://dav.gov.vn/cong-van-so-1772qld-mp-ve-viec-dinh-chi-luu-hanh-thu-hoi-va-tieu-huy-my-pham-vi-pham-cong-ty-tnhh-my-pham-viet-huong-n5334.html</x:v>
      </x:c>
      <x:c r="S604" t="str">
        <x:v>Hà Nội</x:v>
      </x:c>
      <x:c r="T604" t="str">
        <x:v>01</x:v>
      </x:c>
    </x:row>
    <x:row r="605">
      <x:c r="A605" t="n">
        <x:v>604</x:v>
      </x:c>
      <x:c r="B605" s="330"/>
      <x:c r="C605" s="330" t="n">
        <x:v>46155</x:v>
      </x:c>
      <x:c r="D605" t="n">
        <x:v>2024</x:v>
      </x:c>
      <x:c r="E605"/>
      <x:c r="F605" t="str">
        <x:v>18982/24/CBMP-HN</x:v>
      </x:c>
      <x:c r="G605"/>
      <x:c r="H605" t="str">
        <x:v>Essence Toner</x:v>
      </x:c>
      <x:c r="I605"/>
      <x:c r="J605" t="str">
        <x:v>Serum/Essence da</x:v>
      </x:c>
      <x:c r="K605"/>
      <x:c r="L605" t="str">
        <x:v>Công ty cổ phần quốc tế Danis Group</x:v>
      </x:c>
      <x:c r="M605"/>
      <x:c r="N605" t="str">
        <x:v>Công ty TNHH mỹ phẩm Việt Hương</x:v>
      </x:c>
      <x:c r="O605" t="str">
        <x:v>Đình chỉ lưu hành, thu hồi và tiêu hủy – Công văn 1772/QLD-MP</x:v>
      </x:c>
      <x:c r="P605" t="str">
        <x:v>A++ – Cục Quản lý Dược; tổ chức chịu trách nhiệm explicit</x:v>
      </x:c>
      <x:c r="Q605" t="str">
        <x:v>Phụ lục 511 sản phẩm, STT 240, trang 9. Công ty Việt Hương là cơ sở sản xuất; cột tổ chức chịu trách nhiệm lấy nguyên văn từ phụ lục.</x:v>
      </x:c>
      <x:c r="R605" t="str">
        <x:v>https://dav.gov.vn/cong-van-so-1772qld-mp-ve-viec-dinh-chi-luu-hanh-thu-hoi-va-tieu-huy-my-pham-vi-pham-cong-ty-tnhh-my-pham-viet-huong-n5334.html</x:v>
      </x:c>
      <x:c r="S605" t="str">
        <x:v>Hà Nội</x:v>
      </x:c>
      <x:c r="T605" t="str">
        <x:v>01</x:v>
      </x:c>
    </x:row>
    <x:row r="606">
      <x:c r="A606" t="n">
        <x:v>605</x:v>
      </x:c>
      <x:c r="B606" s="330"/>
      <x:c r="C606" s="330" t="n">
        <x:v>46155</x:v>
      </x:c>
      <x:c r="D606" t="n">
        <x:v>2024</x:v>
      </x:c>
      <x:c r="E606"/>
      <x:c r="F606" t="str">
        <x:v>18983/24/CBMP-HN</x:v>
      </x:c>
      <x:c r="G606"/>
      <x:c r="H606" t="str">
        <x:v>Micellar Water</x:v>
      </x:c>
      <x:c r="I606"/>
      <x:c r="J606" t="str">
        <x:v>Tẩy trang</x:v>
      </x:c>
      <x:c r="K606"/>
      <x:c r="L606" t="str">
        <x:v>Công ty cổ phần quốc tế Danis Group</x:v>
      </x:c>
      <x:c r="M606"/>
      <x:c r="N606" t="str">
        <x:v>Công ty TNHH mỹ phẩm Việt Hương</x:v>
      </x:c>
      <x:c r="O606" t="str">
        <x:v>Đình chỉ lưu hành, thu hồi và tiêu hủy – Công văn 1772/QLD-MP</x:v>
      </x:c>
      <x:c r="P606" t="str">
        <x:v>A++ – Cục Quản lý Dược; tổ chức chịu trách nhiệm explicit</x:v>
      </x:c>
      <x:c r="Q606" t="str">
        <x:v>Phụ lục 511 sản phẩm, STT 241, trang 9. Công ty Việt Hương là cơ sở sản xuất; cột tổ chức chịu trách nhiệm lấy nguyên văn từ phụ lục.</x:v>
      </x:c>
      <x:c r="R606" t="str">
        <x:v>https://dav.gov.vn/cong-van-so-1772qld-mp-ve-viec-dinh-chi-luu-hanh-thu-hoi-va-tieu-huy-my-pham-vi-pham-cong-ty-tnhh-my-pham-viet-huong-n5334.html</x:v>
      </x:c>
      <x:c r="S606" t="str">
        <x:v>Hà Nội</x:v>
      </x:c>
      <x:c r="T606" t="str">
        <x:v>01</x:v>
      </x:c>
    </x:row>
    <x:row r="607">
      <x:c r="A607" t="n">
        <x:v>606</x:v>
      </x:c>
      <x:c r="B607" s="330"/>
      <x:c r="C607" s="330" t="n">
        <x:v>46155</x:v>
      </x:c>
      <x:c r="D607" t="n">
        <x:v>2024</x:v>
      </x:c>
      <x:c r="E607"/>
      <x:c r="F607" t="str">
        <x:v>19907/24/CBMP-HN</x:v>
      </x:c>
      <x:c r="G607"/>
      <x:c r="H607" t="str">
        <x:v>Acne Removing Essence</x:v>
      </x:c>
      <x:c r="I607"/>
      <x:c r="J607" t="str">
        <x:v>Serum/Essence da</x:v>
      </x:c>
      <x:c r="K607"/>
      <x:c r="L607" t="str">
        <x:v>Công ty cổ phần quốc tế Danis Group</x:v>
      </x:c>
      <x:c r="M607"/>
      <x:c r="N607" t="str">
        <x:v>Công ty TNHH mỹ phẩm Việt Hương</x:v>
      </x:c>
      <x:c r="O607" t="str">
        <x:v>Đình chỉ lưu hành, thu hồi và tiêu hủy – Công văn 1772/QLD-MP</x:v>
      </x:c>
      <x:c r="P607" t="str">
        <x:v>A++ – Cục Quản lý Dược; tổ chức chịu trách nhiệm explicit</x:v>
      </x:c>
      <x:c r="Q607" t="str">
        <x:v>Phụ lục 511 sản phẩm, STT 242, trang 9. Công ty Việt Hương là cơ sở sản xuất; cột tổ chức chịu trách nhiệm lấy nguyên văn từ phụ lục.</x:v>
      </x:c>
      <x:c r="R607" t="str">
        <x:v>https://dav.gov.vn/cong-van-so-1772qld-mp-ve-viec-dinh-chi-luu-hanh-thu-hoi-va-tieu-huy-my-pham-vi-pham-cong-ty-tnhh-my-pham-viet-huong-n5334.html</x:v>
      </x:c>
      <x:c r="S607" t="str">
        <x:v>Hà Nội</x:v>
      </x:c>
      <x:c r="T607" t="str">
        <x:v>01</x:v>
      </x:c>
    </x:row>
    <x:row r="608">
      <x:c r="A608" t="n">
        <x:v>607</x:v>
      </x:c>
      <x:c r="B608" s="330"/>
      <x:c r="C608" s="330" t="n">
        <x:v>46155</x:v>
      </x:c>
      <x:c r="D608" t="n">
        <x:v>2023</x:v>
      </x:c>
      <x:c r="E608"/>
      <x:c r="F608" t="str">
        <x:v>15419/23/CBMP-HN</x:v>
      </x:c>
      <x:c r="G608"/>
      <x:c r="H608" t="str">
        <x:v>Lipstick</x:v>
      </x:c>
      <x:c r="I608"/>
      <x:c r="J608" t="str">
        <x:v>Sản phẩm môi</x:v>
      </x:c>
      <x:c r="K608"/>
      <x:c r="L608" t="str">
        <x:v>Công ty TNHH Dược mỹ phẩm quốc tế Haulink Group</x:v>
      </x:c>
      <x:c r="M608"/>
      <x:c r="N608" t="str">
        <x:v>Công ty TNHH mỹ phẩm Việt Hương</x:v>
      </x:c>
      <x:c r="O608" t="str">
        <x:v>Đình chỉ lưu hành, thu hồi và tiêu hủy – Công văn 1772/QLD-MP</x:v>
      </x:c>
      <x:c r="P608" t="str">
        <x:v>A++ – Cục Quản lý Dược; tổ chức chịu trách nhiệm explicit</x:v>
      </x:c>
      <x:c r="Q608" t="str">
        <x:v>Phụ lục 511 sản phẩm, STT 243, trang 9. Công ty Việt Hương là cơ sở sản xuất; cột tổ chức chịu trách nhiệm lấy nguyên văn từ phụ lục.</x:v>
      </x:c>
      <x:c r="R608" t="str">
        <x:v>https://dav.gov.vn/cong-van-so-1772qld-mp-ve-viec-dinh-chi-luu-hanh-thu-hoi-va-tieu-huy-my-pham-vi-pham-cong-ty-tnhh-my-pham-viet-huong-n5334.html</x:v>
      </x:c>
      <x:c r="S608" t="str">
        <x:v>Hà Nội</x:v>
      </x:c>
      <x:c r="T608" t="str">
        <x:v>01</x:v>
      </x:c>
    </x:row>
    <x:row r="609">
      <x:c r="A609" t="n">
        <x:v>608</x:v>
      </x:c>
      <x:c r="B609" s="330"/>
      <x:c r="C609" s="330" t="n">
        <x:v>46155</x:v>
      </x:c>
      <x:c r="D609" t="n">
        <x:v>2023</x:v>
      </x:c>
      <x:c r="E609"/>
      <x:c r="F609" t="str">
        <x:v>15487/23/CBMP-HN</x:v>
      </x:c>
      <x:c r="G609"/>
      <x:c r="H609" t="str">
        <x:v>Rose Body Lotion</x:v>
      </x:c>
      <x:c r="I609"/>
      <x:c r="J609" t="str">
        <x:v>Kem body</x:v>
      </x:c>
      <x:c r="K609"/>
      <x:c r="L609" t="str">
        <x:v>Công ty TNHH thương mại và dịch vụ mỹ phẩm Mộc Tuyết</x:v>
      </x:c>
      <x:c r="M609"/>
      <x:c r="N609" t="str">
        <x:v>Công ty TNHH mỹ phẩm Việt Hương</x:v>
      </x:c>
      <x:c r="O609" t="str">
        <x:v>Đình chỉ lưu hành, thu hồi và tiêu hủy – Công văn 1772/QLD-MP</x:v>
      </x:c>
      <x:c r="P609" t="str">
        <x:v>A++ – Cục Quản lý Dược; tổ chức chịu trách nhiệm explicit</x:v>
      </x:c>
      <x:c r="Q609" t="str">
        <x:v>Phụ lục 511 sản phẩm, STT 244, trang 9. Công ty Việt Hương là cơ sở sản xuất; cột tổ chức chịu trách nhiệm lấy nguyên văn từ phụ lục.</x:v>
      </x:c>
      <x:c r="R609" t="str">
        <x:v>https://dav.gov.vn/cong-van-so-1772qld-mp-ve-viec-dinh-chi-luu-hanh-thu-hoi-va-tieu-huy-my-pham-vi-pham-cong-ty-tnhh-my-pham-viet-huong-n5334.html</x:v>
      </x:c>
      <x:c r="S609" t="str">
        <x:v>Hà Nội</x:v>
      </x:c>
      <x:c r="T609" t="str">
        <x:v>01</x:v>
      </x:c>
    </x:row>
    <x:row r="610">
      <x:c r="A610" t="n">
        <x:v>609</x:v>
      </x:c>
      <x:c r="B610" s="330"/>
      <x:c r="C610" s="330" t="n">
        <x:v>46155</x:v>
      </x:c>
      <x:c r="D610" t="n">
        <x:v>2023</x:v>
      </x:c>
      <x:c r="E610"/>
      <x:c r="F610" t="str">
        <x:v>15488/23/CBMP-HN</x:v>
      </x:c>
      <x:c r="G610"/>
      <x:c r="H610" t="str">
        <x:v>Rose Body White Bath</x:v>
      </x:c>
      <x:c r="I610"/>
      <x:c r="J610" t="str">
        <x:v>Khác</x:v>
      </x:c>
      <x:c r="K610"/>
      <x:c r="L610" t="str">
        <x:v>Công ty TNHH thương mại và dịch vụ mỹ phẩm Mộc Tuyết</x:v>
      </x:c>
      <x:c r="M610"/>
      <x:c r="N610" t="str">
        <x:v>Công ty TNHH mỹ phẩm Việt Hương</x:v>
      </x:c>
      <x:c r="O610" t="str">
        <x:v>Đình chỉ lưu hành, thu hồi và tiêu hủy – Công văn 1772/QLD-MP</x:v>
      </x:c>
      <x:c r="P610" t="str">
        <x:v>A++ – Cục Quản lý Dược; tổ chức chịu trách nhiệm explicit</x:v>
      </x:c>
      <x:c r="Q610" t="str">
        <x:v>Phụ lục 511 sản phẩm, STT 245, trang 9. Công ty Việt Hương là cơ sở sản xuất; cột tổ chức chịu trách nhiệm lấy nguyên văn từ phụ lục.</x:v>
      </x:c>
      <x:c r="R610" t="str">
        <x:v>https://dav.gov.vn/cong-van-so-1772qld-mp-ve-viec-dinh-chi-luu-hanh-thu-hoi-va-tieu-huy-my-pham-vi-pham-cong-ty-tnhh-my-pham-viet-huong-n5334.html</x:v>
      </x:c>
      <x:c r="S610" t="str">
        <x:v>Hà Nội</x:v>
      </x:c>
      <x:c r="T610" t="str">
        <x:v>01</x:v>
      </x:c>
    </x:row>
    <x:row r="611">
      <x:c r="A611" t="n">
        <x:v>610</x:v>
      </x:c>
      <x:c r="B611" s="330"/>
      <x:c r="C611" s="330" t="n">
        <x:v>46155</x:v>
      </x:c>
      <x:c r="D611" t="n">
        <x:v>2023</x:v>
      </x:c>
      <x:c r="E611"/>
      <x:c r="F611" t="str">
        <x:v>15707/23/CBMP-HN</x:v>
      </x:c>
      <x:c r="G611"/>
      <x:c r="H611" t="str">
        <x:v>Hair Mist</x:v>
      </x:c>
      <x:c r="I611"/>
      <x:c r="J611" t="str">
        <x:v>Khác</x:v>
      </x:c>
      <x:c r="K611"/>
      <x:c r="L611" t="str">
        <x:v>Công ty TNHH thương mại Diệu Linh Diamond</x:v>
      </x:c>
      <x:c r="M611"/>
      <x:c r="N611" t="str">
        <x:v>Công ty TNHH mỹ phẩm Việt Hương</x:v>
      </x:c>
      <x:c r="O611" t="str">
        <x:v>Đình chỉ lưu hành, thu hồi và tiêu hủy – Công văn 1772/QLD-MP</x:v>
      </x:c>
      <x:c r="P611" t="str">
        <x:v>A++ – Cục Quản lý Dược; tổ chức chịu trách nhiệm explicit</x:v>
      </x:c>
      <x:c r="Q611" t="str">
        <x:v>Phụ lục 511 sản phẩm, STT 246, trang 9. Công ty Việt Hương là cơ sở sản xuất; cột tổ chức chịu trách nhiệm lấy nguyên văn từ phụ lục.</x:v>
      </x:c>
      <x:c r="R611" t="str">
        <x:v>https://dav.gov.vn/cong-van-so-1772qld-mp-ve-viec-dinh-chi-luu-hanh-thu-hoi-va-tieu-huy-my-pham-vi-pham-cong-ty-tnhh-my-pham-viet-huong-n5334.html</x:v>
      </x:c>
      <x:c r="S611" t="str">
        <x:v>Hà Nội</x:v>
      </x:c>
      <x:c r="T611" t="str">
        <x:v>01</x:v>
      </x:c>
    </x:row>
    <x:row r="612">
      <x:c r="A612" t="n">
        <x:v>611</x:v>
      </x:c>
      <x:c r="B612" s="330"/>
      <x:c r="C612" s="330" t="n">
        <x:v>46155</x:v>
      </x:c>
      <x:c r="D612" t="n">
        <x:v>2023</x:v>
      </x:c>
      <x:c r="E612"/>
      <x:c r="F612" t="str">
        <x:v>16370/23/CBMP-HN</x:v>
      </x:c>
      <x:c r="G612"/>
      <x:c r="H612" t="str">
        <x:v>X5 Eyelash Care</x:v>
      </x:c>
      <x:c r="I612"/>
      <x:c r="J612" t="str">
        <x:v>Khác</x:v>
      </x:c>
      <x:c r="K612"/>
      <x:c r="L612" t="str">
        <x:v>Công ty TNHH thương mại Diệu Linh Diamond</x:v>
      </x:c>
      <x:c r="M612"/>
      <x:c r="N612" t="str">
        <x:v>Công ty TNHH mỹ phẩm Việt Hương</x:v>
      </x:c>
      <x:c r="O612" t="str">
        <x:v>Đình chỉ lưu hành, thu hồi và tiêu hủy – Công văn 1772/QLD-MP</x:v>
      </x:c>
      <x:c r="P612" t="str">
        <x:v>A++ – Cục Quản lý Dược; tổ chức chịu trách nhiệm explicit</x:v>
      </x:c>
      <x:c r="Q612" t="str">
        <x:v>Phụ lục 511 sản phẩm, STT 247, trang 9. Công ty Việt Hương là cơ sở sản xuất; cột tổ chức chịu trách nhiệm lấy nguyên văn từ phụ lục.</x:v>
      </x:c>
      <x:c r="R612" t="str">
        <x:v>https://dav.gov.vn/cong-van-so-1772qld-mp-ve-viec-dinh-chi-luu-hanh-thu-hoi-va-tieu-huy-my-pham-vi-pham-cong-ty-tnhh-my-pham-viet-huong-n5334.html</x:v>
      </x:c>
      <x:c r="S612" t="str">
        <x:v>Hà Nội</x:v>
      </x:c>
      <x:c r="T612" t="str">
        <x:v>01</x:v>
      </x:c>
    </x:row>
    <x:row r="613">
      <x:c r="A613" t="n">
        <x:v>612</x:v>
      </x:c>
      <x:c r="B613" s="330"/>
      <x:c r="C613" s="330" t="n">
        <x:v>46155</x:v>
      </x:c>
      <x:c r="D613" t="n">
        <x:v>2023</x:v>
      </x:c>
      <x:c r="E613"/>
      <x:c r="F613" t="str">
        <x:v>15708/23/CBMP-HN</x:v>
      </x:c>
      <x:c r="G613"/>
      <x:c r="H613" t="str">
        <x:v>Slimfit Body</x:v>
      </x:c>
      <x:c r="I613"/>
      <x:c r="J613" t="str">
        <x:v>Khác</x:v>
      </x:c>
      <x:c r="K613"/>
      <x:c r="L613" t="str">
        <x:v>Công ty TNHH TM &amp; DV Doris Việt Nam</x:v>
      </x:c>
      <x:c r="M613"/>
      <x:c r="N613" t="str">
        <x:v>Công ty TNHH mỹ phẩm Việt Hương</x:v>
      </x:c>
      <x:c r="O613" t="str">
        <x:v>Đình chỉ lưu hành, thu hồi và tiêu hủy – Công văn 1772/QLD-MP</x:v>
      </x:c>
      <x:c r="P613" t="str">
        <x:v>A++ – Cục Quản lý Dược; tổ chức chịu trách nhiệm explicit</x:v>
      </x:c>
      <x:c r="Q613" t="str">
        <x:v>Phụ lục 511 sản phẩm, STT 248, trang 9. Công ty Việt Hương là cơ sở sản xuất; cột tổ chức chịu trách nhiệm lấy nguyên văn từ phụ lục.</x:v>
      </x:c>
      <x:c r="R613" t="str">
        <x:v>https://dav.gov.vn/cong-van-so-1772qld-mp-ve-viec-dinh-chi-luu-hanh-thu-hoi-va-tieu-huy-my-pham-vi-pham-cong-ty-tnhh-my-pham-viet-huong-n5334.html</x:v>
      </x:c>
      <x:c r="S613" t="str">
        <x:v>Hà Nội</x:v>
      </x:c>
      <x:c r="T613" t="str">
        <x:v>01</x:v>
      </x:c>
    </x:row>
    <x:row r="614">
      <x:c r="A614" t="n">
        <x:v>613</x:v>
      </x:c>
      <x:c r="B614" s="330"/>
      <x:c r="C614" s="330" t="n">
        <x:v>46155</x:v>
      </x:c>
      <x:c r="D614" t="n">
        <x:v>2023</x:v>
      </x:c>
      <x:c r="E614"/>
      <x:c r="F614" t="str">
        <x:v>15797/23/CBMP-HN</x:v>
      </x:c>
      <x:c r="G614"/>
      <x:c r="H614" t="str">
        <x:v>Sun Protection For Perfect Skin</x:v>
      </x:c>
      <x:c r="I614"/>
      <x:c r="J614" t="str">
        <x:v>Khác</x:v>
      </x:c>
      <x:c r="K614"/>
      <x:c r="L614" t="str">
        <x:v>Công ty TNHH Dược mỹ phẩm Mia Pharma</x:v>
      </x:c>
      <x:c r="M614"/>
      <x:c r="N614" t="str">
        <x:v>Công ty TNHH mỹ phẩm Việt Hương</x:v>
      </x:c>
      <x:c r="O614" t="str">
        <x:v>Đình chỉ lưu hành, thu hồi và tiêu hủy – Công văn 1772/QLD-MP</x:v>
      </x:c>
      <x:c r="P614" t="str">
        <x:v>A++ – Cục Quản lý Dược; tổ chức chịu trách nhiệm explicit</x:v>
      </x:c>
      <x:c r="Q614" t="str">
        <x:v>Phụ lục 511 sản phẩm, STT 249, trang 9. Công ty Việt Hương là cơ sở sản xuất; cột tổ chức chịu trách nhiệm lấy nguyên văn từ phụ lục.</x:v>
      </x:c>
      <x:c r="R614" t="str">
        <x:v>https://dav.gov.vn/cong-van-so-1772qld-mp-ve-viec-dinh-chi-luu-hanh-thu-hoi-va-tieu-huy-my-pham-vi-pham-cong-ty-tnhh-my-pham-viet-huong-n5334.html</x:v>
      </x:c>
      <x:c r="S614" t="str">
        <x:v>Hà Nội</x:v>
      </x:c>
      <x:c r="T614" t="str">
        <x:v>01</x:v>
      </x:c>
    </x:row>
    <x:row r="615">
      <x:c r="A615" t="n">
        <x:v>614</x:v>
      </x:c>
      <x:c r="B615" s="330"/>
      <x:c r="C615" s="330" t="n">
        <x:v>46155</x:v>
      </x:c>
      <x:c r="D615" t="n">
        <x:v>2023</x:v>
      </x:c>
      <x:c r="E615"/>
      <x:c r="F615" t="str">
        <x:v>15798/23/CBMP-HN</x:v>
      </x:c>
      <x:c r="G615"/>
      <x:c r="H615" t="str">
        <x:v>Intensive Skin Repair And Whitening</x:v>
      </x:c>
      <x:c r="I615"/>
      <x:c r="J615" t="str">
        <x:v>Khác</x:v>
      </x:c>
      <x:c r="K615"/>
      <x:c r="L615" t="str">
        <x:v>Công ty TNHH Dược mỹ phẩm Mia Pharma</x:v>
      </x:c>
      <x:c r="M615"/>
      <x:c r="N615" t="str">
        <x:v>Công ty TNHH mỹ phẩm Việt Hương</x:v>
      </x:c>
      <x:c r="O615" t="str">
        <x:v>Đình chỉ lưu hành, thu hồi và tiêu hủy – Công văn 1772/QLD-MP</x:v>
      </x:c>
      <x:c r="P615" t="str">
        <x:v>A++ – Cục Quản lý Dược; tổ chức chịu trách nhiệm explicit</x:v>
      </x:c>
      <x:c r="Q615" t="str">
        <x:v>Phụ lục 511 sản phẩm, STT 250, trang 9. Công ty Việt Hương là cơ sở sản xuất; cột tổ chức chịu trách nhiệm lấy nguyên văn từ phụ lục.</x:v>
      </x:c>
      <x:c r="R615" t="str">
        <x:v>https://dav.gov.vn/cong-van-so-1772qld-mp-ve-viec-dinh-chi-luu-hanh-thu-hoi-va-tieu-huy-my-pham-vi-pham-cong-ty-tnhh-my-pham-viet-huong-n5334.html</x:v>
      </x:c>
      <x:c r="S615" t="str">
        <x:v>Hà Nội</x:v>
      </x:c>
      <x:c r="T615" t="str">
        <x:v>01</x:v>
      </x:c>
    </x:row>
    <x:row r="616">
      <x:c r="A616" t="n">
        <x:v>615</x:v>
      </x:c>
      <x:c r="B616" s="330"/>
      <x:c r="C616" s="330" t="n">
        <x:v>46155</x:v>
      </x:c>
      <x:c r="D616" t="n">
        <x:v>2023</x:v>
      </x:c>
      <x:c r="E616"/>
      <x:c r="F616" t="str">
        <x:v>15799/23/CBMP-HN</x:v>
      </x:c>
      <x:c r="G616"/>
      <x:c r="H616" t="str">
        <x:v>Perfect Clean &amp; Soft</x:v>
      </x:c>
      <x:c r="I616"/>
      <x:c r="J616" t="str">
        <x:v>Khác</x:v>
      </x:c>
      <x:c r="K616"/>
      <x:c r="L616" t="str">
        <x:v>Công ty TNHH Dược mỹ phẩm Mia Pharma</x:v>
      </x:c>
      <x:c r="M616"/>
      <x:c r="N616" t="str">
        <x:v>Công ty TNHH mỹ phẩm Việt Hương</x:v>
      </x:c>
      <x:c r="O616" t="str">
        <x:v>Đình chỉ lưu hành, thu hồi và tiêu hủy – Công văn 1772/QLD-MP</x:v>
      </x:c>
      <x:c r="P616" t="str">
        <x:v>A++ – Cục Quản lý Dược; tổ chức chịu trách nhiệm explicit</x:v>
      </x:c>
      <x:c r="Q616" t="str">
        <x:v>Phụ lục 511 sản phẩm, STT 251, trang 10. Công ty Việt Hương là cơ sở sản xuất; cột tổ chức chịu trách nhiệm lấy nguyên văn từ phụ lục.</x:v>
      </x:c>
      <x:c r="R616" t="str">
        <x:v>https://dav.gov.vn/cong-van-so-1772qld-mp-ve-viec-dinh-chi-luu-hanh-thu-hoi-va-tieu-huy-my-pham-vi-pham-cong-ty-tnhh-my-pham-viet-huong-n5334.html</x:v>
      </x:c>
      <x:c r="S616" t="str">
        <x:v>Hà Nội</x:v>
      </x:c>
      <x:c r="T616" t="str">
        <x:v>01</x:v>
      </x:c>
    </x:row>
    <x:row r="617">
      <x:c r="A617" t="n">
        <x:v>616</x:v>
      </x:c>
      <x:c r="B617" s="330"/>
      <x:c r="C617" s="330" t="n">
        <x:v>46155</x:v>
      </x:c>
      <x:c r="D617" t="n">
        <x:v>2023</x:v>
      </x:c>
      <x:c r="E617"/>
      <x:c r="F617" t="str">
        <x:v>16264/23/CBMP-HN</x:v>
      </x:c>
      <x:c r="G617"/>
      <x:c r="H617" t="str">
        <x:v>Anti Odor Serum</x:v>
      </x:c>
      <x:c r="I617"/>
      <x:c r="J617" t="str">
        <x:v>Serum/Essence da</x:v>
      </x:c>
      <x:c r="K617"/>
      <x:c r="L617" t="str">
        <x:v>Công ty TNHH thương mại và đào tạo L.V.X</x:v>
      </x:c>
      <x:c r="M617"/>
      <x:c r="N617" t="str">
        <x:v>Công ty TNHH mỹ phẩm Việt Hương</x:v>
      </x:c>
      <x:c r="O617" t="str">
        <x:v>Đình chỉ lưu hành, thu hồi và tiêu hủy – Công văn 1772/QLD-MP</x:v>
      </x:c>
      <x:c r="P617" t="str">
        <x:v>A++ – Cục Quản lý Dược; tổ chức chịu trách nhiệm explicit</x:v>
      </x:c>
      <x:c r="Q617" t="str">
        <x:v>Phụ lục 511 sản phẩm, STT 252, trang 10. Công ty Việt Hương là cơ sở sản xuất; cột tổ chức chịu trách nhiệm lấy nguyên văn từ phụ lục.</x:v>
      </x:c>
      <x:c r="R617" t="str">
        <x:v>https://dav.gov.vn/cong-van-so-1772qld-mp-ve-viec-dinh-chi-luu-hanh-thu-hoi-va-tieu-huy-my-pham-vi-pham-cong-ty-tnhh-my-pham-viet-huong-n5334.html</x:v>
      </x:c>
      <x:c r="S617" t="str">
        <x:v>Hà Nội</x:v>
      </x:c>
      <x:c r="T617" t="str">
        <x:v>01</x:v>
      </x:c>
    </x:row>
    <x:row r="618">
      <x:c r="A618" t="n">
        <x:v>617</x:v>
      </x:c>
      <x:c r="B618" s="330"/>
      <x:c r="C618" s="330" t="n">
        <x:v>46155</x:v>
      </x:c>
      <x:c r="D618" t="n">
        <x:v>2023</x:v>
      </x:c>
      <x:c r="E618"/>
      <x:c r="F618" t="str">
        <x:v>16265/23/CBMP-HN</x:v>
      </x:c>
      <x:c r="G618"/>
      <x:c r="H618" t="str">
        <x:v>Oral Serum</x:v>
      </x:c>
      <x:c r="I618"/>
      <x:c r="J618" t="str">
        <x:v>Serum/Essence da</x:v>
      </x:c>
      <x:c r="K618"/>
      <x:c r="L618" t="str">
        <x:v>Công ty TNHH thương mại và đào tạo L.V.X</x:v>
      </x:c>
      <x:c r="M618"/>
      <x:c r="N618" t="str">
        <x:v>Công ty TNHH mỹ phẩm Việt Hương</x:v>
      </x:c>
      <x:c r="O618" t="str">
        <x:v>Đình chỉ lưu hành, thu hồi và tiêu hủy – Công văn 1772/QLD-MP</x:v>
      </x:c>
      <x:c r="P618" t="str">
        <x:v>A++ – Cục Quản lý Dược; tổ chức chịu trách nhiệm explicit</x:v>
      </x:c>
      <x:c r="Q618" t="str">
        <x:v>Phụ lục 511 sản phẩm, STT 253, trang 10. Công ty Việt Hương là cơ sở sản xuất; cột tổ chức chịu trách nhiệm lấy nguyên văn từ phụ lục.</x:v>
      </x:c>
      <x:c r="R618" t="str">
        <x:v>https://dav.gov.vn/cong-van-so-1772qld-mp-ve-viec-dinh-chi-luu-hanh-thu-hoi-va-tieu-huy-my-pham-vi-pham-cong-ty-tnhh-my-pham-viet-huong-n5334.html</x:v>
      </x:c>
      <x:c r="S618" t="str">
        <x:v>Hà Nội</x:v>
      </x:c>
      <x:c r="T618" t="str">
        <x:v>01</x:v>
      </x:c>
    </x:row>
    <x:row r="619">
      <x:c r="A619" t="n">
        <x:v>618</x:v>
      </x:c>
      <x:c r="B619" s="330"/>
      <x:c r="C619" s="330" t="n">
        <x:v>46155</x:v>
      </x:c>
      <x:c r="D619" t="n">
        <x:v>2023</x:v>
      </x:c>
      <x:c r="E619"/>
      <x:c r="F619" t="str">
        <x:v>17587/23/CBMP-HN</x:v>
      </x:c>
      <x:c r="G619"/>
      <x:c r="H619" t="str">
        <x:v>Perfect Whitening Scrub</x:v>
      </x:c>
      <x:c r="I619"/>
      <x:c r="J619" t="str">
        <x:v>Khác</x:v>
      </x:c>
      <x:c r="K619"/>
      <x:c r="L619" t="str">
        <x:v>Công ty TNHH thương mại và đào tạo L.V.X</x:v>
      </x:c>
      <x:c r="M619"/>
      <x:c r="N619" t="str">
        <x:v>Công ty TNHH mỹ phẩm Việt Hương</x:v>
      </x:c>
      <x:c r="O619" t="str">
        <x:v>Đình chỉ lưu hành, thu hồi và tiêu hủy – Công văn 1772/QLD-MP</x:v>
      </x:c>
      <x:c r="P619" t="str">
        <x:v>A++ – Cục Quản lý Dược; tổ chức chịu trách nhiệm explicit</x:v>
      </x:c>
      <x:c r="Q619" t="str">
        <x:v>Phụ lục 511 sản phẩm, STT 254, trang 10. Công ty Việt Hương là cơ sở sản xuất; cột tổ chức chịu trách nhiệm lấy nguyên văn từ phụ lục.</x:v>
      </x:c>
      <x:c r="R619" t="str">
        <x:v>https://dav.gov.vn/cong-van-so-1772qld-mp-ve-viec-dinh-chi-luu-hanh-thu-hoi-va-tieu-huy-my-pham-vi-pham-cong-ty-tnhh-my-pham-viet-huong-n5334.html</x:v>
      </x:c>
      <x:c r="S619" t="str">
        <x:v>Hà Nội</x:v>
      </x:c>
      <x:c r="T619" t="str">
        <x:v>01</x:v>
      </x:c>
    </x:row>
    <x:row r="620">
      <x:c r="A620" t="n">
        <x:v>619</x:v>
      </x:c>
      <x:c r="B620" s="330"/>
      <x:c r="C620" s="330" t="n">
        <x:v>46155</x:v>
      </x:c>
      <x:c r="D620" t="n">
        <x:v>2023</x:v>
      </x:c>
      <x:c r="E620"/>
      <x:c r="F620" t="str">
        <x:v>17588/23/CBMP-HN</x:v>
      </x:c>
      <x:c r="G620"/>
      <x:c r="H620" t="str">
        <x:v>Perfect Whitening Mist</x:v>
      </x:c>
      <x:c r="I620"/>
      <x:c r="J620" t="str">
        <x:v>Khác</x:v>
      </x:c>
      <x:c r="K620"/>
      <x:c r="L620" t="str">
        <x:v>Công ty TNHH thương mại và đào tạo L.V.X</x:v>
      </x:c>
      <x:c r="M620"/>
      <x:c r="N620" t="str">
        <x:v>Công ty TNHH mỹ phẩm Việt Hương</x:v>
      </x:c>
      <x:c r="O620" t="str">
        <x:v>Đình chỉ lưu hành, thu hồi và tiêu hủy – Công văn 1772/QLD-MP</x:v>
      </x:c>
      <x:c r="P620" t="str">
        <x:v>A++ – Cục Quản lý Dược; tổ chức chịu trách nhiệm explicit</x:v>
      </x:c>
      <x:c r="Q620" t="str">
        <x:v>Phụ lục 511 sản phẩm, STT 255, trang 10. Công ty Việt Hương là cơ sở sản xuất; cột tổ chức chịu trách nhiệm lấy nguyên văn từ phụ lục.</x:v>
      </x:c>
      <x:c r="R620" t="str">
        <x:v>https://dav.gov.vn/cong-van-so-1772qld-mp-ve-viec-dinh-chi-luu-hanh-thu-hoi-va-tieu-huy-my-pham-vi-pham-cong-ty-tnhh-my-pham-viet-huong-n5334.html</x:v>
      </x:c>
      <x:c r="S620" t="str">
        <x:v>Hà Nội</x:v>
      </x:c>
      <x:c r="T620" t="str">
        <x:v>01</x:v>
      </x:c>
    </x:row>
    <x:row r="621">
      <x:c r="A621" t="n">
        <x:v>620</x:v>
      </x:c>
      <x:c r="B621" s="330"/>
      <x:c r="C621" s="330" t="n">
        <x:v>46155</x:v>
      </x:c>
      <x:c r="D621" t="n">
        <x:v>2023</x:v>
      </x:c>
      <x:c r="E621"/>
      <x:c r="F621" t="str">
        <x:v>16660/23/CBMP-HN</x:v>
      </x:c>
      <x:c r="G621"/>
      <x:c r="H621" t="str">
        <x:v>Serum hôi nách</x:v>
      </x:c>
      <x:c r="I621"/>
      <x:c r="J621" t="str">
        <x:v>Khử mùi</x:v>
      </x:c>
      <x:c r="K621"/>
      <x:c r="L621" t="str">
        <x:v>Công ty TNHH thiết kế thi công xây dựng hoàn thiện</x:v>
      </x:c>
      <x:c r="M621"/>
      <x:c r="N621" t="str">
        <x:v>Công ty TNHH mỹ phẩm Việt Hương</x:v>
      </x:c>
      <x:c r="O621" t="str">
        <x:v>Đình chỉ lưu hành, thu hồi và tiêu hủy – Công văn 1772/QLD-MP</x:v>
      </x:c>
      <x:c r="P621" t="str">
        <x:v>A++ – Cục Quản lý Dược; tổ chức chịu trách nhiệm explicit</x:v>
      </x:c>
      <x:c r="Q621" t="str">
        <x:v>Phụ lục 511 sản phẩm, STT 256, trang 10. Công ty Việt Hương là cơ sở sản xuất; cột tổ chức chịu trách nhiệm lấy nguyên văn từ phụ lục.</x:v>
      </x:c>
      <x:c r="R621" t="str">
        <x:v>https://dav.gov.vn/cong-van-so-1772qld-mp-ve-viec-dinh-chi-luu-hanh-thu-hoi-va-tieu-huy-my-pham-vi-pham-cong-ty-tnhh-my-pham-viet-huong-n5334.html</x:v>
      </x:c>
      <x:c r="S621" t="str">
        <x:v>Hà Nội</x:v>
      </x:c>
      <x:c r="T621" t="str">
        <x:v>01</x:v>
      </x:c>
    </x:row>
    <x:row r="622">
      <x:c r="A622" t="n">
        <x:v>621</x:v>
      </x:c>
      <x:c r="B622" s="330"/>
      <x:c r="C622" s="330" t="n">
        <x:v>46155</x:v>
      </x:c>
      <x:c r="D622" t="n">
        <x:v>2023</x:v>
      </x:c>
      <x:c r="E622"/>
      <x:c r="F622" t="str">
        <x:v>16784/23/CBMP-HN</x:v>
      </x:c>
      <x:c r="G622"/>
      <x:c r="H622" t="str">
        <x:v>Armpit Serum</x:v>
      </x:c>
      <x:c r="I622"/>
      <x:c r="J622" t="str">
        <x:v>Serum/Essence da</x:v>
      </x:c>
      <x:c r="K622"/>
      <x:c r="L622" t="str">
        <x:v>Công ty TNHH Hạnh Triệu</x:v>
      </x:c>
      <x:c r="M622"/>
      <x:c r="N622" t="str">
        <x:v>Công ty TNHH mỹ phẩm Việt Hương</x:v>
      </x:c>
      <x:c r="O622" t="str">
        <x:v>Đình chỉ lưu hành, thu hồi và tiêu hủy – Công văn 1772/QLD-MP</x:v>
      </x:c>
      <x:c r="P622" t="str">
        <x:v>A++ – Cục Quản lý Dược; tổ chức chịu trách nhiệm explicit</x:v>
      </x:c>
      <x:c r="Q622" t="str">
        <x:v>Phụ lục 511 sản phẩm, STT 257, trang 10. Công ty Việt Hương là cơ sở sản xuất; cột tổ chức chịu trách nhiệm lấy nguyên văn từ phụ lục.</x:v>
      </x:c>
      <x:c r="R622" t="str">
        <x:v>https://dav.gov.vn/cong-van-so-1772qld-mp-ve-viec-dinh-chi-luu-hanh-thu-hoi-va-tieu-huy-my-pham-vi-pham-cong-ty-tnhh-my-pham-viet-huong-n5334.html</x:v>
      </x:c>
      <x:c r="S622" t="str">
        <x:v>Hà Nội</x:v>
      </x:c>
      <x:c r="T622" t="str">
        <x:v>01</x:v>
      </x:c>
    </x:row>
    <x:row r="623">
      <x:c r="A623" t="n">
        <x:v>622</x:v>
      </x:c>
      <x:c r="B623" s="330"/>
      <x:c r="C623" s="330" t="n">
        <x:v>46155</x:v>
      </x:c>
      <x:c r="D623" t="n">
        <x:v>2023</x:v>
      </x:c>
      <x:c r="E623"/>
      <x:c r="F623" t="str">
        <x:v>17125/23/CBMP-HN</x:v>
      </x:c>
      <x:c r="G623"/>
      <x:c r="H623" t="str">
        <x:v>Sữa rửa mặt tạo bọt Bồ Hòn</x:v>
      </x:c>
      <x:c r="I623"/>
      <x:c r="J623" t="str">
        <x:v>Sữa rửa mặt</x:v>
      </x:c>
      <x:c r="K623"/>
      <x:c r="L623" t="str">
        <x:v>Công ty TNHH Menberry</x:v>
      </x:c>
      <x:c r="M623"/>
      <x:c r="N623" t="str">
        <x:v>Công ty TNHH mỹ phẩm Việt Hương</x:v>
      </x:c>
      <x:c r="O623" t="str">
        <x:v>Đình chỉ lưu hành, thu hồi và tiêu hủy – Công văn 1772/QLD-MP</x:v>
      </x:c>
      <x:c r="P623" t="str">
        <x:v>A++ – Cục Quản lý Dược; tổ chức chịu trách nhiệm explicit</x:v>
      </x:c>
      <x:c r="Q623" t="str">
        <x:v>Phụ lục 511 sản phẩm, STT 258, trang 10. Công ty Việt Hương là cơ sở sản xuất; cột tổ chức chịu trách nhiệm lấy nguyên văn từ phụ lục.</x:v>
      </x:c>
      <x:c r="R623" t="str">
        <x:v>https://dav.gov.vn/cong-van-so-1772qld-mp-ve-viec-dinh-chi-luu-hanh-thu-hoi-va-tieu-huy-my-pham-vi-pham-cong-ty-tnhh-my-pham-viet-huong-n5334.html</x:v>
      </x:c>
      <x:c r="S623" t="str">
        <x:v>Hà Nội</x:v>
      </x:c>
      <x:c r="T623" t="str">
        <x:v>01</x:v>
      </x:c>
    </x:row>
    <x:row r="624">
      <x:c r="A624" t="n">
        <x:v>623</x:v>
      </x:c>
      <x:c r="B624" s="330"/>
      <x:c r="C624" s="330" t="n">
        <x:v>46155</x:v>
      </x:c>
      <x:c r="D624" t="n">
        <x:v>2023</x:v>
      </x:c>
      <x:c r="E624"/>
      <x:c r="F624" t="str">
        <x:v>17285/23/CBMP-HN</x:v>
      </x:c>
      <x:c r="G624"/>
      <x:c r="H624" t="str">
        <x:v>Collagen Lips Balm</x:v>
      </x:c>
      <x:c r="I624"/>
      <x:c r="J624" t="str">
        <x:v>Sản phẩm môi</x:v>
      </x:c>
      <x:c r="K624"/>
      <x:c r="L624" t="str">
        <x:v>Công ty TNHH Regally</x:v>
      </x:c>
      <x:c r="M624"/>
      <x:c r="N624" t="str">
        <x:v>Công ty TNHH mỹ phẩm Việt Hương</x:v>
      </x:c>
      <x:c r="O624" t="str">
        <x:v>Đình chỉ lưu hành, thu hồi và tiêu hủy – Công văn 1772/QLD-MP</x:v>
      </x:c>
      <x:c r="P624" t="str">
        <x:v>A++ – Cục Quản lý Dược; tổ chức chịu trách nhiệm explicit</x:v>
      </x:c>
      <x:c r="Q624" t="str">
        <x:v>Phụ lục 511 sản phẩm, STT 259, trang 10. Công ty Việt Hương là cơ sở sản xuất; cột tổ chức chịu trách nhiệm lấy nguyên văn từ phụ lục.</x:v>
      </x:c>
      <x:c r="R624" t="str">
        <x:v>https://dav.gov.vn/cong-van-so-1772qld-mp-ve-viec-dinh-chi-luu-hanh-thu-hoi-va-tieu-huy-my-pham-vi-pham-cong-ty-tnhh-my-pham-viet-huong-n5334.html</x:v>
      </x:c>
      <x:c r="S624" t="str">
        <x:v>Hà Nội</x:v>
      </x:c>
      <x:c r="T624" t="str">
        <x:v>01</x:v>
      </x:c>
    </x:row>
    <x:row r="625">
      <x:c r="A625" t="n">
        <x:v>624</x:v>
      </x:c>
      <x:c r="B625" s="330"/>
      <x:c r="C625" s="330" t="n">
        <x:v>46155</x:v>
      </x:c>
      <x:c r="D625" t="n">
        <x:v>2023</x:v>
      </x:c>
      <x:c r="E625"/>
      <x:c r="F625" t="str">
        <x:v>17290/23/CBMP-HN</x:v>
      </x:c>
      <x:c r="G625"/>
      <x:c r="H625" t="str">
        <x:v>La Belle Vie Scents</x:v>
      </x:c>
      <x:c r="I625"/>
      <x:c r="J625" t="str">
        <x:v>Khác</x:v>
      </x:c>
      <x:c r="K625"/>
      <x:c r="L625" t="str">
        <x:v>Công ty cổ phần tập đoàn The World</x:v>
      </x:c>
      <x:c r="M625"/>
      <x:c r="N625" t="str">
        <x:v>Công ty TNHH mỹ phẩm Việt Hương</x:v>
      </x:c>
      <x:c r="O625" t="str">
        <x:v>Đình chỉ lưu hành, thu hồi và tiêu hủy – Công văn 1772/QLD-MP</x:v>
      </x:c>
      <x:c r="P625" t="str">
        <x:v>A++ – Cục Quản lý Dược; tổ chức chịu trách nhiệm explicit</x:v>
      </x:c>
      <x:c r="Q625" t="str">
        <x:v>Phụ lục 511 sản phẩm, STT 260, trang 10. Công ty Việt Hương là cơ sở sản xuất; cột tổ chức chịu trách nhiệm lấy nguyên văn từ phụ lục.</x:v>
      </x:c>
      <x:c r="R625" t="str">
        <x:v>https://dav.gov.vn/cong-van-so-1772qld-mp-ve-viec-dinh-chi-luu-hanh-thu-hoi-va-tieu-huy-my-pham-vi-pham-cong-ty-tnhh-my-pham-viet-huong-n5334.html</x:v>
      </x:c>
      <x:c r="S625" t="str">
        <x:v>Hà Nội</x:v>
      </x:c>
      <x:c r="T625" t="str">
        <x:v>01</x:v>
      </x:c>
    </x:row>
    <x:row r="626">
      <x:c r="A626" t="n">
        <x:v>625</x:v>
      </x:c>
      <x:c r="B626" s="330"/>
      <x:c r="C626" s="330" t="n">
        <x:v>46155</x:v>
      </x:c>
      <x:c r="D626" t="n">
        <x:v>2023</x:v>
      </x:c>
      <x:c r="E626"/>
      <x:c r="F626" t="str">
        <x:v>17291/23/CBMP-HN</x:v>
      </x:c>
      <x:c r="G626"/>
      <x:c r="H626" t="str">
        <x:v>Narciso Her Scents</x:v>
      </x:c>
      <x:c r="I626"/>
      <x:c r="J626" t="str">
        <x:v>Khác</x:v>
      </x:c>
      <x:c r="K626"/>
      <x:c r="L626" t="str">
        <x:v>Công ty cổ phần tập đoàn The World</x:v>
      </x:c>
      <x:c r="M626"/>
      <x:c r="N626" t="str">
        <x:v>Công ty TNHH mỹ phẩm Việt Hương</x:v>
      </x:c>
      <x:c r="O626" t="str">
        <x:v>Đình chỉ lưu hành, thu hồi và tiêu hủy – Công văn 1772/QLD-MP</x:v>
      </x:c>
      <x:c r="P626" t="str">
        <x:v>A++ – Cục Quản lý Dược; tổ chức chịu trách nhiệm explicit</x:v>
      </x:c>
      <x:c r="Q626" t="str">
        <x:v>Phụ lục 511 sản phẩm, STT 261, trang 10. Công ty Việt Hương là cơ sở sản xuất; cột tổ chức chịu trách nhiệm lấy nguyên văn từ phụ lục.</x:v>
      </x:c>
      <x:c r="R626" t="str">
        <x:v>https://dav.gov.vn/cong-van-so-1772qld-mp-ve-viec-dinh-chi-luu-hanh-thu-hoi-va-tieu-huy-my-pham-vi-pham-cong-ty-tnhh-my-pham-viet-huong-n5334.html</x:v>
      </x:c>
      <x:c r="S626" t="str">
        <x:v>Hà Nội</x:v>
      </x:c>
      <x:c r="T626" t="str">
        <x:v>01</x:v>
      </x:c>
    </x:row>
    <x:row r="627">
      <x:c r="A627" t="n">
        <x:v>626</x:v>
      </x:c>
      <x:c r="B627" s="330"/>
      <x:c r="C627" s="330" t="n">
        <x:v>46155</x:v>
      </x:c>
      <x:c r="D627" t="n">
        <x:v>2023</x:v>
      </x:c>
      <x:c r="E627"/>
      <x:c r="F627" t="str">
        <x:v>17292/23/CBMP-HN</x:v>
      </x:c>
      <x:c r="G627"/>
      <x:c r="H627" t="str">
        <x:v>Coco Scents</x:v>
      </x:c>
      <x:c r="I627"/>
      <x:c r="J627" t="str">
        <x:v>Khác</x:v>
      </x:c>
      <x:c r="K627"/>
      <x:c r="L627" t="str">
        <x:v>Công ty cổ phần tập đoàn The World</x:v>
      </x:c>
      <x:c r="M627"/>
      <x:c r="N627" t="str">
        <x:v>Công ty TNHH mỹ phẩm Việt Hương</x:v>
      </x:c>
      <x:c r="O627" t="str">
        <x:v>Đình chỉ lưu hành, thu hồi và tiêu hủy – Công văn 1772/QLD-MP</x:v>
      </x:c>
      <x:c r="P627" t="str">
        <x:v>A++ – Cục Quản lý Dược; tổ chức chịu trách nhiệm explicit</x:v>
      </x:c>
      <x:c r="Q627" t="str">
        <x:v>Phụ lục 511 sản phẩm, STT 262, trang 10. Công ty Việt Hương là cơ sở sản xuất; cột tổ chức chịu trách nhiệm lấy nguyên văn từ phụ lục.</x:v>
      </x:c>
      <x:c r="R627" t="str">
        <x:v>https://dav.gov.vn/cong-van-so-1772qld-mp-ve-viec-dinh-chi-luu-hanh-thu-hoi-va-tieu-huy-my-pham-vi-pham-cong-ty-tnhh-my-pham-viet-huong-n5334.html</x:v>
      </x:c>
      <x:c r="S627" t="str">
        <x:v>Hà Nội</x:v>
      </x:c>
      <x:c r="T627" t="str">
        <x:v>01</x:v>
      </x:c>
    </x:row>
    <x:row r="628">
      <x:c r="A628" t="n">
        <x:v>627</x:v>
      </x:c>
      <x:c r="B628" s="330"/>
      <x:c r="C628" s="330" t="n">
        <x:v>46155</x:v>
      </x:c>
      <x:c r="D628" t="n">
        <x:v>2023</x:v>
      </x:c>
      <x:c r="E628"/>
      <x:c r="F628" t="str">
        <x:v>17293/23/CBMP-HN</x:v>
      </x:c>
      <x:c r="G628"/>
      <x:c r="H628" t="str">
        <x:v>Good Girl Scents</x:v>
      </x:c>
      <x:c r="I628"/>
      <x:c r="J628" t="str">
        <x:v>Khác</x:v>
      </x:c>
      <x:c r="K628"/>
      <x:c r="L628" t="str">
        <x:v>Công ty cổ phần tập đoàn The World</x:v>
      </x:c>
      <x:c r="M628"/>
      <x:c r="N628" t="str">
        <x:v>Công ty TNHH mỹ phẩm Việt Hương</x:v>
      </x:c>
      <x:c r="O628" t="str">
        <x:v>Đình chỉ lưu hành, thu hồi và tiêu hủy – Công văn 1772/QLD-MP</x:v>
      </x:c>
      <x:c r="P628" t="str">
        <x:v>A++ – Cục Quản lý Dược; tổ chức chịu trách nhiệm explicit</x:v>
      </x:c>
      <x:c r="Q628" t="str">
        <x:v>Phụ lục 511 sản phẩm, STT 263, trang 10. Công ty Việt Hương là cơ sở sản xuất; cột tổ chức chịu trách nhiệm lấy nguyên văn từ phụ lục.</x:v>
      </x:c>
      <x:c r="R628" t="str">
        <x:v>https://dav.gov.vn/cong-van-so-1772qld-mp-ve-viec-dinh-chi-luu-hanh-thu-hoi-va-tieu-huy-my-pham-vi-pham-cong-ty-tnhh-my-pham-viet-huong-n5334.html</x:v>
      </x:c>
      <x:c r="S628" t="str">
        <x:v>Hà Nội</x:v>
      </x:c>
      <x:c r="T628" t="str">
        <x:v>01</x:v>
      </x:c>
    </x:row>
    <x:row r="629">
      <x:c r="A629" t="n">
        <x:v>628</x:v>
      </x:c>
      <x:c r="B629" s="330"/>
      <x:c r="C629" s="330" t="n">
        <x:v>46155</x:v>
      </x:c>
      <x:c r="D629" t="n">
        <x:v>2023</x:v>
      </x:c>
      <x:c r="E629"/>
      <x:c r="F629" t="str">
        <x:v>17294/23/CBMP-HN</x:v>
      </x:c>
      <x:c r="G629"/>
      <x:c r="H629" t="str">
        <x:v>Scandal Scents</x:v>
      </x:c>
      <x:c r="I629"/>
      <x:c r="J629" t="str">
        <x:v>Khác</x:v>
      </x:c>
      <x:c r="K629"/>
      <x:c r="L629" t="str">
        <x:v>Công ty cổ phần tập đoàn The World</x:v>
      </x:c>
      <x:c r="M629"/>
      <x:c r="N629" t="str">
        <x:v>Công ty TNHH mỹ phẩm Việt Hương</x:v>
      </x:c>
      <x:c r="O629" t="str">
        <x:v>Đình chỉ lưu hành, thu hồi và tiêu hủy – Công văn 1772/QLD-MP</x:v>
      </x:c>
      <x:c r="P629" t="str">
        <x:v>A++ – Cục Quản lý Dược; tổ chức chịu trách nhiệm explicit</x:v>
      </x:c>
      <x:c r="Q629" t="str">
        <x:v>Phụ lục 511 sản phẩm, STT 264, trang 10. Công ty Việt Hương là cơ sở sản xuất; cột tổ chức chịu trách nhiệm lấy nguyên văn từ phụ lục.</x:v>
      </x:c>
      <x:c r="R629" t="str">
        <x:v>https://dav.gov.vn/cong-van-so-1772qld-mp-ve-viec-dinh-chi-luu-hanh-thu-hoi-va-tieu-huy-my-pham-vi-pham-cong-ty-tnhh-my-pham-viet-huong-n5334.html</x:v>
      </x:c>
      <x:c r="S629" t="str">
        <x:v>Hà Nội</x:v>
      </x:c>
      <x:c r="T629" t="str">
        <x:v>01</x:v>
      </x:c>
    </x:row>
    <x:row r="630">
      <x:c r="A630" t="n">
        <x:v>629</x:v>
      </x:c>
      <x:c r="B630" s="330"/>
      <x:c r="C630" s="330" t="n">
        <x:v>46155</x:v>
      </x:c>
      <x:c r="D630" t="n">
        <x:v>2023</x:v>
      </x:c>
      <x:c r="E630"/>
      <x:c r="F630" t="str">
        <x:v>17428/23/CBMP-HN</x:v>
      </x:c>
      <x:c r="G630"/>
      <x:c r="H630" t="str">
        <x:v>AHA Skin Peel</x:v>
      </x:c>
      <x:c r="I630"/>
      <x:c r="J630" t="str">
        <x:v>Khác</x:v>
      </x:c>
      <x:c r="K630"/>
      <x:c r="L630" t="str">
        <x:v>Công ty TNHH GDT Korea</x:v>
      </x:c>
      <x:c r="M630"/>
      <x:c r="N630" t="str">
        <x:v>Công ty TNHH mỹ phẩm Việt Hương</x:v>
      </x:c>
      <x:c r="O630" t="str">
        <x:v>Đình chỉ lưu hành, thu hồi và tiêu hủy – Công văn 1772/QLD-MP</x:v>
      </x:c>
      <x:c r="P630" t="str">
        <x:v>A++ – Cục Quản lý Dược; tổ chức chịu trách nhiệm explicit</x:v>
      </x:c>
      <x:c r="Q630" t="str">
        <x:v>Phụ lục 511 sản phẩm, STT 265, trang 10. Công ty Việt Hương là cơ sở sản xuất; cột tổ chức chịu trách nhiệm lấy nguyên văn từ phụ lục.</x:v>
      </x:c>
      <x:c r="R630" t="str">
        <x:v>https://dav.gov.vn/cong-van-so-1772qld-mp-ve-viec-dinh-chi-luu-hanh-thu-hoi-va-tieu-huy-my-pham-vi-pham-cong-ty-tnhh-my-pham-viet-huong-n5334.html</x:v>
      </x:c>
      <x:c r="S630" t="str">
        <x:v>Hà Nội</x:v>
      </x:c>
      <x:c r="T630" t="str">
        <x:v>01</x:v>
      </x:c>
    </x:row>
    <x:row r="631">
      <x:c r="A631" t="n">
        <x:v>630</x:v>
      </x:c>
      <x:c r="B631" s="330"/>
      <x:c r="C631" s="330" t="n">
        <x:v>46155</x:v>
      </x:c>
      <x:c r="D631" t="n">
        <x:v>2023</x:v>
      </x:c>
      <x:c r="E631"/>
      <x:c r="F631" t="str">
        <x:v>17429/23/CBMP-HN</x:v>
      </x:c>
      <x:c r="G631"/>
      <x:c r="H631" t="str">
        <x:v>Melasma Serum</x:v>
      </x:c>
      <x:c r="I631"/>
      <x:c r="J631" t="str">
        <x:v>Serum/Essence da</x:v>
      </x:c>
      <x:c r="K631"/>
      <x:c r="L631" t="str">
        <x:v>Công ty TNHH GDT Korea</x:v>
      </x:c>
      <x:c r="M631"/>
      <x:c r="N631" t="str">
        <x:v>Công ty TNHH mỹ phẩm Việt Hương</x:v>
      </x:c>
      <x:c r="O631" t="str">
        <x:v>Đình chỉ lưu hành, thu hồi và tiêu hủy – Công văn 1772/QLD-MP</x:v>
      </x:c>
      <x:c r="P631" t="str">
        <x:v>A++ – Cục Quản lý Dược; tổ chức chịu trách nhiệm explicit</x:v>
      </x:c>
      <x:c r="Q631" t="str">
        <x:v>Phụ lục 511 sản phẩm, STT 266, trang 10. Công ty Việt Hương là cơ sở sản xuất; cột tổ chức chịu trách nhiệm lấy nguyên văn từ phụ lục.</x:v>
      </x:c>
      <x:c r="R631" t="str">
        <x:v>https://dav.gov.vn/cong-van-so-1772qld-mp-ve-viec-dinh-chi-luu-hanh-thu-hoi-va-tieu-huy-my-pham-vi-pham-cong-ty-tnhh-my-pham-viet-huong-n5334.html</x:v>
      </x:c>
      <x:c r="S631" t="str">
        <x:v>Hà Nội</x:v>
      </x:c>
      <x:c r="T631" t="str">
        <x:v>01</x:v>
      </x:c>
    </x:row>
    <x:row r="632">
      <x:c r="A632" t="n">
        <x:v>631</x:v>
      </x:c>
      <x:c r="B632" s="330"/>
      <x:c r="C632" s="330" t="n">
        <x:v>46155</x:v>
      </x:c>
      <x:c r="D632" t="n">
        <x:v>2023</x:v>
      </x:c>
      <x:c r="E632"/>
      <x:c r="F632" t="str">
        <x:v>17430/23/CBMP-HN</x:v>
      </x:c>
      <x:c r="G632"/>
      <x:c r="H632" t="str">
        <x:v>Melasma Day Cream</x:v>
      </x:c>
      <x:c r="I632"/>
      <x:c r="J632" t="str">
        <x:v>Kem dưỡng da</x:v>
      </x:c>
      <x:c r="K632"/>
      <x:c r="L632" t="str">
        <x:v>Công ty TNHH GDT Korea</x:v>
      </x:c>
      <x:c r="M632"/>
      <x:c r="N632" t="str">
        <x:v>Công ty TNHH mỹ phẩm Việt Hương</x:v>
      </x:c>
      <x:c r="O632" t="str">
        <x:v>Đình chỉ lưu hành, thu hồi và tiêu hủy – Công văn 1772/QLD-MP</x:v>
      </x:c>
      <x:c r="P632" t="str">
        <x:v>A++ – Cục Quản lý Dược; tổ chức chịu trách nhiệm explicit</x:v>
      </x:c>
      <x:c r="Q632" t="str">
        <x:v>Phụ lục 511 sản phẩm, STT 267, trang 10. Công ty Việt Hương là cơ sở sản xuất; cột tổ chức chịu trách nhiệm lấy nguyên văn từ phụ lục.</x:v>
      </x:c>
      <x:c r="R632" t="str">
        <x:v>https://dav.gov.vn/cong-van-so-1772qld-mp-ve-viec-dinh-chi-luu-hanh-thu-hoi-va-tieu-huy-my-pham-vi-pham-cong-ty-tnhh-my-pham-viet-huong-n5334.html</x:v>
      </x:c>
      <x:c r="S632" t="str">
        <x:v>Hà Nội</x:v>
      </x:c>
      <x:c r="T632" t="str">
        <x:v>01</x:v>
      </x:c>
    </x:row>
    <x:row r="633">
      <x:c r="A633" t="n">
        <x:v>632</x:v>
      </x:c>
      <x:c r="B633" s="330"/>
      <x:c r="C633" s="330" t="n">
        <x:v>46155</x:v>
      </x:c>
      <x:c r="D633" t="n">
        <x:v>2023</x:v>
      </x:c>
      <x:c r="E633"/>
      <x:c r="F633" t="str">
        <x:v>17431/23/CBMP-HN</x:v>
      </x:c>
      <x:c r="G633"/>
      <x:c r="H633" t="str">
        <x:v>Melasma Night Cream</x:v>
      </x:c>
      <x:c r="I633"/>
      <x:c r="J633" t="str">
        <x:v>Kem dưỡng da</x:v>
      </x:c>
      <x:c r="K633"/>
      <x:c r="L633" t="str">
        <x:v>Công ty TNHH GDT Korea</x:v>
      </x:c>
      <x:c r="M633"/>
      <x:c r="N633" t="str">
        <x:v>Công ty TNHH mỹ phẩm Việt Hương</x:v>
      </x:c>
      <x:c r="O633" t="str">
        <x:v>Đình chỉ lưu hành, thu hồi và tiêu hủy – Công văn 1772/QLD-MP</x:v>
      </x:c>
      <x:c r="P633" t="str">
        <x:v>A++ – Cục Quản lý Dược; tổ chức chịu trách nhiệm explicit</x:v>
      </x:c>
      <x:c r="Q633" t="str">
        <x:v>Phụ lục 511 sản phẩm, STT 268, trang 10. Công ty Việt Hương là cơ sở sản xuất; cột tổ chức chịu trách nhiệm lấy nguyên văn từ phụ lục.</x:v>
      </x:c>
      <x:c r="R633" t="str">
        <x:v>https://dav.gov.vn/cong-van-so-1772qld-mp-ve-viec-dinh-chi-luu-hanh-thu-hoi-va-tieu-huy-my-pham-vi-pham-cong-ty-tnhh-my-pham-viet-huong-n5334.html</x:v>
      </x:c>
      <x:c r="S633" t="str">
        <x:v>Hà Nội</x:v>
      </x:c>
      <x:c r="T633" t="str">
        <x:v>01</x:v>
      </x:c>
    </x:row>
    <x:row r="634">
      <x:c r="A634" t="n">
        <x:v>633</x:v>
      </x:c>
      <x:c r="B634" s="330"/>
      <x:c r="C634" s="330" t="n">
        <x:v>46155</x:v>
      </x:c>
      <x:c r="D634" t="n">
        <x:v>2023</x:v>
      </x:c>
      <x:c r="E634"/>
      <x:c r="F634" t="str">
        <x:v>18454/23/CBMP-HN</x:v>
      </x:c>
      <x:c r="G634"/>
      <x:c r="H634" t="str">
        <x:v>Pro-Acne 5in1 Serum</x:v>
      </x:c>
      <x:c r="I634"/>
      <x:c r="J634" t="str">
        <x:v>Serum/Essence da</x:v>
      </x:c>
      <x:c r="K634"/>
      <x:c r="L634" t="str">
        <x:v>Công ty TNHH GDT Korea</x:v>
      </x:c>
      <x:c r="M634"/>
      <x:c r="N634" t="str">
        <x:v>Công ty TNHH mỹ phẩm Việt Hương</x:v>
      </x:c>
      <x:c r="O634" t="str">
        <x:v>Đình chỉ lưu hành, thu hồi và tiêu hủy – Công văn 1772/QLD-MP</x:v>
      </x:c>
      <x:c r="P634" t="str">
        <x:v>A++ – Cục Quản lý Dược; tổ chức chịu trách nhiệm explicit</x:v>
      </x:c>
      <x:c r="Q634" t="str">
        <x:v>Phụ lục 511 sản phẩm, STT 269, trang 10. Công ty Việt Hương là cơ sở sản xuất; cột tổ chức chịu trách nhiệm lấy nguyên văn từ phụ lục.</x:v>
      </x:c>
      <x:c r="R634" t="str">
        <x:v>https://dav.gov.vn/cong-van-so-1772qld-mp-ve-viec-dinh-chi-luu-hanh-thu-hoi-va-tieu-huy-my-pham-vi-pham-cong-ty-tnhh-my-pham-viet-huong-n5334.html</x:v>
      </x:c>
      <x:c r="S634" t="str">
        <x:v>Hà Nội</x:v>
      </x:c>
      <x:c r="T634" t="str">
        <x:v>01</x:v>
      </x:c>
    </x:row>
    <x:row r="635">
      <x:c r="A635" t="n">
        <x:v>634</x:v>
      </x:c>
      <x:c r="B635" s="330"/>
      <x:c r="C635" s="330" t="n">
        <x:v>46155</x:v>
      </x:c>
      <x:c r="D635" t="n">
        <x:v>2024</x:v>
      </x:c>
      <x:c r="E635"/>
      <x:c r="F635" t="str">
        <x:v>20366/24/CBMP-HN</x:v>
      </x:c>
      <x:c r="G635"/>
      <x:c r="H635" t="str">
        <x:v>Brightening Body Cream</x:v>
      </x:c>
      <x:c r="I635"/>
      <x:c r="J635" t="str">
        <x:v>Kem body</x:v>
      </x:c>
      <x:c r="K635"/>
      <x:c r="L635" t="str">
        <x:v>Công ty TNHH GDT Korea</x:v>
      </x:c>
      <x:c r="M635"/>
      <x:c r="N635" t="str">
        <x:v>Công ty TNHH mỹ phẩm Việt Hương</x:v>
      </x:c>
      <x:c r="O635" t="str">
        <x:v>Đình chỉ lưu hành, thu hồi và tiêu hủy – Công văn 1772/QLD-MP</x:v>
      </x:c>
      <x:c r="P635" t="str">
        <x:v>A++ – Cục Quản lý Dược; tổ chức chịu trách nhiệm explicit</x:v>
      </x:c>
      <x:c r="Q635" t="str">
        <x:v>Phụ lục 511 sản phẩm, STT 270, trang 10. Công ty Việt Hương là cơ sở sản xuất; cột tổ chức chịu trách nhiệm lấy nguyên văn từ phụ lục.</x:v>
      </x:c>
      <x:c r="R635" t="str">
        <x:v>https://dav.gov.vn/cong-van-so-1772qld-mp-ve-viec-dinh-chi-luu-hanh-thu-hoi-va-tieu-huy-my-pham-vi-pham-cong-ty-tnhh-my-pham-viet-huong-n5334.html</x:v>
      </x:c>
      <x:c r="S635" t="str">
        <x:v>Hà Nội</x:v>
      </x:c>
      <x:c r="T635" t="str">
        <x:v>01</x:v>
      </x:c>
    </x:row>
    <x:row r="636">
      <x:c r="A636" t="n">
        <x:v>635</x:v>
      </x:c>
      <x:c r="B636" s="330"/>
      <x:c r="C636" s="330" t="n">
        <x:v>46155</x:v>
      </x:c>
      <x:c r="D636" t="n">
        <x:v>2023</x:v>
      </x:c>
      <x:c r="E636"/>
      <x:c r="F636" t="str">
        <x:v>18455/23/CBMP-HN</x:v>
      </x:c>
      <x:c r="G636"/>
      <x:c r="H636" t="str">
        <x:v>Pro-Acne 5in1 Cleanser</x:v>
      </x:c>
      <x:c r="I636"/>
      <x:c r="J636" t="str">
        <x:v>Sữa rửa mặt</x:v>
      </x:c>
      <x:c r="K636"/>
      <x:c r="L636" t="str">
        <x:v>Công ty TNHH GDT Korea</x:v>
      </x:c>
      <x:c r="M636"/>
      <x:c r="N636" t="str">
        <x:v>Công ty TNHH mỹ phẩm Việt Hương</x:v>
      </x:c>
      <x:c r="O636" t="str">
        <x:v>Đình chỉ lưu hành, thu hồi và tiêu hủy – Công văn 1772/QLD-MP</x:v>
      </x:c>
      <x:c r="P636" t="str">
        <x:v>A++ – Cục Quản lý Dược; tổ chức chịu trách nhiệm explicit</x:v>
      </x:c>
      <x:c r="Q636" t="str">
        <x:v>Phụ lục 511 sản phẩm, STT 271, trang 10. Công ty Việt Hương là cơ sở sản xuất; cột tổ chức chịu trách nhiệm lấy nguyên văn từ phụ lục.</x:v>
      </x:c>
      <x:c r="R636" t="str">
        <x:v>https://dav.gov.vn/cong-van-so-1772qld-mp-ve-viec-dinh-chi-luu-hanh-thu-hoi-va-tieu-huy-my-pham-vi-pham-cong-ty-tnhh-my-pham-viet-huong-n5334.html</x:v>
      </x:c>
      <x:c r="S636" t="str">
        <x:v>Hà Nội</x:v>
      </x:c>
      <x:c r="T636" t="str">
        <x:v>01</x:v>
      </x:c>
    </x:row>
    <x:row r="637">
      <x:c r="A637" t="n">
        <x:v>636</x:v>
      </x:c>
      <x:c r="B637" s="330"/>
      <x:c r="C637" s="330" t="n">
        <x:v>46155</x:v>
      </x:c>
      <x:c r="D637" t="n">
        <x:v>2023</x:v>
      </x:c>
      <x:c r="E637"/>
      <x:c r="F637" t="str">
        <x:v>18456/23/CBMP-HN</x:v>
      </x:c>
      <x:c r="G637"/>
      <x:c r="H637" t="str">
        <x:v>Whitening 5in1 Cream</x:v>
      </x:c>
      <x:c r="I637"/>
      <x:c r="J637" t="str">
        <x:v>Kem dưỡng da</x:v>
      </x:c>
      <x:c r="K637"/>
      <x:c r="L637" t="str">
        <x:v>Công ty TNHH GDT Korea</x:v>
      </x:c>
      <x:c r="M637"/>
      <x:c r="N637" t="str">
        <x:v>Công ty TNHH mỹ phẩm Việt Hương</x:v>
      </x:c>
      <x:c r="O637" t="str">
        <x:v>Đình chỉ lưu hành, thu hồi và tiêu hủy – Công văn 1772/QLD-MP</x:v>
      </x:c>
      <x:c r="P637" t="str">
        <x:v>A++ – Cục Quản lý Dược; tổ chức chịu trách nhiệm explicit</x:v>
      </x:c>
      <x:c r="Q637" t="str">
        <x:v>Phụ lục 511 sản phẩm, STT 272, trang 10. Công ty Việt Hương là cơ sở sản xuất; cột tổ chức chịu trách nhiệm lấy nguyên văn từ phụ lục.</x:v>
      </x:c>
      <x:c r="R637" t="str">
        <x:v>https://dav.gov.vn/cong-van-so-1772qld-mp-ve-viec-dinh-chi-luu-hanh-thu-hoi-va-tieu-huy-my-pham-vi-pham-cong-ty-tnhh-my-pham-viet-huong-n5334.html</x:v>
      </x:c>
      <x:c r="S637" t="str">
        <x:v>Hà Nội</x:v>
      </x:c>
      <x:c r="T637" t="str">
        <x:v>01</x:v>
      </x:c>
    </x:row>
    <x:row r="638">
      <x:c r="A638" t="n">
        <x:v>637</x:v>
      </x:c>
      <x:c r="B638" s="330"/>
      <x:c r="C638" s="330" t="n">
        <x:v>46155</x:v>
      </x:c>
      <x:c r="D638" t="n">
        <x:v>2023</x:v>
      </x:c>
      <x:c r="E638"/>
      <x:c r="F638" t="str">
        <x:v>18557/23/CBMP-HN</x:v>
      </x:c>
      <x:c r="G638"/>
      <x:c r="H638" t="str">
        <x:v>AHA Skin Peel</x:v>
      </x:c>
      <x:c r="I638"/>
      <x:c r="J638" t="str">
        <x:v>Khác</x:v>
      </x:c>
      <x:c r="K638"/>
      <x:c r="L638" t="str">
        <x:v>Công ty TNHH GDT Korea</x:v>
      </x:c>
      <x:c r="M638"/>
      <x:c r="N638" t="str">
        <x:v>Công ty TNHH mỹ phẩm Việt Hương</x:v>
      </x:c>
      <x:c r="O638" t="str">
        <x:v>Đình chỉ lưu hành, thu hồi và tiêu hủy – Công văn 1772/QLD-MP</x:v>
      </x:c>
      <x:c r="P638" t="str">
        <x:v>A++ – Cục Quản lý Dược; tổ chức chịu trách nhiệm explicit</x:v>
      </x:c>
      <x:c r="Q638" t="str">
        <x:v>Phụ lục 511 sản phẩm, STT 273, trang 10. Công ty Việt Hương là cơ sở sản xuất; cột tổ chức chịu trách nhiệm lấy nguyên văn từ phụ lục.</x:v>
      </x:c>
      <x:c r="R638" t="str">
        <x:v>https://dav.gov.vn/cong-van-so-1772qld-mp-ve-viec-dinh-chi-luu-hanh-thu-hoi-va-tieu-huy-my-pham-vi-pham-cong-ty-tnhh-my-pham-viet-huong-n5334.html</x:v>
      </x:c>
      <x:c r="S638" t="str">
        <x:v>Hà Nội</x:v>
      </x:c>
      <x:c r="T638" t="str">
        <x:v>01</x:v>
      </x:c>
    </x:row>
    <x:row r="639">
      <x:c r="A639" t="n">
        <x:v>638</x:v>
      </x:c>
      <x:c r="B639" s="330"/>
      <x:c r="C639" s="330" t="n">
        <x:v>46155</x:v>
      </x:c>
      <x:c r="D639" t="n">
        <x:v>2023</x:v>
      </x:c>
      <x:c r="E639"/>
      <x:c r="F639" t="str">
        <x:v>17699/23/CBMP-HN</x:v>
      </x:c>
      <x:c r="G639"/>
      <x:c r="H639" t="str">
        <x:v>Whitening Body Cream</x:v>
      </x:c>
      <x:c r="I639"/>
      <x:c r="J639" t="str">
        <x:v>Kem body</x:v>
      </x:c>
      <x:c r="K639"/>
      <x:c r="L639" t="str">
        <x:v>Công ty TNHH thương mại và dịch vụ Hoàng Anh Linh</x:v>
      </x:c>
      <x:c r="M639"/>
      <x:c r="N639" t="str">
        <x:v>Công ty TNHH mỹ phẩm Việt Hương</x:v>
      </x:c>
      <x:c r="O639" t="str">
        <x:v>Đình chỉ lưu hành, thu hồi và tiêu hủy – Công văn 1772/QLD-MP</x:v>
      </x:c>
      <x:c r="P639" t="str">
        <x:v>A++ – Cục Quản lý Dược; tổ chức chịu trách nhiệm explicit</x:v>
      </x:c>
      <x:c r="Q639" t="str">
        <x:v>Phụ lục 511 sản phẩm, STT 274, trang 10. Công ty Việt Hương là cơ sở sản xuất; cột tổ chức chịu trách nhiệm lấy nguyên văn từ phụ lục.</x:v>
      </x:c>
      <x:c r="R639" t="str">
        <x:v>https://dav.gov.vn/cong-van-so-1772qld-mp-ve-viec-dinh-chi-luu-hanh-thu-hoi-va-tieu-huy-my-pham-vi-pham-cong-ty-tnhh-my-pham-viet-huong-n5334.html</x:v>
      </x:c>
      <x:c r="S639" t="str">
        <x:v>Hà Nội</x:v>
      </x:c>
      <x:c r="T639" t="str">
        <x:v>01</x:v>
      </x:c>
    </x:row>
    <x:row r="640">
      <x:c r="A640" t="n">
        <x:v>639</x:v>
      </x:c>
      <x:c r="B640" s="330"/>
      <x:c r="C640" s="330" t="n">
        <x:v>46155</x:v>
      </x:c>
      <x:c r="D640" t="n">
        <x:v>2024</x:v>
      </x:c>
      <x:c r="E640"/>
      <x:c r="F640" t="str">
        <x:v>21388/24/CBMP-HN</x:v>
      </x:c>
      <x:c r="G640"/>
      <x:c r="H640" t="str">
        <x:v>Dakami Black Ginseng Night</x:v>
      </x:c>
      <x:c r="I640"/>
      <x:c r="J640" t="str">
        <x:v>Khác</x:v>
      </x:c>
      <x:c r="K640"/>
      <x:c r="L640" t="str">
        <x:v>Công ty TNHH Dakami Cosmetic</x:v>
      </x:c>
      <x:c r="M640"/>
      <x:c r="N640" t="str">
        <x:v>Công ty TNHH mỹ phẩm Việt Hương</x:v>
      </x:c>
      <x:c r="O640" t="str">
        <x:v>Đình chỉ lưu hành, thu hồi và tiêu hủy – Công văn 1772/QLD-MP</x:v>
      </x:c>
      <x:c r="P640" t="str">
        <x:v>A++ – Cục Quản lý Dược; tổ chức chịu trách nhiệm explicit</x:v>
      </x:c>
      <x:c r="Q640" t="str">
        <x:v>Phụ lục 511 sản phẩm, STT 275, trang 10. Công ty Việt Hương là cơ sở sản xuất; cột tổ chức chịu trách nhiệm lấy nguyên văn từ phụ lục.</x:v>
      </x:c>
      <x:c r="R640" t="str">
        <x:v>https://dav.gov.vn/cong-van-so-1772qld-mp-ve-viec-dinh-chi-luu-hanh-thu-hoi-va-tieu-huy-my-pham-vi-pham-cong-ty-tnhh-my-pham-viet-huong-n5334.html</x:v>
      </x:c>
      <x:c r="S640" t="str">
        <x:v>Hà Nội</x:v>
      </x:c>
      <x:c r="T640" t="str">
        <x:v>01</x:v>
      </x:c>
    </x:row>
    <x:row r="641">
      <x:c r="A641" t="n">
        <x:v>640</x:v>
      </x:c>
      <x:c r="B641" s="330"/>
      <x:c r="C641" s="330" t="n">
        <x:v>46155</x:v>
      </x:c>
      <x:c r="D641" t="n">
        <x:v>2024</x:v>
      </x:c>
      <x:c r="E641"/>
      <x:c r="F641" t="str">
        <x:v>21580/24/CBMP-HN</x:v>
      </x:c>
      <x:c r="G641"/>
      <x:c r="H641" t="str">
        <x:v>Dakami Green Tea Exfoliating Gel</x:v>
      </x:c>
      <x:c r="I641"/>
      <x:c r="J641" t="str">
        <x:v>Khác</x:v>
      </x:c>
      <x:c r="K641"/>
      <x:c r="L641" t="str">
        <x:v>Công ty TNHH Dakami Cosmetic</x:v>
      </x:c>
      <x:c r="M641"/>
      <x:c r="N641" t="str">
        <x:v>Công ty TNHH mỹ phẩm Việt Hương</x:v>
      </x:c>
      <x:c r="O641" t="str">
        <x:v>Đình chỉ lưu hành, thu hồi và tiêu hủy – Công văn 1772/QLD-MP</x:v>
      </x:c>
      <x:c r="P641" t="str">
        <x:v>A++ – Cục Quản lý Dược; tổ chức chịu trách nhiệm explicit</x:v>
      </x:c>
      <x:c r="Q641" t="str">
        <x:v>Phụ lục 511 sản phẩm, STT 276, trang 10. Công ty Việt Hương là cơ sở sản xuất; cột tổ chức chịu trách nhiệm lấy nguyên văn từ phụ lục.</x:v>
      </x:c>
      <x:c r="R641" t="str">
        <x:v>https://dav.gov.vn/cong-van-so-1772qld-mp-ve-viec-dinh-chi-luu-hanh-thu-hoi-va-tieu-huy-my-pham-vi-pham-cong-ty-tnhh-my-pham-viet-huong-n5334.html</x:v>
      </x:c>
      <x:c r="S641" t="str">
        <x:v>Hà Nội</x:v>
      </x:c>
      <x:c r="T641" t="str">
        <x:v>01</x:v>
      </x:c>
    </x:row>
    <x:row r="642">
      <x:c r="A642" t="n">
        <x:v>641</x:v>
      </x:c>
      <x:c r="B642" s="330"/>
      <x:c r="C642" s="330" t="n">
        <x:v>46155</x:v>
      </x:c>
      <x:c r="D642" t="n">
        <x:v>2024</x:v>
      </x:c>
      <x:c r="E642"/>
      <x:c r="F642" t="str">
        <x:v>21581/24/CBMP-HN</x:v>
      </x:c>
      <x:c r="G642"/>
      <x:c r="H642" t="str">
        <x:v>Dakami Cleansing Water</x:v>
      </x:c>
      <x:c r="I642"/>
      <x:c r="J642" t="str">
        <x:v>Khác</x:v>
      </x:c>
      <x:c r="K642"/>
      <x:c r="L642" t="str">
        <x:v>Công ty TNHH Dakami Cosmetic</x:v>
      </x:c>
      <x:c r="M642"/>
      <x:c r="N642" t="str">
        <x:v>Công ty TNHH mỹ phẩm Việt Hương</x:v>
      </x:c>
      <x:c r="O642" t="str">
        <x:v>Đình chỉ lưu hành, thu hồi và tiêu hủy – Công văn 1772/QLD-MP</x:v>
      </x:c>
      <x:c r="P642" t="str">
        <x:v>A++ – Cục Quản lý Dược; tổ chức chịu trách nhiệm explicit</x:v>
      </x:c>
      <x:c r="Q642" t="str">
        <x:v>Phụ lục 511 sản phẩm, STT 277, trang 10. Công ty Việt Hương là cơ sở sản xuất; cột tổ chức chịu trách nhiệm lấy nguyên văn từ phụ lục.</x:v>
      </x:c>
      <x:c r="R642" t="str">
        <x:v>https://dav.gov.vn/cong-van-so-1772qld-mp-ve-viec-dinh-chi-luu-hanh-thu-hoi-va-tieu-huy-my-pham-vi-pham-cong-ty-tnhh-my-pham-viet-huong-n5334.html</x:v>
      </x:c>
      <x:c r="S642" t="str">
        <x:v>Hà Nội</x:v>
      </x:c>
      <x:c r="T642" t="str">
        <x:v>01</x:v>
      </x:c>
    </x:row>
    <x:row r="643">
      <x:c r="A643" t="n">
        <x:v>642</x:v>
      </x:c>
      <x:c r="B643" s="330"/>
      <x:c r="C643" s="330" t="n">
        <x:v>46155</x:v>
      </x:c>
      <x:c r="D643" t="n">
        <x:v>2024</x:v>
      </x:c>
      <x:c r="E643"/>
      <x:c r="F643" t="str">
        <x:v>21641/24/CBMP-HN</x:v>
      </x:c>
      <x:c r="G643"/>
      <x:c r="H643" t="str">
        <x:v>Dakami Black Ginseng Day</x:v>
      </x:c>
      <x:c r="I643"/>
      <x:c r="J643" t="str">
        <x:v>Khác</x:v>
      </x:c>
      <x:c r="K643"/>
      <x:c r="L643" t="str">
        <x:v>Công ty TNHH Dakami Cosmetic</x:v>
      </x:c>
      <x:c r="M643"/>
      <x:c r="N643" t="str">
        <x:v>Công ty TNHH mỹ phẩm Việt Hương</x:v>
      </x:c>
      <x:c r="O643" t="str">
        <x:v>Đình chỉ lưu hành, thu hồi và tiêu hủy – Công văn 1772/QLD-MP</x:v>
      </x:c>
      <x:c r="P643" t="str">
        <x:v>A++ – Cục Quản lý Dược; tổ chức chịu trách nhiệm explicit</x:v>
      </x:c>
      <x:c r="Q643" t="str">
        <x:v>Phụ lục 511 sản phẩm, STT 278, trang 10. Công ty Việt Hương là cơ sở sản xuất; cột tổ chức chịu trách nhiệm lấy nguyên văn từ phụ lục.</x:v>
      </x:c>
      <x:c r="R643" t="str">
        <x:v>https://dav.gov.vn/cong-van-so-1772qld-mp-ve-viec-dinh-chi-luu-hanh-thu-hoi-va-tieu-huy-my-pham-vi-pham-cong-ty-tnhh-my-pham-viet-huong-n5334.html</x:v>
      </x:c>
      <x:c r="S643" t="str">
        <x:v>Hà Nội</x:v>
      </x:c>
      <x:c r="T643" t="str">
        <x:v>01</x:v>
      </x:c>
    </x:row>
    <x:row r="644">
      <x:c r="A644" t="n">
        <x:v>643</x:v>
      </x:c>
      <x:c r="B644" s="330"/>
      <x:c r="C644" s="330" t="n">
        <x:v>46155</x:v>
      </x:c>
      <x:c r="D644" t="n">
        <x:v>2024</x:v>
      </x:c>
      <x:c r="E644"/>
      <x:c r="F644" t="str">
        <x:v>22007/24/CBMP-HN</x:v>
      </x:c>
      <x:c r="G644"/>
      <x:c r="H644" t="str">
        <x:v>Dakami Recovery Cream</x:v>
      </x:c>
      <x:c r="I644"/>
      <x:c r="J644" t="str">
        <x:v>Kem dưỡng da</x:v>
      </x:c>
      <x:c r="K644"/>
      <x:c r="L644" t="str">
        <x:v>Công ty TNHH Dakami Cosmetic</x:v>
      </x:c>
      <x:c r="M644"/>
      <x:c r="N644" t="str">
        <x:v>Công ty TNHH mỹ phẩm Việt Hương</x:v>
      </x:c>
      <x:c r="O644" t="str">
        <x:v>Đình chỉ lưu hành, thu hồi và tiêu hủy – Công văn 1772/QLD-MP</x:v>
      </x:c>
      <x:c r="P644" t="str">
        <x:v>A++ – Cục Quản lý Dược; tổ chức chịu trách nhiệm explicit</x:v>
      </x:c>
      <x:c r="Q644" t="str">
        <x:v>Phụ lục 511 sản phẩm, STT 279, trang 10. Công ty Việt Hương là cơ sở sản xuất; cột tổ chức chịu trách nhiệm lấy nguyên văn từ phụ lục.</x:v>
      </x:c>
      <x:c r="R644" t="str">
        <x:v>https://dav.gov.vn/cong-van-so-1772qld-mp-ve-viec-dinh-chi-luu-hanh-thu-hoi-va-tieu-huy-my-pham-vi-pham-cong-ty-tnhh-my-pham-viet-huong-n5334.html</x:v>
      </x:c>
      <x:c r="S644" t="str">
        <x:v>Hà Nội</x:v>
      </x:c>
      <x:c r="T644" t="str">
        <x:v>01</x:v>
      </x:c>
    </x:row>
    <x:row r="645">
      <x:c r="A645" t="n">
        <x:v>644</x:v>
      </x:c>
      <x:c r="B645" s="330"/>
      <x:c r="C645" s="330" t="n">
        <x:v>46155</x:v>
      </x:c>
      <x:c r="D645" t="n">
        <x:v>2024</x:v>
      </x:c>
      <x:c r="E645"/>
      <x:c r="F645" t="str">
        <x:v>22008/24/CBMP-HN</x:v>
      </x:c>
      <x:c r="G645"/>
      <x:c r="H645" t="str">
        <x:v>Dakami Black Ginseng Day</x:v>
      </x:c>
      <x:c r="I645"/>
      <x:c r="J645" t="str">
        <x:v>Khác</x:v>
      </x:c>
      <x:c r="K645"/>
      <x:c r="L645" t="str">
        <x:v>Công ty TNHH Dakami Cosmetic</x:v>
      </x:c>
      <x:c r="M645"/>
      <x:c r="N645" t="str">
        <x:v>Công ty TNHH mỹ phẩm Việt Hương</x:v>
      </x:c>
      <x:c r="O645" t="str">
        <x:v>Đình chỉ lưu hành, thu hồi và tiêu hủy – Công văn 1772/QLD-MP</x:v>
      </x:c>
      <x:c r="P645" t="str">
        <x:v>A++ – Cục Quản lý Dược; tổ chức chịu trách nhiệm explicit</x:v>
      </x:c>
      <x:c r="Q645" t="str">
        <x:v>Phụ lục 511 sản phẩm, STT 280, trang 10. Công ty Việt Hương là cơ sở sản xuất; cột tổ chức chịu trách nhiệm lấy nguyên văn từ phụ lục.</x:v>
      </x:c>
      <x:c r="R645" t="str">
        <x:v>https://dav.gov.vn/cong-van-so-1772qld-mp-ve-viec-dinh-chi-luu-hanh-thu-hoi-va-tieu-huy-my-pham-vi-pham-cong-ty-tnhh-my-pham-viet-huong-n5334.html</x:v>
      </x:c>
      <x:c r="S645" t="str">
        <x:v>Hà Nội</x:v>
      </x:c>
      <x:c r="T645" t="str">
        <x:v>01</x:v>
      </x:c>
    </x:row>
    <x:row r="646">
      <x:c r="A646" t="n">
        <x:v>645</x:v>
      </x:c>
      <x:c r="B646" s="330"/>
      <x:c r="C646" s="330" t="n">
        <x:v>46155</x:v>
      </x:c>
      <x:c r="D646" t="n">
        <x:v>2024</x:v>
      </x:c>
      <x:c r="E646"/>
      <x:c r="F646" t="str">
        <x:v>22694/24/CBMP-HN</x:v>
      </x:c>
      <x:c r="G646"/>
      <x:c r="H646" t="str">
        <x:v>Dung dịch vệ sinh Trà Xanh</x:v>
      </x:c>
      <x:c r="I646"/>
      <x:c r="J646" t="str">
        <x:v>Khác</x:v>
      </x:c>
      <x:c r="K646"/>
      <x:c r="L646" t="str">
        <x:v>Công ty TNHH Dakami Cosmetic</x:v>
      </x:c>
      <x:c r="M646"/>
      <x:c r="N646" t="str">
        <x:v>Công ty TNHH mỹ phẩm Việt Hương</x:v>
      </x:c>
      <x:c r="O646" t="str">
        <x:v>Đình chỉ lưu hành, thu hồi và tiêu hủy – Công văn 1772/QLD-MP</x:v>
      </x:c>
      <x:c r="P646" t="str">
        <x:v>A++ – Cục Quản lý Dược; tổ chức chịu trách nhiệm explicit</x:v>
      </x:c>
      <x:c r="Q646" t="str">
        <x:v>Phụ lục 511 sản phẩm, STT 281, trang 10. Công ty Việt Hương là cơ sở sản xuất; cột tổ chức chịu trách nhiệm lấy nguyên văn từ phụ lục.</x:v>
      </x:c>
      <x:c r="R646" t="str">
        <x:v>https://dav.gov.vn/cong-van-so-1772qld-mp-ve-viec-dinh-chi-luu-hanh-thu-hoi-va-tieu-huy-my-pham-vi-pham-cong-ty-tnhh-my-pham-viet-huong-n5334.html</x:v>
      </x:c>
      <x:c r="S646" t="str">
        <x:v>Hà Nội</x:v>
      </x:c>
      <x:c r="T646" t="str">
        <x:v>01</x:v>
      </x:c>
    </x:row>
    <x:row r="647">
      <x:c r="A647" t="n">
        <x:v>646</x:v>
      </x:c>
      <x:c r="B647" s="330"/>
      <x:c r="C647" s="330" t="n">
        <x:v>46155</x:v>
      </x:c>
      <x:c r="D647" t="n">
        <x:v>2024</x:v>
      </x:c>
      <x:c r="E647"/>
      <x:c r="F647" t="str">
        <x:v>22696/24/CBMP-HN</x:v>
      </x:c>
      <x:c r="G647"/>
      <x:c r="H647" t="str">
        <x:v>Toner Sâm Đen</x:v>
      </x:c>
      <x:c r="I647"/>
      <x:c r="J647" t="str">
        <x:v>Serum/Essence da</x:v>
      </x:c>
      <x:c r="K647"/>
      <x:c r="L647" t="str">
        <x:v>Công ty TNHH Dakami Cosmetic</x:v>
      </x:c>
      <x:c r="M647"/>
      <x:c r="N647" t="str">
        <x:v>Công ty TNHH mỹ phẩm Việt Hương</x:v>
      </x:c>
      <x:c r="O647" t="str">
        <x:v>Đình chỉ lưu hành, thu hồi và tiêu hủy – Công văn 1772/QLD-MP</x:v>
      </x:c>
      <x:c r="P647" t="str">
        <x:v>A++ – Cục Quản lý Dược; tổ chức chịu trách nhiệm explicit</x:v>
      </x:c>
      <x:c r="Q647" t="str">
        <x:v>Phụ lục 511 sản phẩm, STT 282, trang 10. Công ty Việt Hương là cơ sở sản xuất; cột tổ chức chịu trách nhiệm lấy nguyên văn từ phụ lục.</x:v>
      </x:c>
      <x:c r="R647" t="str">
        <x:v>https://dav.gov.vn/cong-van-so-1772qld-mp-ve-viec-dinh-chi-luu-hanh-thu-hoi-va-tieu-huy-my-pham-vi-pham-cong-ty-tnhh-my-pham-viet-huong-n5334.html</x:v>
      </x:c>
      <x:c r="S647" t="str">
        <x:v>Hà Nội</x:v>
      </x:c>
      <x:c r="T647" t="str">
        <x:v>01</x:v>
      </x:c>
    </x:row>
    <x:row r="648">
      <x:c r="A648" t="n">
        <x:v>647</x:v>
      </x:c>
      <x:c r="B648" s="330"/>
      <x:c r="C648" s="330" t="n">
        <x:v>46155</x:v>
      </x:c>
      <x:c r="D648" t="n">
        <x:v>2024</x:v>
      </x:c>
      <x:c r="E648"/>
      <x:c r="F648" t="str">
        <x:v>22697/24/CBMP-HN</x:v>
      </x:c>
      <x:c r="G648"/>
      <x:c r="H648" t="str">
        <x:v>Mano Roses Perfume</x:v>
      </x:c>
      <x:c r="I648"/>
      <x:c r="J648" t="str">
        <x:v>Nước hoa</x:v>
      </x:c>
      <x:c r="K648"/>
      <x:c r="L648" t="str">
        <x:v>Công ty TNHH Dakami Cosmetic</x:v>
      </x:c>
      <x:c r="M648"/>
      <x:c r="N648" t="str">
        <x:v>Công ty TNHH mỹ phẩm Việt Hương</x:v>
      </x:c>
      <x:c r="O648" t="str">
        <x:v>Đình chỉ lưu hành, thu hồi và tiêu hủy – Công văn 1772/QLD-MP</x:v>
      </x:c>
      <x:c r="P648" t="str">
        <x:v>A++ – Cục Quản lý Dược; tổ chức chịu trách nhiệm explicit</x:v>
      </x:c>
      <x:c r="Q648" t="str">
        <x:v>Phụ lục 511 sản phẩm, STT 283, trang 10. Công ty Việt Hương là cơ sở sản xuất; cột tổ chức chịu trách nhiệm lấy nguyên văn từ phụ lục.</x:v>
      </x:c>
      <x:c r="R648" t="str">
        <x:v>https://dav.gov.vn/cong-van-so-1772qld-mp-ve-viec-dinh-chi-luu-hanh-thu-hoi-va-tieu-huy-my-pham-vi-pham-cong-ty-tnhh-my-pham-viet-huong-n5334.html</x:v>
      </x:c>
      <x:c r="S648" t="str">
        <x:v>Hà Nội</x:v>
      </x:c>
      <x:c r="T648" t="str">
        <x:v>01</x:v>
      </x:c>
    </x:row>
    <x:row r="649">
      <x:c r="A649" t="n">
        <x:v>648</x:v>
      </x:c>
      <x:c r="B649" s="330"/>
      <x:c r="C649" s="330" t="n">
        <x:v>46155</x:v>
      </x:c>
      <x:c r="D649" t="n">
        <x:v>2024</x:v>
      </x:c>
      <x:c r="E649"/>
      <x:c r="F649" t="str">
        <x:v>22698/24/CBMP-HN</x:v>
      </x:c>
      <x:c r="G649"/>
      <x:c r="H649" t="str">
        <x:v>Sữa tắm sáng da Cám Gạo</x:v>
      </x:c>
      <x:c r="I649"/>
      <x:c r="J649" t="str">
        <x:v>Sữa tắm/Gel tắm</x:v>
      </x:c>
      <x:c r="K649"/>
      <x:c r="L649" t="str">
        <x:v>Công ty TNHH Dakami Cosmetic</x:v>
      </x:c>
      <x:c r="M649"/>
      <x:c r="N649" t="str">
        <x:v>Công ty TNHH mỹ phẩm Việt Hương</x:v>
      </x:c>
      <x:c r="O649" t="str">
        <x:v>Đình chỉ lưu hành, thu hồi và tiêu hủy – Công văn 1772/QLD-MP</x:v>
      </x:c>
      <x:c r="P649" t="str">
        <x:v>A++ – Cục Quản lý Dược; tổ chức chịu trách nhiệm explicit</x:v>
      </x:c>
      <x:c r="Q649" t="str">
        <x:v>Phụ lục 511 sản phẩm, STT 284, trang 10. Công ty Việt Hương là cơ sở sản xuất; cột tổ chức chịu trách nhiệm lấy nguyên văn từ phụ lục.</x:v>
      </x:c>
      <x:c r="R649" t="str">
        <x:v>https://dav.gov.vn/cong-van-so-1772qld-mp-ve-viec-dinh-chi-luu-hanh-thu-hoi-va-tieu-huy-my-pham-vi-pham-cong-ty-tnhh-my-pham-viet-huong-n5334.html</x:v>
      </x:c>
      <x:c r="S649" t="str">
        <x:v>Hà Nội</x:v>
      </x:c>
      <x:c r="T649" t="str">
        <x:v>01</x:v>
      </x:c>
    </x:row>
    <x:row r="650">
      <x:c r="A650" t="n">
        <x:v>649</x:v>
      </x:c>
      <x:c r="B650" s="330"/>
      <x:c r="C650" s="330" t="n">
        <x:v>46155</x:v>
      </x:c>
      <x:c r="D650" t="n">
        <x:v>2024</x:v>
      </x:c>
      <x:c r="E650"/>
      <x:c r="F650" t="str">
        <x:v>22699/24/CBMP-HN</x:v>
      </x:c>
      <x:c r="G650"/>
      <x:c r="H650" t="str">
        <x:v>Nước dưỡng tóc Hà Thủ Ô</x:v>
      </x:c>
      <x:c r="I650"/>
      <x:c r="J650" t="str">
        <x:v>Khác</x:v>
      </x:c>
      <x:c r="K650"/>
      <x:c r="L650" t="str">
        <x:v>Công ty TNHH Dakami Cosmetic</x:v>
      </x:c>
      <x:c r="M650"/>
      <x:c r="N650" t="str">
        <x:v>Công ty TNHH mỹ phẩm Việt Hương</x:v>
      </x:c>
      <x:c r="O650" t="str">
        <x:v>Đình chỉ lưu hành, thu hồi và tiêu hủy – Công văn 1772/QLD-MP</x:v>
      </x:c>
      <x:c r="P650" t="str">
        <x:v>A++ – Cục Quản lý Dược; tổ chức chịu trách nhiệm explicit</x:v>
      </x:c>
      <x:c r="Q650" t="str">
        <x:v>Phụ lục 511 sản phẩm, STT 285, trang 10. Công ty Việt Hương là cơ sở sản xuất; cột tổ chức chịu trách nhiệm lấy nguyên văn từ phụ lục.</x:v>
      </x:c>
      <x:c r="R650" t="str">
        <x:v>https://dav.gov.vn/cong-van-so-1772qld-mp-ve-viec-dinh-chi-luu-hanh-thu-hoi-va-tieu-huy-my-pham-vi-pham-cong-ty-tnhh-my-pham-viet-huong-n5334.html</x:v>
      </x:c>
      <x:c r="S650" t="str">
        <x:v>Hà Nội</x:v>
      </x:c>
      <x:c r="T650" t="str">
        <x:v>01</x:v>
      </x:c>
    </x:row>
    <x:row r="651">
      <x:c r="A651" t="n">
        <x:v>650</x:v>
      </x:c>
      <x:c r="B651" s="330"/>
      <x:c r="C651" s="330" t="n">
        <x:v>46155</x:v>
      </x:c>
      <x:c r="D651" t="n">
        <x:v>2024</x:v>
      </x:c>
      <x:c r="E651"/>
      <x:c r="F651" t="str">
        <x:v>22700/24/CBMP-HN</x:v>
      </x:c>
      <x:c r="G651"/>
      <x:c r="H651" t="str">
        <x:v>Dầu gội Hà Thủ Ô</x:v>
      </x:c>
      <x:c r="I651"/>
      <x:c r="J651" t="str">
        <x:v>Dầu gội</x:v>
      </x:c>
      <x:c r="K651"/>
      <x:c r="L651" t="str">
        <x:v>Công ty TNHH Dakami Cosmetic</x:v>
      </x:c>
      <x:c r="M651"/>
      <x:c r="N651" t="str">
        <x:v>Công ty TNHH mỹ phẩm Việt Hương</x:v>
      </x:c>
      <x:c r="O651" t="str">
        <x:v>Đình chỉ lưu hành, thu hồi và tiêu hủy – Công văn 1772/QLD-MP</x:v>
      </x:c>
      <x:c r="P651" t="str">
        <x:v>A++ – Cục Quản lý Dược; tổ chức chịu trách nhiệm explicit</x:v>
      </x:c>
      <x:c r="Q651" t="str">
        <x:v>Phụ lục 511 sản phẩm, STT 286, trang 10. Công ty Việt Hương là cơ sở sản xuất; cột tổ chức chịu trách nhiệm lấy nguyên văn từ phụ lục.</x:v>
      </x:c>
      <x:c r="R651" t="str">
        <x:v>https://dav.gov.vn/cong-van-so-1772qld-mp-ve-viec-dinh-chi-luu-hanh-thu-hoi-va-tieu-huy-my-pham-vi-pham-cong-ty-tnhh-my-pham-viet-huong-n5334.html</x:v>
      </x:c>
      <x:c r="S651" t="str">
        <x:v>Hà Nội</x:v>
      </x:c>
      <x:c r="T651" t="str">
        <x:v>01</x:v>
      </x:c>
    </x:row>
    <x:row r="652">
      <x:c r="A652" t="n">
        <x:v>651</x:v>
      </x:c>
      <x:c r="B652" s="330"/>
      <x:c r="C652" s="330" t="n">
        <x:v>46155</x:v>
      </x:c>
      <x:c r="D652" t="n">
        <x:v>2024</x:v>
      </x:c>
      <x:c r="E652"/>
      <x:c r="F652" t="str">
        <x:v>22701/24/CBMP-HN</x:v>
      </x:c>
      <x:c r="G652"/>
      <x:c r="H652" t="str">
        <x:v>Dầu xả Hà Thủ Ô</x:v>
      </x:c>
      <x:c r="I652"/>
      <x:c r="J652" t="str">
        <x:v>Dầu xả</x:v>
      </x:c>
      <x:c r="K652"/>
      <x:c r="L652" t="str">
        <x:v>Công ty TNHH Dakami Cosmetic</x:v>
      </x:c>
      <x:c r="M652"/>
      <x:c r="N652" t="str">
        <x:v>Công ty TNHH mỹ phẩm Việt Hương</x:v>
      </x:c>
      <x:c r="O652" t="str">
        <x:v>Đình chỉ lưu hành, thu hồi và tiêu hủy – Công văn 1772/QLD-MP</x:v>
      </x:c>
      <x:c r="P652" t="str">
        <x:v>A++ – Cục Quản lý Dược; tổ chức chịu trách nhiệm explicit</x:v>
      </x:c>
      <x:c r="Q652" t="str">
        <x:v>Phụ lục 511 sản phẩm, STT 287, trang 10. Công ty Việt Hương là cơ sở sản xuất; cột tổ chức chịu trách nhiệm lấy nguyên văn từ phụ lục.</x:v>
      </x:c>
      <x:c r="R652" t="str">
        <x:v>https://dav.gov.vn/cong-van-so-1772qld-mp-ve-viec-dinh-chi-luu-hanh-thu-hoi-va-tieu-huy-my-pham-vi-pham-cong-ty-tnhh-my-pham-viet-huong-n5334.html</x:v>
      </x:c>
      <x:c r="S652" t="str">
        <x:v>Hà Nội</x:v>
      </x:c>
      <x:c r="T652" t="str">
        <x:v>01</x:v>
      </x:c>
    </x:row>
    <x:row r="653">
      <x:c r="A653" t="n">
        <x:v>652</x:v>
      </x:c>
      <x:c r="B653" s="330"/>
      <x:c r="C653" s="330" t="n">
        <x:v>46155</x:v>
      </x:c>
      <x:c r="D653" t="n">
        <x:v>2024</x:v>
      </x:c>
      <x:c r="E653"/>
      <x:c r="F653" t="str">
        <x:v>22702/24/CBMP-HN</x:v>
      </x:c>
      <x:c r="G653"/>
      <x:c r="H653" t="str">
        <x:v>Kem dưỡng mắt Sâm Đen</x:v>
      </x:c>
      <x:c r="I653"/>
      <x:c r="J653" t="str">
        <x:v>Kem dưỡng da</x:v>
      </x:c>
      <x:c r="K653"/>
      <x:c r="L653" t="str">
        <x:v>Công ty TNHH Dakami Cosmetic</x:v>
      </x:c>
      <x:c r="M653"/>
      <x:c r="N653" t="str">
        <x:v>Công ty TNHH mỹ phẩm Việt Hương</x:v>
      </x:c>
      <x:c r="O653" t="str">
        <x:v>Đình chỉ lưu hành, thu hồi và tiêu hủy – Công văn 1772/QLD-MP</x:v>
      </x:c>
      <x:c r="P653" t="str">
        <x:v>A++ – Cục Quản lý Dược; tổ chức chịu trách nhiệm explicit</x:v>
      </x:c>
      <x:c r="Q653" t="str">
        <x:v>Phụ lục 511 sản phẩm, STT 288, trang 10. Công ty Việt Hương là cơ sở sản xuất; cột tổ chức chịu trách nhiệm lấy nguyên văn từ phụ lục.</x:v>
      </x:c>
      <x:c r="R653" t="str">
        <x:v>https://dav.gov.vn/cong-van-so-1772qld-mp-ve-viec-dinh-chi-luu-hanh-thu-hoi-va-tieu-huy-my-pham-vi-pham-cong-ty-tnhh-my-pham-viet-huong-n5334.html</x:v>
      </x:c>
      <x:c r="S653" t="str">
        <x:v>Hà Nội</x:v>
      </x:c>
      <x:c r="T653" t="str">
        <x:v>01</x:v>
      </x:c>
    </x:row>
    <x:row r="654">
      <x:c r="A654" t="n">
        <x:v>653</x:v>
      </x:c>
      <x:c r="B654" s="330"/>
      <x:c r="C654" s="330" t="n">
        <x:v>46155</x:v>
      </x:c>
      <x:c r="D654" t="n">
        <x:v>2024</x:v>
      </x:c>
      <x:c r="E654"/>
      <x:c r="F654" t="str">
        <x:v>22703/24/CBMP-HN</x:v>
      </x:c>
      <x:c r="G654"/>
      <x:c r="H654" t="str">
        <x:v>Kem dưỡng sáng da Cám Gạo</x:v>
      </x:c>
      <x:c r="I654"/>
      <x:c r="J654" t="str">
        <x:v>Kem dưỡng da</x:v>
      </x:c>
      <x:c r="K654"/>
      <x:c r="L654" t="str">
        <x:v>Công ty TNHH Dakami Cosmetic</x:v>
      </x:c>
      <x:c r="M654"/>
      <x:c r="N654" t="str">
        <x:v>Công ty TNHH mỹ phẩm Việt Hương</x:v>
      </x:c>
      <x:c r="O654" t="str">
        <x:v>Đình chỉ lưu hành, thu hồi và tiêu hủy – Công văn 1772/QLD-MP</x:v>
      </x:c>
      <x:c r="P654" t="str">
        <x:v>A++ – Cục Quản lý Dược; tổ chức chịu trách nhiệm explicit</x:v>
      </x:c>
      <x:c r="Q654" t="str">
        <x:v>Phụ lục 511 sản phẩm, STT 289, trang 10. Công ty Việt Hương là cơ sở sản xuất; cột tổ chức chịu trách nhiệm lấy nguyên văn từ phụ lục.</x:v>
      </x:c>
      <x:c r="R654" t="str">
        <x:v>https://dav.gov.vn/cong-van-so-1772qld-mp-ve-viec-dinh-chi-luu-hanh-thu-hoi-va-tieu-huy-my-pham-vi-pham-cong-ty-tnhh-my-pham-viet-huong-n5334.html</x:v>
      </x:c>
      <x:c r="S654" t="str">
        <x:v>Hà Nội</x:v>
      </x:c>
      <x:c r="T654" t="str">
        <x:v>01</x:v>
      </x:c>
    </x:row>
    <x:row r="655">
      <x:c r="A655" t="n">
        <x:v>654</x:v>
      </x:c>
      <x:c r="B655" s="330"/>
      <x:c r="C655" s="330" t="n">
        <x:v>46155</x:v>
      </x:c>
      <x:c r="D655" t="n">
        <x:v>2024</x:v>
      </x:c>
      <x:c r="E655"/>
      <x:c r="F655" t="str">
        <x:v>22704/24/CBMP-HN</x:v>
      </x:c>
      <x:c r="G655"/>
      <x:c r="H655" t="str">
        <x:v>Kem chống nắng Sâm Đen</x:v>
      </x:c>
      <x:c r="I655"/>
      <x:c r="J655" t="str">
        <x:v>Kem chống nắng</x:v>
      </x:c>
      <x:c r="K655"/>
      <x:c r="L655" t="str">
        <x:v>Công ty TNHH Dakami Cosmetic</x:v>
      </x:c>
      <x:c r="M655"/>
      <x:c r="N655" t="str">
        <x:v>Công ty TNHH mỹ phẩm Việt Hương</x:v>
      </x:c>
      <x:c r="O655" t="str">
        <x:v>Đình chỉ lưu hành, thu hồi và tiêu hủy – Công văn 1772/QLD-MP</x:v>
      </x:c>
      <x:c r="P655" t="str">
        <x:v>A++ – Cục Quản lý Dược; tổ chức chịu trách nhiệm explicit</x:v>
      </x:c>
      <x:c r="Q655" t="str">
        <x:v>Phụ lục 511 sản phẩm, STT 290, trang 10. Công ty Việt Hương là cơ sở sản xuất; cột tổ chức chịu trách nhiệm lấy nguyên văn từ phụ lục.</x:v>
      </x:c>
      <x:c r="R655" t="str">
        <x:v>https://dav.gov.vn/cong-van-so-1772qld-mp-ve-viec-dinh-chi-luu-hanh-thu-hoi-va-tieu-huy-my-pham-vi-pham-cong-ty-tnhh-my-pham-viet-huong-n5334.html</x:v>
      </x:c>
      <x:c r="S655" t="str">
        <x:v>Hà Nội</x:v>
      </x:c>
      <x:c r="T655" t="str">
        <x:v>01</x:v>
      </x:c>
    </x:row>
    <x:row r="656">
      <x:c r="A656" t="n">
        <x:v>655</x:v>
      </x:c>
      <x:c r="B656" s="330"/>
      <x:c r="C656" s="330" t="n">
        <x:v>46155</x:v>
      </x:c>
      <x:c r="D656" t="n">
        <x:v>2024</x:v>
      </x:c>
      <x:c r="E656"/>
      <x:c r="F656" t="str">
        <x:v>22705/24/CBMP-HN</x:v>
      </x:c>
      <x:c r="G656"/>
      <x:c r="H656" t="str">
        <x:v>Lotion dưỡng sáng da Cám Gạo</x:v>
      </x:c>
      <x:c r="I656"/>
      <x:c r="J656" t="str">
        <x:v>Kem dưỡng da</x:v>
      </x:c>
      <x:c r="K656"/>
      <x:c r="L656" t="str">
        <x:v>Công ty TNHH Dakami Cosmetic</x:v>
      </x:c>
      <x:c r="M656"/>
      <x:c r="N656" t="str">
        <x:v>Công ty TNHH mỹ phẩm Việt Hương</x:v>
      </x:c>
      <x:c r="O656" t="str">
        <x:v>Đình chỉ lưu hành, thu hồi và tiêu hủy – Công văn 1772/QLD-MP</x:v>
      </x:c>
      <x:c r="P656" t="str">
        <x:v>A++ – Cục Quản lý Dược; tổ chức chịu trách nhiệm explicit</x:v>
      </x:c>
      <x:c r="Q656" t="str">
        <x:v>Phụ lục 511 sản phẩm, STT 291, trang 11. Công ty Việt Hương là cơ sở sản xuất; cột tổ chức chịu trách nhiệm lấy nguyên văn từ phụ lục.</x:v>
      </x:c>
      <x:c r="R656" t="str">
        <x:v>https://dav.gov.vn/cong-van-so-1772qld-mp-ve-viec-dinh-chi-luu-hanh-thu-hoi-va-tieu-huy-my-pham-vi-pham-cong-ty-tnhh-my-pham-viet-huong-n5334.html</x:v>
      </x:c>
      <x:c r="S656" t="str">
        <x:v>Hà Nội</x:v>
      </x:c>
      <x:c r="T656" t="str">
        <x:v>01</x:v>
      </x:c>
    </x:row>
    <x:row r="657">
      <x:c r="A657" t="n">
        <x:v>656</x:v>
      </x:c>
      <x:c r="B657" s="330"/>
      <x:c r="C657" s="330" t="n">
        <x:v>46155</x:v>
      </x:c>
      <x:c r="D657" t="n">
        <x:v>2023</x:v>
      </x:c>
      <x:c r="E657"/>
      <x:c r="F657" t="str">
        <x:v>16783/23/CBMP-HN</x:v>
      </x:c>
      <x:c r="G657"/>
      <x:c r="H657" t="str">
        <x:v>Dakami Black Ginseng</x:v>
      </x:c>
      <x:c r="I657"/>
      <x:c r="J657" t="str">
        <x:v>Khác</x:v>
      </x:c>
      <x:c r="K657"/>
      <x:c r="L657" t="str">
        <x:v>Công ty TNHH Dakami Cosmetic</x:v>
      </x:c>
      <x:c r="M657"/>
      <x:c r="N657" t="str">
        <x:v>Công ty TNHH mỹ phẩm Việt Hương</x:v>
      </x:c>
      <x:c r="O657" t="str">
        <x:v>Đình chỉ lưu hành, thu hồi và tiêu hủy – Công văn 1772/QLD-MP</x:v>
      </x:c>
      <x:c r="P657" t="str">
        <x:v>A++ – Cục Quản lý Dược; tổ chức chịu trách nhiệm explicit</x:v>
      </x:c>
      <x:c r="Q657" t="str">
        <x:v>Phụ lục 511 sản phẩm, STT 293, trang 11. Công ty Việt Hương là cơ sở sản xuất; cột tổ chức chịu trách nhiệm lấy nguyên văn từ phụ lục.</x:v>
      </x:c>
      <x:c r="R657" t="str">
        <x:v>https://dav.gov.vn/cong-van-so-1772qld-mp-ve-viec-dinh-chi-luu-hanh-thu-hoi-va-tieu-huy-my-pham-vi-pham-cong-ty-tnhh-my-pham-viet-huong-n5334.html</x:v>
      </x:c>
      <x:c r="S657" t="str">
        <x:v>Hà Nội</x:v>
      </x:c>
      <x:c r="T657" t="str">
        <x:v>01</x:v>
      </x:c>
    </x:row>
    <x:row r="658">
      <x:c r="A658" t="n">
        <x:v>657</x:v>
      </x:c>
      <x:c r="B658" s="330"/>
      <x:c r="C658" s="330" t="n">
        <x:v>46155</x:v>
      </x:c>
      <x:c r="D658" t="n">
        <x:v>2023</x:v>
      </x:c>
      <x:c r="E658"/>
      <x:c r="F658" t="str">
        <x:v>17584/23/CBMP-HN</x:v>
      </x:c>
      <x:c r="G658"/>
      <x:c r="H658" t="str">
        <x:v>Dakami Black Ginseng Day</x:v>
      </x:c>
      <x:c r="I658"/>
      <x:c r="J658" t="str">
        <x:v>Khác</x:v>
      </x:c>
      <x:c r="K658"/>
      <x:c r="L658" t="str">
        <x:v>Công ty TNHH Dakami Cosmetic</x:v>
      </x:c>
      <x:c r="M658"/>
      <x:c r="N658" t="str">
        <x:v>Công ty TNHH mỹ phẩm Việt Hương</x:v>
      </x:c>
      <x:c r="O658" t="str">
        <x:v>Đình chỉ lưu hành, thu hồi và tiêu hủy – Công văn 1772/QLD-MP</x:v>
      </x:c>
      <x:c r="P658" t="str">
        <x:v>A++ – Cục Quản lý Dược; tổ chức chịu trách nhiệm explicit</x:v>
      </x:c>
      <x:c r="Q658" t="str">
        <x:v>Phụ lục 511 sản phẩm, STT 294, trang 11. Công ty Việt Hương là cơ sở sản xuất; cột tổ chức chịu trách nhiệm lấy nguyên văn từ phụ lục.</x:v>
      </x:c>
      <x:c r="R658" t="str">
        <x:v>https://dav.gov.vn/cong-van-so-1772qld-mp-ve-viec-dinh-chi-luu-hanh-thu-hoi-va-tieu-huy-my-pham-vi-pham-cong-ty-tnhh-my-pham-viet-huong-n5334.html</x:v>
      </x:c>
      <x:c r="S658" t="str">
        <x:v>Hà Nội</x:v>
      </x:c>
      <x:c r="T658" t="str">
        <x:v>01</x:v>
      </x:c>
    </x:row>
    <x:row r="659">
      <x:c r="A659" t="n">
        <x:v>658</x:v>
      </x:c>
      <x:c r="B659" s="330"/>
      <x:c r="C659" s="330" t="n">
        <x:v>46155</x:v>
      </x:c>
      <x:c r="D659" t="n">
        <x:v>2023</x:v>
      </x:c>
      <x:c r="E659"/>
      <x:c r="F659" t="str">
        <x:v>17585/23/CBMP-HN</x:v>
      </x:c>
      <x:c r="G659"/>
      <x:c r="H659" t="str">
        <x:v>Black Ginseng Serum</x:v>
      </x:c>
      <x:c r="I659"/>
      <x:c r="J659" t="str">
        <x:v>Serum/Essence da</x:v>
      </x:c>
      <x:c r="K659"/>
      <x:c r="L659" t="str">
        <x:v>Công ty TNHH Dakami Cosmetic</x:v>
      </x:c>
      <x:c r="M659"/>
      <x:c r="N659" t="str">
        <x:v>Công ty TNHH mỹ phẩm Việt Hương</x:v>
      </x:c>
      <x:c r="O659" t="str">
        <x:v>Đình chỉ lưu hành, thu hồi và tiêu hủy – Công văn 1772/QLD-MP</x:v>
      </x:c>
      <x:c r="P659" t="str">
        <x:v>A++ – Cục Quản lý Dược; tổ chức chịu trách nhiệm explicit</x:v>
      </x:c>
      <x:c r="Q659" t="str">
        <x:v>Phụ lục 511 sản phẩm, STT 295, trang 11. Công ty Việt Hương là cơ sở sản xuất; cột tổ chức chịu trách nhiệm lấy nguyên văn từ phụ lục.</x:v>
      </x:c>
      <x:c r="R659" t="str">
        <x:v>https://dav.gov.vn/cong-van-so-1772qld-mp-ve-viec-dinh-chi-luu-hanh-thu-hoi-va-tieu-huy-my-pham-vi-pham-cong-ty-tnhh-my-pham-viet-huong-n5334.html</x:v>
      </x:c>
      <x:c r="S659" t="str">
        <x:v>Hà Nội</x:v>
      </x:c>
      <x:c r="T659" t="str">
        <x:v>01</x:v>
      </x:c>
    </x:row>
    <x:row r="660">
      <x:c r="A660" t="n">
        <x:v>659</x:v>
      </x:c>
      <x:c r="B660" s="330"/>
      <x:c r="C660" s="330" t="n">
        <x:v>46155</x:v>
      </x:c>
      <x:c r="D660" t="n">
        <x:v>2024</x:v>
      </x:c>
      <x:c r="E660"/>
      <x:c r="F660" t="str">
        <x:v>22719/24/CBMP-HN</x:v>
      </x:c>
      <x:c r="G660"/>
      <x:c r="H660" t="str">
        <x:v>Kem dưỡng ẩm nấm Linh Chi</x:v>
      </x:c>
      <x:c r="I660"/>
      <x:c r="J660" t="str">
        <x:v>Kem dưỡng da</x:v>
      </x:c>
      <x:c r="K660"/>
      <x:c r="L660" t="str">
        <x:v>Công ty TNHH Dakami Cosmetic</x:v>
      </x:c>
      <x:c r="M660"/>
      <x:c r="N660" t="str">
        <x:v>Công ty TNHH mỹ phẩm Việt Hương</x:v>
      </x:c>
      <x:c r="O660" t="str">
        <x:v>Đình chỉ lưu hành, thu hồi và tiêu hủy – Công văn 1772/QLD-MP</x:v>
      </x:c>
      <x:c r="P660" t="str">
        <x:v>A++ – Cục Quản lý Dược; tổ chức chịu trách nhiệm explicit</x:v>
      </x:c>
      <x:c r="Q660" t="str">
        <x:v>Phụ lục 511 sản phẩm, STT 296, trang 11. Công ty Việt Hương là cơ sở sản xuất; cột tổ chức chịu trách nhiệm lấy nguyên văn từ phụ lục.</x:v>
      </x:c>
      <x:c r="R660" t="str">
        <x:v>https://dav.gov.vn/cong-van-so-1772qld-mp-ve-viec-dinh-chi-luu-hanh-thu-hoi-va-tieu-huy-my-pham-vi-pham-cong-ty-tnhh-my-pham-viet-huong-n5334.html</x:v>
      </x:c>
      <x:c r="S660" t="str">
        <x:v>Hà Nội</x:v>
      </x:c>
      <x:c r="T660" t="str">
        <x:v>01</x:v>
      </x:c>
    </x:row>
    <x:row r="661">
      <x:c r="A661" t="n">
        <x:v>660</x:v>
      </x:c>
      <x:c r="B661" s="330"/>
      <x:c r="C661" s="330" t="n">
        <x:v>46155</x:v>
      </x:c>
      <x:c r="D661" t="n">
        <x:v>2023</x:v>
      </x:c>
      <x:c r="E661"/>
      <x:c r="F661" t="str">
        <x:v>17700/23/CBMP-HN</x:v>
      </x:c>
      <x:c r="G661"/>
      <x:c r="H661" t="str">
        <x:v>Black Ginseng Cleanser</x:v>
      </x:c>
      <x:c r="I661"/>
      <x:c r="J661" t="str">
        <x:v>Sữa rửa mặt</x:v>
      </x:c>
      <x:c r="K661"/>
      <x:c r="L661" t="str">
        <x:v>Công ty TNHH Dakami Cosmetic</x:v>
      </x:c>
      <x:c r="M661"/>
      <x:c r="N661" t="str">
        <x:v>Công ty TNHH mỹ phẩm Việt Hương</x:v>
      </x:c>
      <x:c r="O661" t="str">
        <x:v>Đình chỉ lưu hành, thu hồi và tiêu hủy – Công văn 1772/QLD-MP</x:v>
      </x:c>
      <x:c r="P661" t="str">
        <x:v>A++ – Cục Quản lý Dược; tổ chức chịu trách nhiệm explicit</x:v>
      </x:c>
      <x:c r="Q661" t="str">
        <x:v>Phụ lục 511 sản phẩm, STT 297, trang 11. Công ty Việt Hương là cơ sở sản xuất; cột tổ chức chịu trách nhiệm lấy nguyên văn từ phụ lục.</x:v>
      </x:c>
      <x:c r="R661" t="str">
        <x:v>https://dav.gov.vn/cong-van-so-1772qld-mp-ve-viec-dinh-chi-luu-hanh-thu-hoi-va-tieu-huy-my-pham-vi-pham-cong-ty-tnhh-my-pham-viet-huong-n5334.html</x:v>
      </x:c>
      <x:c r="S661" t="str">
        <x:v>Hà Nội</x:v>
      </x:c>
      <x:c r="T661" t="str">
        <x:v>01</x:v>
      </x:c>
    </x:row>
    <x:row r="662">
      <x:c r="A662" t="n">
        <x:v>661</x:v>
      </x:c>
      <x:c r="B662" s="330"/>
      <x:c r="C662" s="330" t="n">
        <x:v>46155</x:v>
      </x:c>
      <x:c r="D662" t="n">
        <x:v>2024</x:v>
      </x:c>
      <x:c r="E662"/>
      <x:c r="F662" t="str">
        <x:v>22754/24/CBMP-HN</x:v>
      </x:c>
      <x:c r="G662"/>
      <x:c r="H662" t="str">
        <x:v>Red Carnation Lipstick</x:v>
      </x:c>
      <x:c r="I662"/>
      <x:c r="J662" t="str">
        <x:v>Sản phẩm môi</x:v>
      </x:c>
      <x:c r="K662"/>
      <x:c r="L662" t="str">
        <x:v>Công ty TNHH Dakami Cosmetic</x:v>
      </x:c>
      <x:c r="M662"/>
      <x:c r="N662" t="str">
        <x:v>Công ty TNHH mỹ phẩm Việt Hương</x:v>
      </x:c>
      <x:c r="O662" t="str">
        <x:v>Đình chỉ lưu hành, thu hồi và tiêu hủy – Công văn 1772/QLD-MP</x:v>
      </x:c>
      <x:c r="P662" t="str">
        <x:v>A++ – Cục Quản lý Dược; tổ chức chịu trách nhiệm explicit</x:v>
      </x:c>
      <x:c r="Q662" t="str">
        <x:v>Phụ lục 511 sản phẩm, STT 298, trang 11. Công ty Việt Hương là cơ sở sản xuất; cột tổ chức chịu trách nhiệm lấy nguyên văn từ phụ lục.</x:v>
      </x:c>
      <x:c r="R662" t="str">
        <x:v>https://dav.gov.vn/cong-van-so-1772qld-mp-ve-viec-dinh-chi-luu-hanh-thu-hoi-va-tieu-huy-my-pham-vi-pham-cong-ty-tnhh-my-pham-viet-huong-n5334.html</x:v>
      </x:c>
      <x:c r="S662" t="str">
        <x:v>Hà Nội</x:v>
      </x:c>
      <x:c r="T662" t="str">
        <x:v>01</x:v>
      </x:c>
    </x:row>
    <x:row r="663">
      <x:c r="A663" t="n">
        <x:v>662</x:v>
      </x:c>
      <x:c r="B663" s="330"/>
      <x:c r="C663" s="330" t="n">
        <x:v>46155</x:v>
      </x:c>
      <x:c r="D663" t="n">
        <x:v>2023</x:v>
      </x:c>
      <x:c r="E663"/>
      <x:c r="F663" t="str">
        <x:v>17858/23/CBMP-HN</x:v>
      </x:c>
      <x:c r="G663"/>
      <x:c r="H663" t="str">
        <x:v>Lucky Body</x:v>
      </x:c>
      <x:c r="I663"/>
      <x:c r="J663" t="str">
        <x:v>Khác</x:v>
      </x:c>
      <x:c r="K663"/>
      <x:c r="L663" t="str">
        <x:v>Công ty TNHH Toàn Lucky</x:v>
      </x:c>
      <x:c r="M663"/>
      <x:c r="N663" t="str">
        <x:v>Công ty TNHH mỹ phẩm Việt Hương</x:v>
      </x:c>
      <x:c r="O663" t="str">
        <x:v>Đình chỉ lưu hành, thu hồi và tiêu hủy – Công văn 1772/QLD-MP</x:v>
      </x:c>
      <x:c r="P663" t="str">
        <x:v>A++ – Cục Quản lý Dược; tổ chức chịu trách nhiệm explicit</x:v>
      </x:c>
      <x:c r="Q663" t="str">
        <x:v>Phụ lục 511 sản phẩm, STT 299, trang 11. Công ty Việt Hương là cơ sở sản xuất; cột tổ chức chịu trách nhiệm lấy nguyên văn từ phụ lục.</x:v>
      </x:c>
      <x:c r="R663" t="str">
        <x:v>https://dav.gov.vn/cong-van-so-1772qld-mp-ve-viec-dinh-chi-luu-hanh-thu-hoi-va-tieu-huy-my-pham-vi-pham-cong-ty-tnhh-my-pham-viet-huong-n5334.html</x:v>
      </x:c>
      <x:c r="S663" t="str">
        <x:v>Hà Nội</x:v>
      </x:c>
      <x:c r="T663" t="str">
        <x:v>01</x:v>
      </x:c>
    </x:row>
    <x:row r="664">
      <x:c r="A664" t="n">
        <x:v>663</x:v>
      </x:c>
      <x:c r="B664" s="330"/>
      <x:c r="C664" s="330" t="n">
        <x:v>46155</x:v>
      </x:c>
      <x:c r="D664" t="n">
        <x:v>2023</x:v>
      </x:c>
      <x:c r="E664"/>
      <x:c r="F664" t="str">
        <x:v>18170/23/CBMP-HN</x:v>
      </x:c>
      <x:c r="G664"/>
      <x:c r="H664" t="str">
        <x:v>3in1 Whitening Serum</x:v>
      </x:c>
      <x:c r="I664"/>
      <x:c r="J664" t="str">
        <x:v>Serum/Essence da</x:v>
      </x:c>
      <x:c r="K664"/>
      <x:c r="L664" t="str">
        <x:v>Công ty TNHH BB4you</x:v>
      </x:c>
      <x:c r="M664"/>
      <x:c r="N664" t="str">
        <x:v>Công ty TNHH mỹ phẩm Việt Hương</x:v>
      </x:c>
      <x:c r="O664" t="str">
        <x:v>Đình chỉ lưu hành, thu hồi và tiêu hủy – Công văn 1772/QLD-MP</x:v>
      </x:c>
      <x:c r="P664" t="str">
        <x:v>A++ – Cục Quản lý Dược; tổ chức chịu trách nhiệm explicit</x:v>
      </x:c>
      <x:c r="Q664" t="str">
        <x:v>Phụ lục 511 sản phẩm, STT 300, trang 11. Công ty Việt Hương là cơ sở sản xuất; cột tổ chức chịu trách nhiệm lấy nguyên văn từ phụ lục.</x:v>
      </x:c>
      <x:c r="R664" t="str">
        <x:v>https://dav.gov.vn/cong-van-so-1772qld-mp-ve-viec-dinh-chi-luu-hanh-thu-hoi-va-tieu-huy-my-pham-vi-pham-cong-ty-tnhh-my-pham-viet-huong-n5334.html</x:v>
      </x:c>
      <x:c r="S664" t="str">
        <x:v>Hà Nội</x:v>
      </x:c>
      <x:c r="T664" t="str">
        <x:v>01</x:v>
      </x:c>
    </x:row>
    <x:row r="665">
      <x:c r="A665" t="n">
        <x:v>664</x:v>
      </x:c>
      <x:c r="B665" s="330"/>
      <x:c r="C665" s="330" t="n">
        <x:v>46155</x:v>
      </x:c>
      <x:c r="D665" t="n">
        <x:v>2023</x:v>
      </x:c>
      <x:c r="E665"/>
      <x:c r="F665" t="str">
        <x:v>18171/23/CBMP-HN</x:v>
      </x:c>
      <x:c r="G665"/>
      <x:c r="H665" t="str">
        <x:v>3in1 Facial Cleanser</x:v>
      </x:c>
      <x:c r="I665"/>
      <x:c r="J665" t="str">
        <x:v>Sữa rửa mặt</x:v>
      </x:c>
      <x:c r="K665"/>
      <x:c r="L665" t="str">
        <x:v>Công ty TNHH BB4you</x:v>
      </x:c>
      <x:c r="M665"/>
      <x:c r="N665" t="str">
        <x:v>Công ty TNHH mỹ phẩm Việt Hương</x:v>
      </x:c>
      <x:c r="O665" t="str">
        <x:v>Đình chỉ lưu hành, thu hồi và tiêu hủy – Công văn 1772/QLD-MP</x:v>
      </x:c>
      <x:c r="P665" t="str">
        <x:v>A++ – Cục Quản lý Dược; tổ chức chịu trách nhiệm explicit</x:v>
      </x:c>
      <x:c r="Q665" t="str">
        <x:v>Phụ lục 511 sản phẩm, STT 301, trang 11. Công ty Việt Hương là cơ sở sản xuất; cột tổ chức chịu trách nhiệm lấy nguyên văn từ phụ lục.</x:v>
      </x:c>
      <x:c r="R665" t="str">
        <x:v>https://dav.gov.vn/cong-van-so-1772qld-mp-ve-viec-dinh-chi-luu-hanh-thu-hoi-va-tieu-huy-my-pham-vi-pham-cong-ty-tnhh-my-pham-viet-huong-n5334.html</x:v>
      </x:c>
      <x:c r="S665" t="str">
        <x:v>Hà Nội</x:v>
      </x:c>
      <x:c r="T665" t="str">
        <x:v>01</x:v>
      </x:c>
    </x:row>
    <x:row r="666">
      <x:c r="A666" t="n">
        <x:v>665</x:v>
      </x:c>
      <x:c r="B666" s="330"/>
      <x:c r="C666" s="330" t="n">
        <x:v>46155</x:v>
      </x:c>
      <x:c r="D666" t="n">
        <x:v>2023</x:v>
      </x:c>
      <x:c r="E666"/>
      <x:c r="F666" t="str">
        <x:v>18172/23/CBMP-HN</x:v>
      </x:c>
      <x:c r="G666"/>
      <x:c r="H666" t="str">
        <x:v>3in1 Anti-Aging Cream</x:v>
      </x:c>
      <x:c r="I666"/>
      <x:c r="J666" t="str">
        <x:v>Kem dưỡng da</x:v>
      </x:c>
      <x:c r="K666"/>
      <x:c r="L666" t="str">
        <x:v>Công ty TNHH BB4you</x:v>
      </x:c>
      <x:c r="M666"/>
      <x:c r="N666" t="str">
        <x:v>Công ty TNHH mỹ phẩm Việt Hương</x:v>
      </x:c>
      <x:c r="O666" t="str">
        <x:v>Đình chỉ lưu hành, thu hồi và tiêu hủy – Công văn 1772/QLD-MP</x:v>
      </x:c>
      <x:c r="P666" t="str">
        <x:v>A++ – Cục Quản lý Dược; tổ chức chịu trách nhiệm explicit</x:v>
      </x:c>
      <x:c r="Q666" t="str">
        <x:v>Phụ lục 511 sản phẩm, STT 302, trang 11. Công ty Việt Hương là cơ sở sản xuất; cột tổ chức chịu trách nhiệm lấy nguyên văn từ phụ lục.</x:v>
      </x:c>
      <x:c r="R666" t="str">
        <x:v>https://dav.gov.vn/cong-van-so-1772qld-mp-ve-viec-dinh-chi-luu-hanh-thu-hoi-va-tieu-huy-my-pham-vi-pham-cong-ty-tnhh-my-pham-viet-huong-n5334.html</x:v>
      </x:c>
      <x:c r="S666" t="str">
        <x:v>Hà Nội</x:v>
      </x:c>
      <x:c r="T666" t="str">
        <x:v>01</x:v>
      </x:c>
    </x:row>
    <x:row r="667">
      <x:c r="A667" t="n">
        <x:v>666</x:v>
      </x:c>
      <x:c r="B667" s="330"/>
      <x:c r="C667" s="330" t="n">
        <x:v>46155</x:v>
      </x:c>
      <x:c r="D667" t="n">
        <x:v>2023</x:v>
      </x:c>
      <x:c r="E667"/>
      <x:c r="F667" t="str">
        <x:v>18173/23/CBMP-HN</x:v>
      </x:c>
      <x:c r="G667"/>
      <x:c r="H667" t="str">
        <x:v>Whitening Body Cream</x:v>
      </x:c>
      <x:c r="I667"/>
      <x:c r="J667" t="str">
        <x:v>Kem body</x:v>
      </x:c>
      <x:c r="K667"/>
      <x:c r="L667" t="str">
        <x:v>Công ty TNHH thương mại và dịch vụ Hasa Cosmetic</x:v>
      </x:c>
      <x:c r="M667"/>
      <x:c r="N667" t="str">
        <x:v>Công ty TNHH mỹ phẩm Việt Hương</x:v>
      </x:c>
      <x:c r="O667" t="str">
        <x:v>Đình chỉ lưu hành, thu hồi và tiêu hủy – Công văn 1772/QLD-MP</x:v>
      </x:c>
      <x:c r="P667" t="str">
        <x:v>A++ – Cục Quản lý Dược; tổ chức chịu trách nhiệm explicit</x:v>
      </x:c>
      <x:c r="Q667" t="str">
        <x:v>Phụ lục 511 sản phẩm, STT 303, trang 11. Công ty Việt Hương là cơ sở sản xuất; cột tổ chức chịu trách nhiệm lấy nguyên văn từ phụ lục.</x:v>
      </x:c>
      <x:c r="R667" t="str">
        <x:v>https://dav.gov.vn/cong-van-so-1772qld-mp-ve-viec-dinh-chi-luu-hanh-thu-hoi-va-tieu-huy-my-pham-vi-pham-cong-ty-tnhh-my-pham-viet-huong-n5334.html</x:v>
      </x:c>
      <x:c r="S667" t="str">
        <x:v>Hà Nội</x:v>
      </x:c>
      <x:c r="T667" t="str">
        <x:v>01</x:v>
      </x:c>
    </x:row>
    <x:row r="668">
      <x:c r="A668" t="n">
        <x:v>667</x:v>
      </x:c>
      <x:c r="B668" s="330"/>
      <x:c r="C668" s="330" t="n">
        <x:v>46155</x:v>
      </x:c>
      <x:c r="D668" t="n">
        <x:v>2023</x:v>
      </x:c>
      <x:c r="E668"/>
      <x:c r="F668" t="str">
        <x:v>18174/23/CBMP-HN</x:v>
      </x:c>
      <x:c r="G668"/>
      <x:c r="H668" t="str">
        <x:v>The Natural Lotion Body</x:v>
      </x:c>
      <x:c r="I668"/>
      <x:c r="J668" t="str">
        <x:v>Kem dưỡng da</x:v>
      </x:c>
      <x:c r="K668"/>
      <x:c r="L668" t="str">
        <x:v>Công ty TNHH thương mại và dịch vụ Hasa Cosmetic</x:v>
      </x:c>
      <x:c r="M668"/>
      <x:c r="N668" t="str">
        <x:v>Công ty TNHH mỹ phẩm Việt Hương</x:v>
      </x:c>
      <x:c r="O668" t="str">
        <x:v>Đình chỉ lưu hành, thu hồi và tiêu hủy – Công văn 1772/QLD-MP</x:v>
      </x:c>
      <x:c r="P668" t="str">
        <x:v>A++ – Cục Quản lý Dược; tổ chức chịu trách nhiệm explicit</x:v>
      </x:c>
      <x:c r="Q668" t="str">
        <x:v>Phụ lục 511 sản phẩm, STT 304, trang 11. Công ty Việt Hương là cơ sở sản xuất; cột tổ chức chịu trách nhiệm lấy nguyên văn từ phụ lục.</x:v>
      </x:c>
      <x:c r="R668" t="str">
        <x:v>https://dav.gov.vn/cong-van-so-1772qld-mp-ve-viec-dinh-chi-luu-hanh-thu-hoi-va-tieu-huy-my-pham-vi-pham-cong-ty-tnhh-my-pham-viet-huong-n5334.html</x:v>
      </x:c>
      <x:c r="S668" t="str">
        <x:v>Hà Nội</x:v>
      </x:c>
      <x:c r="T668" t="str">
        <x:v>01</x:v>
      </x:c>
    </x:row>
    <x:row r="669">
      <x:c r="A669" t="n">
        <x:v>668</x:v>
      </x:c>
      <x:c r="B669" s="330"/>
      <x:c r="C669" s="330" t="n">
        <x:v>46155</x:v>
      </x:c>
      <x:c r="D669" t="n">
        <x:v>2023</x:v>
      </x:c>
      <x:c r="E669"/>
      <x:c r="F669" t="str">
        <x:v>18449/23/CBMP-HN</x:v>
      </x:c>
      <x:c r="G669"/>
      <x:c r="H669" t="str">
        <x:v>Skin BT</x:v>
      </x:c>
      <x:c r="I669"/>
      <x:c r="J669" t="str">
        <x:v>Khác</x:v>
      </x:c>
      <x:c r="K669"/>
      <x:c r="L669" t="str">
        <x:v>Công ty TNHH kinh doanh thương mại Thái Hà</x:v>
      </x:c>
      <x:c r="M669"/>
      <x:c r="N669" t="str">
        <x:v>Công ty TNHH mỹ phẩm Việt Hương</x:v>
      </x:c>
      <x:c r="O669" t="str">
        <x:v>Đình chỉ lưu hành, thu hồi và tiêu hủy – Công văn 1772/QLD-MP</x:v>
      </x:c>
      <x:c r="P669" t="str">
        <x:v>A++ – Cục Quản lý Dược; tổ chức chịu trách nhiệm explicit</x:v>
      </x:c>
      <x:c r="Q669" t="str">
        <x:v>Phụ lục 511 sản phẩm, STT 305, trang 11. Công ty Việt Hương là cơ sở sản xuất; cột tổ chức chịu trách nhiệm lấy nguyên văn từ phụ lục.</x:v>
      </x:c>
      <x:c r="R669" t="str">
        <x:v>https://dav.gov.vn/cong-van-so-1772qld-mp-ve-viec-dinh-chi-luu-hanh-thu-hoi-va-tieu-huy-my-pham-vi-pham-cong-ty-tnhh-my-pham-viet-huong-n5334.html</x:v>
      </x:c>
      <x:c r="S669" t="str">
        <x:v>Hà Nội</x:v>
      </x:c>
      <x:c r="T669" t="str">
        <x:v>01</x:v>
      </x:c>
    </x:row>
    <x:row r="670">
      <x:c r="A670" t="n">
        <x:v>669</x:v>
      </x:c>
      <x:c r="B670" s="330"/>
      <x:c r="C670" s="330" t="n">
        <x:v>46155</x:v>
      </x:c>
      <x:c r="D670" t="n">
        <x:v>2024</x:v>
      </x:c>
      <x:c r="E670"/>
      <x:c r="F670" t="str">
        <x:v>18986/24/CBMP-HN</x:v>
      </x:c>
      <x:c r="G670"/>
      <x:c r="H670" t="str">
        <x:v>Wake BT</x:v>
      </x:c>
      <x:c r="I670"/>
      <x:c r="J670" t="str">
        <x:v>Khác</x:v>
      </x:c>
      <x:c r="K670"/>
      <x:c r="L670" t="str">
        <x:v>Công ty TNHH kinh doanh thương mại Thái Hà</x:v>
      </x:c>
      <x:c r="M670"/>
      <x:c r="N670" t="str">
        <x:v>Công ty TNHH mỹ phẩm Việt Hương</x:v>
      </x:c>
      <x:c r="O670" t="str">
        <x:v>Đình chỉ lưu hành, thu hồi và tiêu hủy – Công văn 1772/QLD-MP</x:v>
      </x:c>
      <x:c r="P670" t="str">
        <x:v>A++ – Cục Quản lý Dược; tổ chức chịu trách nhiệm explicit</x:v>
      </x:c>
      <x:c r="Q670" t="str">
        <x:v>Phụ lục 511 sản phẩm, STT 306, trang 11. Công ty Việt Hương là cơ sở sản xuất; cột tổ chức chịu trách nhiệm lấy nguyên văn từ phụ lục.</x:v>
      </x:c>
      <x:c r="R670" t="str">
        <x:v>https://dav.gov.vn/cong-van-so-1772qld-mp-ve-viec-dinh-chi-luu-hanh-thu-hoi-va-tieu-huy-my-pham-vi-pham-cong-ty-tnhh-my-pham-viet-huong-n5334.html</x:v>
      </x:c>
      <x:c r="S670" t="str">
        <x:v>Hà Nội</x:v>
      </x:c>
      <x:c r="T670" t="str">
        <x:v>01</x:v>
      </x:c>
    </x:row>
    <x:row r="671">
      <x:c r="A671" t="n">
        <x:v>670</x:v>
      </x:c>
      <x:c r="B671" s="330"/>
      <x:c r="C671" s="330" t="n">
        <x:v>46155</x:v>
      </x:c>
      <x:c r="D671" t="n">
        <x:v>2024</x:v>
      </x:c>
      <x:c r="E671"/>
      <x:c r="F671" t="str">
        <x:v>20647/24/CBMP-HN</x:v>
      </x:c>
      <x:c r="G671"/>
      <x:c r="H671" t="str">
        <x:v>Sun Block BT</x:v>
      </x:c>
      <x:c r="I671"/>
      <x:c r="J671" t="str">
        <x:v>Khác</x:v>
      </x:c>
      <x:c r="K671"/>
      <x:c r="L671" t="str">
        <x:v>Công ty TNHH kinh doanh thương mại Thái Hà</x:v>
      </x:c>
      <x:c r="M671"/>
      <x:c r="N671" t="str">
        <x:v>Công ty TNHH mỹ phẩm Việt Hương</x:v>
      </x:c>
      <x:c r="O671" t="str">
        <x:v>Đình chỉ lưu hành, thu hồi và tiêu hủy – Công văn 1772/QLD-MP</x:v>
      </x:c>
      <x:c r="P671" t="str">
        <x:v>A++ – Cục Quản lý Dược; tổ chức chịu trách nhiệm explicit</x:v>
      </x:c>
      <x:c r="Q671" t="str">
        <x:v>Phụ lục 511 sản phẩm, STT 307, trang 11. Công ty Việt Hương là cơ sở sản xuất; cột tổ chức chịu trách nhiệm lấy nguyên văn từ phụ lục.</x:v>
      </x:c>
      <x:c r="R671" t="str">
        <x:v>https://dav.gov.vn/cong-van-so-1772qld-mp-ve-viec-dinh-chi-luu-hanh-thu-hoi-va-tieu-huy-my-pham-vi-pham-cong-ty-tnhh-my-pham-viet-huong-n5334.html</x:v>
      </x:c>
      <x:c r="S671" t="str">
        <x:v>Hà Nội</x:v>
      </x:c>
      <x:c r="T671" t="str">
        <x:v>01</x:v>
      </x:c>
    </x:row>
    <x:row r="672">
      <x:c r="A672" t="n">
        <x:v>671</x:v>
      </x:c>
      <x:c r="B672" s="330"/>
      <x:c r="C672" s="330" t="n">
        <x:v>46155</x:v>
      </x:c>
      <x:c r="D672" t="n">
        <x:v>2023</x:v>
      </x:c>
      <x:c r="E672"/>
      <x:c r="F672" t="str">
        <x:v>18553/23/CBMP-HN</x:v>
      </x:c>
      <x:c r="G672"/>
      <x:c r="H672" t="str">
        <x:v>3in1 Anti Acne Gel</x:v>
      </x:c>
      <x:c r="I672"/>
      <x:c r="J672" t="str">
        <x:v>Khác</x:v>
      </x:c>
      <x:c r="K672"/>
      <x:c r="L672" t="str">
        <x:v>Công ty TNHH dịch vụ và thương mại LP Việt Nam</x:v>
      </x:c>
      <x:c r="M672"/>
      <x:c r="N672" t="str">
        <x:v>Công ty TNHH mỹ phẩm Việt Hương</x:v>
      </x:c>
      <x:c r="O672" t="str">
        <x:v>Đình chỉ lưu hành, thu hồi và tiêu hủy – Công văn 1772/QLD-MP</x:v>
      </x:c>
      <x:c r="P672" t="str">
        <x:v>A++ – Cục Quản lý Dược; tổ chức chịu trách nhiệm explicit</x:v>
      </x:c>
      <x:c r="Q672" t="str">
        <x:v>Phụ lục 511 sản phẩm, STT 308, trang 11. Công ty Việt Hương là cơ sở sản xuất; cột tổ chức chịu trách nhiệm lấy nguyên văn từ phụ lục.</x:v>
      </x:c>
      <x:c r="R672" t="str">
        <x:v>https://dav.gov.vn/cong-van-so-1772qld-mp-ve-viec-dinh-chi-luu-hanh-thu-hoi-va-tieu-huy-my-pham-vi-pham-cong-ty-tnhh-my-pham-viet-huong-n5334.html</x:v>
      </x:c>
      <x:c r="S672" t="str">
        <x:v>Hà Nội</x:v>
      </x:c>
      <x:c r="T672" t="str">
        <x:v>01</x:v>
      </x:c>
    </x:row>
    <x:row r="673">
      <x:c r="A673" t="n">
        <x:v>672</x:v>
      </x:c>
      <x:c r="B673" s="330"/>
      <x:c r="C673" s="330" t="n">
        <x:v>46155</x:v>
      </x:c>
      <x:c r="D673" t="n">
        <x:v>2023</x:v>
      </x:c>
      <x:c r="E673"/>
      <x:c r="F673" t="str">
        <x:v>18554/23/CBMP-HN</x:v>
      </x:c>
      <x:c r="G673"/>
      <x:c r="H673" t="str">
        <x:v>3in1 Whitening Serum</x:v>
      </x:c>
      <x:c r="I673"/>
      <x:c r="J673" t="str">
        <x:v>Serum/Essence da</x:v>
      </x:c>
      <x:c r="K673"/>
      <x:c r="L673" t="str">
        <x:v>Công ty TNHH dịch vụ và thương mại LP Việt Nam</x:v>
      </x:c>
      <x:c r="M673"/>
      <x:c r="N673" t="str">
        <x:v>Công ty TNHH mỹ phẩm Việt Hương</x:v>
      </x:c>
      <x:c r="O673" t="str">
        <x:v>Đình chỉ lưu hành, thu hồi và tiêu hủy – Công văn 1772/QLD-MP</x:v>
      </x:c>
      <x:c r="P673" t="str">
        <x:v>A++ – Cục Quản lý Dược; tổ chức chịu trách nhiệm explicit</x:v>
      </x:c>
      <x:c r="Q673" t="str">
        <x:v>Phụ lục 511 sản phẩm, STT 309, trang 11. Công ty Việt Hương là cơ sở sản xuất; cột tổ chức chịu trách nhiệm lấy nguyên văn từ phụ lục.</x:v>
      </x:c>
      <x:c r="R673" t="str">
        <x:v>https://dav.gov.vn/cong-van-so-1772qld-mp-ve-viec-dinh-chi-luu-hanh-thu-hoi-va-tieu-huy-my-pham-vi-pham-cong-ty-tnhh-my-pham-viet-huong-n5334.html</x:v>
      </x:c>
      <x:c r="S673" t="str">
        <x:v>Hà Nội</x:v>
      </x:c>
      <x:c r="T673" t="str">
        <x:v>01</x:v>
      </x:c>
    </x:row>
    <x:row r="674">
      <x:c r="A674" t="n">
        <x:v>673</x:v>
      </x:c>
      <x:c r="B674" s="330"/>
      <x:c r="C674" s="330" t="n">
        <x:v>46155</x:v>
      </x:c>
      <x:c r="D674" t="n">
        <x:v>2023</x:v>
      </x:c>
      <x:c r="E674"/>
      <x:c r="F674" t="str">
        <x:v>18555/23/CBMP-HN</x:v>
      </x:c>
      <x:c r="G674"/>
      <x:c r="H674" t="str">
        <x:v>3in1 Anti Acne Cleanser</x:v>
      </x:c>
      <x:c r="I674"/>
      <x:c r="J674" t="str">
        <x:v>Sữa rửa mặt</x:v>
      </x:c>
      <x:c r="K674"/>
      <x:c r="L674" t="str">
        <x:v>Công ty TNHH dịch vụ và thương mại LP Việt Nam</x:v>
      </x:c>
      <x:c r="M674"/>
      <x:c r="N674" t="str">
        <x:v>Công ty TNHH mỹ phẩm Việt Hương</x:v>
      </x:c>
      <x:c r="O674" t="str">
        <x:v>Đình chỉ lưu hành, thu hồi và tiêu hủy – Công văn 1772/QLD-MP</x:v>
      </x:c>
      <x:c r="P674" t="str">
        <x:v>A++ – Cục Quản lý Dược; tổ chức chịu trách nhiệm explicit</x:v>
      </x:c>
      <x:c r="Q674" t="str">
        <x:v>Phụ lục 511 sản phẩm, STT 310, trang 11. Công ty Việt Hương là cơ sở sản xuất; cột tổ chức chịu trách nhiệm lấy nguyên văn từ phụ lục.</x:v>
      </x:c>
      <x:c r="R674" t="str">
        <x:v>https://dav.gov.vn/cong-van-so-1772qld-mp-ve-viec-dinh-chi-luu-hanh-thu-hoi-va-tieu-huy-my-pham-vi-pham-cong-ty-tnhh-my-pham-viet-huong-n5334.html</x:v>
      </x:c>
      <x:c r="S674" t="str">
        <x:v>Hà Nội</x:v>
      </x:c>
      <x:c r="T674" t="str">
        <x:v>01</x:v>
      </x:c>
    </x:row>
    <x:row r="675">
      <x:c r="A675" t="n">
        <x:v>674</x:v>
      </x:c>
      <x:c r="B675" s="330"/>
      <x:c r="C675" s="330" t="n">
        <x:v>46155</x:v>
      </x:c>
      <x:c r="D675" t="n">
        <x:v>2023</x:v>
      </x:c>
      <x:c r="E675"/>
      <x:c r="F675" t="str">
        <x:v>18583/23/CBMP-HN</x:v>
      </x:c>
      <x:c r="G675"/>
      <x:c r="H675" t="str">
        <x:v>Hair Removal Cream</x:v>
      </x:c>
      <x:c r="I675"/>
      <x:c r="J675" t="str">
        <x:v>Kem dưỡng da</x:v>
      </x:c>
      <x:c r="K675"/>
      <x:c r="L675" t="str">
        <x:v>Công ty cổ phần quốc tế Baek Jo Việt Nam</x:v>
      </x:c>
      <x:c r="M675"/>
      <x:c r="N675" t="str">
        <x:v>Công ty TNHH mỹ phẩm Việt Hương</x:v>
      </x:c>
      <x:c r="O675" t="str">
        <x:v>Đình chỉ lưu hành, thu hồi và tiêu hủy – Công văn 1772/QLD-MP</x:v>
      </x:c>
      <x:c r="P675" t="str">
        <x:v>A++ – Cục Quản lý Dược; tổ chức chịu trách nhiệm explicit</x:v>
      </x:c>
      <x:c r="Q675" t="str">
        <x:v>Phụ lục 511 sản phẩm, STT 311, trang 11. Công ty Việt Hương là cơ sở sản xuất; cột tổ chức chịu trách nhiệm lấy nguyên văn từ phụ lục.</x:v>
      </x:c>
      <x:c r="R675" t="str">
        <x:v>https://dav.gov.vn/cong-van-so-1772qld-mp-ve-viec-dinh-chi-luu-hanh-thu-hoi-va-tieu-huy-my-pham-vi-pham-cong-ty-tnhh-my-pham-viet-huong-n5334.html</x:v>
      </x:c>
      <x:c r="S675" t="str">
        <x:v>Hà Nội</x:v>
      </x:c>
      <x:c r="T675" t="str">
        <x:v>01</x:v>
      </x:c>
    </x:row>
    <x:row r="676">
      <x:c r="A676" t="n">
        <x:v>675</x:v>
      </x:c>
      <x:c r="B676" s="330"/>
      <x:c r="C676" s="330" t="n">
        <x:v>46155</x:v>
      </x:c>
      <x:c r="D676" t="n">
        <x:v>2023</x:v>
      </x:c>
      <x:c r="E676"/>
      <x:c r="F676" t="str">
        <x:v>18584/23/CBMP-HN</x:v>
      </x:c>
      <x:c r="G676"/>
      <x:c r="H676" t="str">
        <x:v>Coffee Body Scrub</x:v>
      </x:c>
      <x:c r="I676"/>
      <x:c r="J676" t="str">
        <x:v>Khác</x:v>
      </x:c>
      <x:c r="K676"/>
      <x:c r="L676" t="str">
        <x:v>Công ty cổ phần quốc tế Baek Jo Việt Nam</x:v>
      </x:c>
      <x:c r="M676"/>
      <x:c r="N676" t="str">
        <x:v>Công ty TNHH mỹ phẩm Việt Hương</x:v>
      </x:c>
      <x:c r="O676" t="str">
        <x:v>Đình chỉ lưu hành, thu hồi và tiêu hủy – Công văn 1772/QLD-MP</x:v>
      </x:c>
      <x:c r="P676" t="str">
        <x:v>A++ – Cục Quản lý Dược; tổ chức chịu trách nhiệm explicit</x:v>
      </x:c>
      <x:c r="Q676" t="str">
        <x:v>Phụ lục 511 sản phẩm, STT 312, trang 11. Công ty Việt Hương là cơ sở sản xuất; cột tổ chức chịu trách nhiệm lấy nguyên văn từ phụ lục.</x:v>
      </x:c>
      <x:c r="R676" t="str">
        <x:v>https://dav.gov.vn/cong-van-so-1772qld-mp-ve-viec-dinh-chi-luu-hanh-thu-hoi-va-tieu-huy-my-pham-vi-pham-cong-ty-tnhh-my-pham-viet-huong-n5334.html</x:v>
      </x:c>
      <x:c r="S676" t="str">
        <x:v>Hà Nội</x:v>
      </x:c>
      <x:c r="T676" t="str">
        <x:v>01</x:v>
      </x:c>
    </x:row>
    <x:row r="677">
      <x:c r="A677" t="n">
        <x:v>676</x:v>
      </x:c>
      <x:c r="B677" s="330"/>
      <x:c r="C677" s="330" t="n">
        <x:v>46155</x:v>
      </x:c>
      <x:c r="D677" t="n">
        <x:v>2023</x:v>
      </x:c>
      <x:c r="E677"/>
      <x:c r="F677" t="str">
        <x:v>18585/23/CBMP-HN</x:v>
      </x:c>
      <x:c r="G677"/>
      <x:c r="H677" t="str">
        <x:v>Lubobo No1</x:v>
      </x:c>
      <x:c r="I677"/>
      <x:c r="J677" t="str">
        <x:v>Khác</x:v>
      </x:c>
      <x:c r="K677"/>
      <x:c r="L677" t="str">
        <x:v>Công ty cổ phần quốc tế Baek Jo Việt Nam</x:v>
      </x:c>
      <x:c r="M677"/>
      <x:c r="N677" t="str">
        <x:v>Công ty TNHH mỹ phẩm Việt Hương</x:v>
      </x:c>
      <x:c r="O677" t="str">
        <x:v>Đình chỉ lưu hành, thu hồi và tiêu hủy – Công văn 1772/QLD-MP</x:v>
      </x:c>
      <x:c r="P677" t="str">
        <x:v>A++ – Cục Quản lý Dược; tổ chức chịu trách nhiệm explicit</x:v>
      </x:c>
      <x:c r="Q677" t="str">
        <x:v>Phụ lục 511 sản phẩm, STT 313, trang 11. Công ty Việt Hương là cơ sở sản xuất; cột tổ chức chịu trách nhiệm lấy nguyên văn từ phụ lục.</x:v>
      </x:c>
      <x:c r="R677" t="str">
        <x:v>https://dav.gov.vn/cong-van-so-1772qld-mp-ve-viec-dinh-chi-luu-hanh-thu-hoi-va-tieu-huy-my-pham-vi-pham-cong-ty-tnhh-my-pham-viet-huong-n5334.html</x:v>
      </x:c>
      <x:c r="S677" t="str">
        <x:v>Hà Nội</x:v>
      </x:c>
      <x:c r="T677" t="str">
        <x:v>01</x:v>
      </x:c>
    </x:row>
    <x:row r="678">
      <x:c r="A678" t="n">
        <x:v>677</x:v>
      </x:c>
      <x:c r="B678" s="330"/>
      <x:c r="C678" s="330" t="n">
        <x:v>46155</x:v>
      </x:c>
      <x:c r="D678" t="n">
        <x:v>2023</x:v>
      </x:c>
      <x:c r="E678"/>
      <x:c r="F678" t="str">
        <x:v>18659/23/CBMP-HN</x:v>
      </x:c>
      <x:c r="G678"/>
      <x:c r="H678" t="str">
        <x:v>Special BB Cream</x:v>
      </x:c>
      <x:c r="I678"/>
      <x:c r="J678" t="str">
        <x:v>Kem dưỡng da</x:v>
      </x:c>
      <x:c r="K678"/>
      <x:c r="L678" t="str">
        <x:v>Công ty TNHH TM Tiến Đạt Strong</x:v>
      </x:c>
      <x:c r="M678"/>
      <x:c r="N678" t="str">
        <x:v>Công ty TNHH mỹ phẩm Việt Hương</x:v>
      </x:c>
      <x:c r="O678" t="str">
        <x:v>Đình chỉ lưu hành, thu hồi và tiêu hủy – Công văn 1772/QLD-MP</x:v>
      </x:c>
      <x:c r="P678" t="str">
        <x:v>A++ – Cục Quản lý Dược; tổ chức chịu trách nhiệm explicit</x:v>
      </x:c>
      <x:c r="Q678" t="str">
        <x:v>Phụ lục 511 sản phẩm, STT 314, trang 11. Công ty Việt Hương là cơ sở sản xuất; cột tổ chức chịu trách nhiệm lấy nguyên văn từ phụ lục.</x:v>
      </x:c>
      <x:c r="R678" t="str">
        <x:v>https://dav.gov.vn/cong-van-so-1772qld-mp-ve-viec-dinh-chi-luu-hanh-thu-hoi-va-tieu-huy-my-pham-vi-pham-cong-ty-tnhh-my-pham-viet-huong-n5334.html</x:v>
      </x:c>
      <x:c r="S678" t="str">
        <x:v>Hà Nội</x:v>
      </x:c>
      <x:c r="T678" t="str">
        <x:v>01</x:v>
      </x:c>
    </x:row>
    <x:row r="679">
      <x:c r="A679" t="n">
        <x:v>678</x:v>
      </x:c>
      <x:c r="B679" s="330"/>
      <x:c r="C679" s="330" t="n">
        <x:v>46155</x:v>
      </x:c>
      <x:c r="D679" t="n">
        <x:v>2023</x:v>
      </x:c>
      <x:c r="E679"/>
      <x:c r="F679" t="str">
        <x:v>18722/23/CBMP-HN</x:v>
      </x:c>
      <x:c r="G679"/>
      <x:c r="H679" t="str">
        <x:v>Mùi Già Tết xưa</x:v>
      </x:c>
      <x:c r="I679"/>
      <x:c r="J679" t="str">
        <x:v>Khác</x:v>
      </x:c>
      <x:c r="K679"/>
      <x:c r="L679" t="str">
        <x:v>Công ty cổ phần Ezla Việt Nam</x:v>
      </x:c>
      <x:c r="M679"/>
      <x:c r="N679" t="str">
        <x:v>Công ty TNHH mỹ phẩm Việt Hương</x:v>
      </x:c>
      <x:c r="O679" t="str">
        <x:v>Đình chỉ lưu hành, thu hồi và tiêu hủy – Công văn 1772/QLD-MP</x:v>
      </x:c>
      <x:c r="P679" t="str">
        <x:v>A++ – Cục Quản lý Dược; tổ chức chịu trách nhiệm explicit</x:v>
      </x:c>
      <x:c r="Q679" t="str">
        <x:v>Phụ lục 511 sản phẩm, STT 315, trang 11. Công ty Việt Hương là cơ sở sản xuất; cột tổ chức chịu trách nhiệm lấy nguyên văn từ phụ lục.</x:v>
      </x:c>
      <x:c r="R679" t="str">
        <x:v>https://dav.gov.vn/cong-van-so-1772qld-mp-ve-viec-dinh-chi-luu-hanh-thu-hoi-va-tieu-huy-my-pham-vi-pham-cong-ty-tnhh-my-pham-viet-huong-n5334.html</x:v>
      </x:c>
      <x:c r="S679" t="str">
        <x:v>Hà Nội</x:v>
      </x:c>
      <x:c r="T679" t="str">
        <x:v>01</x:v>
      </x:c>
    </x:row>
    <x:row r="680">
      <x:c r="A680" t="n">
        <x:v>679</x:v>
      </x:c>
      <x:c r="B680" s="330"/>
      <x:c r="C680" s="330" t="n">
        <x:v>46155</x:v>
      </x:c>
      <x:c r="D680" t="n">
        <x:v>2024</x:v>
      </x:c>
      <x:c r="E680"/>
      <x:c r="F680" t="str">
        <x:v>18985/24/CBMP-HN</x:v>
      </x:c>
      <x:c r="G680"/>
      <x:c r="H680" t="str">
        <x:v>Damian Night Cream</x:v>
      </x:c>
      <x:c r="I680"/>
      <x:c r="J680" t="str">
        <x:v>Kem dưỡng da</x:v>
      </x:c>
      <x:c r="K680"/>
      <x:c r="L680" t="str">
        <x:v>Công ty TNHH Tân Phát Group</x:v>
      </x:c>
      <x:c r="M680"/>
      <x:c r="N680" t="str">
        <x:v>Công ty TNHH mỹ phẩm Việt Hương</x:v>
      </x:c>
      <x:c r="O680" t="str">
        <x:v>Đình chỉ lưu hành, thu hồi và tiêu hủy – Công văn 1772/QLD-MP</x:v>
      </x:c>
      <x:c r="P680" t="str">
        <x:v>A++ – Cục Quản lý Dược; tổ chức chịu trách nhiệm explicit</x:v>
      </x:c>
      <x:c r="Q680" t="str">
        <x:v>Phụ lục 511 sản phẩm, STT 317, trang 11. Công ty Việt Hương là cơ sở sản xuất; cột tổ chức chịu trách nhiệm lấy nguyên văn từ phụ lục.</x:v>
      </x:c>
      <x:c r="R680" t="str">
        <x:v>https://dav.gov.vn/cong-van-so-1772qld-mp-ve-viec-dinh-chi-luu-hanh-thu-hoi-va-tieu-huy-my-pham-vi-pham-cong-ty-tnhh-my-pham-viet-huong-n5334.html</x:v>
      </x:c>
      <x:c r="S680" t="str">
        <x:v>Hà Nội</x:v>
      </x:c>
      <x:c r="T680" t="str">
        <x:v>01</x:v>
      </x:c>
    </x:row>
    <x:row r="681">
      <x:c r="A681" t="n">
        <x:v>680</x:v>
      </x:c>
      <x:c r="B681" s="330"/>
      <x:c r="C681" s="330" t="n">
        <x:v>46155</x:v>
      </x:c>
      <x:c r="D681" t="n">
        <x:v>2024</x:v>
      </x:c>
      <x:c r="E681"/>
      <x:c r="F681" t="str">
        <x:v>19223/24/CBMP-HN</x:v>
      </x:c>
      <x:c r="G681"/>
      <x:c r="H681" t="str">
        <x:v>Amiro</x:v>
      </x:c>
      <x:c r="I681"/>
      <x:c r="J681" t="str">
        <x:v>Khác</x:v>
      </x:c>
      <x:c r="K681"/>
      <x:c r="L681" t="str">
        <x:v>Hộ kinh doanh Trịnh Ngọc Sơn</x:v>
      </x:c>
      <x:c r="M681"/>
      <x:c r="N681" t="str">
        <x:v>Công ty TNHH mỹ phẩm Việt Hương</x:v>
      </x:c>
      <x:c r="O681" t="str">
        <x:v>Đình chỉ lưu hành, thu hồi và tiêu hủy – Công văn 1772/QLD-MP</x:v>
      </x:c>
      <x:c r="P681" t="str">
        <x:v>A++ – Cục Quản lý Dược; tổ chức chịu trách nhiệm explicit</x:v>
      </x:c>
      <x:c r="Q681" t="str">
        <x:v>Phụ lục 511 sản phẩm, STT 318, trang 11. Công ty Việt Hương là cơ sở sản xuất; cột tổ chức chịu trách nhiệm lấy nguyên văn từ phụ lục.</x:v>
      </x:c>
      <x:c r="R681" t="str">
        <x:v>https://dav.gov.vn/cong-van-so-1772qld-mp-ve-viec-dinh-chi-luu-hanh-thu-hoi-va-tieu-huy-my-pham-vi-pham-cong-ty-tnhh-my-pham-viet-huong-n5334.html</x:v>
      </x:c>
      <x:c r="S681" t="str">
        <x:v>Hà Nội</x:v>
      </x:c>
      <x:c r="T681" t="str">
        <x:v>01</x:v>
      </x:c>
    </x:row>
    <x:row r="682">
      <x:c r="A682" t="n">
        <x:v>681</x:v>
      </x:c>
      <x:c r="B682" s="330"/>
      <x:c r="C682" s="330" t="n">
        <x:v>46155</x:v>
      </x:c>
      <x:c r="D682" t="n">
        <x:v>2024</x:v>
      </x:c>
      <x:c r="E682"/>
      <x:c r="F682" t="str">
        <x:v>19224/24/CBMP-HN</x:v>
      </x:c>
      <x:c r="G682"/>
      <x:c r="H682" t="str">
        <x:v>Blue Summer</x:v>
      </x:c>
      <x:c r="I682"/>
      <x:c r="J682" t="str">
        <x:v>Khác</x:v>
      </x:c>
      <x:c r="K682"/>
      <x:c r="L682" t="str">
        <x:v>Công ty TNHH Thương mại quốc tế Happy Home</x:v>
      </x:c>
      <x:c r="M682"/>
      <x:c r="N682" t="str">
        <x:v>Công ty TNHH mỹ phẩm Việt Hương</x:v>
      </x:c>
      <x:c r="O682" t="str">
        <x:v>Đình chỉ lưu hành, thu hồi và tiêu hủy – Công văn 1772/QLD-MP</x:v>
      </x:c>
      <x:c r="P682" t="str">
        <x:v>A++ – Cục Quản lý Dược; tổ chức chịu trách nhiệm explicit</x:v>
      </x:c>
      <x:c r="Q682" t="str">
        <x:v>Phụ lục 511 sản phẩm, STT 319, trang 11. Công ty Việt Hương là cơ sở sản xuất; cột tổ chức chịu trách nhiệm lấy nguyên văn từ phụ lục.</x:v>
      </x:c>
      <x:c r="R682" t="str">
        <x:v>https://dav.gov.vn/cong-van-so-1772qld-mp-ve-viec-dinh-chi-luu-hanh-thu-hoi-va-tieu-huy-my-pham-vi-pham-cong-ty-tnhh-my-pham-viet-huong-n5334.html</x:v>
      </x:c>
      <x:c r="S682" t="str">
        <x:v>Hà Nội</x:v>
      </x:c>
      <x:c r="T682" t="str">
        <x:v>01</x:v>
      </x:c>
    </x:row>
    <x:row r="683">
      <x:c r="A683" t="n">
        <x:v>682</x:v>
      </x:c>
      <x:c r="B683" s="330"/>
      <x:c r="C683" s="330" t="n">
        <x:v>46155</x:v>
      </x:c>
      <x:c r="D683" t="n">
        <x:v>2024</x:v>
      </x:c>
      <x:c r="E683"/>
      <x:c r="F683" t="str">
        <x:v>19225/24/CBMP-HN</x:v>
      </x:c>
      <x:c r="G683"/>
      <x:c r="H683" t="str">
        <x:v>Meli Mibooo</x:v>
      </x:c>
      <x:c r="I683"/>
      <x:c r="J683" t="str">
        <x:v>Khác</x:v>
      </x:c>
      <x:c r="K683"/>
      <x:c r="L683" t="str">
        <x:v>Công ty TNHH Thương mại quốc tế Happy Home</x:v>
      </x:c>
      <x:c r="M683"/>
      <x:c r="N683" t="str">
        <x:v>Công ty TNHH mỹ phẩm Việt Hương</x:v>
      </x:c>
      <x:c r="O683" t="str">
        <x:v>Đình chỉ lưu hành, thu hồi và tiêu hủy – Công văn 1772/QLD-MP</x:v>
      </x:c>
      <x:c r="P683" t="str">
        <x:v>A++ – Cục Quản lý Dược; tổ chức chịu trách nhiệm explicit</x:v>
      </x:c>
      <x:c r="Q683" t="str">
        <x:v>Phụ lục 511 sản phẩm, STT 320, trang 11. Công ty Việt Hương là cơ sở sản xuất; cột tổ chức chịu trách nhiệm lấy nguyên văn từ phụ lục.</x:v>
      </x:c>
      <x:c r="R683" t="str">
        <x:v>https://dav.gov.vn/cong-van-so-1772qld-mp-ve-viec-dinh-chi-luu-hanh-thu-hoi-va-tieu-huy-my-pham-vi-pham-cong-ty-tnhh-my-pham-viet-huong-n5334.html</x:v>
      </x:c>
      <x:c r="S683" t="str">
        <x:v>Hà Nội</x:v>
      </x:c>
      <x:c r="T683" t="str">
        <x:v>01</x:v>
      </x:c>
    </x:row>
    <x:row r="684">
      <x:c r="A684" t="n">
        <x:v>683</x:v>
      </x:c>
      <x:c r="B684" s="330"/>
      <x:c r="C684" s="330" t="n">
        <x:v>46155</x:v>
      </x:c>
      <x:c r="D684" t="n">
        <x:v>2024</x:v>
      </x:c>
      <x:c r="E684"/>
      <x:c r="F684" t="str">
        <x:v>19226/24/CBMP-HN</x:v>
      </x:c>
      <x:c r="G684"/>
      <x:c r="H684" t="str">
        <x:v>Meli Luxury</x:v>
      </x:c>
      <x:c r="I684"/>
      <x:c r="J684" t="str">
        <x:v>Khác</x:v>
      </x:c>
      <x:c r="K684"/>
      <x:c r="L684" t="str">
        <x:v>Công ty TNHH Thương mại quốc tế Happy Home</x:v>
      </x:c>
      <x:c r="M684"/>
      <x:c r="N684" t="str">
        <x:v>Công ty TNHH mỹ phẩm Việt Hương</x:v>
      </x:c>
      <x:c r="O684" t="str">
        <x:v>Đình chỉ lưu hành, thu hồi và tiêu hủy – Công văn 1772/QLD-MP</x:v>
      </x:c>
      <x:c r="P684" t="str">
        <x:v>A++ – Cục Quản lý Dược; tổ chức chịu trách nhiệm explicit</x:v>
      </x:c>
      <x:c r="Q684" t="str">
        <x:v>Phụ lục 511 sản phẩm, STT 321, trang 11. Công ty Việt Hương là cơ sở sản xuất; cột tổ chức chịu trách nhiệm lấy nguyên văn từ phụ lục.</x:v>
      </x:c>
      <x:c r="R684" t="str">
        <x:v>https://dav.gov.vn/cong-van-so-1772qld-mp-ve-viec-dinh-chi-luu-hanh-thu-hoi-va-tieu-huy-my-pham-vi-pham-cong-ty-tnhh-my-pham-viet-huong-n5334.html</x:v>
      </x:c>
      <x:c r="S684" t="str">
        <x:v>Hà Nội</x:v>
      </x:c>
      <x:c r="T684" t="str">
        <x:v>01</x:v>
      </x:c>
    </x:row>
    <x:row r="685">
      <x:c r="A685" t="n">
        <x:v>684</x:v>
      </x:c>
      <x:c r="B685" s="330"/>
      <x:c r="C685" s="330" t="n">
        <x:v>46155</x:v>
      </x:c>
      <x:c r="D685" t="n">
        <x:v>2024</x:v>
      </x:c>
      <x:c r="E685"/>
      <x:c r="F685" t="str">
        <x:v>19227/24/CBMP-HN</x:v>
      </x:c>
      <x:c r="G685"/>
      <x:c r="H685" t="str">
        <x:v>Body Shower Gel</x:v>
      </x:c>
      <x:c r="I685"/>
      <x:c r="J685" t="str">
        <x:v>Sữa tắm/Gel tắm</x:v>
      </x:c>
      <x:c r="K685"/>
      <x:c r="L685" t="str">
        <x:v>Công ty TNHH Thương mại quốc tế Happy Home</x:v>
      </x:c>
      <x:c r="M685"/>
      <x:c r="N685" t="str">
        <x:v>Công ty TNHH mỹ phẩm Việt Hương</x:v>
      </x:c>
      <x:c r="O685" t="str">
        <x:v>Đình chỉ lưu hành, thu hồi và tiêu hủy – Công văn 1772/QLD-MP</x:v>
      </x:c>
      <x:c r="P685" t="str">
        <x:v>A++ – Cục Quản lý Dược; tổ chức chịu trách nhiệm explicit</x:v>
      </x:c>
      <x:c r="Q685" t="str">
        <x:v>Phụ lục 511 sản phẩm, STT 322, trang 11. Công ty Việt Hương là cơ sở sản xuất; cột tổ chức chịu trách nhiệm lấy nguyên văn từ phụ lục.</x:v>
      </x:c>
      <x:c r="R685" t="str">
        <x:v>https://dav.gov.vn/cong-van-so-1772qld-mp-ve-viec-dinh-chi-luu-hanh-thu-hoi-va-tieu-huy-my-pham-vi-pham-cong-ty-tnhh-my-pham-viet-huong-n5334.html</x:v>
      </x:c>
      <x:c r="S685" t="str">
        <x:v>Hà Nội</x:v>
      </x:c>
      <x:c r="T685" t="str">
        <x:v>01</x:v>
      </x:c>
    </x:row>
    <x:row r="686">
      <x:c r="A686" t="n">
        <x:v>685</x:v>
      </x:c>
      <x:c r="B686" s="330"/>
      <x:c r="C686" s="330" t="n">
        <x:v>46155</x:v>
      </x:c>
      <x:c r="D686" t="n">
        <x:v>2024</x:v>
      </x:c>
      <x:c r="E686"/>
      <x:c r="F686" t="str">
        <x:v>19228/24/CBMP-HN</x:v>
      </x:c>
      <x:c r="G686"/>
      <x:c r="H686" t="str">
        <x:v>Meli Sweeter</x:v>
      </x:c>
      <x:c r="I686"/>
      <x:c r="J686" t="str">
        <x:v>Khác</x:v>
      </x:c>
      <x:c r="K686"/>
      <x:c r="L686" t="str">
        <x:v>Công ty TNHH Thương mại quốc tế Happy Home</x:v>
      </x:c>
      <x:c r="M686"/>
      <x:c r="N686" t="str">
        <x:v>Công ty TNHH mỹ phẩm Việt Hương</x:v>
      </x:c>
      <x:c r="O686" t="str">
        <x:v>Đình chỉ lưu hành, thu hồi và tiêu hủy – Công văn 1772/QLD-MP</x:v>
      </x:c>
      <x:c r="P686" t="str">
        <x:v>A++ – Cục Quản lý Dược; tổ chức chịu trách nhiệm explicit</x:v>
      </x:c>
      <x:c r="Q686" t="str">
        <x:v>Phụ lục 511 sản phẩm, STT 323, trang 11. Công ty Việt Hương là cơ sở sản xuất; cột tổ chức chịu trách nhiệm lấy nguyên văn từ phụ lục.</x:v>
      </x:c>
      <x:c r="R686" t="str">
        <x:v>https://dav.gov.vn/cong-van-so-1772qld-mp-ve-viec-dinh-chi-luu-hanh-thu-hoi-va-tieu-huy-my-pham-vi-pham-cong-ty-tnhh-my-pham-viet-huong-n5334.html</x:v>
      </x:c>
      <x:c r="S686" t="str">
        <x:v>Hà Nội</x:v>
      </x:c>
      <x:c r="T686" t="str">
        <x:v>01</x:v>
      </x:c>
    </x:row>
    <x:row r="687">
      <x:c r="A687" t="n">
        <x:v>686</x:v>
      </x:c>
      <x:c r="B687" s="330"/>
      <x:c r="C687" s="330" t="n">
        <x:v>46155</x:v>
      </x:c>
      <x:c r="D687" t="n">
        <x:v>2024</x:v>
      </x:c>
      <x:c r="E687"/>
      <x:c r="F687" t="str">
        <x:v>19360/24/CBMP-HN</x:v>
      </x:c>
      <x:c r="G687"/>
      <x:c r="H687" t="str">
        <x:v>Thomas Pink</x:v>
      </x:c>
      <x:c r="I687"/>
      <x:c r="J687" t="str">
        <x:v>Khác</x:v>
      </x:c>
      <x:c r="K687"/>
      <x:c r="L687" t="str">
        <x:v>Công ty TNHH Thương mại quốc tế Happy Home</x:v>
      </x:c>
      <x:c r="M687"/>
      <x:c r="N687" t="str">
        <x:v>Công ty TNHH mỹ phẩm Việt Hương</x:v>
      </x:c>
      <x:c r="O687" t="str">
        <x:v>Đình chỉ lưu hành, thu hồi và tiêu hủy – Công văn 1772/QLD-MP</x:v>
      </x:c>
      <x:c r="P687" t="str">
        <x:v>A++ – Cục Quản lý Dược; tổ chức chịu trách nhiệm explicit</x:v>
      </x:c>
      <x:c r="Q687" t="str">
        <x:v>Phụ lục 511 sản phẩm, STT 324, trang 11. Công ty Việt Hương là cơ sở sản xuất; cột tổ chức chịu trách nhiệm lấy nguyên văn từ phụ lục.</x:v>
      </x:c>
      <x:c r="R687" t="str">
        <x:v>https://dav.gov.vn/cong-van-so-1772qld-mp-ve-viec-dinh-chi-luu-hanh-thu-hoi-va-tieu-huy-my-pham-vi-pham-cong-ty-tnhh-my-pham-viet-huong-n5334.html</x:v>
      </x:c>
      <x:c r="S687" t="str">
        <x:v>Hà Nội</x:v>
      </x:c>
      <x:c r="T687" t="str">
        <x:v>01</x:v>
      </x:c>
    </x:row>
    <x:row r="688">
      <x:c r="A688" t="n">
        <x:v>687</x:v>
      </x:c>
      <x:c r="B688" s="330"/>
      <x:c r="C688" s="330" t="n">
        <x:v>46155</x:v>
      </x:c>
      <x:c r="D688" t="n">
        <x:v>2024</x:v>
      </x:c>
      <x:c r="E688"/>
      <x:c r="F688" t="str">
        <x:v>19361/24/CBMP-HN</x:v>
      </x:c>
      <x:c r="G688"/>
      <x:c r="H688" t="str">
        <x:v>Mano Roses</x:v>
      </x:c>
      <x:c r="I688"/>
      <x:c r="J688" t="str">
        <x:v>Khác</x:v>
      </x:c>
      <x:c r="K688"/>
      <x:c r="L688" t="str">
        <x:v>Công ty TNHH Thương mại quốc tế Happy Home</x:v>
      </x:c>
      <x:c r="M688"/>
      <x:c r="N688" t="str">
        <x:v>Công ty TNHH mỹ phẩm Việt Hương</x:v>
      </x:c>
      <x:c r="O688" t="str">
        <x:v>Đình chỉ lưu hành, thu hồi và tiêu hủy – Công văn 1772/QLD-MP</x:v>
      </x:c>
      <x:c r="P688" t="str">
        <x:v>A++ – Cục Quản lý Dược; tổ chức chịu trách nhiệm explicit</x:v>
      </x:c>
      <x:c r="Q688" t="str">
        <x:v>Phụ lục 511 sản phẩm, STT 325, trang 11. Công ty Việt Hương là cơ sở sản xuất; cột tổ chức chịu trách nhiệm lấy nguyên văn từ phụ lục.</x:v>
      </x:c>
      <x:c r="R688" t="str">
        <x:v>https://dav.gov.vn/cong-van-so-1772qld-mp-ve-viec-dinh-chi-luu-hanh-thu-hoi-va-tieu-huy-my-pham-vi-pham-cong-ty-tnhh-my-pham-viet-huong-n5334.html</x:v>
      </x:c>
      <x:c r="S688" t="str">
        <x:v>Hà Nội</x:v>
      </x:c>
      <x:c r="T688" t="str">
        <x:v>01</x:v>
      </x:c>
    </x:row>
    <x:row r="689">
      <x:c r="A689" t="n">
        <x:v>688</x:v>
      </x:c>
      <x:c r="B689" s="330"/>
      <x:c r="C689" s="330" t="n">
        <x:v>46155</x:v>
      </x:c>
      <x:c r="D689" t="n">
        <x:v>2024</x:v>
      </x:c>
      <x:c r="E689"/>
      <x:c r="F689" t="str">
        <x:v>19362/24/CBMP-HN</x:v>
      </x:c>
      <x:c r="G689"/>
      <x:c r="H689" t="str">
        <x:v>By Red</x:v>
      </x:c>
      <x:c r="I689"/>
      <x:c r="J689" t="str">
        <x:v>Khác</x:v>
      </x:c>
      <x:c r="K689"/>
      <x:c r="L689" t="str">
        <x:v>Công ty TNHH Thương mại quốc tế Happy Home</x:v>
      </x:c>
      <x:c r="M689"/>
      <x:c r="N689" t="str">
        <x:v>Công ty TNHH mỹ phẩm Việt Hương</x:v>
      </x:c>
      <x:c r="O689" t="str">
        <x:v>Đình chỉ lưu hành, thu hồi và tiêu hủy – Công văn 1772/QLD-MP</x:v>
      </x:c>
      <x:c r="P689" t="str">
        <x:v>A++ – Cục Quản lý Dược; tổ chức chịu trách nhiệm explicit</x:v>
      </x:c>
      <x:c r="Q689" t="str">
        <x:v>Phụ lục 511 sản phẩm, STT 326, trang 11. Công ty Việt Hương là cơ sở sản xuất; cột tổ chức chịu trách nhiệm lấy nguyên văn từ phụ lục.</x:v>
      </x:c>
      <x:c r="R689" t="str">
        <x:v>https://dav.gov.vn/cong-van-so-1772qld-mp-ve-viec-dinh-chi-luu-hanh-thu-hoi-va-tieu-huy-my-pham-vi-pham-cong-ty-tnhh-my-pham-viet-huong-n5334.html</x:v>
      </x:c>
      <x:c r="S689" t="str">
        <x:v>Hà Nội</x:v>
      </x:c>
      <x:c r="T689" t="str">
        <x:v>01</x:v>
      </x:c>
    </x:row>
    <x:row r="690">
      <x:c r="A690" t="n">
        <x:v>689</x:v>
      </x:c>
      <x:c r="B690" s="330"/>
      <x:c r="C690" s="330" t="n">
        <x:v>46155</x:v>
      </x:c>
      <x:c r="D690" t="n">
        <x:v>2025</x:v>
      </x:c>
      <x:c r="E690"/>
      <x:c r="F690" t="str">
        <x:v>24117/25/CBMP-HN</x:v>
      </x:c>
      <x:c r="G690"/>
      <x:c r="H690" t="str">
        <x:v>LOVE LADY</x:v>
      </x:c>
      <x:c r="I690"/>
      <x:c r="J690" t="str">
        <x:v>Khác</x:v>
      </x:c>
      <x:c r="K690"/>
      <x:c r="L690" t="str">
        <x:v>Công ty TNHH Thương mại quốc tế Happy Home</x:v>
      </x:c>
      <x:c r="M690"/>
      <x:c r="N690" t="str">
        <x:v>Công ty TNHH mỹ phẩm Việt Hương</x:v>
      </x:c>
      <x:c r="O690" t="str">
        <x:v>Đình chỉ lưu hành, thu hồi và tiêu hủy – Công văn 1772/QLD-MP</x:v>
      </x:c>
      <x:c r="P690" t="str">
        <x:v>A++ – Cục Quản lý Dược; tổ chức chịu trách nhiệm explicit</x:v>
      </x:c>
      <x:c r="Q690" t="str">
        <x:v>Phụ lục 511 sản phẩm, STT 327, trang 11. Công ty Việt Hương là cơ sở sản xuất; cột tổ chức chịu trách nhiệm lấy nguyên văn từ phụ lục.</x:v>
      </x:c>
      <x:c r="R690" t="str">
        <x:v>https://dav.gov.vn/cong-van-so-1772qld-mp-ve-viec-dinh-chi-luu-hanh-thu-hoi-va-tieu-huy-my-pham-vi-pham-cong-ty-tnhh-my-pham-viet-huong-n5334.html</x:v>
      </x:c>
      <x:c r="S690" t="str">
        <x:v>Hà Nội</x:v>
      </x:c>
      <x:c r="T690" t="str">
        <x:v>01</x:v>
      </x:c>
    </x:row>
    <x:row r="691">
      <x:c r="A691" t="n">
        <x:v>690</x:v>
      </x:c>
      <x:c r="B691" s="330"/>
      <x:c r="C691" s="330" t="n">
        <x:v>46155</x:v>
      </x:c>
      <x:c r="D691" t="n">
        <x:v>2025</x:v>
      </x:c>
      <x:c r="E691"/>
      <x:c r="F691" t="str">
        <x:v>24118/25/CBMP-HN</x:v>
      </x:c>
      <x:c r="G691"/>
      <x:c r="H691" t="str">
        <x:v>SCRUB LADY</x:v>
      </x:c>
      <x:c r="I691"/>
      <x:c r="J691" t="str">
        <x:v>Khác</x:v>
      </x:c>
      <x:c r="K691"/>
      <x:c r="L691" t="str">
        <x:v>Công ty TNHH Thương mại quốc tế Happy Home</x:v>
      </x:c>
      <x:c r="M691"/>
      <x:c r="N691" t="str">
        <x:v>Công ty TNHH mỹ phẩm Việt Hương</x:v>
      </x:c>
      <x:c r="O691" t="str">
        <x:v>Đình chỉ lưu hành, thu hồi và tiêu hủy – Công văn 1772/QLD-MP</x:v>
      </x:c>
      <x:c r="P691" t="str">
        <x:v>A++ – Cục Quản lý Dược; tổ chức chịu trách nhiệm explicit</x:v>
      </x:c>
      <x:c r="Q691" t="str">
        <x:v>Phụ lục 511 sản phẩm, STT 328, trang 11. Công ty Việt Hương là cơ sở sản xuất; cột tổ chức chịu trách nhiệm lấy nguyên văn từ phụ lục.</x:v>
      </x:c>
      <x:c r="R691" t="str">
        <x:v>https://dav.gov.vn/cong-van-so-1772qld-mp-ve-viec-dinh-chi-luu-hanh-thu-hoi-va-tieu-huy-my-pham-vi-pham-cong-ty-tnhh-my-pham-viet-huong-n5334.html</x:v>
      </x:c>
      <x:c r="S691" t="str">
        <x:v>Hà Nội</x:v>
      </x:c>
      <x:c r="T691" t="str">
        <x:v>01</x:v>
      </x:c>
    </x:row>
    <x:row r="692">
      <x:c r="A692" t="n">
        <x:v>691</x:v>
      </x:c>
      <x:c r="B692" s="330"/>
      <x:c r="C692" s="330" t="n">
        <x:v>46155</x:v>
      </x:c>
      <x:c r="D692" t="n">
        <x:v>2025</x:v>
      </x:c>
      <x:c r="E692"/>
      <x:c r="F692" t="str">
        <x:v>24119/25/CBMP-HN</x:v>
      </x:c>
      <x:c r="G692"/>
      <x:c r="H692" t="str">
        <x:v>BODY SCRUB</x:v>
      </x:c>
      <x:c r="I692"/>
      <x:c r="J692" t="str">
        <x:v>Khác</x:v>
      </x:c>
      <x:c r="K692"/>
      <x:c r="L692" t="str">
        <x:v>Công ty TNHH Thương mại quốc tế Happy Home</x:v>
      </x:c>
      <x:c r="M692"/>
      <x:c r="N692" t="str">
        <x:v>Công ty TNHH mỹ phẩm Việt Hương</x:v>
      </x:c>
      <x:c r="O692" t="str">
        <x:v>Đình chỉ lưu hành, thu hồi và tiêu hủy – Công văn 1772/QLD-MP</x:v>
      </x:c>
      <x:c r="P692" t="str">
        <x:v>A++ – Cục Quản lý Dược; tổ chức chịu trách nhiệm explicit</x:v>
      </x:c>
      <x:c r="Q692" t="str">
        <x:v>Phụ lục 511 sản phẩm, STT 329, trang 12. Công ty Việt Hương là cơ sở sản xuất; cột tổ chức chịu trách nhiệm lấy nguyên văn từ phụ lục.</x:v>
      </x:c>
      <x:c r="R692" t="str">
        <x:v>https://dav.gov.vn/cong-van-so-1772qld-mp-ve-viec-dinh-chi-luu-hanh-thu-hoi-va-tieu-huy-my-pham-vi-pham-cong-ty-tnhh-my-pham-viet-huong-n5334.html</x:v>
      </x:c>
      <x:c r="S692" t="str">
        <x:v>Hà Nội</x:v>
      </x:c>
      <x:c r="T692" t="str">
        <x:v>01</x:v>
      </x:c>
    </x:row>
    <x:row r="693">
      <x:c r="A693" t="n">
        <x:v>692</x:v>
      </x:c>
      <x:c r="B693" s="330"/>
      <x:c r="C693" s="330" t="n">
        <x:v>46155</x:v>
      </x:c>
      <x:c r="D693" t="n">
        <x:v>2024</x:v>
      </x:c>
      <x:c r="E693"/>
      <x:c r="F693" t="str">
        <x:v>19359/24/CBMP-HN</x:v>
      </x:c>
      <x:c r="G693"/>
      <x:c r="H693" t="str">
        <x:v>Jamila</x:v>
      </x:c>
      <x:c r="I693"/>
      <x:c r="J693" t="str">
        <x:v>Khác</x:v>
      </x:c>
      <x:c r="K693"/>
      <x:c r="L693" t="str">
        <x:v>Công ty TNHH Ngọc Thảo Cosmetics</x:v>
      </x:c>
      <x:c r="M693"/>
      <x:c r="N693" t="str">
        <x:v>Công ty TNHH mỹ phẩm Việt Hương</x:v>
      </x:c>
      <x:c r="O693" t="str">
        <x:v>Đình chỉ lưu hành, thu hồi và tiêu hủy – Công văn 1772/QLD-MP</x:v>
      </x:c>
      <x:c r="P693" t="str">
        <x:v>A++ – Cục Quản lý Dược; tổ chức chịu trách nhiệm explicit</x:v>
      </x:c>
      <x:c r="Q693" t="str">
        <x:v>Phụ lục 511 sản phẩm, STT 330, trang 12. Công ty Việt Hương là cơ sở sản xuất; cột tổ chức chịu trách nhiệm lấy nguyên văn từ phụ lục.</x:v>
      </x:c>
      <x:c r="R693" t="str">
        <x:v>https://dav.gov.vn/cong-van-so-1772qld-mp-ve-viec-dinh-chi-luu-hanh-thu-hoi-va-tieu-huy-my-pham-vi-pham-cong-ty-tnhh-my-pham-viet-huong-n5334.html</x:v>
      </x:c>
      <x:c r="S693" t="str">
        <x:v>Hà Nội</x:v>
      </x:c>
      <x:c r="T693" t="str">
        <x:v>01</x:v>
      </x:c>
    </x:row>
    <x:row r="694">
      <x:c r="A694" t="n">
        <x:v>693</x:v>
      </x:c>
      <x:c r="B694" s="330"/>
      <x:c r="C694" s="330" t="n">
        <x:v>46155</x:v>
      </x:c>
      <x:c r="D694" t="n">
        <x:v>2024</x:v>
      </x:c>
      <x:c r="E694"/>
      <x:c r="F694" t="str">
        <x:v>19363/24/CBMP-HN</x:v>
      </x:c>
      <x:c r="G694"/>
      <x:c r="H694" t="str">
        <x:v>M01</x:v>
      </x:c>
      <x:c r="I694"/>
      <x:c r="J694" t="str">
        <x:v>Khác</x:v>
      </x:c>
      <x:c r="K694"/>
      <x:c r="L694" t="str">
        <x:v>Công ty Cổ phần tập đoàn thời trang Melya.VN</x:v>
      </x:c>
      <x:c r="M694"/>
      <x:c r="N694" t="str">
        <x:v>Công ty TNHH mỹ phẩm Việt Hương</x:v>
      </x:c>
      <x:c r="O694" t="str">
        <x:v>Đình chỉ lưu hành, thu hồi và tiêu hủy – Công văn 1772/QLD-MP</x:v>
      </x:c>
      <x:c r="P694" t="str">
        <x:v>A++ – Cục Quản lý Dược; tổ chức chịu trách nhiệm explicit</x:v>
      </x:c>
      <x:c r="Q694" t="str">
        <x:v>Phụ lục 511 sản phẩm, STT 331, trang 12. Công ty Việt Hương là cơ sở sản xuất; cột tổ chức chịu trách nhiệm lấy nguyên văn từ phụ lục.</x:v>
      </x:c>
      <x:c r="R694" t="str">
        <x:v>https://dav.gov.vn/cong-van-so-1772qld-mp-ve-viec-dinh-chi-luu-hanh-thu-hoi-va-tieu-huy-my-pham-vi-pham-cong-ty-tnhh-my-pham-viet-huong-n5334.html</x:v>
      </x:c>
      <x:c r="S694" t="str">
        <x:v>Hà Nội</x:v>
      </x:c>
      <x:c r="T694" t="str">
        <x:v>01</x:v>
      </x:c>
    </x:row>
    <x:row r="695">
      <x:c r="A695" t="n">
        <x:v>694</x:v>
      </x:c>
      <x:c r="B695" s="330"/>
      <x:c r="C695" s="330" t="n">
        <x:v>46155</x:v>
      </x:c>
      <x:c r="D695" t="n">
        <x:v>2024</x:v>
      </x:c>
      <x:c r="E695"/>
      <x:c r="F695" t="str">
        <x:v>19364/24/CBMP-HN</x:v>
      </x:c>
      <x:c r="G695"/>
      <x:c r="H695" t="str">
        <x:v>M02</x:v>
      </x:c>
      <x:c r="I695"/>
      <x:c r="J695" t="str">
        <x:v>Khác</x:v>
      </x:c>
      <x:c r="K695"/>
      <x:c r="L695" t="str">
        <x:v>Công ty Cổ phần tập đoàn thời trang Melya.VN</x:v>
      </x:c>
      <x:c r="M695"/>
      <x:c r="N695" t="str">
        <x:v>Công ty TNHH mỹ phẩm Việt Hương</x:v>
      </x:c>
      <x:c r="O695" t="str">
        <x:v>Đình chỉ lưu hành, thu hồi và tiêu hủy – Công văn 1772/QLD-MP</x:v>
      </x:c>
      <x:c r="P695" t="str">
        <x:v>A++ – Cục Quản lý Dược; tổ chức chịu trách nhiệm explicit</x:v>
      </x:c>
      <x:c r="Q695" t="str">
        <x:v>Phụ lục 511 sản phẩm, STT 332, trang 12. Công ty Việt Hương là cơ sở sản xuất; cột tổ chức chịu trách nhiệm lấy nguyên văn từ phụ lục.</x:v>
      </x:c>
      <x:c r="R695" t="str">
        <x:v>https://dav.gov.vn/cong-van-so-1772qld-mp-ve-viec-dinh-chi-luu-hanh-thu-hoi-va-tieu-huy-my-pham-vi-pham-cong-ty-tnhh-my-pham-viet-huong-n5334.html</x:v>
      </x:c>
      <x:c r="S695" t="str">
        <x:v>Hà Nội</x:v>
      </x:c>
      <x:c r="T695" t="str">
        <x:v>01</x:v>
      </x:c>
    </x:row>
    <x:row r="696">
      <x:c r="A696" t="n">
        <x:v>695</x:v>
      </x:c>
      <x:c r="B696" s="330"/>
      <x:c r="C696" s="330" t="n">
        <x:v>46155</x:v>
      </x:c>
      <x:c r="D696" t="n">
        <x:v>2024</x:v>
      </x:c>
      <x:c r="E696"/>
      <x:c r="F696" t="str">
        <x:v>19365/24/CBMP-HN</x:v>
      </x:c>
      <x:c r="G696"/>
      <x:c r="H696" t="str">
        <x:v>M03</x:v>
      </x:c>
      <x:c r="I696"/>
      <x:c r="J696" t="str">
        <x:v>Khác</x:v>
      </x:c>
      <x:c r="K696"/>
      <x:c r="L696" t="str">
        <x:v>Công ty Cổ phần tập đoàn thời trang Melya.VN</x:v>
      </x:c>
      <x:c r="M696"/>
      <x:c r="N696" t="str">
        <x:v>Công ty TNHH mỹ phẩm Việt Hương</x:v>
      </x:c>
      <x:c r="O696" t="str">
        <x:v>Đình chỉ lưu hành, thu hồi và tiêu hủy – Công văn 1772/QLD-MP</x:v>
      </x:c>
      <x:c r="P696" t="str">
        <x:v>A++ – Cục Quản lý Dược; tổ chức chịu trách nhiệm explicit</x:v>
      </x:c>
      <x:c r="Q696" t="str">
        <x:v>Phụ lục 511 sản phẩm, STT 333, trang 12. Công ty Việt Hương là cơ sở sản xuất; cột tổ chức chịu trách nhiệm lấy nguyên văn từ phụ lục.</x:v>
      </x:c>
      <x:c r="R696" t="str">
        <x:v>https://dav.gov.vn/cong-van-so-1772qld-mp-ve-viec-dinh-chi-luu-hanh-thu-hoi-va-tieu-huy-my-pham-vi-pham-cong-ty-tnhh-my-pham-viet-huong-n5334.html</x:v>
      </x:c>
      <x:c r="S696" t="str">
        <x:v>Hà Nội</x:v>
      </x:c>
      <x:c r="T696" t="str">
        <x:v>01</x:v>
      </x:c>
    </x:row>
    <x:row r="697">
      <x:c r="A697" t="n">
        <x:v>696</x:v>
      </x:c>
      <x:c r="B697" s="330"/>
      <x:c r="C697" s="330" t="n">
        <x:v>46155</x:v>
      </x:c>
      <x:c r="D697" t="n">
        <x:v>2024</x:v>
      </x:c>
      <x:c r="E697"/>
      <x:c r="F697" t="str">
        <x:v>19367/24/CBMP-HN</x:v>
      </x:c>
      <x:c r="G697"/>
      <x:c r="H697" t="str">
        <x:v>Serum Sâm Dây Ngọc Linh</x:v>
      </x:c>
      <x:c r="I697"/>
      <x:c r="J697" t="str">
        <x:v>Serum/Essence da</x:v>
      </x:c>
      <x:c r="K697"/>
      <x:c r="L697" t="str">
        <x:v>Hợp tác xã thương mại tổng hợp trồng và chế biến dược liệu An Thành</x:v>
      </x:c>
      <x:c r="M697"/>
      <x:c r="N697" t="str">
        <x:v>Công ty TNHH mỹ phẩm Việt Hương</x:v>
      </x:c>
      <x:c r="O697" t="str">
        <x:v>Đình chỉ lưu hành, thu hồi và tiêu hủy – Công văn 1772/QLD-MP</x:v>
      </x:c>
      <x:c r="P697" t="str">
        <x:v>A++ – Cục Quản lý Dược; tổ chức chịu trách nhiệm explicit</x:v>
      </x:c>
      <x:c r="Q697" t="str">
        <x:v>Phụ lục 511 sản phẩm, STT 334, trang 12. Công ty Việt Hương là cơ sở sản xuất; cột tổ chức chịu trách nhiệm lấy nguyên văn từ phụ lục.</x:v>
      </x:c>
      <x:c r="R697" t="str">
        <x:v>https://dav.gov.vn/cong-van-so-1772qld-mp-ve-viec-dinh-chi-luu-hanh-thu-hoi-va-tieu-huy-my-pham-vi-pham-cong-ty-tnhh-my-pham-viet-huong-n5334.html</x:v>
      </x:c>
      <x:c r="S697" t="str">
        <x:v>Hà Nội</x:v>
      </x:c>
      <x:c r="T697" t="str">
        <x:v>01</x:v>
      </x:c>
    </x:row>
    <x:row r="698">
      <x:c r="A698" t="n">
        <x:v>697</x:v>
      </x:c>
      <x:c r="B698" s="330"/>
      <x:c r="C698" s="330" t="n">
        <x:v>46155</x:v>
      </x:c>
      <x:c r="D698" t="n">
        <x:v>2024</x:v>
      </x:c>
      <x:c r="E698"/>
      <x:c r="F698" t="str">
        <x:v>19369/24/CBMP-HN</x:v>
      </x:c>
      <x:c r="G698"/>
      <x:c r="H698" t="str">
        <x:v>Sữa rửa mặt</x:v>
      </x:c>
      <x:c r="I698"/>
      <x:c r="J698" t="str">
        <x:v>Sữa rửa mặt</x:v>
      </x:c>
      <x:c r="K698"/>
      <x:c r="L698" t="str">
        <x:v>Công ty Cổ phần Dược mỹ phẩm Quốc tế Xanh</x:v>
      </x:c>
      <x:c r="M698"/>
      <x:c r="N698" t="str">
        <x:v>Công ty TNHH mỹ phẩm Việt Hương</x:v>
      </x:c>
      <x:c r="O698" t="str">
        <x:v>Đình chỉ lưu hành, thu hồi và tiêu hủy – Công văn 1772/QLD-MP</x:v>
      </x:c>
      <x:c r="P698" t="str">
        <x:v>A++ – Cục Quản lý Dược; tổ chức chịu trách nhiệm explicit</x:v>
      </x:c>
      <x:c r="Q698" t="str">
        <x:v>Phụ lục 511 sản phẩm, STT 335, trang 12. Công ty Việt Hương là cơ sở sản xuất; cột tổ chức chịu trách nhiệm lấy nguyên văn từ phụ lục.</x:v>
      </x:c>
      <x:c r="R698" t="str">
        <x:v>https://dav.gov.vn/cong-van-so-1772qld-mp-ve-viec-dinh-chi-luu-hanh-thu-hoi-va-tieu-huy-my-pham-vi-pham-cong-ty-tnhh-my-pham-viet-huong-n5334.html</x:v>
      </x:c>
      <x:c r="S698" t="str">
        <x:v>Hà Nội</x:v>
      </x:c>
      <x:c r="T698" t="str">
        <x:v>01</x:v>
      </x:c>
    </x:row>
    <x:row r="699">
      <x:c r="A699" t="n">
        <x:v>698</x:v>
      </x:c>
      <x:c r="B699" s="330"/>
      <x:c r="C699" s="330" t="n">
        <x:v>46155</x:v>
      </x:c>
      <x:c r="D699" t="n">
        <x:v>2024</x:v>
      </x:c>
      <x:c r="E699"/>
      <x:c r="F699" t="str">
        <x:v>19370/24/CBMP-HN</x:v>
      </x:c>
      <x:c r="G699"/>
      <x:c r="H699" t="str">
        <x:v>Anamy</x:v>
      </x:c>
      <x:c r="I699"/>
      <x:c r="J699" t="str">
        <x:v>Khác</x:v>
      </x:c>
      <x:c r="K699"/>
      <x:c r="L699" t="str">
        <x:v>Công ty Cổ phần Dược mỹ phẩm Quốc tế Xanh</x:v>
      </x:c>
      <x:c r="M699"/>
      <x:c r="N699" t="str">
        <x:v>Công ty TNHH mỹ phẩm Việt Hương</x:v>
      </x:c>
      <x:c r="O699" t="str">
        <x:v>Đình chỉ lưu hành, thu hồi và tiêu hủy – Công văn 1772/QLD-MP</x:v>
      </x:c>
      <x:c r="P699" t="str">
        <x:v>A++ – Cục Quản lý Dược; tổ chức chịu trách nhiệm explicit</x:v>
      </x:c>
      <x:c r="Q699" t="str">
        <x:v>Phụ lục 511 sản phẩm, STT 336, trang 12. Công ty Việt Hương là cơ sở sản xuất; cột tổ chức chịu trách nhiệm lấy nguyên văn từ phụ lục.</x:v>
      </x:c>
      <x:c r="R699" t="str">
        <x:v>https://dav.gov.vn/cong-van-so-1772qld-mp-ve-viec-dinh-chi-luu-hanh-thu-hoi-va-tieu-huy-my-pham-vi-pham-cong-ty-tnhh-my-pham-viet-huong-n5334.html</x:v>
      </x:c>
      <x:c r="S699" t="str">
        <x:v>Hà Nội</x:v>
      </x:c>
      <x:c r="T699" t="str">
        <x:v>01</x:v>
      </x:c>
    </x:row>
    <x:row r="700">
      <x:c r="A700" t="n">
        <x:v>699</x:v>
      </x:c>
      <x:c r="B700" s="330"/>
      <x:c r="C700" s="330" t="n">
        <x:v>46155</x:v>
      </x:c>
      <x:c r="D700" t="n">
        <x:v>2024</x:v>
      </x:c>
      <x:c r="E700"/>
      <x:c r="F700" t="str">
        <x:v>19668/24/CBMP-HN</x:v>
      </x:c>
      <x:c r="G700"/>
      <x:c r="H700" t="str">
        <x:v>Sữa rửa mặt Trà Xanh Rau Má</x:v>
      </x:c>
      <x:c r="I700"/>
      <x:c r="J700" t="str">
        <x:v>Sữa rửa mặt</x:v>
      </x:c>
      <x:c r="K700"/>
      <x:c r="L700" t="str">
        <x:v>Công ty TNHH Lộc Phát E- Commerce</x:v>
      </x:c>
      <x:c r="M700"/>
      <x:c r="N700" t="str">
        <x:v>Công ty TNHH mỹ phẩm Việt Hương</x:v>
      </x:c>
      <x:c r="O700" t="str">
        <x:v>Đình chỉ lưu hành, thu hồi và tiêu hủy – Công văn 1772/QLD-MP</x:v>
      </x:c>
      <x:c r="P700" t="str">
        <x:v>A++ – Cục Quản lý Dược; tổ chức chịu trách nhiệm explicit</x:v>
      </x:c>
      <x:c r="Q700" t="str">
        <x:v>Phụ lục 511 sản phẩm, STT 337, trang 12. Công ty Việt Hương là cơ sở sản xuất; cột tổ chức chịu trách nhiệm lấy nguyên văn từ phụ lục.</x:v>
      </x:c>
      <x:c r="R700" t="str">
        <x:v>https://dav.gov.vn/cong-van-so-1772qld-mp-ve-viec-dinh-chi-luu-hanh-thu-hoi-va-tieu-huy-my-pham-vi-pham-cong-ty-tnhh-my-pham-viet-huong-n5334.html</x:v>
      </x:c>
      <x:c r="S700" t="str">
        <x:v>Hà Nội</x:v>
      </x:c>
      <x:c r="T700" t="str">
        <x:v>01</x:v>
      </x:c>
    </x:row>
    <x:row r="701">
      <x:c r="A701" t="n">
        <x:v>700</x:v>
      </x:c>
      <x:c r="B701" s="330"/>
      <x:c r="C701" s="330" t="n">
        <x:v>46155</x:v>
      </x:c>
      <x:c r="D701" t="n">
        <x:v>2024</x:v>
      </x:c>
      <x:c r="E701"/>
      <x:c r="F701" t="str">
        <x:v>19669/24/CBMP-HN</x:v>
      </x:c>
      <x:c r="G701"/>
      <x:c r="H701" t="str">
        <x:v>Kem chống nắng 3T</x:v>
      </x:c>
      <x:c r="I701"/>
      <x:c r="J701" t="str">
        <x:v>Kem chống nắng</x:v>
      </x:c>
      <x:c r="K701"/>
      <x:c r="L701" t="str">
        <x:v>Công ty TNHH mỹ phẩm O'Cyn</x:v>
      </x:c>
      <x:c r="M701"/>
      <x:c r="N701" t="str">
        <x:v>Công ty TNHH mỹ phẩm Việt Hương</x:v>
      </x:c>
      <x:c r="O701" t="str">
        <x:v>Đình chỉ lưu hành, thu hồi và tiêu hủy – Công văn 1772/QLD-MP</x:v>
      </x:c>
      <x:c r="P701" t="str">
        <x:v>A++ – Cục Quản lý Dược; tổ chức chịu trách nhiệm explicit</x:v>
      </x:c>
      <x:c r="Q701" t="str">
        <x:v>Phụ lục 511 sản phẩm, STT 338, trang 12. Công ty Việt Hương là cơ sở sản xuất; cột tổ chức chịu trách nhiệm lấy nguyên văn từ phụ lục.</x:v>
      </x:c>
      <x:c r="R701" t="str">
        <x:v>https://dav.gov.vn/cong-van-so-1772qld-mp-ve-viec-dinh-chi-luu-hanh-thu-hoi-va-tieu-huy-my-pham-vi-pham-cong-ty-tnhh-my-pham-viet-huong-n5334.html</x:v>
      </x:c>
      <x:c r="S701" t="str">
        <x:v>Hà Nội</x:v>
      </x:c>
      <x:c r="T701" t="str">
        <x:v>01</x:v>
      </x:c>
    </x:row>
    <x:row r="702">
      <x:c r="A702" t="n">
        <x:v>701</x:v>
      </x:c>
      <x:c r="B702" s="330"/>
      <x:c r="C702" s="330" t="n">
        <x:v>46155</x:v>
      </x:c>
      <x:c r="D702" t="n">
        <x:v>2024</x:v>
      </x:c>
      <x:c r="E702"/>
      <x:c r="F702" t="str">
        <x:v>19670/24/CBMP-HN</x:v>
      </x:c>
      <x:c r="G702"/>
      <x:c r="H702" t="str">
        <x:v>Kem Body Mộc 3In1</x:v>
      </x:c>
      <x:c r="I702"/>
      <x:c r="J702" t="str">
        <x:v>Khác</x:v>
      </x:c>
      <x:c r="K702"/>
      <x:c r="L702" t="str">
        <x:v>Công ty TNHH mỹ phẩm O'Cyn</x:v>
      </x:c>
      <x:c r="M702"/>
      <x:c r="N702" t="str">
        <x:v>Công ty TNHH mỹ phẩm Việt Hương</x:v>
      </x:c>
      <x:c r="O702" t="str">
        <x:v>Đình chỉ lưu hành, thu hồi và tiêu hủy – Công văn 1772/QLD-MP</x:v>
      </x:c>
      <x:c r="P702" t="str">
        <x:v>A++ – Cục Quản lý Dược; tổ chức chịu trách nhiệm explicit</x:v>
      </x:c>
      <x:c r="Q702" t="str">
        <x:v>Phụ lục 511 sản phẩm, STT 339, trang 12. Công ty Việt Hương là cơ sở sản xuất; cột tổ chức chịu trách nhiệm lấy nguyên văn từ phụ lục.</x:v>
      </x:c>
      <x:c r="R702" t="str">
        <x:v>https://dav.gov.vn/cong-van-so-1772qld-mp-ve-viec-dinh-chi-luu-hanh-thu-hoi-va-tieu-huy-my-pham-vi-pham-cong-ty-tnhh-my-pham-viet-huong-n5334.html</x:v>
      </x:c>
      <x:c r="S702" t="str">
        <x:v>Hà Nội</x:v>
      </x:c>
      <x:c r="T702" t="str">
        <x:v>01</x:v>
      </x:c>
    </x:row>
    <x:row r="703">
      <x:c r="A703" t="n">
        <x:v>702</x:v>
      </x:c>
      <x:c r="B703" s="330"/>
      <x:c r="C703" s="330" t="n">
        <x:v>46155</x:v>
      </x:c>
      <x:c r="D703" t="n">
        <x:v>2024</x:v>
      </x:c>
      <x:c r="E703"/>
      <x:c r="F703" t="str">
        <x:v>19671/24/CBMP-HN</x:v>
      </x:c>
      <x:c r="G703"/>
      <x:c r="H703" t="str">
        <x:v>Tinh chất dưỡng sáng da</x:v>
      </x:c>
      <x:c r="I703"/>
      <x:c r="J703" t="str">
        <x:v>Serum/Essence da</x:v>
      </x:c>
      <x:c r="K703"/>
      <x:c r="L703" t="str">
        <x:v>Công ty TNHH mỹ phẩm O'Cyn</x:v>
      </x:c>
      <x:c r="M703"/>
      <x:c r="N703" t="str">
        <x:v>Công ty TNHH mỹ phẩm Việt Hương</x:v>
      </x:c>
      <x:c r="O703" t="str">
        <x:v>Đình chỉ lưu hành, thu hồi và tiêu hủy – Công văn 1772/QLD-MP</x:v>
      </x:c>
      <x:c r="P703" t="str">
        <x:v>A++ – Cục Quản lý Dược; tổ chức chịu trách nhiệm explicit</x:v>
      </x:c>
      <x:c r="Q703" t="str">
        <x:v>Phụ lục 511 sản phẩm, STT 340, trang 12. Công ty Việt Hương là cơ sở sản xuất; cột tổ chức chịu trách nhiệm lấy nguyên văn từ phụ lục.</x:v>
      </x:c>
      <x:c r="R703" t="str">
        <x:v>https://dav.gov.vn/cong-van-so-1772qld-mp-ve-viec-dinh-chi-luu-hanh-thu-hoi-va-tieu-huy-my-pham-vi-pham-cong-ty-tnhh-my-pham-viet-huong-n5334.html</x:v>
      </x:c>
      <x:c r="S703" t="str">
        <x:v>Hà Nội</x:v>
      </x:c>
      <x:c r="T703" t="str">
        <x:v>01</x:v>
      </x:c>
    </x:row>
    <x:row r="704">
      <x:c r="A704" t="n">
        <x:v>703</x:v>
      </x:c>
      <x:c r="B704" s="330"/>
      <x:c r="C704" s="330" t="n">
        <x:v>46155</x:v>
      </x:c>
      <x:c r="D704" t="n">
        <x:v>2024</x:v>
      </x:c>
      <x:c r="E704"/>
      <x:c r="F704" t="str">
        <x:v>20208/24/CBMP-HN</x:v>
      </x:c>
      <x:c r="G704"/>
      <x:c r="H704" t="str">
        <x:v>Ủ tóc</x:v>
      </x:c>
      <x:c r="I704"/>
      <x:c r="J704" t="str">
        <x:v>Khác</x:v>
      </x:c>
      <x:c r="K704"/>
      <x:c r="L704" t="str">
        <x:v>Hộ kinh doanh Dược mỹ phẩm Hoàng Nam</x:v>
      </x:c>
      <x:c r="M704"/>
      <x:c r="N704" t="str">
        <x:v>Công ty TNHH mỹ phẩm Việt Hương</x:v>
      </x:c>
      <x:c r="O704" t="str">
        <x:v>Đình chỉ lưu hành, thu hồi và tiêu hủy – Công văn 1772/QLD-MP</x:v>
      </x:c>
      <x:c r="P704" t="str">
        <x:v>A++ – Cục Quản lý Dược; tổ chức chịu trách nhiệm explicit</x:v>
      </x:c>
      <x:c r="Q704" t="str">
        <x:v>Phụ lục 511 sản phẩm, STT 341, trang 12. Công ty Việt Hương là cơ sở sản xuất; cột tổ chức chịu trách nhiệm lấy nguyên văn từ phụ lục.</x:v>
      </x:c>
      <x:c r="R704" t="str">
        <x:v>https://dav.gov.vn/cong-van-so-1772qld-mp-ve-viec-dinh-chi-luu-hanh-thu-hoi-va-tieu-huy-my-pham-vi-pham-cong-ty-tnhh-my-pham-viet-huong-n5334.html</x:v>
      </x:c>
      <x:c r="S704" t="str">
        <x:v>Hà Nội</x:v>
      </x:c>
      <x:c r="T704" t="str">
        <x:v>01</x:v>
      </x:c>
    </x:row>
    <x:row r="705">
      <x:c r="A705" t="n">
        <x:v>704</x:v>
      </x:c>
      <x:c r="B705" s="330"/>
      <x:c r="C705" s="330" t="n">
        <x:v>46155</x:v>
      </x:c>
      <x:c r="D705" t="n">
        <x:v>2024</x:v>
      </x:c>
      <x:c r="E705"/>
      <x:c r="F705" t="str">
        <x:v>20339/24/CBMP-HN</x:v>
      </x:c>
      <x:c r="G705"/>
      <x:c r="H705" t="str">
        <x:v>Dầu gội đầu</x:v>
      </x:c>
      <x:c r="I705"/>
      <x:c r="J705" t="str">
        <x:v>Dầu gội</x:v>
      </x:c>
      <x:c r="K705"/>
      <x:c r="L705" t="str">
        <x:v>Hộ kinh doanh Dược mỹ phẩm Hoàng Nam</x:v>
      </x:c>
      <x:c r="M705"/>
      <x:c r="N705" t="str">
        <x:v>Công ty TNHH mỹ phẩm Việt Hương</x:v>
      </x:c>
      <x:c r="O705" t="str">
        <x:v>Đình chỉ lưu hành, thu hồi và tiêu hủy – Công văn 1772/QLD-MP</x:v>
      </x:c>
      <x:c r="P705" t="str">
        <x:v>A++ – Cục Quản lý Dược; tổ chức chịu trách nhiệm explicit</x:v>
      </x:c>
      <x:c r="Q705" t="str">
        <x:v>Phụ lục 511 sản phẩm, STT 342, trang 12. Công ty Việt Hương là cơ sở sản xuất; cột tổ chức chịu trách nhiệm lấy nguyên văn từ phụ lục.</x:v>
      </x:c>
      <x:c r="R705" t="str">
        <x:v>https://dav.gov.vn/cong-van-so-1772qld-mp-ve-viec-dinh-chi-luu-hanh-thu-hoi-va-tieu-huy-my-pham-vi-pham-cong-ty-tnhh-my-pham-viet-huong-n5334.html</x:v>
      </x:c>
      <x:c r="S705" t="str">
        <x:v>Hà Nội</x:v>
      </x:c>
      <x:c r="T705" t="str">
        <x:v>01</x:v>
      </x:c>
    </x:row>
    <x:row r="706">
      <x:c r="A706" t="n">
        <x:v>705</x:v>
      </x:c>
      <x:c r="B706" s="330"/>
      <x:c r="C706" s="330" t="n">
        <x:v>46155</x:v>
      </x:c>
      <x:c r="D706" t="n">
        <x:v>2024</x:v>
      </x:c>
      <x:c r="E706"/>
      <x:c r="F706" t="str">
        <x:v>20362/24/CBMP-HN</x:v>
      </x:c>
      <x:c r="G706"/>
      <x:c r="H706" t="str">
        <x:v>Freshwave Serum</x:v>
      </x:c>
      <x:c r="I706"/>
      <x:c r="J706" t="str">
        <x:v>Serum/Essence da</x:v>
      </x:c>
      <x:c r="K706"/>
      <x:c r="L706" t="str">
        <x:v>Công ty TNHH mỹ phẩm Thu Linh</x:v>
      </x:c>
      <x:c r="M706"/>
      <x:c r="N706" t="str">
        <x:v>Công ty TNHH mỹ phẩm Việt Hương</x:v>
      </x:c>
      <x:c r="O706" t="str">
        <x:v>Đình chỉ lưu hành, thu hồi và tiêu hủy – Công văn 1772/QLD-MP</x:v>
      </x:c>
      <x:c r="P706" t="str">
        <x:v>A++ – Cục Quản lý Dược; tổ chức chịu trách nhiệm explicit</x:v>
      </x:c>
      <x:c r="Q706" t="str">
        <x:v>Phụ lục 511 sản phẩm, STT 343, trang 12. Công ty Việt Hương là cơ sở sản xuất; cột tổ chức chịu trách nhiệm lấy nguyên văn từ phụ lục.</x:v>
      </x:c>
      <x:c r="R706" t="str">
        <x:v>https://dav.gov.vn/cong-van-so-1772qld-mp-ve-viec-dinh-chi-luu-hanh-thu-hoi-va-tieu-huy-my-pham-vi-pham-cong-ty-tnhh-my-pham-viet-huong-n5334.html</x:v>
      </x:c>
      <x:c r="S706" t="str">
        <x:v>Hà Nội</x:v>
      </x:c>
      <x:c r="T706" t="str">
        <x:v>01</x:v>
      </x:c>
    </x:row>
    <x:row r="707">
      <x:c r="A707" t="n">
        <x:v>706</x:v>
      </x:c>
      <x:c r="B707" s="330"/>
      <x:c r="C707" s="330" t="n">
        <x:v>46155</x:v>
      </x:c>
      <x:c r="D707" t="n">
        <x:v>2024</x:v>
      </x:c>
      <x:c r="E707"/>
      <x:c r="F707" t="str">
        <x:v>20363/24/CBMP-HN</x:v>
      </x:c>
      <x:c r="G707"/>
      <x:c r="H707" t="str">
        <x:v>Baby Solution</x:v>
      </x:c>
      <x:c r="I707"/>
      <x:c r="J707" t="str">
        <x:v>Khác</x:v>
      </x:c>
      <x:c r="K707"/>
      <x:c r="L707" t="str">
        <x:v>Công ty TNHH mỹ phẩm Thu Linh</x:v>
      </x:c>
      <x:c r="M707"/>
      <x:c r="N707" t="str">
        <x:v>Công ty TNHH mỹ phẩm Việt Hương</x:v>
      </x:c>
      <x:c r="O707" t="str">
        <x:v>Đình chỉ lưu hành, thu hồi và tiêu hủy – Công văn 1772/QLD-MP</x:v>
      </x:c>
      <x:c r="P707" t="str">
        <x:v>A++ – Cục Quản lý Dược; tổ chức chịu trách nhiệm explicit</x:v>
      </x:c>
      <x:c r="Q707" t="str">
        <x:v>Phụ lục 511 sản phẩm, STT 344, trang 12. Công ty Việt Hương là cơ sở sản xuất; cột tổ chức chịu trách nhiệm lấy nguyên văn từ phụ lục.</x:v>
      </x:c>
      <x:c r="R707" t="str">
        <x:v>https://dav.gov.vn/cong-van-so-1772qld-mp-ve-viec-dinh-chi-luu-hanh-thu-hoi-va-tieu-huy-my-pham-vi-pham-cong-ty-tnhh-my-pham-viet-huong-n5334.html</x:v>
      </x:c>
      <x:c r="S707" t="str">
        <x:v>Hà Nội</x:v>
      </x:c>
      <x:c r="T707" t="str">
        <x:v>01</x:v>
      </x:c>
    </x:row>
    <x:row r="708">
      <x:c r="A708" t="n">
        <x:v>707</x:v>
      </x:c>
      <x:c r="B708" s="330"/>
      <x:c r="C708" s="330" t="n">
        <x:v>46155</x:v>
      </x:c>
      <x:c r="D708" t="n">
        <x:v>2024</x:v>
      </x:c>
      <x:c r="E708"/>
      <x:c r="F708" t="str">
        <x:v>20364/24/CBMP-HN</x:v>
      </x:c>
      <x:c r="G708"/>
      <x:c r="H708" t="str">
        <x:v>Luxury Care</x:v>
      </x:c>
      <x:c r="I708"/>
      <x:c r="J708" t="str">
        <x:v>Khác</x:v>
      </x:c>
      <x:c r="K708"/>
      <x:c r="L708" t="str">
        <x:v>Công ty TNHH mỹ phẩm Thu Linh</x:v>
      </x:c>
      <x:c r="M708"/>
      <x:c r="N708" t="str">
        <x:v>Công ty TNHH mỹ phẩm Việt Hương</x:v>
      </x:c>
      <x:c r="O708" t="str">
        <x:v>Đình chỉ lưu hành, thu hồi và tiêu hủy – Công văn 1772/QLD-MP</x:v>
      </x:c>
      <x:c r="P708" t="str">
        <x:v>A++ – Cục Quản lý Dược; tổ chức chịu trách nhiệm explicit</x:v>
      </x:c>
      <x:c r="Q708" t="str">
        <x:v>Phụ lục 511 sản phẩm, STT 345, trang 12. Công ty Việt Hương là cơ sở sản xuất; cột tổ chức chịu trách nhiệm lấy nguyên văn từ phụ lục.</x:v>
      </x:c>
      <x:c r="R708" t="str">
        <x:v>https://dav.gov.vn/cong-van-so-1772qld-mp-ve-viec-dinh-chi-luu-hanh-thu-hoi-va-tieu-huy-my-pham-vi-pham-cong-ty-tnhh-my-pham-viet-huong-n5334.html</x:v>
      </x:c>
      <x:c r="S708" t="str">
        <x:v>Hà Nội</x:v>
      </x:c>
      <x:c r="T708" t="str">
        <x:v>01</x:v>
      </x:c>
    </x:row>
    <x:row r="709">
      <x:c r="A709" t="n">
        <x:v>708</x:v>
      </x:c>
      <x:c r="B709" s="330"/>
      <x:c r="C709" s="330" t="n">
        <x:v>46155</x:v>
      </x:c>
      <x:c r="D709" t="n">
        <x:v>2024</x:v>
      </x:c>
      <x:c r="E709"/>
      <x:c r="F709" t="str">
        <x:v>20646/24/CBMP-HN</x:v>
      </x:c>
      <x:c r="G709"/>
      <x:c r="H709" t="str">
        <x:v>Dầu phủ bạc Hà Thủ Ô Mộc Việt</x:v>
      </x:c>
      <x:c r="I709"/>
      <x:c r="J709" t="str">
        <x:v>Nhuộm/tẩy màu tóc</x:v>
      </x:c>
      <x:c r="K709"/>
      <x:c r="L709" t="str">
        <x:v>Công ty TNHH Tinh hoa Dược liệu Mộc Việt</x:v>
      </x:c>
      <x:c r="M709"/>
      <x:c r="N709" t="str">
        <x:v>Công ty TNHH mỹ phẩm Việt Hương</x:v>
      </x:c>
      <x:c r="O709" t="str">
        <x:v>Đình chỉ lưu hành, thu hồi và tiêu hủy – Công văn 1772/QLD-MP</x:v>
      </x:c>
      <x:c r="P709" t="str">
        <x:v>A++ – Cục Quản lý Dược; tổ chức chịu trách nhiệm explicit</x:v>
      </x:c>
      <x:c r="Q709" t="str">
        <x:v>Phụ lục 511 sản phẩm, STT 346, trang 12. Công ty Việt Hương là cơ sở sản xuất; cột tổ chức chịu trách nhiệm lấy nguyên văn từ phụ lục.</x:v>
      </x:c>
      <x:c r="R709" t="str">
        <x:v>https://dav.gov.vn/cong-van-so-1772qld-mp-ve-viec-dinh-chi-luu-hanh-thu-hoi-va-tieu-huy-my-pham-vi-pham-cong-ty-tnhh-my-pham-viet-huong-n5334.html</x:v>
      </x:c>
      <x:c r="S709" t="str">
        <x:v>Hà Nội</x:v>
      </x:c>
      <x:c r="T709" t="str">
        <x:v>01</x:v>
      </x:c>
    </x:row>
    <x:row r="710">
      <x:c r="A710" t="n">
        <x:v>709</x:v>
      </x:c>
      <x:c r="B710" s="330"/>
      <x:c r="C710" s="330" t="n">
        <x:v>46155</x:v>
      </x:c>
      <x:c r="D710" t="n">
        <x:v>2024</x:v>
      </x:c>
      <x:c r="E710"/>
      <x:c r="F710" t="str">
        <x:v>20739/24/CBMP-HN</x:v>
      </x:c>
      <x:c r="G710"/>
      <x:c r="H710" t="str">
        <x:v>Cleansing Foam</x:v>
      </x:c>
      <x:c r="I710"/>
      <x:c r="J710" t="str">
        <x:v>Khác</x:v>
      </x:c>
      <x:c r="K710"/>
      <x:c r="L710" t="str">
        <x:v>Công ty TNHH TM &amp; DV Ân Đạt Phát</x:v>
      </x:c>
      <x:c r="M710"/>
      <x:c r="N710" t="str">
        <x:v>Công ty TNHH mỹ phẩm Việt Hương</x:v>
      </x:c>
      <x:c r="O710" t="str">
        <x:v>Đình chỉ lưu hành, thu hồi và tiêu hủy – Công văn 1772/QLD-MP</x:v>
      </x:c>
      <x:c r="P710" t="str">
        <x:v>A++ – Cục Quản lý Dược; tổ chức chịu trách nhiệm explicit</x:v>
      </x:c>
      <x:c r="Q710" t="str">
        <x:v>Phụ lục 511 sản phẩm, STT 347, trang 12. Công ty Việt Hương là cơ sở sản xuất; cột tổ chức chịu trách nhiệm lấy nguyên văn từ phụ lục.</x:v>
      </x:c>
      <x:c r="R710" t="str">
        <x:v>https://dav.gov.vn/cong-van-so-1772qld-mp-ve-viec-dinh-chi-luu-hanh-thu-hoi-va-tieu-huy-my-pham-vi-pham-cong-ty-tnhh-my-pham-viet-huong-n5334.html</x:v>
      </x:c>
      <x:c r="S710" t="str">
        <x:v>Hà Nội</x:v>
      </x:c>
      <x:c r="T710" t="str">
        <x:v>01</x:v>
      </x:c>
    </x:row>
    <x:row r="711">
      <x:c r="A711" t="n">
        <x:v>710</x:v>
      </x:c>
      <x:c r="B711" s="330"/>
      <x:c r="C711" s="330" t="n">
        <x:v>46155</x:v>
      </x:c>
      <x:c r="D711" t="n">
        <x:v>2024</x:v>
      </x:c>
      <x:c r="E711"/>
      <x:c r="F711" t="str">
        <x:v>20740/24/CBMP-HN</x:v>
      </x:c>
      <x:c r="G711"/>
      <x:c r="H711" t="str">
        <x:v>Uvprotection Daily</x:v>
      </x:c>
      <x:c r="I711"/>
      <x:c r="J711" t="str">
        <x:v>Khác</x:v>
      </x:c>
      <x:c r="K711"/>
      <x:c r="L711" t="str">
        <x:v>Công ty TNHH TM &amp; DV Ân Đạt Phát</x:v>
      </x:c>
      <x:c r="M711"/>
      <x:c r="N711" t="str">
        <x:v>Công ty TNHH mỹ phẩm Việt Hương</x:v>
      </x:c>
      <x:c r="O711" t="str">
        <x:v>Đình chỉ lưu hành, thu hồi và tiêu hủy – Công văn 1772/QLD-MP</x:v>
      </x:c>
      <x:c r="P711" t="str">
        <x:v>A++ – Cục Quản lý Dược; tổ chức chịu trách nhiệm explicit</x:v>
      </x:c>
      <x:c r="Q711" t="str">
        <x:v>Phụ lục 511 sản phẩm, STT 348, trang 12. Công ty Việt Hương là cơ sở sản xuất; cột tổ chức chịu trách nhiệm lấy nguyên văn từ phụ lục.</x:v>
      </x:c>
      <x:c r="R711" t="str">
        <x:v>https://dav.gov.vn/cong-van-so-1772qld-mp-ve-viec-dinh-chi-luu-hanh-thu-hoi-va-tieu-huy-my-pham-vi-pham-cong-ty-tnhh-my-pham-viet-huong-n5334.html</x:v>
      </x:c>
      <x:c r="S711" t="str">
        <x:v>Hà Nội</x:v>
      </x:c>
      <x:c r="T711" t="str">
        <x:v>01</x:v>
      </x:c>
    </x:row>
    <x:row r="712">
      <x:c r="A712" t="n">
        <x:v>711</x:v>
      </x:c>
      <x:c r="B712" s="330"/>
      <x:c r="C712" s="330" t="n">
        <x:v>46155</x:v>
      </x:c>
      <x:c r="D712" t="n">
        <x:v>2024</x:v>
      </x:c>
      <x:c r="E712"/>
      <x:c r="F712" t="str">
        <x:v>20741/24/CBMP-HN</x:v>
      </x:c>
      <x:c r="G712"/>
      <x:c r="H712" t="str">
        <x:v>Sweeter Roses</x:v>
      </x:c>
      <x:c r="I712"/>
      <x:c r="J712" t="str">
        <x:v>Khác</x:v>
      </x:c>
      <x:c r="K712"/>
      <x:c r="L712" t="str">
        <x:v>Công ty cổ phần thương mại Louisa</x:v>
      </x:c>
      <x:c r="M712"/>
      <x:c r="N712" t="str">
        <x:v>Công ty TNHH mỹ phẩm Việt Hương</x:v>
      </x:c>
      <x:c r="O712" t="str">
        <x:v>Đình chỉ lưu hành, thu hồi và tiêu hủy – Công văn 1772/QLD-MP</x:v>
      </x:c>
      <x:c r="P712" t="str">
        <x:v>A++ – Cục Quản lý Dược; tổ chức chịu trách nhiệm explicit</x:v>
      </x:c>
      <x:c r="Q712" t="str">
        <x:v>Phụ lục 511 sản phẩm, STT 349, trang 12. Công ty Việt Hương là cơ sở sản xuất; cột tổ chức chịu trách nhiệm lấy nguyên văn từ phụ lục.</x:v>
      </x:c>
      <x:c r="R712" t="str">
        <x:v>https://dav.gov.vn/cong-van-so-1772qld-mp-ve-viec-dinh-chi-luu-hanh-thu-hoi-va-tieu-huy-my-pham-vi-pham-cong-ty-tnhh-my-pham-viet-huong-n5334.html</x:v>
      </x:c>
      <x:c r="S712" t="str">
        <x:v>Hà Nội</x:v>
      </x:c>
      <x:c r="T712" t="str">
        <x:v>01</x:v>
      </x:c>
    </x:row>
    <x:row r="713">
      <x:c r="A713" t="n">
        <x:v>712</x:v>
      </x:c>
      <x:c r="B713" s="330"/>
      <x:c r="C713" s="330" t="n">
        <x:v>46155</x:v>
      </x:c>
      <x:c r="D713" t="n">
        <x:v>2024</x:v>
      </x:c>
      <x:c r="E713"/>
      <x:c r="F713" t="str">
        <x:v>20742/24/CBMP-HN</x:v>
      </x:c>
      <x:c r="G713"/>
      <x:c r="H713" t="str">
        <x:v>Rubis 540</x:v>
      </x:c>
      <x:c r="I713"/>
      <x:c r="J713" t="str">
        <x:v>Khác</x:v>
      </x:c>
      <x:c r="K713"/>
      <x:c r="L713" t="str">
        <x:v>Công ty cổ phần thương mại Louisa</x:v>
      </x:c>
      <x:c r="M713"/>
      <x:c r="N713" t="str">
        <x:v>Công ty TNHH mỹ phẩm Việt Hương</x:v>
      </x:c>
      <x:c r="O713" t="str">
        <x:v>Đình chỉ lưu hành, thu hồi và tiêu hủy – Công văn 1772/QLD-MP</x:v>
      </x:c>
      <x:c r="P713" t="str">
        <x:v>A++ – Cục Quản lý Dược; tổ chức chịu trách nhiệm explicit</x:v>
      </x:c>
      <x:c r="Q713" t="str">
        <x:v>Phụ lục 511 sản phẩm, STT 350, trang 12. Công ty Việt Hương là cơ sở sản xuất; cột tổ chức chịu trách nhiệm lấy nguyên văn từ phụ lục.</x:v>
      </x:c>
      <x:c r="R713" t="str">
        <x:v>https://dav.gov.vn/cong-van-so-1772qld-mp-ve-viec-dinh-chi-luu-hanh-thu-hoi-va-tieu-huy-my-pham-vi-pham-cong-ty-tnhh-my-pham-viet-huong-n5334.html</x:v>
      </x:c>
      <x:c r="S713" t="str">
        <x:v>Hà Nội</x:v>
      </x:c>
      <x:c r="T713" t="str">
        <x:v>01</x:v>
      </x:c>
    </x:row>
    <x:row r="714">
      <x:c r="A714" t="n">
        <x:v>713</x:v>
      </x:c>
      <x:c r="B714" s="330"/>
      <x:c r="C714" s="330" t="n">
        <x:v>46155</x:v>
      </x:c>
      <x:c r="D714" t="n">
        <x:v>2024</x:v>
      </x:c>
      <x:c r="E714"/>
      <x:c r="F714" t="str">
        <x:v>20743/24/CBMP-HN</x:v>
      </x:c>
      <x:c r="G714"/>
      <x:c r="H714" t="str">
        <x:v>Coco Miss</x:v>
      </x:c>
      <x:c r="I714"/>
      <x:c r="J714" t="str">
        <x:v>Khác</x:v>
      </x:c>
      <x:c r="K714"/>
      <x:c r="L714" t="str">
        <x:v>Công ty cổ phần thương mại Louisa</x:v>
      </x:c>
      <x:c r="M714"/>
      <x:c r="N714" t="str">
        <x:v>Công ty TNHH mỹ phẩm Việt Hương</x:v>
      </x:c>
      <x:c r="O714" t="str">
        <x:v>Đình chỉ lưu hành, thu hồi và tiêu hủy – Công văn 1772/QLD-MP</x:v>
      </x:c>
      <x:c r="P714" t="str">
        <x:v>A++ – Cục Quản lý Dược; tổ chức chịu trách nhiệm explicit</x:v>
      </x:c>
      <x:c r="Q714" t="str">
        <x:v>Phụ lục 511 sản phẩm, STT 351, trang 12. Công ty Việt Hương là cơ sở sản xuất; cột tổ chức chịu trách nhiệm lấy nguyên văn từ phụ lục.</x:v>
      </x:c>
      <x:c r="R714" t="str">
        <x:v>https://dav.gov.vn/cong-van-so-1772qld-mp-ve-viec-dinh-chi-luu-hanh-thu-hoi-va-tieu-huy-my-pham-vi-pham-cong-ty-tnhh-my-pham-viet-huong-n5334.html</x:v>
      </x:c>
      <x:c r="S714" t="str">
        <x:v>Hà Nội</x:v>
      </x:c>
      <x:c r="T714" t="str">
        <x:v>01</x:v>
      </x:c>
    </x:row>
    <x:row r="715">
      <x:c r="A715" t="n">
        <x:v>714</x:v>
      </x:c>
      <x:c r="B715" s="330"/>
      <x:c r="C715" s="330" t="n">
        <x:v>46155</x:v>
      </x:c>
      <x:c r="D715" t="n">
        <x:v>2024</x:v>
      </x:c>
      <x:c r="E715"/>
      <x:c r="F715" t="str">
        <x:v>20935/24/CBMP-HN</x:v>
      </x:c>
      <x:c r="G715"/>
      <x:c r="H715" t="str">
        <x:v>Sunscreen Spray</x:v>
      </x:c>
      <x:c r="I715"/>
      <x:c r="J715" t="str">
        <x:v>Kem chống nắng</x:v>
      </x:c>
      <x:c r="K715"/>
      <x:c r="L715" t="str">
        <x:v>Công ty TNHH THDV Group</x:v>
      </x:c>
      <x:c r="M715"/>
      <x:c r="N715" t="str">
        <x:v>Công ty TNHH mỹ phẩm Việt Hương</x:v>
      </x:c>
      <x:c r="O715" t="str">
        <x:v>Đình chỉ lưu hành, thu hồi và tiêu hủy – Công văn 1772/QLD-MP</x:v>
      </x:c>
      <x:c r="P715" t="str">
        <x:v>A++ – Cục Quản lý Dược; tổ chức chịu trách nhiệm explicit</x:v>
      </x:c>
      <x:c r="Q715" t="str">
        <x:v>Phụ lục 511 sản phẩm, STT 352, trang 12. Công ty Việt Hương là cơ sở sản xuất; cột tổ chức chịu trách nhiệm lấy nguyên văn từ phụ lục.</x:v>
      </x:c>
      <x:c r="R715" t="str">
        <x:v>https://dav.gov.vn/cong-van-so-1772qld-mp-ve-viec-dinh-chi-luu-hanh-thu-hoi-va-tieu-huy-my-pham-vi-pham-cong-ty-tnhh-my-pham-viet-huong-n5334.html</x:v>
      </x:c>
      <x:c r="S715" t="str">
        <x:v>Hà Nội</x:v>
      </x:c>
      <x:c r="T715" t="str">
        <x:v>01</x:v>
      </x:c>
    </x:row>
    <x:row r="716">
      <x:c r="A716" t="n">
        <x:v>715</x:v>
      </x:c>
      <x:c r="B716" s="330"/>
      <x:c r="C716" s="330" t="n">
        <x:v>46155</x:v>
      </x:c>
      <x:c r="D716" t="n">
        <x:v>2024</x:v>
      </x:c>
      <x:c r="E716"/>
      <x:c r="F716" t="str">
        <x:v>20936/24/CBMP-HN</x:v>
      </x:c>
      <x:c r="G716"/>
      <x:c r="H716" t="str">
        <x:v>Brightening Detox Shower Gel</x:v>
      </x:c>
      <x:c r="I716"/>
      <x:c r="J716" t="str">
        <x:v>Sữa tắm/Gel tắm</x:v>
      </x:c>
      <x:c r="K716"/>
      <x:c r="L716" t="str">
        <x:v>Công ty TNHH THDV Group</x:v>
      </x:c>
      <x:c r="M716"/>
      <x:c r="N716" t="str">
        <x:v>Công ty TNHH mỹ phẩm Việt Hương</x:v>
      </x:c>
      <x:c r="O716" t="str">
        <x:v>Đình chỉ lưu hành, thu hồi và tiêu hủy – Công văn 1772/QLD-MP</x:v>
      </x:c>
      <x:c r="P716" t="str">
        <x:v>A++ – Cục Quản lý Dược; tổ chức chịu trách nhiệm explicit</x:v>
      </x:c>
      <x:c r="Q716" t="str">
        <x:v>Phụ lục 511 sản phẩm, STT 353, trang 12. Công ty Việt Hương là cơ sở sản xuất; cột tổ chức chịu trách nhiệm lấy nguyên văn từ phụ lục.</x:v>
      </x:c>
      <x:c r="R716" t="str">
        <x:v>https://dav.gov.vn/cong-van-so-1772qld-mp-ve-viec-dinh-chi-luu-hanh-thu-hoi-va-tieu-huy-my-pham-vi-pham-cong-ty-tnhh-my-pham-viet-huong-n5334.html</x:v>
      </x:c>
      <x:c r="S716" t="str">
        <x:v>Hà Nội</x:v>
      </x:c>
      <x:c r="T716" t="str">
        <x:v>01</x:v>
      </x:c>
    </x:row>
    <x:row r="717">
      <x:c r="A717" t="n">
        <x:v>716</x:v>
      </x:c>
      <x:c r="B717" s="330"/>
      <x:c r="C717" s="330" t="n">
        <x:v>46155</x:v>
      </x:c>
      <x:c r="D717" t="n">
        <x:v>2024</x:v>
      </x:c>
      <x:c r="E717"/>
      <x:c r="F717" t="str">
        <x:v>20937/24/CBMP-HN</x:v>
      </x:c>
      <x:c r="G717"/>
      <x:c r="H717" t="str">
        <x:v>Body Acne Spray</x:v>
      </x:c>
      <x:c r="I717"/>
      <x:c r="J717" t="str">
        <x:v>Khác</x:v>
      </x:c>
      <x:c r="K717"/>
      <x:c r="L717" t="str">
        <x:v>Công ty TNHH THDV Group</x:v>
      </x:c>
      <x:c r="M717"/>
      <x:c r="N717" t="str">
        <x:v>Công ty TNHH mỹ phẩm Việt Hương</x:v>
      </x:c>
      <x:c r="O717" t="str">
        <x:v>Đình chỉ lưu hành, thu hồi và tiêu hủy – Công văn 1772/QLD-MP</x:v>
      </x:c>
      <x:c r="P717" t="str">
        <x:v>A++ – Cục Quản lý Dược; tổ chức chịu trách nhiệm explicit</x:v>
      </x:c>
      <x:c r="Q717" t="str">
        <x:v>Phụ lục 511 sản phẩm, STT 354, trang 12. Công ty Việt Hương là cơ sở sản xuất; cột tổ chức chịu trách nhiệm lấy nguyên văn từ phụ lục.</x:v>
      </x:c>
      <x:c r="R717" t="str">
        <x:v>https://dav.gov.vn/cong-van-so-1772qld-mp-ve-viec-dinh-chi-luu-hanh-thu-hoi-va-tieu-huy-my-pham-vi-pham-cong-ty-tnhh-my-pham-viet-huong-n5334.html</x:v>
      </x:c>
      <x:c r="S717" t="str">
        <x:v>Hà Nội</x:v>
      </x:c>
      <x:c r="T717" t="str">
        <x:v>01</x:v>
      </x:c>
    </x:row>
    <x:row r="718">
      <x:c r="A718" t="n">
        <x:v>717</x:v>
      </x:c>
      <x:c r="B718" s="330"/>
      <x:c r="C718" s="330" t="n">
        <x:v>46155</x:v>
      </x:c>
      <x:c r="D718" t="n">
        <x:v>2024</x:v>
      </x:c>
      <x:c r="E718"/>
      <x:c r="F718" t="str">
        <x:v>21259/24/CBMP-HN</x:v>
      </x:c>
      <x:c r="G718"/>
      <x:c r="H718" t="str">
        <x:v>Skinexfol</x:v>
      </x:c>
      <x:c r="I718"/>
      <x:c r="J718" t="str">
        <x:v>Khác</x:v>
      </x:c>
      <x:c r="K718"/>
      <x:c r="L718" t="str">
        <x:v>Công ty TNHH Taehui</x:v>
      </x:c>
      <x:c r="M718"/>
      <x:c r="N718" t="str">
        <x:v>Công ty TNHH mỹ phẩm Việt Hương</x:v>
      </x:c>
      <x:c r="O718" t="str">
        <x:v>Đình chỉ lưu hành, thu hồi và tiêu hủy – Công văn 1772/QLD-MP</x:v>
      </x:c>
      <x:c r="P718" t="str">
        <x:v>A++ – Cục Quản lý Dược; tổ chức chịu trách nhiệm explicit</x:v>
      </x:c>
      <x:c r="Q718" t="str">
        <x:v>Phụ lục 511 sản phẩm, STT 355, trang 12. Công ty Việt Hương là cơ sở sản xuất; cột tổ chức chịu trách nhiệm lấy nguyên văn từ phụ lục.</x:v>
      </x:c>
      <x:c r="R718" t="str">
        <x:v>https://dav.gov.vn/cong-van-so-1772qld-mp-ve-viec-dinh-chi-luu-hanh-thu-hoi-va-tieu-huy-my-pham-vi-pham-cong-ty-tnhh-my-pham-viet-huong-n5334.html</x:v>
      </x:c>
      <x:c r="S718" t="str">
        <x:v>Hà Nội</x:v>
      </x:c>
      <x:c r="T718" t="str">
        <x:v>01</x:v>
      </x:c>
    </x:row>
    <x:row r="719">
      <x:c r="A719" t="n">
        <x:v>718</x:v>
      </x:c>
      <x:c r="B719" s="330"/>
      <x:c r="C719" s="330" t="n">
        <x:v>46155</x:v>
      </x:c>
      <x:c r="D719" t="n">
        <x:v>2024</x:v>
      </x:c>
      <x:c r="E719"/>
      <x:c r="F719" t="str">
        <x:v>21260/24/CBMP-HN</x:v>
      </x:c>
      <x:c r="G719"/>
      <x:c r="H719" t="str">
        <x:v>Perfect Cleansing Gel</x:v>
      </x:c>
      <x:c r="I719"/>
      <x:c r="J719" t="str">
        <x:v>Sữa rửa mặt</x:v>
      </x:c>
      <x:c r="K719"/>
      <x:c r="L719" t="str">
        <x:v>Công ty TNHH Taehui</x:v>
      </x:c>
      <x:c r="M719"/>
      <x:c r="N719" t="str">
        <x:v>Công ty TNHH mỹ phẩm Việt Hương</x:v>
      </x:c>
      <x:c r="O719" t="str">
        <x:v>Đình chỉ lưu hành, thu hồi và tiêu hủy – Công văn 1772/QLD-MP</x:v>
      </x:c>
      <x:c r="P719" t="str">
        <x:v>A++ – Cục Quản lý Dược; tổ chức chịu trách nhiệm explicit</x:v>
      </x:c>
      <x:c r="Q719" t="str">
        <x:v>Phụ lục 511 sản phẩm, STT 356, trang 12. Công ty Việt Hương là cơ sở sản xuất; cột tổ chức chịu trách nhiệm lấy nguyên văn từ phụ lục.</x:v>
      </x:c>
      <x:c r="R719" t="str">
        <x:v>https://dav.gov.vn/cong-van-so-1772qld-mp-ve-viec-dinh-chi-luu-hanh-thu-hoi-va-tieu-huy-my-pham-vi-pham-cong-ty-tnhh-my-pham-viet-huong-n5334.html</x:v>
      </x:c>
      <x:c r="S719" t="str">
        <x:v>Hà Nội</x:v>
      </x:c>
      <x:c r="T719" t="str">
        <x:v>01</x:v>
      </x:c>
    </x:row>
    <x:row r="720">
      <x:c r="A720" t="n">
        <x:v>719</x:v>
      </x:c>
      <x:c r="B720" s="330"/>
      <x:c r="C720" s="330" t="n">
        <x:v>46155</x:v>
      </x:c>
      <x:c r="D720" t="n">
        <x:v>2024</x:v>
      </x:c>
      <x:c r="E720"/>
      <x:c r="F720" t="str">
        <x:v>21261/24/CBMP-HN</x:v>
      </x:c>
      <x:c r="G720"/>
      <x:c r="H720" t="str">
        <x:v>Sunscreen Cream</x:v>
      </x:c>
      <x:c r="I720"/>
      <x:c r="J720" t="str">
        <x:v>Kem chống nắng</x:v>
      </x:c>
      <x:c r="K720"/>
      <x:c r="L720" t="str">
        <x:v>Công ty TNHH Taehui</x:v>
      </x:c>
      <x:c r="M720"/>
      <x:c r="N720" t="str">
        <x:v>Công ty TNHH mỹ phẩm Việt Hương</x:v>
      </x:c>
      <x:c r="O720" t="str">
        <x:v>Đình chỉ lưu hành, thu hồi và tiêu hủy – Công văn 1772/QLD-MP</x:v>
      </x:c>
      <x:c r="P720" t="str">
        <x:v>A++ – Cục Quản lý Dược; tổ chức chịu trách nhiệm explicit</x:v>
      </x:c>
      <x:c r="Q720" t="str">
        <x:v>Phụ lục 511 sản phẩm, STT 357, trang 12. Công ty Việt Hương là cơ sở sản xuất; cột tổ chức chịu trách nhiệm lấy nguyên văn từ phụ lục.</x:v>
      </x:c>
      <x:c r="R720" t="str">
        <x:v>https://dav.gov.vn/cong-van-so-1772qld-mp-ve-viec-dinh-chi-luu-hanh-thu-hoi-va-tieu-huy-my-pham-vi-pham-cong-ty-tnhh-my-pham-viet-huong-n5334.html</x:v>
      </x:c>
      <x:c r="S720" t="str">
        <x:v>Hà Nội</x:v>
      </x:c>
      <x:c r="T720" t="str">
        <x:v>01</x:v>
      </x:c>
    </x:row>
    <x:row r="721">
      <x:c r="A721" t="n">
        <x:v>720</x:v>
      </x:c>
      <x:c r="B721" s="330"/>
      <x:c r="C721" s="330" t="n">
        <x:v>46155</x:v>
      </x:c>
      <x:c r="D721" t="n">
        <x:v>2024</x:v>
      </x:c>
      <x:c r="E721"/>
      <x:c r="F721" t="str">
        <x:v>21533/24/CBMP-HN</x:v>
      </x:c>
      <x:c r="G721"/>
      <x:c r="H721" t="str">
        <x:v>Collagen A.G Suncream</x:v>
      </x:c>
      <x:c r="I721"/>
      <x:c r="J721" t="str">
        <x:v>Kem chống nắng</x:v>
      </x:c>
      <x:c r="K721"/>
      <x:c r="L721" t="str">
        <x:v>Công ty Cổ phần tập đoàn GBM</x:v>
      </x:c>
      <x:c r="M721"/>
      <x:c r="N721" t="str">
        <x:v>Công ty TNHH mỹ phẩm Việt Hương</x:v>
      </x:c>
      <x:c r="O721" t="str">
        <x:v>Đình chỉ lưu hành, thu hồi và tiêu hủy – Công văn 1772/QLD-MP</x:v>
      </x:c>
      <x:c r="P721" t="str">
        <x:v>A++ – Cục Quản lý Dược; tổ chức chịu trách nhiệm explicit</x:v>
      </x:c>
      <x:c r="Q721" t="str">
        <x:v>Phụ lục 511 sản phẩm, STT 358, trang 12. Công ty Việt Hương là cơ sở sản xuất; cột tổ chức chịu trách nhiệm lấy nguyên văn từ phụ lục.</x:v>
      </x:c>
      <x:c r="R721" t="str">
        <x:v>https://dav.gov.vn/cong-van-so-1772qld-mp-ve-viec-dinh-chi-luu-hanh-thu-hoi-va-tieu-huy-my-pham-vi-pham-cong-ty-tnhh-my-pham-viet-huong-n5334.html</x:v>
      </x:c>
      <x:c r="S721" t="str">
        <x:v>Hà Nội</x:v>
      </x:c>
      <x:c r="T721" t="str">
        <x:v>01</x:v>
      </x:c>
    </x:row>
    <x:row r="722">
      <x:c r="A722" t="n">
        <x:v>721</x:v>
      </x:c>
      <x:c r="B722" s="330"/>
      <x:c r="C722" s="330" t="n">
        <x:v>46155</x:v>
      </x:c>
      <x:c r="D722" t="n">
        <x:v>2024</x:v>
      </x:c>
      <x:c r="E722"/>
      <x:c r="F722" t="str">
        <x:v>21534/24/CBMP-HN</x:v>
      </x:c>
      <x:c r="G722"/>
      <x:c r="H722" t="str">
        <x:v>Collagen A.G Cleansing Water</x:v>
      </x:c>
      <x:c r="I722"/>
      <x:c r="J722" t="str">
        <x:v>Khác</x:v>
      </x:c>
      <x:c r="K722"/>
      <x:c r="L722" t="str">
        <x:v>Công ty Cổ phần tập đoàn GBM</x:v>
      </x:c>
      <x:c r="M722"/>
      <x:c r="N722" t="str">
        <x:v>Công ty TNHH mỹ phẩm Việt Hương</x:v>
      </x:c>
      <x:c r="O722" t="str">
        <x:v>Đình chỉ lưu hành, thu hồi và tiêu hủy – Công văn 1772/QLD-MP</x:v>
      </x:c>
      <x:c r="P722" t="str">
        <x:v>A++ – Cục Quản lý Dược; tổ chức chịu trách nhiệm explicit</x:v>
      </x:c>
      <x:c r="Q722" t="str">
        <x:v>Phụ lục 511 sản phẩm, STT 359, trang 12. Công ty Việt Hương là cơ sở sản xuất; cột tổ chức chịu trách nhiệm lấy nguyên văn từ phụ lục.</x:v>
      </x:c>
      <x:c r="R722" t="str">
        <x:v>https://dav.gov.vn/cong-van-so-1772qld-mp-ve-viec-dinh-chi-luu-hanh-thu-hoi-va-tieu-huy-my-pham-vi-pham-cong-ty-tnhh-my-pham-viet-huong-n5334.html</x:v>
      </x:c>
      <x:c r="S722" t="str">
        <x:v>Hà Nội</x:v>
      </x:c>
      <x:c r="T722" t="str">
        <x:v>01</x:v>
      </x:c>
    </x:row>
    <x:row r="723">
      <x:c r="A723" t="n">
        <x:v>722</x:v>
      </x:c>
      <x:c r="B723" s="330"/>
      <x:c r="C723" s="330" t="n">
        <x:v>46155</x:v>
      </x:c>
      <x:c r="D723" t="n">
        <x:v>2024</x:v>
      </x:c>
      <x:c r="E723"/>
      <x:c r="F723" t="str">
        <x:v>21535/24/CBMP-HN</x:v>
      </x:c>
      <x:c r="G723"/>
      <x:c r="H723" t="str">
        <x:v>Tinh chất mụn</x:v>
      </x:c>
      <x:c r="I723"/>
      <x:c r="J723" t="str">
        <x:v>Serum/Essence da</x:v>
      </x:c>
      <x:c r="K723"/>
      <x:c r="L723" t="str">
        <x:v>Hộ kinh doanh Mỹ phẩm - Thời trang CK</x:v>
      </x:c>
      <x:c r="M723"/>
      <x:c r="N723" t="str">
        <x:v>Công ty TNHH mỹ phẩm Việt Hương</x:v>
      </x:c>
      <x:c r="O723" t="str">
        <x:v>Đình chỉ lưu hành, thu hồi và tiêu hủy – Công văn 1772/QLD-MP</x:v>
      </x:c>
      <x:c r="P723" t="str">
        <x:v>A++ – Cục Quản lý Dược; tổ chức chịu trách nhiệm explicit</x:v>
      </x:c>
      <x:c r="Q723" t="str">
        <x:v>Phụ lục 511 sản phẩm, STT 360, trang 12. Công ty Việt Hương là cơ sở sản xuất; cột tổ chức chịu trách nhiệm lấy nguyên văn từ phụ lục.</x:v>
      </x:c>
      <x:c r="R723" t="str">
        <x:v>https://dav.gov.vn/cong-van-so-1772qld-mp-ve-viec-dinh-chi-luu-hanh-thu-hoi-va-tieu-huy-my-pham-vi-pham-cong-ty-tnhh-my-pham-viet-huong-n5334.html</x:v>
      </x:c>
      <x:c r="S723" t="str">
        <x:v>Hà Nội</x:v>
      </x:c>
      <x:c r="T723" t="str">
        <x:v>01</x:v>
      </x:c>
    </x:row>
    <x:row r="724">
      <x:c r="A724" t="n">
        <x:v>723</x:v>
      </x:c>
      <x:c r="B724" s="330"/>
      <x:c r="C724" s="330" t="n">
        <x:v>46155</x:v>
      </x:c>
      <x:c r="D724" t="n">
        <x:v>2024</x:v>
      </x:c>
      <x:c r="E724"/>
      <x:c r="F724" t="str">
        <x:v>21751/24/CBMP-HN</x:v>
      </x:c>
      <x:c r="G724"/>
      <x:c r="H724" t="str">
        <x:v>Combo Premium Limited</x:v>
      </x:c>
      <x:c r="I724"/>
      <x:c r="J724" t="str">
        <x:v>Khác</x:v>
      </x:c>
      <x:c r="K724"/>
      <x:c r="L724" t="str">
        <x:v>Hộ kinh doanh Nguyễn Văn Công</x:v>
      </x:c>
      <x:c r="M724"/>
      <x:c r="N724" t="str">
        <x:v>Công ty TNHH mỹ phẩm Việt Hương</x:v>
      </x:c>
      <x:c r="O724" t="str">
        <x:v>Đình chỉ lưu hành, thu hồi và tiêu hủy – Công văn 1772/QLD-MP</x:v>
      </x:c>
      <x:c r="P724" t="str">
        <x:v>A++ – Cục Quản lý Dược; tổ chức chịu trách nhiệm explicit</x:v>
      </x:c>
      <x:c r="Q724" t="str">
        <x:v>Phụ lục 511 sản phẩm, STT 361, trang 12. Công ty Việt Hương là cơ sở sản xuất; cột tổ chức chịu trách nhiệm lấy nguyên văn từ phụ lục.</x:v>
      </x:c>
      <x:c r="R724" t="str">
        <x:v>https://dav.gov.vn/cong-van-so-1772qld-mp-ve-viec-dinh-chi-luu-hanh-thu-hoi-va-tieu-huy-my-pham-vi-pham-cong-ty-tnhh-my-pham-viet-huong-n5334.html</x:v>
      </x:c>
      <x:c r="S724" t="str">
        <x:v>Hà Nội</x:v>
      </x:c>
      <x:c r="T724" t="str">
        <x:v>01</x:v>
      </x:c>
    </x:row>
    <x:row r="725">
      <x:c r="A725" t="n">
        <x:v>724</x:v>
      </x:c>
      <x:c r="B725" s="330"/>
      <x:c r="C725" s="330" t="n">
        <x:v>46155</x:v>
      </x:c>
      <x:c r="D725" t="n">
        <x:v>2024</x:v>
      </x:c>
      <x:c r="E725"/>
      <x:c r="F725" t="str">
        <x:v>21884/24/CBMP-HN</x:v>
      </x:c>
      <x:c r="G725"/>
      <x:c r="H725" t="str">
        <x:v>Conditioner</x:v>
      </x:c>
      <x:c r="I725"/>
      <x:c r="J725" t="str">
        <x:v>Dầu xả</x:v>
      </x:c>
      <x:c r="K725"/>
      <x:c r="L725" t="str">
        <x:v>Công ty Cổ phần Đầu tư Thương mại The Gen Global</x:v>
      </x:c>
      <x:c r="M725"/>
      <x:c r="N725" t="str">
        <x:v>Công ty TNHH mỹ phẩm Việt Hương</x:v>
      </x:c>
      <x:c r="O725" t="str">
        <x:v>Đình chỉ lưu hành, thu hồi và tiêu hủy – Công văn 1772/QLD-MP</x:v>
      </x:c>
      <x:c r="P725" t="str">
        <x:v>A++ – Cục Quản lý Dược; tổ chức chịu trách nhiệm explicit</x:v>
      </x:c>
      <x:c r="Q725" t="str">
        <x:v>Phụ lục 511 sản phẩm, STT 362, trang 13. Công ty Việt Hương là cơ sở sản xuất; cột tổ chức chịu trách nhiệm lấy nguyên văn từ phụ lục.</x:v>
      </x:c>
      <x:c r="R725" t="str">
        <x:v>https://dav.gov.vn/cong-van-so-1772qld-mp-ve-viec-dinh-chi-luu-hanh-thu-hoi-va-tieu-huy-my-pham-vi-pham-cong-ty-tnhh-my-pham-viet-huong-n5334.html</x:v>
      </x:c>
      <x:c r="S725" t="str">
        <x:v>Hà Nội</x:v>
      </x:c>
      <x:c r="T725" t="str">
        <x:v>01</x:v>
      </x:c>
    </x:row>
    <x:row r="726">
      <x:c r="A726" t="n">
        <x:v>725</x:v>
      </x:c>
      <x:c r="B726" s="330"/>
      <x:c r="C726" s="330" t="n">
        <x:v>46155</x:v>
      </x:c>
      <x:c r="D726" t="n">
        <x:v>2024</x:v>
      </x:c>
      <x:c r="E726"/>
      <x:c r="F726" t="str">
        <x:v>21978/24/CBMP-HN</x:v>
      </x:c>
      <x:c r="G726"/>
      <x:c r="H726" t="str">
        <x:v>Ulachoi Velvet Lipstick</x:v>
      </x:c>
      <x:c r="I726"/>
      <x:c r="J726" t="str">
        <x:v>Sản phẩm môi</x:v>
      </x:c>
      <x:c r="K726"/>
      <x:c r="L726" t="str">
        <x:v>Công ty Cổ phần Đầu tư Thương mại The Gen Global</x:v>
      </x:c>
      <x:c r="M726"/>
      <x:c r="N726" t="str">
        <x:v>Công ty TNHH mỹ phẩm Việt Hương</x:v>
      </x:c>
      <x:c r="O726" t="str">
        <x:v>Đình chỉ lưu hành, thu hồi và tiêu hủy – Công văn 1772/QLD-MP</x:v>
      </x:c>
      <x:c r="P726" t="str">
        <x:v>A++ – Cục Quản lý Dược; tổ chức chịu trách nhiệm explicit</x:v>
      </x:c>
      <x:c r="Q726" t="str">
        <x:v>Phụ lục 511 sản phẩm, STT 363, trang 13. Công ty Việt Hương là cơ sở sản xuất; cột tổ chức chịu trách nhiệm lấy nguyên văn từ phụ lục.</x:v>
      </x:c>
      <x:c r="R726" t="str">
        <x:v>https://dav.gov.vn/cong-van-so-1772qld-mp-ve-viec-dinh-chi-luu-hanh-thu-hoi-va-tieu-huy-my-pham-vi-pham-cong-ty-tnhh-my-pham-viet-huong-n5334.html</x:v>
      </x:c>
      <x:c r="S726" t="str">
        <x:v>Hà Nội</x:v>
      </x:c>
      <x:c r="T726" t="str">
        <x:v>01</x:v>
      </x:c>
    </x:row>
    <x:row r="727">
      <x:c r="A727" t="n">
        <x:v>726</x:v>
      </x:c>
      <x:c r="B727" s="330"/>
      <x:c r="C727" s="330" t="n">
        <x:v>46155</x:v>
      </x:c>
      <x:c r="D727" t="n">
        <x:v>2024</x:v>
      </x:c>
      <x:c r="E727"/>
      <x:c r="F727" t="str">
        <x:v>22009/24/CBMP-HN</x:v>
      </x:c>
      <x:c r="G727"/>
      <x:c r="H727" t="str">
        <x:v>Shampoo</x:v>
      </x:c>
      <x:c r="I727"/>
      <x:c r="J727" t="str">
        <x:v>Dầu gội</x:v>
      </x:c>
      <x:c r="K727"/>
      <x:c r="L727" t="str">
        <x:v>Công ty Cổ phần Đầu tư Thương mại The Gen Global</x:v>
      </x:c>
      <x:c r="M727"/>
      <x:c r="N727" t="str">
        <x:v>Công ty TNHH mỹ phẩm Việt Hương</x:v>
      </x:c>
      <x:c r="O727" t="str">
        <x:v>Đình chỉ lưu hành, thu hồi và tiêu hủy – Công văn 1772/QLD-MP</x:v>
      </x:c>
      <x:c r="P727" t="str">
        <x:v>A++ – Cục Quản lý Dược; tổ chức chịu trách nhiệm explicit</x:v>
      </x:c>
      <x:c r="Q727" t="str">
        <x:v>Phụ lục 511 sản phẩm, STT 364, trang 13. Công ty Việt Hương là cơ sở sản xuất; cột tổ chức chịu trách nhiệm lấy nguyên văn từ phụ lục.</x:v>
      </x:c>
      <x:c r="R727" t="str">
        <x:v>https://dav.gov.vn/cong-van-so-1772qld-mp-ve-viec-dinh-chi-luu-hanh-thu-hoi-va-tieu-huy-my-pham-vi-pham-cong-ty-tnhh-my-pham-viet-huong-n5334.html</x:v>
      </x:c>
      <x:c r="S727" t="str">
        <x:v>Hà Nội</x:v>
      </x:c>
      <x:c r="T727" t="str">
        <x:v>01</x:v>
      </x:c>
    </x:row>
    <x:row r="728">
      <x:c r="A728" t="n">
        <x:v>727</x:v>
      </x:c>
      <x:c r="B728" s="330"/>
      <x:c r="C728" s="330" t="n">
        <x:v>46155</x:v>
      </x:c>
      <x:c r="D728" t="n">
        <x:v>2024</x:v>
      </x:c>
      <x:c r="E728"/>
      <x:c r="F728" t="str">
        <x:v>22005/24/CBMP-HN</x:v>
      </x:c>
      <x:c r="G728"/>
      <x:c r="H728" t="str">
        <x:v>Lăn nách Trà Xanh</x:v>
      </x:c>
      <x:c r="I728"/>
      <x:c r="J728" t="str">
        <x:v>Khác</x:v>
      </x:c>
      <x:c r="K728"/>
      <x:c r="L728" t="str">
        <x:v>Hộ kinh doanh Trần Thị Liên</x:v>
      </x:c>
      <x:c r="M728"/>
      <x:c r="N728" t="str">
        <x:v>Công ty TNHH mỹ phẩm Việt Hương</x:v>
      </x:c>
      <x:c r="O728" t="str">
        <x:v>Đình chỉ lưu hành, thu hồi và tiêu hủy – Công văn 1772/QLD-MP</x:v>
      </x:c>
      <x:c r="P728" t="str">
        <x:v>A++ – Cục Quản lý Dược; tổ chức chịu trách nhiệm explicit</x:v>
      </x:c>
      <x:c r="Q728" t="str">
        <x:v>Phụ lục 511 sản phẩm, STT 365, trang 13. Công ty Việt Hương là cơ sở sản xuất; cột tổ chức chịu trách nhiệm lấy nguyên văn từ phụ lục.</x:v>
      </x:c>
      <x:c r="R728" t="str">
        <x:v>https://dav.gov.vn/cong-van-so-1772qld-mp-ve-viec-dinh-chi-luu-hanh-thu-hoi-va-tieu-huy-my-pham-vi-pham-cong-ty-tnhh-my-pham-viet-huong-n5334.html</x:v>
      </x:c>
      <x:c r="S728" t="str">
        <x:v>Hà Nội</x:v>
      </x:c>
      <x:c r="T728" t="str">
        <x:v>01</x:v>
      </x:c>
    </x:row>
    <x:row r="729">
      <x:c r="A729" t="n">
        <x:v>728</x:v>
      </x:c>
      <x:c r="B729" s="330"/>
      <x:c r="C729" s="330" t="n">
        <x:v>46155</x:v>
      </x:c>
      <x:c r="D729" t="n">
        <x:v>2024</x:v>
      </x:c>
      <x:c r="E729"/>
      <x:c r="F729" t="str">
        <x:v>22006/24/CBMP-HN</x:v>
      </x:c>
      <x:c r="G729"/>
      <x:c r="H729" t="str">
        <x:v>Xịt chân Trà Xanh</x:v>
      </x:c>
      <x:c r="I729"/>
      <x:c r="J729" t="str">
        <x:v>Khác</x:v>
      </x:c>
      <x:c r="K729"/>
      <x:c r="L729" t="str">
        <x:v>Hộ kinh doanh Trần Thị Liên</x:v>
      </x:c>
      <x:c r="M729"/>
      <x:c r="N729" t="str">
        <x:v>Công ty TNHH mỹ phẩm Việt Hương</x:v>
      </x:c>
      <x:c r="O729" t="str">
        <x:v>Đình chỉ lưu hành, thu hồi và tiêu hủy – Công văn 1772/QLD-MP</x:v>
      </x:c>
      <x:c r="P729" t="str">
        <x:v>A++ – Cục Quản lý Dược; tổ chức chịu trách nhiệm explicit</x:v>
      </x:c>
      <x:c r="Q729" t="str">
        <x:v>Phụ lục 511 sản phẩm, STT 366, trang 13. Công ty Việt Hương là cơ sở sản xuất; cột tổ chức chịu trách nhiệm lấy nguyên văn từ phụ lục.</x:v>
      </x:c>
      <x:c r="R729" t="str">
        <x:v>https://dav.gov.vn/cong-van-so-1772qld-mp-ve-viec-dinh-chi-luu-hanh-thu-hoi-va-tieu-huy-my-pham-vi-pham-cong-ty-tnhh-my-pham-viet-huong-n5334.html</x:v>
      </x:c>
      <x:c r="S729" t="str">
        <x:v>Hà Nội</x:v>
      </x:c>
      <x:c r="T729" t="str">
        <x:v>01</x:v>
      </x:c>
    </x:row>
    <x:row r="730">
      <x:c r="A730" t="n">
        <x:v>729</x:v>
      </x:c>
      <x:c r="B730" s="330"/>
      <x:c r="C730" s="330" t="n">
        <x:v>46155</x:v>
      </x:c>
      <x:c r="D730" t="n">
        <x:v>2024</x:v>
      </x:c>
      <x:c r="E730"/>
      <x:c r="F730" t="str">
        <x:v>22011/24/CBMP-HN</x:v>
      </x:c>
      <x:c r="G730"/>
      <x:c r="H730" t="str">
        <x:v>Hydra Nourish Makeup Remover</x:v>
      </x:c>
      <x:c r="I730"/>
      <x:c r="J730" t="str">
        <x:v>Tẩy trang</x:v>
      </x:c>
      <x:c r="K730"/>
      <x:c r="L730" t="str">
        <x:v>Công ty TNHH Sinh Dược Bio</x:v>
      </x:c>
      <x:c r="M730"/>
      <x:c r="N730" t="str">
        <x:v>Công ty TNHH mỹ phẩm Việt Hương</x:v>
      </x:c>
      <x:c r="O730" t="str">
        <x:v>Đình chỉ lưu hành, thu hồi và tiêu hủy – Công văn 1772/QLD-MP</x:v>
      </x:c>
      <x:c r="P730" t="str">
        <x:v>A++ – Cục Quản lý Dược; tổ chức chịu trách nhiệm explicit</x:v>
      </x:c>
      <x:c r="Q730" t="str">
        <x:v>Phụ lục 511 sản phẩm, STT 367, trang 13. Công ty Việt Hương là cơ sở sản xuất; cột tổ chức chịu trách nhiệm lấy nguyên văn từ phụ lục.</x:v>
      </x:c>
      <x:c r="R730" t="str">
        <x:v>https://dav.gov.vn/cong-van-so-1772qld-mp-ve-viec-dinh-chi-luu-hanh-thu-hoi-va-tieu-huy-my-pham-vi-pham-cong-ty-tnhh-my-pham-viet-huong-n5334.html</x:v>
      </x:c>
      <x:c r="S730" t="str">
        <x:v>Hà Nội</x:v>
      </x:c>
      <x:c r="T730" t="str">
        <x:v>01</x:v>
      </x:c>
    </x:row>
    <x:row r="731">
      <x:c r="A731" t="n">
        <x:v>730</x:v>
      </x:c>
      <x:c r="B731" s="330"/>
      <x:c r="C731" s="330" t="n">
        <x:v>46155</x:v>
      </x:c>
      <x:c r="D731" t="n">
        <x:v>2024</x:v>
      </x:c>
      <x:c r="E731"/>
      <x:c r="F731" t="str">
        <x:v>22012/24/CBMP-HN</x:v>
      </x:c>
      <x:c r="G731"/>
      <x:c r="H731" t="str">
        <x:v>Triki Plus</x:v>
      </x:c>
      <x:c r="I731"/>
      <x:c r="J731" t="str">
        <x:v>Khác</x:v>
      </x:c>
      <x:c r="K731"/>
      <x:c r="L731" t="str">
        <x:v>Công ty TNHH Sinh Dược Bio</x:v>
      </x:c>
      <x:c r="M731"/>
      <x:c r="N731" t="str">
        <x:v>Công ty TNHH mỹ phẩm Việt Hương</x:v>
      </x:c>
      <x:c r="O731" t="str">
        <x:v>Đình chỉ lưu hành, thu hồi và tiêu hủy – Công văn 1772/QLD-MP</x:v>
      </x:c>
      <x:c r="P731" t="str">
        <x:v>A++ – Cục Quản lý Dược; tổ chức chịu trách nhiệm explicit</x:v>
      </x:c>
      <x:c r="Q731" t="str">
        <x:v>Phụ lục 511 sản phẩm, STT 368, trang 13. Công ty Việt Hương là cơ sở sản xuất; cột tổ chức chịu trách nhiệm lấy nguyên văn từ phụ lục.</x:v>
      </x:c>
      <x:c r="R731" t="str">
        <x:v>https://dav.gov.vn/cong-van-so-1772qld-mp-ve-viec-dinh-chi-luu-hanh-thu-hoi-va-tieu-huy-my-pham-vi-pham-cong-ty-tnhh-my-pham-viet-huong-n5334.html</x:v>
      </x:c>
      <x:c r="S731" t="str">
        <x:v>Hà Nội</x:v>
      </x:c>
      <x:c r="T731" t="str">
        <x:v>01</x:v>
      </x:c>
    </x:row>
    <x:row r="732">
      <x:c r="A732" t="n">
        <x:v>731</x:v>
      </x:c>
      <x:c r="B732" s="330"/>
      <x:c r="C732" s="330" t="n">
        <x:v>46155</x:v>
      </x:c>
      <x:c r="D732" t="n">
        <x:v>2024</x:v>
      </x:c>
      <x:c r="E732"/>
      <x:c r="F732" t="str">
        <x:v>22013/24/CBMP-HN</x:v>
      </x:c>
      <x:c r="G732"/>
      <x:c r="H732" t="str">
        <x:v>Deepclean Oil Cleanser</x:v>
      </x:c>
      <x:c r="I732"/>
      <x:c r="J732" t="str">
        <x:v>Sữa rửa mặt</x:v>
      </x:c>
      <x:c r="K732"/>
      <x:c r="L732" t="str">
        <x:v>Công ty TNHH Sinh Dược Bio</x:v>
      </x:c>
      <x:c r="M732"/>
      <x:c r="N732" t="str">
        <x:v>Công ty TNHH mỹ phẩm Việt Hương</x:v>
      </x:c>
      <x:c r="O732" t="str">
        <x:v>Đình chỉ lưu hành, thu hồi và tiêu hủy – Công văn 1772/QLD-MP</x:v>
      </x:c>
      <x:c r="P732" t="str">
        <x:v>A++ – Cục Quản lý Dược; tổ chức chịu trách nhiệm explicit</x:v>
      </x:c>
      <x:c r="Q732" t="str">
        <x:v>Phụ lục 511 sản phẩm, STT 369, trang 13. Công ty Việt Hương là cơ sở sản xuất; cột tổ chức chịu trách nhiệm lấy nguyên văn từ phụ lục.</x:v>
      </x:c>
      <x:c r="R732" t="str">
        <x:v>https://dav.gov.vn/cong-van-so-1772qld-mp-ve-viec-dinh-chi-luu-hanh-thu-hoi-va-tieu-huy-my-pham-vi-pham-cong-ty-tnhh-my-pham-viet-huong-n5334.html</x:v>
      </x:c>
      <x:c r="S732" t="str">
        <x:v>Hà Nội</x:v>
      </x:c>
      <x:c r="T732" t="str">
        <x:v>01</x:v>
      </x:c>
    </x:row>
    <x:row r="733">
      <x:c r="A733" t="n">
        <x:v>732</x:v>
      </x:c>
      <x:c r="B733" s="330"/>
      <x:c r="C733" s="330" t="n">
        <x:v>46155</x:v>
      </x:c>
      <x:c r="D733" t="n">
        <x:v>2024</x:v>
      </x:c>
      <x:c r="E733"/>
      <x:c r="F733" t="str">
        <x:v>22014/24/CBMP-HN</x:v>
      </x:c>
      <x:c r="G733"/>
      <x:c r="H733" t="str">
        <x:v>Mildrelief Makeup Remover</x:v>
      </x:c>
      <x:c r="I733"/>
      <x:c r="J733" t="str">
        <x:v>Tẩy trang</x:v>
      </x:c>
      <x:c r="K733"/>
      <x:c r="L733" t="str">
        <x:v>Công ty TNHH Sinh Dược Bio</x:v>
      </x:c>
      <x:c r="M733"/>
      <x:c r="N733" t="str">
        <x:v>Công ty TNHH mỹ phẩm Việt Hương</x:v>
      </x:c>
      <x:c r="O733" t="str">
        <x:v>Đình chỉ lưu hành, thu hồi và tiêu hủy – Công văn 1772/QLD-MP</x:v>
      </x:c>
      <x:c r="P733" t="str">
        <x:v>A++ – Cục Quản lý Dược; tổ chức chịu trách nhiệm explicit</x:v>
      </x:c>
      <x:c r="Q733" t="str">
        <x:v>Phụ lục 511 sản phẩm, STT 370, trang 13. Công ty Việt Hương là cơ sở sản xuất; cột tổ chức chịu trách nhiệm lấy nguyên văn từ phụ lục.</x:v>
      </x:c>
      <x:c r="R733" t="str">
        <x:v>https://dav.gov.vn/cong-van-so-1772qld-mp-ve-viec-dinh-chi-luu-hanh-thu-hoi-va-tieu-huy-my-pham-vi-pham-cong-ty-tnhh-my-pham-viet-huong-n5334.html</x:v>
      </x:c>
      <x:c r="S733" t="str">
        <x:v>Hà Nội</x:v>
      </x:c>
      <x:c r="T733" t="str">
        <x:v>01</x:v>
      </x:c>
    </x:row>
    <x:row r="734">
      <x:c r="A734" t="n">
        <x:v>733</x:v>
      </x:c>
      <x:c r="B734" s="330"/>
      <x:c r="C734" s="330" t="n">
        <x:v>46155</x:v>
      </x:c>
      <x:c r="D734" t="n">
        <x:v>2024</x:v>
      </x:c>
      <x:c r="E734"/>
      <x:c r="F734" t="str">
        <x:v>22406/24/CBMP-HN</x:v>
      </x:c>
      <x:c r="G734"/>
      <x:c r="H734" t="str">
        <x:v>Refreshacne Toner</x:v>
      </x:c>
      <x:c r="I734"/>
      <x:c r="J734" t="str">
        <x:v>Serum/Essence da</x:v>
      </x:c>
      <x:c r="K734"/>
      <x:c r="L734" t="str">
        <x:v>Công ty TNHH Sinh Dược Bio</x:v>
      </x:c>
      <x:c r="M734"/>
      <x:c r="N734" t="str">
        <x:v>Công ty TNHH mỹ phẩm Việt Hương</x:v>
      </x:c>
      <x:c r="O734" t="str">
        <x:v>Đình chỉ lưu hành, thu hồi và tiêu hủy – Công văn 1772/QLD-MP</x:v>
      </x:c>
      <x:c r="P734" t="str">
        <x:v>A++ – Cục Quản lý Dược; tổ chức chịu trách nhiệm explicit</x:v>
      </x:c>
      <x:c r="Q734" t="str">
        <x:v>Phụ lục 511 sản phẩm, STT 371, trang 13. Công ty Việt Hương là cơ sở sản xuất; cột tổ chức chịu trách nhiệm lấy nguyên văn từ phụ lục.</x:v>
      </x:c>
      <x:c r="R734" t="str">
        <x:v>https://dav.gov.vn/cong-van-so-1772qld-mp-ve-viec-dinh-chi-luu-hanh-thu-hoi-va-tieu-huy-my-pham-vi-pham-cong-ty-tnhh-my-pham-viet-huong-n5334.html</x:v>
      </x:c>
      <x:c r="S734" t="str">
        <x:v>Hà Nội</x:v>
      </x:c>
      <x:c r="T734" t="str">
        <x:v>01</x:v>
      </x:c>
    </x:row>
    <x:row r="735">
      <x:c r="A735" t="n">
        <x:v>734</x:v>
      </x:c>
      <x:c r="B735" s="330"/>
      <x:c r="C735" s="330" t="n">
        <x:v>46155</x:v>
      </x:c>
      <x:c r="D735" t="n">
        <x:v>2024</x:v>
      </x:c>
      <x:c r="E735"/>
      <x:c r="F735" t="str">
        <x:v>22407/24/CBMP-HN</x:v>
      </x:c>
      <x:c r="G735"/>
      <x:c r="H735" t="str">
        <x:v>Deepclean Oil Makeup Remover</x:v>
      </x:c>
      <x:c r="I735"/>
      <x:c r="J735" t="str">
        <x:v>Tẩy trang</x:v>
      </x:c>
      <x:c r="K735"/>
      <x:c r="L735" t="str">
        <x:v>Công ty TNHH Sinh Dược Bio</x:v>
      </x:c>
      <x:c r="M735"/>
      <x:c r="N735" t="str">
        <x:v>Công ty TNHH mỹ phẩm Việt Hương</x:v>
      </x:c>
      <x:c r="O735" t="str">
        <x:v>Đình chỉ lưu hành, thu hồi và tiêu hủy – Công văn 1772/QLD-MP</x:v>
      </x:c>
      <x:c r="P735" t="str">
        <x:v>A++ – Cục Quản lý Dược; tổ chức chịu trách nhiệm explicit</x:v>
      </x:c>
      <x:c r="Q735" t="str">
        <x:v>Phụ lục 511 sản phẩm, STT 372, trang 13. Công ty Việt Hương là cơ sở sản xuất; cột tổ chức chịu trách nhiệm lấy nguyên văn từ phụ lục.</x:v>
      </x:c>
      <x:c r="R735" t="str">
        <x:v>https://dav.gov.vn/cong-van-so-1772qld-mp-ve-viec-dinh-chi-luu-hanh-thu-hoi-va-tieu-huy-my-pham-vi-pham-cong-ty-tnhh-my-pham-viet-huong-n5334.html</x:v>
      </x:c>
      <x:c r="S735" t="str">
        <x:v>Hà Nội</x:v>
      </x:c>
      <x:c r="T735" t="str">
        <x:v>01</x:v>
      </x:c>
    </x:row>
    <x:row r="736">
      <x:c r="A736" t="n">
        <x:v>735</x:v>
      </x:c>
      <x:c r="B736" s="330"/>
      <x:c r="C736" s="330" t="n">
        <x:v>46155</x:v>
      </x:c>
      <x:c r="D736" t="n">
        <x:v>2024</x:v>
      </x:c>
      <x:c r="E736"/>
      <x:c r="F736" t="str">
        <x:v>22408/24/CBMP-HN</x:v>
      </x:c>
      <x:c r="G736"/>
      <x:c r="H736" t="str">
        <x:v>Herbal Bath Salts</x:v>
      </x:c>
      <x:c r="I736"/>
      <x:c r="J736" t="str">
        <x:v>Khác</x:v>
      </x:c>
      <x:c r="K736"/>
      <x:c r="L736" t="str">
        <x:v>Công ty TNHH Sinh Dược Bio</x:v>
      </x:c>
      <x:c r="M736"/>
      <x:c r="N736" t="str">
        <x:v>Công ty TNHH mỹ phẩm Việt Hương</x:v>
      </x:c>
      <x:c r="O736" t="str">
        <x:v>Đình chỉ lưu hành, thu hồi và tiêu hủy – Công văn 1772/QLD-MP</x:v>
      </x:c>
      <x:c r="P736" t="str">
        <x:v>A++ – Cục Quản lý Dược; tổ chức chịu trách nhiệm explicit</x:v>
      </x:c>
      <x:c r="Q736" t="str">
        <x:v>Phụ lục 511 sản phẩm, STT 373, trang 13. Công ty Việt Hương là cơ sở sản xuất; cột tổ chức chịu trách nhiệm lấy nguyên văn từ phụ lục.</x:v>
      </x:c>
      <x:c r="R736" t="str">
        <x:v>https://dav.gov.vn/cong-van-so-1772qld-mp-ve-viec-dinh-chi-luu-hanh-thu-hoi-va-tieu-huy-my-pham-vi-pham-cong-ty-tnhh-my-pham-viet-huong-n5334.html</x:v>
      </x:c>
      <x:c r="S736" t="str">
        <x:v>Hà Nội</x:v>
      </x:c>
      <x:c r="T736" t="str">
        <x:v>01</x:v>
      </x:c>
    </x:row>
    <x:row r="737">
      <x:c r="A737" t="n">
        <x:v>736</x:v>
      </x:c>
      <x:c r="B737" s="330"/>
      <x:c r="C737" s="330" t="n">
        <x:v>46155</x:v>
      </x:c>
      <x:c r="D737" t="n">
        <x:v>2024</x:v>
      </x:c>
      <x:c r="E737"/>
      <x:c r="F737" t="str">
        <x:v>22409/24/CBMP-HN</x:v>
      </x:c>
      <x:c r="G737"/>
      <x:c r="H737" t="str">
        <x:v>Coolrevive Toner</x:v>
      </x:c>
      <x:c r="I737"/>
      <x:c r="J737" t="str">
        <x:v>Serum/Essence da</x:v>
      </x:c>
      <x:c r="K737"/>
      <x:c r="L737" t="str">
        <x:v>Công ty TNHH Sinh Dược Bio</x:v>
      </x:c>
      <x:c r="M737"/>
      <x:c r="N737" t="str">
        <x:v>Công ty TNHH mỹ phẩm Việt Hương</x:v>
      </x:c>
      <x:c r="O737" t="str">
        <x:v>Đình chỉ lưu hành, thu hồi và tiêu hủy – Công văn 1772/QLD-MP</x:v>
      </x:c>
      <x:c r="P737" t="str">
        <x:v>A++ – Cục Quản lý Dược; tổ chức chịu trách nhiệm explicit</x:v>
      </x:c>
      <x:c r="Q737" t="str">
        <x:v>Phụ lục 511 sản phẩm, STT 374, trang 13. Công ty Việt Hương là cơ sở sản xuất; cột tổ chức chịu trách nhiệm lấy nguyên văn từ phụ lục.</x:v>
      </x:c>
      <x:c r="R737" t="str">
        <x:v>https://dav.gov.vn/cong-van-so-1772qld-mp-ve-viec-dinh-chi-luu-hanh-thu-hoi-va-tieu-huy-my-pham-vi-pham-cong-ty-tnhh-my-pham-viet-huong-n5334.html</x:v>
      </x:c>
      <x:c r="S737" t="str">
        <x:v>Hà Nội</x:v>
      </x:c>
      <x:c r="T737" t="str">
        <x:v>01</x:v>
      </x:c>
    </x:row>
    <x:row r="738">
      <x:c r="A738" t="n">
        <x:v>737</x:v>
      </x:c>
      <x:c r="B738" s="330"/>
      <x:c r="C738" s="330" t="n">
        <x:v>46155</x:v>
      </x:c>
      <x:c r="D738" t="n">
        <x:v>2024</x:v>
      </x:c>
      <x:c r="E738"/>
      <x:c r="F738" t="str">
        <x:v>22410/24/CBMP-HN</x:v>
      </x:c>
      <x:c r="G738"/>
      <x:c r="H738" t="str">
        <x:v>Mildrelief Cleanser</x:v>
      </x:c>
      <x:c r="I738"/>
      <x:c r="J738" t="str">
        <x:v>Sữa rửa mặt</x:v>
      </x:c>
      <x:c r="K738"/>
      <x:c r="L738" t="str">
        <x:v>Công ty TNHH Sinh Dược Bio</x:v>
      </x:c>
      <x:c r="M738"/>
      <x:c r="N738" t="str">
        <x:v>Công ty TNHH mỹ phẩm Việt Hương</x:v>
      </x:c>
      <x:c r="O738" t="str">
        <x:v>Đình chỉ lưu hành, thu hồi và tiêu hủy – Công văn 1772/QLD-MP</x:v>
      </x:c>
      <x:c r="P738" t="str">
        <x:v>A++ – Cục Quản lý Dược; tổ chức chịu trách nhiệm explicit</x:v>
      </x:c>
      <x:c r="Q738" t="str">
        <x:v>Phụ lục 511 sản phẩm, STT 375, trang 13. Công ty Việt Hương là cơ sở sản xuất; cột tổ chức chịu trách nhiệm lấy nguyên văn từ phụ lục.</x:v>
      </x:c>
      <x:c r="R738" t="str">
        <x:v>https://dav.gov.vn/cong-van-so-1772qld-mp-ve-viec-dinh-chi-luu-hanh-thu-hoi-va-tieu-huy-my-pham-vi-pham-cong-ty-tnhh-my-pham-viet-huong-n5334.html</x:v>
      </x:c>
      <x:c r="S738" t="str">
        <x:v>Hà Nội</x:v>
      </x:c>
      <x:c r="T738" t="str">
        <x:v>01</x:v>
      </x:c>
    </x:row>
    <x:row r="739">
      <x:c r="A739" t="n">
        <x:v>738</x:v>
      </x:c>
      <x:c r="B739" s="330"/>
      <x:c r="C739" s="330" t="n">
        <x:v>46155</x:v>
      </x:c>
      <x:c r="D739" t="n">
        <x:v>2024</x:v>
      </x:c>
      <x:c r="E739"/>
      <x:c r="F739" t="str">
        <x:v>22411/24/CBMP-HN</x:v>
      </x:c>
      <x:c r="G739"/>
      <x:c r="H739" t="str">
        <x:v>Coffee Bath Salts</x:v>
      </x:c>
      <x:c r="I739"/>
      <x:c r="J739" t="str">
        <x:v>Khác</x:v>
      </x:c>
      <x:c r="K739"/>
      <x:c r="L739" t="str">
        <x:v>Công ty TNHH Sinh Dược Bio</x:v>
      </x:c>
      <x:c r="M739"/>
      <x:c r="N739" t="str">
        <x:v>Công ty TNHH mỹ phẩm Việt Hương</x:v>
      </x:c>
      <x:c r="O739" t="str">
        <x:v>Đình chỉ lưu hành, thu hồi và tiêu hủy – Công văn 1772/QLD-MP</x:v>
      </x:c>
      <x:c r="P739" t="str">
        <x:v>A++ – Cục Quản lý Dược; tổ chức chịu trách nhiệm explicit</x:v>
      </x:c>
      <x:c r="Q739" t="str">
        <x:v>Phụ lục 511 sản phẩm, STT 376, trang 13. Công ty Việt Hương là cơ sở sản xuất; cột tổ chức chịu trách nhiệm lấy nguyên văn từ phụ lục.</x:v>
      </x:c>
      <x:c r="R739" t="str">
        <x:v>https://dav.gov.vn/cong-van-so-1772qld-mp-ve-viec-dinh-chi-luu-hanh-thu-hoi-va-tieu-huy-my-pham-vi-pham-cong-ty-tnhh-my-pham-viet-huong-n5334.html</x:v>
      </x:c>
      <x:c r="S739" t="str">
        <x:v>Hà Nội</x:v>
      </x:c>
      <x:c r="T739" t="str">
        <x:v>01</x:v>
      </x:c>
    </x:row>
    <x:row r="740">
      <x:c r="A740" t="n">
        <x:v>739</x:v>
      </x:c>
      <x:c r="B740" s="330"/>
      <x:c r="C740" s="330" t="n">
        <x:v>46155</x:v>
      </x:c>
      <x:c r="D740" t="n">
        <x:v>2024</x:v>
      </x:c>
      <x:c r="E740"/>
      <x:c r="F740" t="str">
        <x:v>22716/24/CBMP-HN</x:v>
      </x:c>
      <x:c r="G740"/>
      <x:c r="H740" t="str">
        <x:v>UV Totalvive</x:v>
      </x:c>
      <x:c r="I740"/>
      <x:c r="J740" t="str">
        <x:v>Khác</x:v>
      </x:c>
      <x:c r="K740"/>
      <x:c r="L740" t="str">
        <x:v>Công ty TNHH Sinh Dược Bio</x:v>
      </x:c>
      <x:c r="M740"/>
      <x:c r="N740" t="str">
        <x:v>Công ty TNHH mỹ phẩm Việt Hương</x:v>
      </x:c>
      <x:c r="O740" t="str">
        <x:v>Đình chỉ lưu hành, thu hồi và tiêu hủy – Công văn 1772/QLD-MP</x:v>
      </x:c>
      <x:c r="P740" t="str">
        <x:v>A++ – Cục Quản lý Dược; tổ chức chịu trách nhiệm explicit</x:v>
      </x:c>
      <x:c r="Q740" t="str">
        <x:v>Phụ lục 511 sản phẩm, STT 377, trang 13. Công ty Việt Hương là cơ sở sản xuất; cột tổ chức chịu trách nhiệm lấy nguyên văn từ phụ lục.</x:v>
      </x:c>
      <x:c r="R740" t="str">
        <x:v>https://dav.gov.vn/cong-van-so-1772qld-mp-ve-viec-dinh-chi-luu-hanh-thu-hoi-va-tieu-huy-my-pham-vi-pham-cong-ty-tnhh-my-pham-viet-huong-n5334.html</x:v>
      </x:c>
      <x:c r="S740" t="str">
        <x:v>Hà Nội</x:v>
      </x:c>
      <x:c r="T740" t="str">
        <x:v>01</x:v>
      </x:c>
    </x:row>
    <x:row r="741">
      <x:c r="A741" t="n">
        <x:v>740</x:v>
      </x:c>
      <x:c r="B741" s="330"/>
      <x:c r="C741" s="330" t="n">
        <x:v>46155</x:v>
      </x:c>
      <x:c r="D741" t="n">
        <x:v>2024</x:v>
      </x:c>
      <x:c r="E741"/>
      <x:c r="F741" t="str">
        <x:v>22717/24/CBMP-HN</x:v>
      </x:c>
      <x:c r="G741"/>
      <x:c r="H741" t="str">
        <x:v>Infinity Spray Toner</x:v>
      </x:c>
      <x:c r="I741"/>
      <x:c r="J741" t="str">
        <x:v>Serum/Essence da</x:v>
      </x:c>
      <x:c r="K741"/>
      <x:c r="L741" t="str">
        <x:v>Công ty TNHH Sinh Dược Bio</x:v>
      </x:c>
      <x:c r="M741"/>
      <x:c r="N741" t="str">
        <x:v>Công ty TNHH mỹ phẩm Việt Hương</x:v>
      </x:c>
      <x:c r="O741" t="str">
        <x:v>Đình chỉ lưu hành, thu hồi và tiêu hủy – Công văn 1772/QLD-MP</x:v>
      </x:c>
      <x:c r="P741" t="str">
        <x:v>A++ – Cục Quản lý Dược; tổ chức chịu trách nhiệm explicit</x:v>
      </x:c>
      <x:c r="Q741" t="str">
        <x:v>Phụ lục 511 sản phẩm, STT 378, trang 13. Công ty Việt Hương là cơ sở sản xuất; cột tổ chức chịu trách nhiệm lấy nguyên văn từ phụ lục.</x:v>
      </x:c>
      <x:c r="R741" t="str">
        <x:v>https://dav.gov.vn/cong-van-so-1772qld-mp-ve-viec-dinh-chi-luu-hanh-thu-hoi-va-tieu-huy-my-pham-vi-pham-cong-ty-tnhh-my-pham-viet-huong-n5334.html</x:v>
      </x:c>
      <x:c r="S741" t="str">
        <x:v>Hà Nội</x:v>
      </x:c>
      <x:c r="T741" t="str">
        <x:v>01</x:v>
      </x:c>
    </x:row>
    <x:row r="742">
      <x:c r="A742" t="n">
        <x:v>741</x:v>
      </x:c>
      <x:c r="B742" s="330"/>
      <x:c r="C742" s="330" t="n">
        <x:v>46155</x:v>
      </x:c>
      <x:c r="D742" t="n">
        <x:v>2024</x:v>
      </x:c>
      <x:c r="E742"/>
      <x:c r="F742" t="str">
        <x:v>22718/24/CBMP-HN</x:v>
      </x:c>
      <x:c r="G742"/>
      <x:c r="H742" t="str">
        <x:v>Hydra Nourish Cleanser</x:v>
      </x:c>
      <x:c r="I742"/>
      <x:c r="J742" t="str">
        <x:v>Sữa rửa mặt</x:v>
      </x:c>
      <x:c r="K742"/>
      <x:c r="L742" t="str">
        <x:v>Công ty TNHH Sinh Dược Bio</x:v>
      </x:c>
      <x:c r="M742"/>
      <x:c r="N742" t="str">
        <x:v>Công ty TNHH mỹ phẩm Việt Hương</x:v>
      </x:c>
      <x:c r="O742" t="str">
        <x:v>Đình chỉ lưu hành, thu hồi và tiêu hủy – Công văn 1772/QLD-MP</x:v>
      </x:c>
      <x:c r="P742" t="str">
        <x:v>A++ – Cục Quản lý Dược; tổ chức chịu trách nhiệm explicit</x:v>
      </x:c>
      <x:c r="Q742" t="str">
        <x:v>Phụ lục 511 sản phẩm, STT 379, trang 13. Công ty Việt Hương là cơ sở sản xuất; cột tổ chức chịu trách nhiệm lấy nguyên văn từ phụ lục.</x:v>
      </x:c>
      <x:c r="R742" t="str">
        <x:v>https://dav.gov.vn/cong-van-so-1772qld-mp-ve-viec-dinh-chi-luu-hanh-thu-hoi-va-tieu-huy-my-pham-vi-pham-cong-ty-tnhh-my-pham-viet-huong-n5334.html</x:v>
      </x:c>
      <x:c r="S742" t="str">
        <x:v>Hà Nội</x:v>
      </x:c>
      <x:c r="T742" t="str">
        <x:v>01</x:v>
      </x:c>
    </x:row>
    <x:row r="743">
      <x:c r="A743" t="n">
        <x:v>742</x:v>
      </x:c>
      <x:c r="B743" s="330"/>
      <x:c r="C743" s="330" t="n">
        <x:v>46155</x:v>
      </x:c>
      <x:c r="D743" t="n">
        <x:v>2025</x:v>
      </x:c>
      <x:c r="E743"/>
      <x:c r="F743" t="str">
        <x:v>23666/25/CBMP-HN</x:v>
      </x:c>
      <x:c r="G743"/>
      <x:c r="H743" t="str">
        <x:v>Ever young serum</x:v>
      </x:c>
      <x:c r="I743"/>
      <x:c r="J743" t="str">
        <x:v>Serum/Essence da</x:v>
      </x:c>
      <x:c r="K743"/>
      <x:c r="L743" t="str">
        <x:v>Công ty TNHH Sinh Dược Bio</x:v>
      </x:c>
      <x:c r="M743"/>
      <x:c r="N743" t="str">
        <x:v>Công ty TNHH mỹ phẩm Việt Hương</x:v>
      </x:c>
      <x:c r="O743" t="str">
        <x:v>Đình chỉ lưu hành, thu hồi và tiêu hủy – Công văn 1772/QLD-MP</x:v>
      </x:c>
      <x:c r="P743" t="str">
        <x:v>A++ – Cục Quản lý Dược; tổ chức chịu trách nhiệm explicit</x:v>
      </x:c>
      <x:c r="Q743" t="str">
        <x:v>Phụ lục 511 sản phẩm, STT 380, trang 13. Công ty Việt Hương là cơ sở sản xuất; cột tổ chức chịu trách nhiệm lấy nguyên văn từ phụ lục.</x:v>
      </x:c>
      <x:c r="R743" t="str">
        <x:v>https://dav.gov.vn/cong-van-so-1772qld-mp-ve-viec-dinh-chi-luu-hanh-thu-hoi-va-tieu-huy-my-pham-vi-pham-cong-ty-tnhh-my-pham-viet-huong-n5334.html</x:v>
      </x:c>
      <x:c r="S743" t="str">
        <x:v>Hà Nội</x:v>
      </x:c>
      <x:c r="T743" t="str">
        <x:v>01</x:v>
      </x:c>
    </x:row>
    <x:row r="744">
      <x:c r="A744" t="n">
        <x:v>743</x:v>
      </x:c>
      <x:c r="B744" s="330"/>
      <x:c r="C744" s="330" t="n">
        <x:v>46155</x:v>
      </x:c>
      <x:c r="D744" t="n">
        <x:v>2025</x:v>
      </x:c>
      <x:c r="E744"/>
      <x:c r="F744" t="str">
        <x:v>23667/25/CBMP-HN</x:v>
      </x:c>
      <x:c r="G744"/>
      <x:c r="H744" t="str">
        <x:v>NMN cica repair serum</x:v>
      </x:c>
      <x:c r="I744"/>
      <x:c r="J744" t="str">
        <x:v>Serum/Essence da</x:v>
      </x:c>
      <x:c r="K744"/>
      <x:c r="L744" t="str">
        <x:v>Công ty TNHH Sinh Dược Bio</x:v>
      </x:c>
      <x:c r="M744"/>
      <x:c r="N744" t="str">
        <x:v>Công ty TNHH mỹ phẩm Việt Hương</x:v>
      </x:c>
      <x:c r="O744" t="str">
        <x:v>Đình chỉ lưu hành, thu hồi và tiêu hủy – Công văn 1772/QLD-MP</x:v>
      </x:c>
      <x:c r="P744" t="str">
        <x:v>A++ – Cục Quản lý Dược; tổ chức chịu trách nhiệm explicit</x:v>
      </x:c>
      <x:c r="Q744" t="str">
        <x:v>Phụ lục 511 sản phẩm, STT 381, trang 13. Công ty Việt Hương là cơ sở sản xuất; cột tổ chức chịu trách nhiệm lấy nguyên văn từ phụ lục.</x:v>
      </x:c>
      <x:c r="R744" t="str">
        <x:v>https://dav.gov.vn/cong-van-so-1772qld-mp-ve-viec-dinh-chi-luu-hanh-thu-hoi-va-tieu-huy-my-pham-vi-pham-cong-ty-tnhh-my-pham-viet-huong-n5334.html</x:v>
      </x:c>
      <x:c r="S744" t="str">
        <x:v>Hà Nội</x:v>
      </x:c>
      <x:c r="T744" t="str">
        <x:v>01</x:v>
      </x:c>
    </x:row>
    <x:row r="745">
      <x:c r="A745" t="n">
        <x:v>744</x:v>
      </x:c>
      <x:c r="B745" s="330"/>
      <x:c r="C745" s="330" t="n">
        <x:v>46155</x:v>
      </x:c>
      <x:c r="D745" t="n">
        <x:v>2025</x:v>
      </x:c>
      <x:c r="E745"/>
      <x:c r="F745" t="str">
        <x:v>23668/25/CBMP-HN</x:v>
      </x:c>
      <x:c r="G745"/>
      <x:c r="H745" t="str">
        <x:v>Infinity spray toner</x:v>
      </x:c>
      <x:c r="I745"/>
      <x:c r="J745" t="str">
        <x:v>Serum/Essence da</x:v>
      </x:c>
      <x:c r="K745"/>
      <x:c r="L745" t="str">
        <x:v>Công ty TNHH Sinh Dược Bio</x:v>
      </x:c>
      <x:c r="M745"/>
      <x:c r="N745" t="str">
        <x:v>Công ty TNHH mỹ phẩm Việt Hương</x:v>
      </x:c>
      <x:c r="O745" t="str">
        <x:v>Đình chỉ lưu hành, thu hồi và tiêu hủy – Công văn 1772/QLD-MP</x:v>
      </x:c>
      <x:c r="P745" t="str">
        <x:v>A++ – Cục Quản lý Dược; tổ chức chịu trách nhiệm explicit</x:v>
      </x:c>
      <x:c r="Q745" t="str">
        <x:v>Phụ lục 511 sản phẩm, STT 382, trang 13. Công ty Việt Hương là cơ sở sản xuất; cột tổ chức chịu trách nhiệm lấy nguyên văn từ phụ lục.</x:v>
      </x:c>
      <x:c r="R745" t="str">
        <x:v>https://dav.gov.vn/cong-van-so-1772qld-mp-ve-viec-dinh-chi-luu-hanh-thu-hoi-va-tieu-huy-my-pham-vi-pham-cong-ty-tnhh-my-pham-viet-huong-n5334.html</x:v>
      </x:c>
      <x:c r="S745" t="str">
        <x:v>Hà Nội</x:v>
      </x:c>
      <x:c r="T745" t="str">
        <x:v>01</x:v>
      </x:c>
    </x:row>
    <x:row r="746">
      <x:c r="A746" t="n">
        <x:v>745</x:v>
      </x:c>
      <x:c r="B746" s="330"/>
      <x:c r="C746" s="330" t="n">
        <x:v>46155</x:v>
      </x:c>
      <x:c r="D746" t="n">
        <x:v>2025</x:v>
      </x:c>
      <x:c r="E746"/>
      <x:c r="F746" t="str">
        <x:v>24078/25/CBMP-HN</x:v>
      </x:c>
      <x:c r="G746"/>
      <x:c r="H746" t="str">
        <x:v>Coolrevine toner</x:v>
      </x:c>
      <x:c r="I746"/>
      <x:c r="J746" t="str">
        <x:v>Serum/Essence da</x:v>
      </x:c>
      <x:c r="K746"/>
      <x:c r="L746" t="str">
        <x:v>Công ty TNHH Sinh Dược Bio</x:v>
      </x:c>
      <x:c r="M746"/>
      <x:c r="N746" t="str">
        <x:v>Công ty TNHH mỹ phẩm Việt Hương</x:v>
      </x:c>
      <x:c r="O746" t="str">
        <x:v>Đình chỉ lưu hành, thu hồi và tiêu hủy – Công văn 1772/QLD-MP</x:v>
      </x:c>
      <x:c r="P746" t="str">
        <x:v>A++ – Cục Quản lý Dược; tổ chức chịu trách nhiệm explicit</x:v>
      </x:c>
      <x:c r="Q746" t="str">
        <x:v>Phụ lục 511 sản phẩm, STT 383, trang 13. Công ty Việt Hương là cơ sở sản xuất; cột tổ chức chịu trách nhiệm lấy nguyên văn từ phụ lục.</x:v>
      </x:c>
      <x:c r="R746" t="str">
        <x:v>https://dav.gov.vn/cong-van-so-1772qld-mp-ve-viec-dinh-chi-luu-hanh-thu-hoi-va-tieu-huy-my-pham-vi-pham-cong-ty-tnhh-my-pham-viet-huong-n5334.html</x:v>
      </x:c>
      <x:c r="S746" t="str">
        <x:v>Hà Nội</x:v>
      </x:c>
      <x:c r="T746" t="str">
        <x:v>01</x:v>
      </x:c>
    </x:row>
    <x:row r="747">
      <x:c r="A747" t="n">
        <x:v>746</x:v>
      </x:c>
      <x:c r="B747" s="330"/>
      <x:c r="C747" s="330" t="n">
        <x:v>46155</x:v>
      </x:c>
      <x:c r="D747" t="n">
        <x:v>2025</x:v>
      </x:c>
      <x:c r="E747"/>
      <x:c r="F747" t="str">
        <x:v>24079/25/CBMP-HN</x:v>
      </x:c>
      <x:c r="G747"/>
      <x:c r="H747" t="str">
        <x:v>The centella serum</x:v>
      </x:c>
      <x:c r="I747"/>
      <x:c r="J747" t="str">
        <x:v>Serum/Essence da</x:v>
      </x:c>
      <x:c r="K747"/>
      <x:c r="L747" t="str">
        <x:v>Công ty TNHH Sinh Dược Bio</x:v>
      </x:c>
      <x:c r="M747"/>
      <x:c r="N747" t="str">
        <x:v>Công ty TNHH mỹ phẩm Việt Hương</x:v>
      </x:c>
      <x:c r="O747" t="str">
        <x:v>Đình chỉ lưu hành, thu hồi và tiêu hủy – Công văn 1772/QLD-MP</x:v>
      </x:c>
      <x:c r="P747" t="str">
        <x:v>A++ – Cục Quản lý Dược; tổ chức chịu trách nhiệm explicit</x:v>
      </x:c>
      <x:c r="Q747" t="str">
        <x:v>Phụ lục 511 sản phẩm, STT 384, trang 13. Công ty Việt Hương là cơ sở sản xuất; cột tổ chức chịu trách nhiệm lấy nguyên văn từ phụ lục.</x:v>
      </x:c>
      <x:c r="R747" t="str">
        <x:v>https://dav.gov.vn/cong-van-so-1772qld-mp-ve-viec-dinh-chi-luu-hanh-thu-hoi-va-tieu-huy-my-pham-vi-pham-cong-ty-tnhh-my-pham-viet-huong-n5334.html</x:v>
      </x:c>
      <x:c r="S747" t="str">
        <x:v>Hà Nội</x:v>
      </x:c>
      <x:c r="T747" t="str">
        <x:v>01</x:v>
      </x:c>
    </x:row>
    <x:row r="748">
      <x:c r="A748" t="n">
        <x:v>747</x:v>
      </x:c>
      <x:c r="B748" s="330"/>
      <x:c r="C748" s="330" t="n">
        <x:v>46155</x:v>
      </x:c>
      <x:c r="D748" t="n">
        <x:v>2025</x:v>
      </x:c>
      <x:c r="E748"/>
      <x:c r="F748" t="str">
        <x:v>24080/25/CBMP-HN</x:v>
      </x:c>
      <x:c r="G748"/>
      <x:c r="H748" t="str">
        <x:v>The Centella toner</x:v>
      </x:c>
      <x:c r="I748"/>
      <x:c r="J748" t="str">
        <x:v>Serum/Essence da</x:v>
      </x:c>
      <x:c r="K748"/>
      <x:c r="L748" t="str">
        <x:v>Công ty TNHH Sinh Dược Bio</x:v>
      </x:c>
      <x:c r="M748"/>
      <x:c r="N748" t="str">
        <x:v>Công ty TNHH mỹ phẩm Việt Hương</x:v>
      </x:c>
      <x:c r="O748" t="str">
        <x:v>Đình chỉ lưu hành, thu hồi và tiêu hủy – Công văn 1772/QLD-MP</x:v>
      </x:c>
      <x:c r="P748" t="str">
        <x:v>A++ – Cục Quản lý Dược; tổ chức chịu trách nhiệm explicit</x:v>
      </x:c>
      <x:c r="Q748" t="str">
        <x:v>Phụ lục 511 sản phẩm, STT 385, trang 13. Công ty Việt Hương là cơ sở sản xuất; cột tổ chức chịu trách nhiệm lấy nguyên văn từ phụ lục.</x:v>
      </x:c>
      <x:c r="R748" t="str">
        <x:v>https://dav.gov.vn/cong-van-so-1772qld-mp-ve-viec-dinh-chi-luu-hanh-thu-hoi-va-tieu-huy-my-pham-vi-pham-cong-ty-tnhh-my-pham-viet-huong-n5334.html</x:v>
      </x:c>
      <x:c r="S748" t="str">
        <x:v>Hà Nội</x:v>
      </x:c>
      <x:c r="T748" t="str">
        <x:v>01</x:v>
      </x:c>
    </x:row>
    <x:row r="749">
      <x:c r="A749" t="n">
        <x:v>748</x:v>
      </x:c>
      <x:c r="B749" s="330"/>
      <x:c r="C749" s="330" t="n">
        <x:v>46155</x:v>
      </x:c>
      <x:c r="D749" t="n">
        <x:v>2025</x:v>
      </x:c>
      <x:c r="E749"/>
      <x:c r="F749" t="str">
        <x:v>24480/25/CBMP-HN</x:v>
      </x:c>
      <x:c r="G749"/>
      <x:c r="H749" t="str">
        <x:v>Brightening cream</x:v>
      </x:c>
      <x:c r="I749"/>
      <x:c r="J749" t="str">
        <x:v>Kem dưỡng da</x:v>
      </x:c>
      <x:c r="K749"/>
      <x:c r="L749" t="str">
        <x:v>Công ty TNHH Sinh Dược Bio</x:v>
      </x:c>
      <x:c r="M749"/>
      <x:c r="N749" t="str">
        <x:v>Công ty TNHH mỹ phẩm Việt Hương</x:v>
      </x:c>
      <x:c r="O749" t="str">
        <x:v>Đình chỉ lưu hành, thu hồi và tiêu hủy – Công văn 1772/QLD-MP</x:v>
      </x:c>
      <x:c r="P749" t="str">
        <x:v>A++ – Cục Quản lý Dược; tổ chức chịu trách nhiệm explicit</x:v>
      </x:c>
      <x:c r="Q749" t="str">
        <x:v>Phụ lục 511 sản phẩm, STT 386, trang 13. Công ty Việt Hương là cơ sở sản xuất; cột tổ chức chịu trách nhiệm lấy nguyên văn từ phụ lục.</x:v>
      </x:c>
      <x:c r="R749" t="str">
        <x:v>https://dav.gov.vn/cong-van-so-1772qld-mp-ve-viec-dinh-chi-luu-hanh-thu-hoi-va-tieu-huy-my-pham-vi-pham-cong-ty-tnhh-my-pham-viet-huong-n5334.html</x:v>
      </x:c>
      <x:c r="S749" t="str">
        <x:v>Hà Nội</x:v>
      </x:c>
      <x:c r="T749" t="str">
        <x:v>01</x:v>
      </x:c>
    </x:row>
    <x:row r="750">
      <x:c r="A750" t="n">
        <x:v>749</x:v>
      </x:c>
      <x:c r="B750" s="330"/>
      <x:c r="C750" s="330" t="n">
        <x:v>46155</x:v>
      </x:c>
      <x:c r="D750" t="n">
        <x:v>2025</x:v>
      </x:c>
      <x:c r="E750"/>
      <x:c r="F750" t="str">
        <x:v>25053/25/CBMP-HN</x:v>
      </x:c>
      <x:c r="G750"/>
      <x:c r="H750" t="str">
        <x:v>Spot white essence GLB</x:v>
      </x:c>
      <x:c r="I750"/>
      <x:c r="J750" t="str">
        <x:v>Serum/Essence da</x:v>
      </x:c>
      <x:c r="K750"/>
      <x:c r="L750" t="str">
        <x:v>Công ty TNHH Sinh Dược Bio</x:v>
      </x:c>
      <x:c r="M750"/>
      <x:c r="N750" t="str">
        <x:v>Công ty TNHH mỹ phẩm Việt Hương</x:v>
      </x:c>
      <x:c r="O750" t="str">
        <x:v>Đình chỉ lưu hành, thu hồi và tiêu hủy – Công văn 1772/QLD-MP</x:v>
      </x:c>
      <x:c r="P750" t="str">
        <x:v>A++ – Cục Quản lý Dược; tổ chức chịu trách nhiệm explicit</x:v>
      </x:c>
      <x:c r="Q750" t="str">
        <x:v>Phụ lục 511 sản phẩm, STT 387, trang 13. Công ty Việt Hương là cơ sở sản xuất; cột tổ chức chịu trách nhiệm lấy nguyên văn từ phụ lục.</x:v>
      </x:c>
      <x:c r="R750" t="str">
        <x:v>https://dav.gov.vn/cong-van-so-1772qld-mp-ve-viec-dinh-chi-luu-hanh-thu-hoi-va-tieu-huy-my-pham-vi-pham-cong-ty-tnhh-my-pham-viet-huong-n5334.html</x:v>
      </x:c>
      <x:c r="S750" t="str">
        <x:v>Hà Nội</x:v>
      </x:c>
      <x:c r="T750" t="str">
        <x:v>01</x:v>
      </x:c>
    </x:row>
    <x:row r="751">
      <x:c r="A751" t="n">
        <x:v>750</x:v>
      </x:c>
      <x:c r="B751" s="330"/>
      <x:c r="C751" s="330" t="n">
        <x:v>46155</x:v>
      </x:c>
      <x:c r="D751" t="n">
        <x:v>2025</x:v>
      </x:c>
      <x:c r="E751"/>
      <x:c r="F751" t="str">
        <x:v>25054/25/CBMP-HN</x:v>
      </x:c>
      <x:c r="G751"/>
      <x:c r="H751" t="str">
        <x:v>Rose whisper</x:v>
      </x:c>
      <x:c r="I751"/>
      <x:c r="J751" t="str">
        <x:v>Khác</x:v>
      </x:c>
      <x:c r="K751"/>
      <x:c r="L751" t="str">
        <x:v>Công ty TNHH Sinh Dược Bio</x:v>
      </x:c>
      <x:c r="M751"/>
      <x:c r="N751" t="str">
        <x:v>Công ty TNHH mỹ phẩm Việt Hương</x:v>
      </x:c>
      <x:c r="O751" t="str">
        <x:v>Đình chỉ lưu hành, thu hồi và tiêu hủy – Công văn 1772/QLD-MP</x:v>
      </x:c>
      <x:c r="P751" t="str">
        <x:v>A++ – Cục Quản lý Dược; tổ chức chịu trách nhiệm explicit</x:v>
      </x:c>
      <x:c r="Q751" t="str">
        <x:v>Phụ lục 511 sản phẩm, STT 388, trang 13. Công ty Việt Hương là cơ sở sản xuất; cột tổ chức chịu trách nhiệm lấy nguyên văn từ phụ lục.</x:v>
      </x:c>
      <x:c r="R751" t="str">
        <x:v>https://dav.gov.vn/cong-van-so-1772qld-mp-ve-viec-dinh-chi-luu-hanh-thu-hoi-va-tieu-huy-my-pham-vi-pham-cong-ty-tnhh-my-pham-viet-huong-n5334.html</x:v>
      </x:c>
      <x:c r="S751" t="str">
        <x:v>Hà Nội</x:v>
      </x:c>
      <x:c r="T751" t="str">
        <x:v>01</x:v>
      </x:c>
    </x:row>
    <x:row r="752">
      <x:c r="A752" t="n">
        <x:v>751</x:v>
      </x:c>
      <x:c r="B752" s="330"/>
      <x:c r="C752" s="330" t="n">
        <x:v>46155</x:v>
      </x:c>
      <x:c r="D752" t="n">
        <x:v>2025</x:v>
      </x:c>
      <x:c r="E752"/>
      <x:c r="F752" t="str">
        <x:v>25055/25/CBMP-HN</x:v>
      </x:c>
      <x:c r="G752"/>
      <x:c r="H752" t="str">
        <x:v>Aura chic</x:v>
      </x:c>
      <x:c r="I752"/>
      <x:c r="J752" t="str">
        <x:v>Khác</x:v>
      </x:c>
      <x:c r="K752"/>
      <x:c r="L752" t="str">
        <x:v>Công ty TNHH Sinh Dược Bio</x:v>
      </x:c>
      <x:c r="M752"/>
      <x:c r="N752" t="str">
        <x:v>Công ty TNHH mỹ phẩm Việt Hương</x:v>
      </x:c>
      <x:c r="O752" t="str">
        <x:v>Đình chỉ lưu hành, thu hồi và tiêu hủy – Công văn 1772/QLD-MP</x:v>
      </x:c>
      <x:c r="P752" t="str">
        <x:v>A++ – Cục Quản lý Dược; tổ chức chịu trách nhiệm explicit</x:v>
      </x:c>
      <x:c r="Q752" t="str">
        <x:v>Phụ lục 511 sản phẩm, STT 389, trang 13. Công ty Việt Hương là cơ sở sản xuất; cột tổ chức chịu trách nhiệm lấy nguyên văn từ phụ lục.</x:v>
      </x:c>
      <x:c r="R752" t="str">
        <x:v>https://dav.gov.vn/cong-van-so-1772qld-mp-ve-viec-dinh-chi-luu-hanh-thu-hoi-va-tieu-huy-my-pham-vi-pham-cong-ty-tnhh-my-pham-viet-huong-n5334.html</x:v>
      </x:c>
      <x:c r="S752" t="str">
        <x:v>Hà Nội</x:v>
      </x:c>
      <x:c r="T752" t="str">
        <x:v>01</x:v>
      </x:c>
    </x:row>
    <x:row r="753">
      <x:c r="A753" t="n">
        <x:v>752</x:v>
      </x:c>
      <x:c r="B753" s="330"/>
      <x:c r="C753" s="330" t="n">
        <x:v>46155</x:v>
      </x:c>
      <x:c r="D753" t="n">
        <x:v>2025</x:v>
      </x:c>
      <x:c r="E753"/>
      <x:c r="F753" t="str">
        <x:v>25056/25/CBMP-HN</x:v>
      </x:c>
      <x:c r="G753"/>
      <x:c r="H753" t="str">
        <x:v>Daring Siren</x:v>
      </x:c>
      <x:c r="I753"/>
      <x:c r="J753" t="str">
        <x:v>Khác</x:v>
      </x:c>
      <x:c r="K753"/>
      <x:c r="L753" t="str">
        <x:v>Công ty TNHH Sinh Dược Bio</x:v>
      </x:c>
      <x:c r="M753"/>
      <x:c r="N753" t="str">
        <x:v>Công ty TNHH mỹ phẩm Việt Hương</x:v>
      </x:c>
      <x:c r="O753" t="str">
        <x:v>Đình chỉ lưu hành, thu hồi và tiêu hủy – Công văn 1772/QLD-MP</x:v>
      </x:c>
      <x:c r="P753" t="str">
        <x:v>A++ – Cục Quản lý Dược; tổ chức chịu trách nhiệm explicit</x:v>
      </x:c>
      <x:c r="Q753" t="str">
        <x:v>Phụ lục 511 sản phẩm, STT 390, trang 13. Công ty Việt Hương là cơ sở sản xuất; cột tổ chức chịu trách nhiệm lấy nguyên văn từ phụ lục.</x:v>
      </x:c>
      <x:c r="R753" t="str">
        <x:v>https://dav.gov.vn/cong-van-so-1772qld-mp-ve-viec-dinh-chi-luu-hanh-thu-hoi-va-tieu-huy-my-pham-vi-pham-cong-ty-tnhh-my-pham-viet-huong-n5334.html</x:v>
      </x:c>
      <x:c r="S753" t="str">
        <x:v>Hà Nội</x:v>
      </x:c>
      <x:c r="T753" t="str">
        <x:v>01</x:v>
      </x:c>
    </x:row>
    <x:row r="754">
      <x:c r="A754" t="n">
        <x:v>753</x:v>
      </x:c>
      <x:c r="B754" s="330"/>
      <x:c r="C754" s="330" t="n">
        <x:v>46155</x:v>
      </x:c>
      <x:c r="D754" t="n">
        <x:v>2025</x:v>
      </x:c>
      <x:c r="E754"/>
      <x:c r="F754" t="str">
        <x:v>25057/25/CBMP-HN</x:v>
      </x:c>
      <x:c r="G754"/>
      <x:c r="H754" t="str">
        <x:v>Refreshacne toner GLB</x:v>
      </x:c>
      <x:c r="I754"/>
      <x:c r="J754" t="str">
        <x:v>Serum/Essence da</x:v>
      </x:c>
      <x:c r="K754"/>
      <x:c r="L754" t="str">
        <x:v>Công ty TNHH Sinh Dược Bio</x:v>
      </x:c>
      <x:c r="M754"/>
      <x:c r="N754" t="str">
        <x:v>Công ty TNHH mỹ phẩm Việt Hương</x:v>
      </x:c>
      <x:c r="O754" t="str">
        <x:v>Đình chỉ lưu hành, thu hồi và tiêu hủy – Công văn 1772/QLD-MP</x:v>
      </x:c>
      <x:c r="P754" t="str">
        <x:v>A++ – Cục Quản lý Dược; tổ chức chịu trách nhiệm explicit</x:v>
      </x:c>
      <x:c r="Q754" t="str">
        <x:v>Phụ lục 511 sản phẩm, STT 391, trang 13. Công ty Việt Hương là cơ sở sản xuất; cột tổ chức chịu trách nhiệm lấy nguyên văn từ phụ lục.</x:v>
      </x:c>
      <x:c r="R754" t="str">
        <x:v>https://dav.gov.vn/cong-van-so-1772qld-mp-ve-viec-dinh-chi-luu-hanh-thu-hoi-va-tieu-huy-my-pham-vi-pham-cong-ty-tnhh-my-pham-viet-huong-n5334.html</x:v>
      </x:c>
      <x:c r="S754" t="str">
        <x:v>Hà Nội</x:v>
      </x:c>
      <x:c r="T754" t="str">
        <x:v>01</x:v>
      </x:c>
    </x:row>
    <x:row r="755">
      <x:c r="A755" t="n">
        <x:v>754</x:v>
      </x:c>
      <x:c r="B755" s="330"/>
      <x:c r="C755" s="330" t="n">
        <x:v>46155</x:v>
      </x:c>
      <x:c r="D755" t="n">
        <x:v>2025</x:v>
      </x:c>
      <x:c r="E755"/>
      <x:c r="F755" t="str">
        <x:v>25058/25/CBMP-HN</x:v>
      </x:c>
      <x:c r="G755"/>
      <x:c r="H755" t="str">
        <x:v>Mildrelief cleanser GLB</x:v>
      </x:c>
      <x:c r="I755"/>
      <x:c r="J755" t="str">
        <x:v>Sữa rửa mặt</x:v>
      </x:c>
      <x:c r="K755"/>
      <x:c r="L755" t="str">
        <x:v>Công ty TNHH Sinh Dược Bio</x:v>
      </x:c>
      <x:c r="M755"/>
      <x:c r="N755" t="str">
        <x:v>Công ty TNHH mỹ phẩm Việt Hương</x:v>
      </x:c>
      <x:c r="O755" t="str">
        <x:v>Đình chỉ lưu hành, thu hồi và tiêu hủy – Công văn 1772/QLD-MP</x:v>
      </x:c>
      <x:c r="P755" t="str">
        <x:v>A++ – Cục Quản lý Dược; tổ chức chịu trách nhiệm explicit</x:v>
      </x:c>
      <x:c r="Q755" t="str">
        <x:v>Phụ lục 511 sản phẩm, STT 392, trang 13. Công ty Việt Hương là cơ sở sản xuất; cột tổ chức chịu trách nhiệm lấy nguyên văn từ phụ lục.</x:v>
      </x:c>
      <x:c r="R755" t="str">
        <x:v>https://dav.gov.vn/cong-van-so-1772qld-mp-ve-viec-dinh-chi-luu-hanh-thu-hoi-va-tieu-huy-my-pham-vi-pham-cong-ty-tnhh-my-pham-viet-huong-n5334.html</x:v>
      </x:c>
      <x:c r="S755" t="str">
        <x:v>Hà Nội</x:v>
      </x:c>
      <x:c r="T755" t="str">
        <x:v>01</x:v>
      </x:c>
    </x:row>
    <x:row r="756">
      <x:c r="A756" t="n">
        <x:v>755</x:v>
      </x:c>
      <x:c r="B756" s="330"/>
      <x:c r="C756" s="330" t="n">
        <x:v>46155</x:v>
      </x:c>
      <x:c r="D756" t="n">
        <x:v>2025</x:v>
      </x:c>
      <x:c r="E756"/>
      <x:c r="F756" t="str">
        <x:v>25059/25/CBMP-HN</x:v>
      </x:c>
      <x:c r="G756"/>
      <x:c r="H756" t="str">
        <x:v>Triki plus GLB</x:v>
      </x:c>
      <x:c r="I756"/>
      <x:c r="J756" t="str">
        <x:v>Khác</x:v>
      </x:c>
      <x:c r="K756"/>
      <x:c r="L756" t="str">
        <x:v>Công ty TNHH Sinh Dược Bio</x:v>
      </x:c>
      <x:c r="M756"/>
      <x:c r="N756" t="str">
        <x:v>Công ty TNHH mỹ phẩm Việt Hương</x:v>
      </x:c>
      <x:c r="O756" t="str">
        <x:v>Đình chỉ lưu hành, thu hồi và tiêu hủy – Công văn 1772/QLD-MP</x:v>
      </x:c>
      <x:c r="P756" t="str">
        <x:v>A++ – Cục Quản lý Dược; tổ chức chịu trách nhiệm explicit</x:v>
      </x:c>
      <x:c r="Q756" t="str">
        <x:v>Phụ lục 511 sản phẩm, STT 393, trang 13. Công ty Việt Hương là cơ sở sản xuất; cột tổ chức chịu trách nhiệm lấy nguyên văn từ phụ lục.</x:v>
      </x:c>
      <x:c r="R756" t="str">
        <x:v>https://dav.gov.vn/cong-van-so-1772qld-mp-ve-viec-dinh-chi-luu-hanh-thu-hoi-va-tieu-huy-my-pham-vi-pham-cong-ty-tnhh-my-pham-viet-huong-n5334.html</x:v>
      </x:c>
      <x:c r="S756" t="str">
        <x:v>Hà Nội</x:v>
      </x:c>
      <x:c r="T756" t="str">
        <x:v>01</x:v>
      </x:c>
    </x:row>
    <x:row r="757">
      <x:c r="A757" t="n">
        <x:v>756</x:v>
      </x:c>
      <x:c r="B757" s="330"/>
      <x:c r="C757" s="330" t="n">
        <x:v>46155</x:v>
      </x:c>
      <x:c r="D757" t="n">
        <x:v>2025</x:v>
      </x:c>
      <x:c r="E757"/>
      <x:c r="F757" t="str">
        <x:v>25060/25/CBMP-HN</x:v>
      </x:c>
      <x:c r="G757"/>
      <x:c r="H757" t="str">
        <x:v>Infinity spray toner GLB</x:v>
      </x:c>
      <x:c r="I757"/>
      <x:c r="J757" t="str">
        <x:v>Serum/Essence da</x:v>
      </x:c>
      <x:c r="K757"/>
      <x:c r="L757" t="str">
        <x:v>Công ty TNHH Sinh Dược Bio</x:v>
      </x:c>
      <x:c r="M757"/>
      <x:c r="N757" t="str">
        <x:v>Công ty TNHH mỹ phẩm Việt Hương</x:v>
      </x:c>
      <x:c r="O757" t="str">
        <x:v>Đình chỉ lưu hành, thu hồi và tiêu hủy – Công văn 1772/QLD-MP</x:v>
      </x:c>
      <x:c r="P757" t="str">
        <x:v>A++ – Cục Quản lý Dược; tổ chức chịu trách nhiệm explicit</x:v>
      </x:c>
      <x:c r="Q757" t="str">
        <x:v>Phụ lục 511 sản phẩm, STT 394, trang 13. Công ty Việt Hương là cơ sở sản xuất; cột tổ chức chịu trách nhiệm lấy nguyên văn từ phụ lục.</x:v>
      </x:c>
      <x:c r="R757" t="str">
        <x:v>https://dav.gov.vn/cong-van-so-1772qld-mp-ve-viec-dinh-chi-luu-hanh-thu-hoi-va-tieu-huy-my-pham-vi-pham-cong-ty-tnhh-my-pham-viet-huong-n5334.html</x:v>
      </x:c>
      <x:c r="S757" t="str">
        <x:v>Hà Nội</x:v>
      </x:c>
      <x:c r="T757" t="str">
        <x:v>01</x:v>
      </x:c>
    </x:row>
    <x:row r="758">
      <x:c r="A758" t="n">
        <x:v>757</x:v>
      </x:c>
      <x:c r="B758" s="330"/>
      <x:c r="C758" s="330" t="n">
        <x:v>46155</x:v>
      </x:c>
      <x:c r="D758" t="n">
        <x:v>2025</x:v>
      </x:c>
      <x:c r="E758"/>
      <x:c r="F758" t="str">
        <x:v>25061/25/CBMP-HN</x:v>
      </x:c>
      <x:c r="G758"/>
      <x:c r="H758" t="str">
        <x:v>Cicamax refine serum GLB</x:v>
      </x:c>
      <x:c r="I758"/>
      <x:c r="J758" t="str">
        <x:v>Serum/Essence da</x:v>
      </x:c>
      <x:c r="K758"/>
      <x:c r="L758" t="str">
        <x:v>Công ty TNHH Sinh Dược Bio</x:v>
      </x:c>
      <x:c r="M758"/>
      <x:c r="N758" t="str">
        <x:v>Công ty TNHH mỹ phẩm Việt Hương</x:v>
      </x:c>
      <x:c r="O758" t="str">
        <x:v>Đình chỉ lưu hành, thu hồi và tiêu hủy – Công văn 1772/QLD-MP</x:v>
      </x:c>
      <x:c r="P758" t="str">
        <x:v>A++ – Cục Quản lý Dược; tổ chức chịu trách nhiệm explicit</x:v>
      </x:c>
      <x:c r="Q758" t="str">
        <x:v>Phụ lục 511 sản phẩm, STT 395, trang 13. Công ty Việt Hương là cơ sở sản xuất; cột tổ chức chịu trách nhiệm lấy nguyên văn từ phụ lục.</x:v>
      </x:c>
      <x:c r="R758" t="str">
        <x:v>https://dav.gov.vn/cong-van-so-1772qld-mp-ve-viec-dinh-chi-luu-hanh-thu-hoi-va-tieu-huy-my-pham-vi-pham-cong-ty-tnhh-my-pham-viet-huong-n5334.html</x:v>
      </x:c>
      <x:c r="S758" t="str">
        <x:v>Hà Nội</x:v>
      </x:c>
      <x:c r="T758" t="str">
        <x:v>01</x:v>
      </x:c>
    </x:row>
    <x:row r="759">
      <x:c r="A759" t="n">
        <x:v>758</x:v>
      </x:c>
      <x:c r="B759" s="330"/>
      <x:c r="C759" s="330" t="n">
        <x:v>46155</x:v>
      </x:c>
      <x:c r="D759" t="n">
        <x:v>2025</x:v>
      </x:c>
      <x:c r="E759"/>
      <x:c r="F759" t="str">
        <x:v>25062/25/CBMP-HN</x:v>
      </x:c>
      <x:c r="G759"/>
      <x:c r="H759" t="str">
        <x:v>Deepclean oil cleanser GLB</x:v>
      </x:c>
      <x:c r="I759"/>
      <x:c r="J759" t="str">
        <x:v>Sữa rửa mặt</x:v>
      </x:c>
      <x:c r="K759"/>
      <x:c r="L759" t="str">
        <x:v>Công ty TNHH Sinh Dược Bio</x:v>
      </x:c>
      <x:c r="M759"/>
      <x:c r="N759" t="str">
        <x:v>Công ty TNHH mỹ phẩm Việt Hương</x:v>
      </x:c>
      <x:c r="O759" t="str">
        <x:v>Đình chỉ lưu hành, thu hồi và tiêu hủy – Công văn 1772/QLD-MP</x:v>
      </x:c>
      <x:c r="P759" t="str">
        <x:v>A++ – Cục Quản lý Dược; tổ chức chịu trách nhiệm explicit</x:v>
      </x:c>
      <x:c r="Q759" t="str">
        <x:v>Phụ lục 511 sản phẩm, STT 396, trang 13. Công ty Việt Hương là cơ sở sản xuất; cột tổ chức chịu trách nhiệm lấy nguyên văn từ phụ lục.</x:v>
      </x:c>
      <x:c r="R759" t="str">
        <x:v>https://dav.gov.vn/cong-van-so-1772qld-mp-ve-viec-dinh-chi-luu-hanh-thu-hoi-va-tieu-huy-my-pham-vi-pham-cong-ty-tnhh-my-pham-viet-huong-n5334.html</x:v>
      </x:c>
      <x:c r="S759" t="str">
        <x:v>Hà Nội</x:v>
      </x:c>
      <x:c r="T759" t="str">
        <x:v>01</x:v>
      </x:c>
    </x:row>
    <x:row r="760">
      <x:c r="A760" t="n">
        <x:v>759</x:v>
      </x:c>
      <x:c r="B760" s="330"/>
      <x:c r="C760" s="330" t="n">
        <x:v>46155</x:v>
      </x:c>
      <x:c r="D760" t="n">
        <x:v>2025</x:v>
      </x:c>
      <x:c r="E760"/>
      <x:c r="F760" t="str">
        <x:v>25077/25/CBMP-HN</x:v>
      </x:c>
      <x:c r="G760"/>
      <x:c r="H760" t="str">
        <x:v>Mildrelief makeup remover GLB</x:v>
      </x:c>
      <x:c r="I760"/>
      <x:c r="J760" t="str">
        <x:v>Tẩy trang</x:v>
      </x:c>
      <x:c r="K760"/>
      <x:c r="L760" t="str">
        <x:v>Công ty TNHH Sinh Dược Bio</x:v>
      </x:c>
      <x:c r="M760"/>
      <x:c r="N760" t="str">
        <x:v>Công ty TNHH mỹ phẩm Việt Hương</x:v>
      </x:c>
      <x:c r="O760" t="str">
        <x:v>Đình chỉ lưu hành, thu hồi và tiêu hủy – Công văn 1772/QLD-MP</x:v>
      </x:c>
      <x:c r="P760" t="str">
        <x:v>A++ – Cục Quản lý Dược; tổ chức chịu trách nhiệm explicit</x:v>
      </x:c>
      <x:c r="Q760" t="str">
        <x:v>Phụ lục 511 sản phẩm, STT 397, trang 13. Công ty Việt Hương là cơ sở sản xuất; cột tổ chức chịu trách nhiệm lấy nguyên văn từ phụ lục.</x:v>
      </x:c>
      <x:c r="R760" t="str">
        <x:v>https://dav.gov.vn/cong-van-so-1772qld-mp-ve-viec-dinh-chi-luu-hanh-thu-hoi-va-tieu-huy-my-pham-vi-pham-cong-ty-tnhh-my-pham-viet-huong-n5334.html</x:v>
      </x:c>
      <x:c r="S760" t="str">
        <x:v>Hà Nội</x:v>
      </x:c>
      <x:c r="T760" t="str">
        <x:v>01</x:v>
      </x:c>
    </x:row>
    <x:row r="761">
      <x:c r="A761" t="n">
        <x:v>760</x:v>
      </x:c>
      <x:c r="B761" s="330"/>
      <x:c r="C761" s="330" t="n">
        <x:v>46155</x:v>
      </x:c>
      <x:c r="D761" t="n">
        <x:v>2025</x:v>
      </x:c>
      <x:c r="E761"/>
      <x:c r="F761" t="str">
        <x:v>25161/25/CBMP-HN</x:v>
      </x:c>
      <x:c r="G761"/>
      <x:c r="H761" t="str">
        <x:v>The Cente Lea toner GLB</x:v>
      </x:c>
      <x:c r="I761"/>
      <x:c r="J761" t="str">
        <x:v>Serum/Essence da</x:v>
      </x:c>
      <x:c r="K761"/>
      <x:c r="L761" t="str">
        <x:v>Công ty TNHH Sinh Dược Bio</x:v>
      </x:c>
      <x:c r="M761"/>
      <x:c r="N761" t="str">
        <x:v>Công ty TNHH mỹ phẩm Việt Hương</x:v>
      </x:c>
      <x:c r="O761" t="str">
        <x:v>Đình chỉ lưu hành, thu hồi và tiêu hủy – Công văn 1772/QLD-MP</x:v>
      </x:c>
      <x:c r="P761" t="str">
        <x:v>A++ – Cục Quản lý Dược; tổ chức chịu trách nhiệm explicit</x:v>
      </x:c>
      <x:c r="Q761" t="str">
        <x:v>Phụ lục 511 sản phẩm, STT 398, trang 13. Công ty Việt Hương là cơ sở sản xuất; cột tổ chức chịu trách nhiệm lấy nguyên văn từ phụ lục.</x:v>
      </x:c>
      <x:c r="R761" t="str">
        <x:v>https://dav.gov.vn/cong-van-so-1772qld-mp-ve-viec-dinh-chi-luu-hanh-thu-hoi-va-tieu-huy-my-pham-vi-pham-cong-ty-tnhh-my-pham-viet-huong-n5334.html</x:v>
      </x:c>
      <x:c r="S761" t="str">
        <x:v>Hà Nội</x:v>
      </x:c>
      <x:c r="T761" t="str">
        <x:v>01</x:v>
      </x:c>
    </x:row>
    <x:row r="762">
      <x:c r="A762" t="n">
        <x:v>761</x:v>
      </x:c>
      <x:c r="B762" s="330"/>
      <x:c r="C762" s="330" t="n">
        <x:v>46155</x:v>
      </x:c>
      <x:c r="D762" t="n">
        <x:v>2025</x:v>
      </x:c>
      <x:c r="E762"/>
      <x:c r="F762" t="str">
        <x:v>25162/25/CBMP-HN</x:v>
      </x:c>
      <x:c r="G762"/>
      <x:c r="H762" t="str">
        <x:v>The Cente Lea serum</x:v>
      </x:c>
      <x:c r="I762"/>
      <x:c r="J762" t="str">
        <x:v>Serum/Essence da</x:v>
      </x:c>
      <x:c r="K762"/>
      <x:c r="L762" t="str">
        <x:v>Công ty TNHH Sinh Dược Bio</x:v>
      </x:c>
      <x:c r="M762"/>
      <x:c r="N762" t="str">
        <x:v>Công ty TNHH mỹ phẩm Việt Hương</x:v>
      </x:c>
      <x:c r="O762" t="str">
        <x:v>Đình chỉ lưu hành, thu hồi và tiêu hủy – Công văn 1772/QLD-MP</x:v>
      </x:c>
      <x:c r="P762" t="str">
        <x:v>A++ – Cục Quản lý Dược; tổ chức chịu trách nhiệm explicit</x:v>
      </x:c>
      <x:c r="Q762" t="str">
        <x:v>Phụ lục 511 sản phẩm, STT 399, trang 13. Công ty Việt Hương là cơ sở sản xuất; cột tổ chức chịu trách nhiệm lấy nguyên văn từ phụ lục.</x:v>
      </x:c>
      <x:c r="R762" t="str">
        <x:v>https://dav.gov.vn/cong-van-so-1772qld-mp-ve-viec-dinh-chi-luu-hanh-thu-hoi-va-tieu-huy-my-pham-vi-pham-cong-ty-tnhh-my-pham-viet-huong-n5334.html</x:v>
      </x:c>
      <x:c r="S762" t="str">
        <x:v>Hà Nội</x:v>
      </x:c>
      <x:c r="T762" t="str">
        <x:v>01</x:v>
      </x:c>
    </x:row>
    <x:row r="763">
      <x:c r="A763" t="n">
        <x:v>762</x:v>
      </x:c>
      <x:c r="B763" s="330"/>
      <x:c r="C763" s="330" t="n">
        <x:v>46155</x:v>
      </x:c>
      <x:c r="D763" t="n">
        <x:v>2025</x:v>
      </x:c>
      <x:c r="E763"/>
      <x:c r="F763" t="str">
        <x:v>24562/25/CBMP-HN</x:v>
      </x:c>
      <x:c r="G763"/>
      <x:c r="H763" t="str">
        <x:v>Spot White Essence</x:v>
      </x:c>
      <x:c r="I763"/>
      <x:c r="J763" t="str">
        <x:v>Serum/Essence da</x:v>
      </x:c>
      <x:c r="K763"/>
      <x:c r="L763" t="str">
        <x:v>Công ty TNHH Sinh Dược Bio</x:v>
      </x:c>
      <x:c r="M763"/>
      <x:c r="N763" t="str">
        <x:v>Công ty TNHH mỹ phẩm Việt Hương</x:v>
      </x:c>
      <x:c r="O763" t="str">
        <x:v>Đình chỉ lưu hành, thu hồi và tiêu hủy – Công văn 1772/QLD-MP</x:v>
      </x:c>
      <x:c r="P763" t="str">
        <x:v>A++ – Cục Quản lý Dược; tổ chức chịu trách nhiệm explicit</x:v>
      </x:c>
      <x:c r="Q763" t="str">
        <x:v>Phụ lục 511 sản phẩm, STT 400, trang 13. Công ty Việt Hương là cơ sở sản xuất; cột tổ chức chịu trách nhiệm lấy nguyên văn từ phụ lục.</x:v>
      </x:c>
      <x:c r="R763" t="str">
        <x:v>https://dav.gov.vn/cong-van-so-1772qld-mp-ve-viec-dinh-chi-luu-hanh-thu-hoi-va-tieu-huy-my-pham-vi-pham-cong-ty-tnhh-my-pham-viet-huong-n5334.html</x:v>
      </x:c>
      <x:c r="S763" t="str">
        <x:v>Hà Nội</x:v>
      </x:c>
      <x:c r="T763" t="str">
        <x:v>01</x:v>
      </x:c>
    </x:row>
    <x:row r="764">
      <x:c r="A764" t="n">
        <x:v>763</x:v>
      </x:c>
      <x:c r="B764" s="330"/>
      <x:c r="C764" s="330" t="n">
        <x:v>46155</x:v>
      </x:c>
      <x:c r="D764" t="n">
        <x:v>2025</x:v>
      </x:c>
      <x:c r="E764"/>
      <x:c r="F764" t="str">
        <x:v>24563/25/CBMP-HN</x:v>
      </x:c>
      <x:c r="G764"/>
      <x:c r="H764" t="str">
        <x:v>Cicamax Refine Serum</x:v>
      </x:c>
      <x:c r="I764"/>
      <x:c r="J764" t="str">
        <x:v>Serum/Essence da</x:v>
      </x:c>
      <x:c r="K764"/>
      <x:c r="L764" t="str">
        <x:v>Công ty TNHH Sinh Dược Bio</x:v>
      </x:c>
      <x:c r="M764"/>
      <x:c r="N764" t="str">
        <x:v>Công ty TNHH mỹ phẩm Việt Hương</x:v>
      </x:c>
      <x:c r="O764" t="str">
        <x:v>Đình chỉ lưu hành, thu hồi và tiêu hủy – Công văn 1772/QLD-MP</x:v>
      </x:c>
      <x:c r="P764" t="str">
        <x:v>A++ – Cục Quản lý Dược; tổ chức chịu trách nhiệm explicit</x:v>
      </x:c>
      <x:c r="Q764" t="str">
        <x:v>Phụ lục 511 sản phẩm, STT 401, trang 13. Công ty Việt Hương là cơ sở sản xuất; cột tổ chức chịu trách nhiệm lấy nguyên văn từ phụ lục.</x:v>
      </x:c>
      <x:c r="R764" t="str">
        <x:v>https://dav.gov.vn/cong-van-so-1772qld-mp-ve-viec-dinh-chi-luu-hanh-thu-hoi-va-tieu-huy-my-pham-vi-pham-cong-ty-tnhh-my-pham-viet-huong-n5334.html</x:v>
      </x:c>
      <x:c r="S764" t="str">
        <x:v>Hà Nội</x:v>
      </x:c>
      <x:c r="T764" t="str">
        <x:v>01</x:v>
      </x:c>
    </x:row>
    <x:row r="765">
      <x:c r="A765" t="n">
        <x:v>764</x:v>
      </x:c>
      <x:c r="B765" s="330"/>
      <x:c r="C765" s="330" t="n">
        <x:v>46155</x:v>
      </x:c>
      <x:c r="D765" t="n">
        <x:v>2025</x:v>
      </x:c>
      <x:c r="E765"/>
      <x:c r="F765" t="str">
        <x:v>24564/25/CBMP-HN</x:v>
      </x:c>
      <x:c r="G765"/>
      <x:c r="H765" t="str">
        <x:v>Everyoung Serum</x:v>
      </x:c>
      <x:c r="I765"/>
      <x:c r="J765" t="str">
        <x:v>Serum/Essence da</x:v>
      </x:c>
      <x:c r="K765"/>
      <x:c r="L765" t="str">
        <x:v>Công ty TNHH Sinh Dược Bio</x:v>
      </x:c>
      <x:c r="M765"/>
      <x:c r="N765" t="str">
        <x:v>Công ty TNHH mỹ phẩm Việt Hương</x:v>
      </x:c>
      <x:c r="O765" t="str">
        <x:v>Đình chỉ lưu hành, thu hồi và tiêu hủy – Công văn 1772/QLD-MP</x:v>
      </x:c>
      <x:c r="P765" t="str">
        <x:v>A++ – Cục Quản lý Dược; tổ chức chịu trách nhiệm explicit</x:v>
      </x:c>
      <x:c r="Q765" t="str">
        <x:v>Phụ lục 511 sản phẩm, STT 402, trang 13. Công ty Việt Hương là cơ sở sản xuất; cột tổ chức chịu trách nhiệm lấy nguyên văn từ phụ lục.</x:v>
      </x:c>
      <x:c r="R765" t="str">
        <x:v>https://dav.gov.vn/cong-van-so-1772qld-mp-ve-viec-dinh-chi-luu-hanh-thu-hoi-va-tieu-huy-my-pham-vi-pham-cong-ty-tnhh-my-pham-viet-huong-n5334.html</x:v>
      </x:c>
      <x:c r="S765" t="str">
        <x:v>Hà Nội</x:v>
      </x:c>
      <x:c r="T765" t="str">
        <x:v>01</x:v>
      </x:c>
    </x:row>
    <x:row r="766">
      <x:c r="A766" t="n">
        <x:v>765</x:v>
      </x:c>
      <x:c r="B766" s="330"/>
      <x:c r="C766" s="330" t="n">
        <x:v>46155</x:v>
      </x:c>
      <x:c r="D766" t="n">
        <x:v>2025</x:v>
      </x:c>
      <x:c r="E766"/>
      <x:c r="F766" t="str">
        <x:v>25382/25/CBMP-HN</x:v>
      </x:c>
      <x:c r="G766"/>
      <x:c r="H766" t="str">
        <x:v>The cente lea cleanser</x:v>
      </x:c>
      <x:c r="I766"/>
      <x:c r="J766" t="str">
        <x:v>Sữa rửa mặt</x:v>
      </x:c>
      <x:c r="K766"/>
      <x:c r="L766" t="str">
        <x:v>Công ty TNHH Sinh Dược Bio</x:v>
      </x:c>
      <x:c r="M766"/>
      <x:c r="N766" t="str">
        <x:v>Công ty TNHH mỹ phẩm Việt Hương</x:v>
      </x:c>
      <x:c r="O766" t="str">
        <x:v>Đình chỉ lưu hành, thu hồi và tiêu hủy – Công văn 1772/QLD-MP</x:v>
      </x:c>
      <x:c r="P766" t="str">
        <x:v>A++ – Cục Quản lý Dược; tổ chức chịu trách nhiệm explicit</x:v>
      </x:c>
      <x:c r="Q766" t="str">
        <x:v>Phụ lục 511 sản phẩm, STT 403, trang 13. Công ty Việt Hương là cơ sở sản xuất; cột tổ chức chịu trách nhiệm lấy nguyên văn từ phụ lục.</x:v>
      </x:c>
      <x:c r="R766" t="str">
        <x:v>https://dav.gov.vn/cong-van-so-1772qld-mp-ve-viec-dinh-chi-luu-hanh-thu-hoi-va-tieu-huy-my-pham-vi-pham-cong-ty-tnhh-my-pham-viet-huong-n5334.html</x:v>
      </x:c>
      <x:c r="S766" t="str">
        <x:v>Hà Nội</x:v>
      </x:c>
      <x:c r="T766" t="str">
        <x:v>01</x:v>
      </x:c>
    </x:row>
    <x:row r="767">
      <x:c r="A767" t="n">
        <x:v>766</x:v>
      </x:c>
      <x:c r="B767" s="330"/>
      <x:c r="C767" s="330" t="n">
        <x:v>46155</x:v>
      </x:c>
      <x:c r="D767" t="n">
        <x:v>2025</x:v>
      </x:c>
      <x:c r="E767"/>
      <x:c r="F767" t="str">
        <x:v>25904/25/CBMP-HN</x:v>
      </x:c>
      <x:c r="G767"/>
      <x:c r="H767" t="str">
        <x:v>Coolrevive Toner</x:v>
      </x:c>
      <x:c r="I767"/>
      <x:c r="J767" t="str">
        <x:v>Serum/Essence da</x:v>
      </x:c>
      <x:c r="K767"/>
      <x:c r="L767" t="str">
        <x:v>Công ty TNHH Sinh Dược Bio</x:v>
      </x:c>
      <x:c r="M767"/>
      <x:c r="N767" t="str">
        <x:v>Công ty TNHH mỹ phẩm Việt Hương</x:v>
      </x:c>
      <x:c r="O767" t="str">
        <x:v>Đình chỉ lưu hành, thu hồi và tiêu hủy – Công văn 1772/QLD-MP</x:v>
      </x:c>
      <x:c r="P767" t="str">
        <x:v>A++ – Cục Quản lý Dược; tổ chức chịu trách nhiệm explicit</x:v>
      </x:c>
      <x:c r="Q767" t="str">
        <x:v>Phụ lục 511 sản phẩm, STT 404, trang 14. Công ty Việt Hương là cơ sở sản xuất; cột tổ chức chịu trách nhiệm lấy nguyên văn từ phụ lục.</x:v>
      </x:c>
      <x:c r="R767" t="str">
        <x:v>https://dav.gov.vn/cong-van-so-1772qld-mp-ve-viec-dinh-chi-luu-hanh-thu-hoi-va-tieu-huy-my-pham-vi-pham-cong-ty-tnhh-my-pham-viet-huong-n5334.html</x:v>
      </x:c>
      <x:c r="S767" t="str">
        <x:v>Hà Nội</x:v>
      </x:c>
      <x:c r="T767" t="str">
        <x:v>01</x:v>
      </x:c>
    </x:row>
    <x:row r="768">
      <x:c r="A768" t="n">
        <x:v>767</x:v>
      </x:c>
      <x:c r="B768" s="330"/>
      <x:c r="C768" s="330" t="n">
        <x:v>46155</x:v>
      </x:c>
      <x:c r="D768" t="n">
        <x:v>2024</x:v>
      </x:c>
      <x:c r="E768"/>
      <x:c r="F768" t="str">
        <x:v>22066/24/CBMP-HN</x:v>
      </x:c>
      <x:c r="G768"/>
      <x:c r="H768" t="str">
        <x:v>Thomas Pink</x:v>
      </x:c>
      <x:c r="I768"/>
      <x:c r="J768" t="str">
        <x:v>Khác</x:v>
      </x:c>
      <x:c r="K768"/>
      <x:c r="L768" t="str">
        <x:v>Công ty TNHH Mỹ phẩm Mộc Tâm Nature</x:v>
      </x:c>
      <x:c r="M768"/>
      <x:c r="N768" t="str">
        <x:v>Công ty TNHH mỹ phẩm Việt Hương</x:v>
      </x:c>
      <x:c r="O768" t="str">
        <x:v>Đình chỉ lưu hành, thu hồi và tiêu hủy – Công văn 1772/QLD-MP</x:v>
      </x:c>
      <x:c r="P768" t="str">
        <x:v>A++ – Cục Quản lý Dược; tổ chức chịu trách nhiệm explicit</x:v>
      </x:c>
      <x:c r="Q768" t="str">
        <x:v>Phụ lục 511 sản phẩm, STT 405, trang 14. Công ty Việt Hương là cơ sở sản xuất; cột tổ chức chịu trách nhiệm lấy nguyên văn từ phụ lục.</x:v>
      </x:c>
      <x:c r="R768" t="str">
        <x:v>https://dav.gov.vn/cong-van-so-1772qld-mp-ve-viec-dinh-chi-luu-hanh-thu-hoi-va-tieu-huy-my-pham-vi-pham-cong-ty-tnhh-my-pham-viet-huong-n5334.html</x:v>
      </x:c>
      <x:c r="S768" t="str">
        <x:v>Hà Nội</x:v>
      </x:c>
      <x:c r="T768" t="str">
        <x:v>01</x:v>
      </x:c>
    </x:row>
    <x:row r="769">
      <x:c r="A769" t="n">
        <x:v>768</x:v>
      </x:c>
      <x:c r="B769" s="330"/>
      <x:c r="C769" s="330" t="n">
        <x:v>46155</x:v>
      </x:c>
      <x:c r="D769" t="n">
        <x:v>2024</x:v>
      </x:c>
      <x:c r="E769"/>
      <x:c r="F769" t="str">
        <x:v>22067/24/CBMP-HN</x:v>
      </x:c>
      <x:c r="G769"/>
      <x:c r="H769" t="str">
        <x:v>By Red</x:v>
      </x:c>
      <x:c r="I769"/>
      <x:c r="J769" t="str">
        <x:v>Khác</x:v>
      </x:c>
      <x:c r="K769"/>
      <x:c r="L769" t="str">
        <x:v>Công ty TNHH Mỹ phẩm Mộc Tâm Nature</x:v>
      </x:c>
      <x:c r="M769"/>
      <x:c r="N769" t="str">
        <x:v>Công ty TNHH mỹ phẩm Việt Hương</x:v>
      </x:c>
      <x:c r="O769" t="str">
        <x:v>Đình chỉ lưu hành, thu hồi và tiêu hủy – Công văn 1772/QLD-MP</x:v>
      </x:c>
      <x:c r="P769" t="str">
        <x:v>A++ – Cục Quản lý Dược; tổ chức chịu trách nhiệm explicit</x:v>
      </x:c>
      <x:c r="Q769" t="str">
        <x:v>Phụ lục 511 sản phẩm, STT 406, trang 14. Công ty Việt Hương là cơ sở sản xuất; cột tổ chức chịu trách nhiệm lấy nguyên văn từ phụ lục.</x:v>
      </x:c>
      <x:c r="R769" t="str">
        <x:v>https://dav.gov.vn/cong-van-so-1772qld-mp-ve-viec-dinh-chi-luu-hanh-thu-hoi-va-tieu-huy-my-pham-vi-pham-cong-ty-tnhh-my-pham-viet-huong-n5334.html</x:v>
      </x:c>
      <x:c r="S769" t="str">
        <x:v>Hà Nội</x:v>
      </x:c>
      <x:c r="T769" t="str">
        <x:v>01</x:v>
      </x:c>
    </x:row>
    <x:row r="770">
      <x:c r="A770" t="n">
        <x:v>769</x:v>
      </x:c>
      <x:c r="B770" s="330"/>
      <x:c r="C770" s="330" t="n">
        <x:v>46155</x:v>
      </x:c>
      <x:c r="D770" t="n">
        <x:v>2024</x:v>
      </x:c>
      <x:c r="E770"/>
      <x:c r="F770" t="str">
        <x:v>22068/24/CBMP-HN</x:v>
      </x:c>
      <x:c r="G770"/>
      <x:c r="H770" t="str">
        <x:v>Meli Sweeter</x:v>
      </x:c>
      <x:c r="I770"/>
      <x:c r="J770" t="str">
        <x:v>Khác</x:v>
      </x:c>
      <x:c r="K770"/>
      <x:c r="L770" t="str">
        <x:v>Công ty TNHH Mỹ phẩm Mộc Tâm Nature</x:v>
      </x:c>
      <x:c r="M770"/>
      <x:c r="N770" t="str">
        <x:v>Công ty TNHH mỹ phẩm Việt Hương</x:v>
      </x:c>
      <x:c r="O770" t="str">
        <x:v>Đình chỉ lưu hành, thu hồi và tiêu hủy – Công văn 1772/QLD-MP</x:v>
      </x:c>
      <x:c r="P770" t="str">
        <x:v>A++ – Cục Quản lý Dược; tổ chức chịu trách nhiệm explicit</x:v>
      </x:c>
      <x:c r="Q770" t="str">
        <x:v>Phụ lục 511 sản phẩm, STT 407, trang 14. Công ty Việt Hương là cơ sở sản xuất; cột tổ chức chịu trách nhiệm lấy nguyên văn từ phụ lục.</x:v>
      </x:c>
      <x:c r="R770" t="str">
        <x:v>https://dav.gov.vn/cong-van-so-1772qld-mp-ve-viec-dinh-chi-luu-hanh-thu-hoi-va-tieu-huy-my-pham-vi-pham-cong-ty-tnhh-my-pham-viet-huong-n5334.html</x:v>
      </x:c>
      <x:c r="S770" t="str">
        <x:v>Hà Nội</x:v>
      </x:c>
      <x:c r="T770" t="str">
        <x:v>01</x:v>
      </x:c>
    </x:row>
    <x:row r="771">
      <x:c r="A771" t="n">
        <x:v>770</x:v>
      </x:c>
      <x:c r="B771" s="330"/>
      <x:c r="C771" s="330" t="n">
        <x:v>46155</x:v>
      </x:c>
      <x:c r="D771" t="n">
        <x:v>2024</x:v>
      </x:c>
      <x:c r="E771"/>
      <x:c r="F771" t="str">
        <x:v>22069/24/CBMP-HN</x:v>
      </x:c>
      <x:c r="G771"/>
      <x:c r="H771" t="str">
        <x:v>Mano Roses</x:v>
      </x:c>
      <x:c r="I771"/>
      <x:c r="J771" t="str">
        <x:v>Khác</x:v>
      </x:c>
      <x:c r="K771"/>
      <x:c r="L771" t="str">
        <x:v>Công ty TNHH Mỹ phẩm Mộc Tâm Nature</x:v>
      </x:c>
      <x:c r="M771"/>
      <x:c r="N771" t="str">
        <x:v>Công ty TNHH mỹ phẩm Việt Hương</x:v>
      </x:c>
      <x:c r="O771" t="str">
        <x:v>Đình chỉ lưu hành, thu hồi và tiêu hủy – Công văn 1772/QLD-MP</x:v>
      </x:c>
      <x:c r="P771" t="str">
        <x:v>A++ – Cục Quản lý Dược; tổ chức chịu trách nhiệm explicit</x:v>
      </x:c>
      <x:c r="Q771" t="str">
        <x:v>Phụ lục 511 sản phẩm, STT 408, trang 14. Công ty Việt Hương là cơ sở sản xuất; cột tổ chức chịu trách nhiệm lấy nguyên văn từ phụ lục.</x:v>
      </x:c>
      <x:c r="R771" t="str">
        <x:v>https://dav.gov.vn/cong-van-so-1772qld-mp-ve-viec-dinh-chi-luu-hanh-thu-hoi-va-tieu-huy-my-pham-vi-pham-cong-ty-tnhh-my-pham-viet-huong-n5334.html</x:v>
      </x:c>
      <x:c r="S771" t="str">
        <x:v>Hà Nội</x:v>
      </x:c>
      <x:c r="T771" t="str">
        <x:v>01</x:v>
      </x:c>
    </x:row>
    <x:row r="772">
      <x:c r="A772" t="n">
        <x:v>771</x:v>
      </x:c>
      <x:c r="B772" s="330"/>
      <x:c r="C772" s="330" t="n">
        <x:v>46155</x:v>
      </x:c>
      <x:c r="D772" t="n">
        <x:v>2024</x:v>
      </x:c>
      <x:c r="E772"/>
      <x:c r="F772" t="str">
        <x:v>22070/24/CBMP-HN</x:v>
      </x:c>
      <x:c r="G772"/>
      <x:c r="H772" t="str">
        <x:v>Anamy</x:v>
      </x:c>
      <x:c r="I772"/>
      <x:c r="J772" t="str">
        <x:v>Khác</x:v>
      </x:c>
      <x:c r="K772"/>
      <x:c r="L772" t="str">
        <x:v>Công ty TNHH Mỹ phẩm Mộc Tâm Nature</x:v>
      </x:c>
      <x:c r="M772"/>
      <x:c r="N772" t="str">
        <x:v>Công ty TNHH mỹ phẩm Việt Hương</x:v>
      </x:c>
      <x:c r="O772" t="str">
        <x:v>Đình chỉ lưu hành, thu hồi và tiêu hủy – Công văn 1772/QLD-MP</x:v>
      </x:c>
      <x:c r="P772" t="str">
        <x:v>A++ – Cục Quản lý Dược; tổ chức chịu trách nhiệm explicit</x:v>
      </x:c>
      <x:c r="Q772" t="str">
        <x:v>Phụ lục 511 sản phẩm, STT 409, trang 14. Công ty Việt Hương là cơ sở sản xuất; cột tổ chức chịu trách nhiệm lấy nguyên văn từ phụ lục.</x:v>
      </x:c>
      <x:c r="R772" t="str">
        <x:v>https://dav.gov.vn/cong-van-so-1772qld-mp-ve-viec-dinh-chi-luu-hanh-thu-hoi-va-tieu-huy-my-pham-vi-pham-cong-ty-tnhh-my-pham-viet-huong-n5334.html</x:v>
      </x:c>
      <x:c r="S772" t="str">
        <x:v>Hà Nội</x:v>
      </x:c>
      <x:c r="T772" t="str">
        <x:v>01</x:v>
      </x:c>
    </x:row>
    <x:row r="773">
      <x:c r="A773" t="n">
        <x:v>772</x:v>
      </x:c>
      <x:c r="B773" s="330"/>
      <x:c r="C773" s="330" t="n">
        <x:v>46155</x:v>
      </x:c>
      <x:c r="D773" t="n">
        <x:v>2025</x:v>
      </x:c>
      <x:c r="E773"/>
      <x:c r="F773" t="str">
        <x:v>23068/25/CBMP-HN</x:v>
      </x:c>
      <x:c r="G773"/>
      <x:c r="H773" t="str">
        <x:v>Combo Premium Limited</x:v>
      </x:c>
      <x:c r="I773"/>
      <x:c r="J773" t="str">
        <x:v>Khác</x:v>
      </x:c>
      <x:c r="K773"/>
      <x:c r="L773" t="str">
        <x:v>Công ty TNHH Mỹ phẩm Mộc Tâm Nature</x:v>
      </x:c>
      <x:c r="M773"/>
      <x:c r="N773" t="str">
        <x:v>Công ty TNHH mỹ phẩm Việt Hương</x:v>
      </x:c>
      <x:c r="O773" t="str">
        <x:v>Đình chỉ lưu hành, thu hồi và tiêu hủy – Công văn 1772/QLD-MP</x:v>
      </x:c>
      <x:c r="P773" t="str">
        <x:v>A++ – Cục Quản lý Dược; tổ chức chịu trách nhiệm explicit</x:v>
      </x:c>
      <x:c r="Q773" t="str">
        <x:v>Phụ lục 511 sản phẩm, STT 410, trang 14. Công ty Việt Hương là cơ sở sản xuất; cột tổ chức chịu trách nhiệm lấy nguyên văn từ phụ lục.</x:v>
      </x:c>
      <x:c r="R773" t="str">
        <x:v>https://dav.gov.vn/cong-van-so-1772qld-mp-ve-viec-dinh-chi-luu-hanh-thu-hoi-va-tieu-huy-my-pham-vi-pham-cong-ty-tnhh-my-pham-viet-huong-n5334.html</x:v>
      </x:c>
      <x:c r="S773" t="str">
        <x:v>Hà Nội</x:v>
      </x:c>
      <x:c r="T773" t="str">
        <x:v>01</x:v>
      </x:c>
    </x:row>
    <x:row r="774">
      <x:c r="A774" t="n">
        <x:v>773</x:v>
      </x:c>
      <x:c r="B774" s="330"/>
      <x:c r="C774" s="330" t="n">
        <x:v>46155</x:v>
      </x:c>
      <x:c r="D774" t="n">
        <x:v>2025</x:v>
      </x:c>
      <x:c r="E774"/>
      <x:c r="F774" t="str">
        <x:v>24172/25/CBMP-HN</x:v>
      </x:c>
      <x:c r="G774"/>
      <x:c r="H774" t="str">
        <x:v>Sữa tắm nước hoa</x:v>
      </x:c>
      <x:c r="I774"/>
      <x:c r="J774" t="str">
        <x:v>Sữa tắm/Gel tắm</x:v>
      </x:c>
      <x:c r="K774"/>
      <x:c r="L774" t="str">
        <x:v>Công ty TNHH Mỹ phẩm Mộc Tâm Nature</x:v>
      </x:c>
      <x:c r="M774"/>
      <x:c r="N774" t="str">
        <x:v>Công ty TNHH mỹ phẩm Việt Hương</x:v>
      </x:c>
      <x:c r="O774" t="str">
        <x:v>Đình chỉ lưu hành, thu hồi và tiêu hủy – Công văn 1772/QLD-MP</x:v>
      </x:c>
      <x:c r="P774" t="str">
        <x:v>A++ – Cục Quản lý Dược; tổ chức chịu trách nhiệm explicit</x:v>
      </x:c>
      <x:c r="Q774" t="str">
        <x:v>Phụ lục 511 sản phẩm, STT 411, trang 14. Công ty Việt Hương là cơ sở sản xuất; cột tổ chức chịu trách nhiệm lấy nguyên văn từ phụ lục.</x:v>
      </x:c>
      <x:c r="R774" t="str">
        <x:v>https://dav.gov.vn/cong-van-so-1772qld-mp-ve-viec-dinh-chi-luu-hanh-thu-hoi-va-tieu-huy-my-pham-vi-pham-cong-ty-tnhh-my-pham-viet-huong-n5334.html</x:v>
      </x:c>
      <x:c r="S774" t="str">
        <x:v>Hà Nội</x:v>
      </x:c>
      <x:c r="T774" t="str">
        <x:v>01</x:v>
      </x:c>
    </x:row>
    <x:row r="775">
      <x:c r="A775" t="n">
        <x:v>774</x:v>
      </x:c>
      <x:c r="B775" s="330"/>
      <x:c r="C775" s="330" t="n">
        <x:v>46155</x:v>
      </x:c>
      <x:c r="D775" t="n">
        <x:v>2025</x:v>
      </x:c>
      <x:c r="E775"/>
      <x:c r="F775" t="str">
        <x:v>24173/25/CBMP-HN</x:v>
      </x:c>
      <x:c r="G775"/>
      <x:c r="H775" t="str">
        <x:v>Body scrub</x:v>
      </x:c>
      <x:c r="I775"/>
      <x:c r="J775" t="str">
        <x:v>Khác</x:v>
      </x:c>
      <x:c r="K775"/>
      <x:c r="L775" t="str">
        <x:v>Công ty TNHH Mỹ phẩm Mộc Tâm Nature</x:v>
      </x:c>
      <x:c r="M775"/>
      <x:c r="N775" t="str">
        <x:v>Công ty TNHH mỹ phẩm Việt Hương</x:v>
      </x:c>
      <x:c r="O775" t="str">
        <x:v>Đình chỉ lưu hành, thu hồi và tiêu hủy – Công văn 1772/QLD-MP</x:v>
      </x:c>
      <x:c r="P775" t="str">
        <x:v>A++ – Cục Quản lý Dược; tổ chức chịu trách nhiệm explicit</x:v>
      </x:c>
      <x:c r="Q775" t="str">
        <x:v>Phụ lục 511 sản phẩm, STT 412, trang 14. Công ty Việt Hương là cơ sở sản xuất; cột tổ chức chịu trách nhiệm lấy nguyên văn từ phụ lục.</x:v>
      </x:c>
      <x:c r="R775" t="str">
        <x:v>https://dav.gov.vn/cong-van-so-1772qld-mp-ve-viec-dinh-chi-luu-hanh-thu-hoi-va-tieu-huy-my-pham-vi-pham-cong-ty-tnhh-my-pham-viet-huong-n5334.html</x:v>
      </x:c>
      <x:c r="S775" t="str">
        <x:v>Hà Nội</x:v>
      </x:c>
      <x:c r="T775" t="str">
        <x:v>01</x:v>
      </x:c>
    </x:row>
    <x:row r="776">
      <x:c r="A776" t="n">
        <x:v>775</x:v>
      </x:c>
      <x:c r="B776" s="330"/>
      <x:c r="C776" s="330" t="n">
        <x:v>46155</x:v>
      </x:c>
      <x:c r="D776" t="n">
        <x:v>2025</x:v>
      </x:c>
      <x:c r="E776"/>
      <x:c r="F776" t="str">
        <x:v>24474/25/CBMP-HN</x:v>
      </x:c>
      <x:c r="G776"/>
      <x:c r="H776" t="str">
        <x:v>Sữa rửa mặt</x:v>
      </x:c>
      <x:c r="I776"/>
      <x:c r="J776" t="str">
        <x:v>Sữa rửa mặt</x:v>
      </x:c>
      <x:c r="K776"/>
      <x:c r="L776" t="str">
        <x:v>Công ty TNHH Mỹ phẩm Mộc Tâm Nature</x:v>
      </x:c>
      <x:c r="M776"/>
      <x:c r="N776" t="str">
        <x:v>Công ty TNHH mỹ phẩm Việt Hương</x:v>
      </x:c>
      <x:c r="O776" t="str">
        <x:v>Đình chỉ lưu hành, thu hồi và tiêu hủy – Công văn 1772/QLD-MP</x:v>
      </x:c>
      <x:c r="P776" t="str">
        <x:v>A++ – Cục Quản lý Dược; tổ chức chịu trách nhiệm explicit</x:v>
      </x:c>
      <x:c r="Q776" t="str">
        <x:v>Phụ lục 511 sản phẩm, STT 413, trang 14. Công ty Việt Hương là cơ sở sản xuất; cột tổ chức chịu trách nhiệm lấy nguyên văn từ phụ lục.</x:v>
      </x:c>
      <x:c r="R776" t="str">
        <x:v>https://dav.gov.vn/cong-van-so-1772qld-mp-ve-viec-dinh-chi-luu-hanh-thu-hoi-va-tieu-huy-my-pham-vi-pham-cong-ty-tnhh-my-pham-viet-huong-n5334.html</x:v>
      </x:c>
      <x:c r="S776" t="str">
        <x:v>Hà Nội</x:v>
      </x:c>
      <x:c r="T776" t="str">
        <x:v>01</x:v>
      </x:c>
    </x:row>
    <x:row r="777">
      <x:c r="A777" t="n">
        <x:v>776</x:v>
      </x:c>
      <x:c r="B777" s="330"/>
      <x:c r="C777" s="330" t="n">
        <x:v>46155</x:v>
      </x:c>
      <x:c r="D777" t="n">
        <x:v>2025</x:v>
      </x:c>
      <x:c r="E777"/>
      <x:c r="F777" t="str">
        <x:v>24475/25/CBMP-HN</x:v>
      </x:c>
      <x:c r="G777"/>
      <x:c r="H777" t="str">
        <x:v>Dầu gội đầu</x:v>
      </x:c>
      <x:c r="I777"/>
      <x:c r="J777" t="str">
        <x:v>Dầu gội</x:v>
      </x:c>
      <x:c r="K777"/>
      <x:c r="L777" t="str">
        <x:v>Công ty TNHH Mỹ phẩm Mộc Tâm Nature</x:v>
      </x:c>
      <x:c r="M777"/>
      <x:c r="N777" t="str">
        <x:v>Công ty TNHH mỹ phẩm Việt Hương</x:v>
      </x:c>
      <x:c r="O777" t="str">
        <x:v>Đình chỉ lưu hành, thu hồi và tiêu hủy – Công văn 1772/QLD-MP</x:v>
      </x:c>
      <x:c r="P777" t="str">
        <x:v>A++ – Cục Quản lý Dược; tổ chức chịu trách nhiệm explicit</x:v>
      </x:c>
      <x:c r="Q777" t="str">
        <x:v>Phụ lục 511 sản phẩm, STT 414, trang 14. Công ty Việt Hương là cơ sở sản xuất; cột tổ chức chịu trách nhiệm lấy nguyên văn từ phụ lục.</x:v>
      </x:c>
      <x:c r="R777" t="str">
        <x:v>https://dav.gov.vn/cong-van-so-1772qld-mp-ve-viec-dinh-chi-luu-hanh-thu-hoi-va-tieu-huy-my-pham-vi-pham-cong-ty-tnhh-my-pham-viet-huong-n5334.html</x:v>
      </x:c>
      <x:c r="S777" t="str">
        <x:v>Hà Nội</x:v>
      </x:c>
      <x:c r="T777" t="str">
        <x:v>01</x:v>
      </x:c>
    </x:row>
    <x:row r="778">
      <x:c r="A778" t="n">
        <x:v>777</x:v>
      </x:c>
      <x:c r="B778" s="330"/>
      <x:c r="C778" s="330" t="n">
        <x:v>46155</x:v>
      </x:c>
      <x:c r="D778" t="n">
        <x:v>2025</x:v>
      </x:c>
      <x:c r="E778"/>
      <x:c r="F778" t="str">
        <x:v>24476/25/CBMP-HN</x:v>
      </x:c>
      <x:c r="G778"/>
      <x:c r="H778" t="str">
        <x:v>Ủ tóc</x:v>
      </x:c>
      <x:c r="I778"/>
      <x:c r="J778" t="str">
        <x:v>Khác</x:v>
      </x:c>
      <x:c r="K778"/>
      <x:c r="L778" t="str">
        <x:v>Công ty TNHH Mỹ phẩm Mộc Tâm Nature</x:v>
      </x:c>
      <x:c r="M778"/>
      <x:c r="N778" t="str">
        <x:v>Công ty TNHH mỹ phẩm Việt Hương</x:v>
      </x:c>
      <x:c r="O778" t="str">
        <x:v>Đình chỉ lưu hành, thu hồi và tiêu hủy – Công văn 1772/QLD-MP</x:v>
      </x:c>
      <x:c r="P778" t="str">
        <x:v>A++ – Cục Quản lý Dược; tổ chức chịu trách nhiệm explicit</x:v>
      </x:c>
      <x:c r="Q778" t="str">
        <x:v>Phụ lục 511 sản phẩm, STT 415, trang 14. Công ty Việt Hương là cơ sở sản xuất; cột tổ chức chịu trách nhiệm lấy nguyên văn từ phụ lục.</x:v>
      </x:c>
      <x:c r="R778" t="str">
        <x:v>https://dav.gov.vn/cong-van-so-1772qld-mp-ve-viec-dinh-chi-luu-hanh-thu-hoi-va-tieu-huy-my-pham-vi-pham-cong-ty-tnhh-my-pham-viet-huong-n5334.html</x:v>
      </x:c>
      <x:c r="S778" t="str">
        <x:v>Hà Nội</x:v>
      </x:c>
      <x:c r="T778" t="str">
        <x:v>01</x:v>
      </x:c>
    </x:row>
    <x:row r="779">
      <x:c r="A779" t="n">
        <x:v>778</x:v>
      </x:c>
      <x:c r="B779" s="330"/>
      <x:c r="C779" s="330" t="n">
        <x:v>46155</x:v>
      </x:c>
      <x:c r="D779" t="n">
        <x:v>2025</x:v>
      </x:c>
      <x:c r="E779"/>
      <x:c r="F779" t="str">
        <x:v>24599/25/CBMP-HN</x:v>
      </x:c>
      <x:c r="G779"/>
      <x:c r="H779" t="str">
        <x:v>Sữa Tắm Nước Hoa</x:v>
      </x:c>
      <x:c r="I779"/>
      <x:c r="J779" t="str">
        <x:v>Sữa tắm/Gel tắm</x:v>
      </x:c>
      <x:c r="K779"/>
      <x:c r="L779" t="str">
        <x:v>Công ty TNHH Mỹ phẩm Mộc Tâm Nature</x:v>
      </x:c>
      <x:c r="M779"/>
      <x:c r="N779" t="str">
        <x:v>Công ty TNHH mỹ phẩm Việt Hương</x:v>
      </x:c>
      <x:c r="O779" t="str">
        <x:v>Đình chỉ lưu hành, thu hồi và tiêu hủy – Công văn 1772/QLD-MP</x:v>
      </x:c>
      <x:c r="P779" t="str">
        <x:v>A++ – Cục Quản lý Dược; tổ chức chịu trách nhiệm explicit</x:v>
      </x:c>
      <x:c r="Q779" t="str">
        <x:v>Phụ lục 511 sản phẩm, STT 416, trang 14. Công ty Việt Hương là cơ sở sản xuất; cột tổ chức chịu trách nhiệm lấy nguyên văn từ phụ lục.</x:v>
      </x:c>
      <x:c r="R779" t="str">
        <x:v>https://dav.gov.vn/cong-van-so-1772qld-mp-ve-viec-dinh-chi-luu-hanh-thu-hoi-va-tieu-huy-my-pham-vi-pham-cong-ty-tnhh-my-pham-viet-huong-n5334.html</x:v>
      </x:c>
      <x:c r="S779" t="str">
        <x:v>Hà Nội</x:v>
      </x:c>
      <x:c r="T779" t="str">
        <x:v>01</x:v>
      </x:c>
    </x:row>
    <x:row r="780">
      <x:c r="A780" t="n">
        <x:v>779</x:v>
      </x:c>
      <x:c r="B780" s="330"/>
      <x:c r="C780" s="330" t="n">
        <x:v>46155</x:v>
      </x:c>
      <x:c r="D780" t="n">
        <x:v>2025</x:v>
      </x:c>
      <x:c r="E780"/>
      <x:c r="F780" t="str">
        <x:v>24735/25/CBMP-HN</x:v>
      </x:c>
      <x:c r="G780"/>
      <x:c r="H780" t="str">
        <x:v>Sữa tắm nước hoa</x:v>
      </x:c>
      <x:c r="I780"/>
      <x:c r="J780" t="str">
        <x:v>Sữa tắm/Gel tắm</x:v>
      </x:c>
      <x:c r="K780"/>
      <x:c r="L780" t="str">
        <x:v>Công ty TNHH Mỹ phẩm Mộc Tâm Nature</x:v>
      </x:c>
      <x:c r="M780"/>
      <x:c r="N780" t="str">
        <x:v>Công ty TNHH mỹ phẩm Việt Hương</x:v>
      </x:c>
      <x:c r="O780" t="str">
        <x:v>Đình chỉ lưu hành, thu hồi và tiêu hủy – Công văn 1772/QLD-MP</x:v>
      </x:c>
      <x:c r="P780" t="str">
        <x:v>A++ – Cục Quản lý Dược; tổ chức chịu trách nhiệm explicit</x:v>
      </x:c>
      <x:c r="Q780" t="str">
        <x:v>Phụ lục 511 sản phẩm, STT 417, trang 14. Công ty Việt Hương là cơ sở sản xuất; cột tổ chức chịu trách nhiệm lấy nguyên văn từ phụ lục.</x:v>
      </x:c>
      <x:c r="R780" t="str">
        <x:v>https://dav.gov.vn/cong-van-so-1772qld-mp-ve-viec-dinh-chi-luu-hanh-thu-hoi-va-tieu-huy-my-pham-vi-pham-cong-ty-tnhh-my-pham-viet-huong-n5334.html</x:v>
      </x:c>
      <x:c r="S780" t="str">
        <x:v>Hà Nội</x:v>
      </x:c>
      <x:c r="T780" t="str">
        <x:v>01</x:v>
      </x:c>
    </x:row>
    <x:row r="781">
      <x:c r="A781" t="n">
        <x:v>780</x:v>
      </x:c>
      <x:c r="B781" s="330"/>
      <x:c r="C781" s="330" t="n">
        <x:v>46155</x:v>
      </x:c>
      <x:c r="D781" t="n">
        <x:v>2025</x:v>
      </x:c>
      <x:c r="E781"/>
      <x:c r="F781" t="str">
        <x:v>24805/25/CBMP-HN</x:v>
      </x:c>
      <x:c r="G781"/>
      <x:c r="H781" t="str">
        <x:v>Love lady</x:v>
      </x:c>
      <x:c r="I781"/>
      <x:c r="J781" t="str">
        <x:v>Khác</x:v>
      </x:c>
      <x:c r="K781"/>
      <x:c r="L781" t="str">
        <x:v>Công ty TNHH Mỹ phẩm Mộc Tâm Nature</x:v>
      </x:c>
      <x:c r="M781"/>
      <x:c r="N781" t="str">
        <x:v>Công ty TNHH mỹ phẩm Việt Hương</x:v>
      </x:c>
      <x:c r="O781" t="str">
        <x:v>Đình chỉ lưu hành, thu hồi và tiêu hủy – Công văn 1772/QLD-MP</x:v>
      </x:c>
      <x:c r="P781" t="str">
        <x:v>A++ – Cục Quản lý Dược; tổ chức chịu trách nhiệm explicit</x:v>
      </x:c>
      <x:c r="Q781" t="str">
        <x:v>Phụ lục 511 sản phẩm, STT 418, trang 14. Công ty Việt Hương là cơ sở sản xuất; cột tổ chức chịu trách nhiệm lấy nguyên văn từ phụ lục.</x:v>
      </x:c>
      <x:c r="R781" t="str">
        <x:v>https://dav.gov.vn/cong-van-so-1772qld-mp-ve-viec-dinh-chi-luu-hanh-thu-hoi-va-tieu-huy-my-pham-vi-pham-cong-ty-tnhh-my-pham-viet-huong-n5334.html</x:v>
      </x:c>
      <x:c r="S781" t="str">
        <x:v>Hà Nội</x:v>
      </x:c>
      <x:c r="T781" t="str">
        <x:v>01</x:v>
      </x:c>
    </x:row>
    <x:row r="782">
      <x:c r="A782" t="n">
        <x:v>781</x:v>
      </x:c>
      <x:c r="B782" s="330"/>
      <x:c r="C782" s="330" t="n">
        <x:v>46155</x:v>
      </x:c>
      <x:c r="D782" t="n">
        <x:v>2025</x:v>
      </x:c>
      <x:c r="E782"/>
      <x:c r="F782" t="str">
        <x:v>24827/25/CBMP-HN</x:v>
      </x:c>
      <x:c r="G782"/>
      <x:c r="H782" t="str">
        <x:v>Scrub Lady</x:v>
      </x:c>
      <x:c r="I782"/>
      <x:c r="J782" t="str">
        <x:v>Khác</x:v>
      </x:c>
      <x:c r="K782"/>
      <x:c r="L782" t="str">
        <x:v>Công ty TNHH Mỹ phẩm Mộc Tâm Nature</x:v>
      </x:c>
      <x:c r="M782"/>
      <x:c r="N782" t="str">
        <x:v>Công ty TNHH mỹ phẩm Việt Hương</x:v>
      </x:c>
      <x:c r="O782" t="str">
        <x:v>Đình chỉ lưu hành, thu hồi và tiêu hủy – Công văn 1772/QLD-MP</x:v>
      </x:c>
      <x:c r="P782" t="str">
        <x:v>A++ – Cục Quản lý Dược; tổ chức chịu trách nhiệm explicit</x:v>
      </x:c>
      <x:c r="Q782" t="str">
        <x:v>Phụ lục 511 sản phẩm, STT 419, trang 14. Công ty Việt Hương là cơ sở sản xuất; cột tổ chức chịu trách nhiệm lấy nguyên văn từ phụ lục.</x:v>
      </x:c>
      <x:c r="R782" t="str">
        <x:v>https://dav.gov.vn/cong-van-so-1772qld-mp-ve-viec-dinh-chi-luu-hanh-thu-hoi-va-tieu-huy-my-pham-vi-pham-cong-ty-tnhh-my-pham-viet-huong-n5334.html</x:v>
      </x:c>
      <x:c r="S782" t="str">
        <x:v>Hà Nội</x:v>
      </x:c>
      <x:c r="T782" t="str">
        <x:v>01</x:v>
      </x:c>
    </x:row>
    <x:row r="783">
      <x:c r="A783" t="n">
        <x:v>782</x:v>
      </x:c>
      <x:c r="B783" s="330"/>
      <x:c r="C783" s="330" t="n">
        <x:v>46155</x:v>
      </x:c>
      <x:c r="D783" t="n">
        <x:v>2025</x:v>
      </x:c>
      <x:c r="E783"/>
      <x:c r="F783" t="str">
        <x:v>24991/25/CBMP-HN</x:v>
      </x:c>
      <x:c r="G783"/>
      <x:c r="H783" t="str">
        <x:v>Mist meli</x:v>
      </x:c>
      <x:c r="I783"/>
      <x:c r="J783" t="str">
        <x:v>Khác</x:v>
      </x:c>
      <x:c r="K783"/>
      <x:c r="L783" t="str">
        <x:v>Công ty TNHH Mỹ phẩm Mộc Tâm Nature</x:v>
      </x:c>
      <x:c r="M783"/>
      <x:c r="N783" t="str">
        <x:v>Công ty TNHH mỹ phẩm Việt Hương</x:v>
      </x:c>
      <x:c r="O783" t="str">
        <x:v>Đình chỉ lưu hành, thu hồi và tiêu hủy – Công văn 1772/QLD-MP</x:v>
      </x:c>
      <x:c r="P783" t="str">
        <x:v>A++ – Cục Quản lý Dược; tổ chức chịu trách nhiệm explicit</x:v>
      </x:c>
      <x:c r="Q783" t="str">
        <x:v>Phụ lục 511 sản phẩm, STT 420, trang 14. Công ty Việt Hương là cơ sở sản xuất; cột tổ chức chịu trách nhiệm lấy nguyên văn từ phụ lục.</x:v>
      </x:c>
      <x:c r="R783" t="str">
        <x:v>https://dav.gov.vn/cong-van-so-1772qld-mp-ve-viec-dinh-chi-luu-hanh-thu-hoi-va-tieu-huy-my-pham-vi-pham-cong-ty-tnhh-my-pham-viet-huong-n5334.html</x:v>
      </x:c>
      <x:c r="S783" t="str">
        <x:v>Hà Nội</x:v>
      </x:c>
      <x:c r="T783" t="str">
        <x:v>01</x:v>
      </x:c>
    </x:row>
    <x:row r="784">
      <x:c r="A784" t="n">
        <x:v>783</x:v>
      </x:c>
      <x:c r="B784" s="330"/>
      <x:c r="C784" s="330" t="n">
        <x:v>46155</x:v>
      </x:c>
      <x:c r="D784" t="n">
        <x:v>2024</x:v>
      </x:c>
      <x:c r="E784"/>
      <x:c r="F784" t="str">
        <x:v>22315/24/CBMP-HN</x:v>
      </x:c>
      <x:c r="G784"/>
      <x:c r="H784" t="str">
        <x:v>Ala Lipstick</x:v>
      </x:c>
      <x:c r="I784"/>
      <x:c r="J784" t="str">
        <x:v>Sản phẩm môi</x:v>
      </x:c>
      <x:c r="K784"/>
      <x:c r="L784" t="str">
        <x:v>Công ty CP dược mỹ phẩm Alashine</x:v>
      </x:c>
      <x:c r="M784"/>
      <x:c r="N784" t="str">
        <x:v>Công ty TNHH mỹ phẩm Việt Hương</x:v>
      </x:c>
      <x:c r="O784" t="str">
        <x:v>Đình chỉ lưu hành, thu hồi và tiêu hủy – Công văn 1772/QLD-MP</x:v>
      </x:c>
      <x:c r="P784" t="str">
        <x:v>A++ – Cục Quản lý Dược; tổ chức chịu trách nhiệm explicit</x:v>
      </x:c>
      <x:c r="Q784" t="str">
        <x:v>Phụ lục 511 sản phẩm, STT 421, trang 14. Công ty Việt Hương là cơ sở sản xuất; cột tổ chức chịu trách nhiệm lấy nguyên văn từ phụ lục.</x:v>
      </x:c>
      <x:c r="R784" t="str">
        <x:v>https://dav.gov.vn/cong-van-so-1772qld-mp-ve-viec-dinh-chi-luu-hanh-thu-hoi-va-tieu-huy-my-pham-vi-pham-cong-ty-tnhh-my-pham-viet-huong-n5334.html</x:v>
      </x:c>
      <x:c r="S784" t="str">
        <x:v>Hà Nội</x:v>
      </x:c>
      <x:c r="T784" t="str">
        <x:v>01</x:v>
      </x:c>
    </x:row>
    <x:row r="785">
      <x:c r="A785" t="n">
        <x:v>784</x:v>
      </x:c>
      <x:c r="B785" s="330"/>
      <x:c r="C785" s="330" t="n">
        <x:v>46155</x:v>
      </x:c>
      <x:c r="D785" t="n">
        <x:v>2024</x:v>
      </x:c>
      <x:c r="E785"/>
      <x:c r="F785" t="str">
        <x:v>22403/24/CBMP-HN</x:v>
      </x:c>
      <x:c r="G785"/>
      <x:c r="H785" t="str">
        <x:v>Stella 012</x:v>
      </x:c>
      <x:c r="I785"/>
      <x:c r="J785" t="str">
        <x:v>Khác</x:v>
      </x:c>
      <x:c r="K785"/>
      <x:c r="L785" t="str">
        <x:v>Công ty TNHH TN-Beauty</x:v>
      </x:c>
      <x:c r="M785"/>
      <x:c r="N785" t="str">
        <x:v>Công ty TNHH mỹ phẩm Việt Hương</x:v>
      </x:c>
      <x:c r="O785" t="str">
        <x:v>Đình chỉ lưu hành, thu hồi và tiêu hủy – Công văn 1772/QLD-MP</x:v>
      </x:c>
      <x:c r="P785" t="str">
        <x:v>A++ – Cục Quản lý Dược; tổ chức chịu trách nhiệm explicit</x:v>
      </x:c>
      <x:c r="Q785" t="str">
        <x:v>Phụ lục 511 sản phẩm, STT 422, trang 14. Công ty Việt Hương là cơ sở sản xuất; cột tổ chức chịu trách nhiệm lấy nguyên văn từ phụ lục.</x:v>
      </x:c>
      <x:c r="R785" t="str">
        <x:v>https://dav.gov.vn/cong-van-so-1772qld-mp-ve-viec-dinh-chi-luu-hanh-thu-hoi-va-tieu-huy-my-pham-vi-pham-cong-ty-tnhh-my-pham-viet-huong-n5334.html</x:v>
      </x:c>
      <x:c r="S785" t="str">
        <x:v>Hà Nội</x:v>
      </x:c>
      <x:c r="T785" t="str">
        <x:v>01</x:v>
      </x:c>
    </x:row>
    <x:row r="786">
      <x:c r="A786" t="n">
        <x:v>785</x:v>
      </x:c>
      <x:c r="B786" s="330"/>
      <x:c r="C786" s="330" t="n">
        <x:v>46155</x:v>
      </x:c>
      <x:c r="D786" t="n">
        <x:v>2024</x:v>
      </x:c>
      <x:c r="E786"/>
      <x:c r="F786" t="str">
        <x:v>22404/24/CBMP-HN</x:v>
      </x:c>
      <x:c r="G786"/>
      <x:c r="H786" t="str">
        <x:v>Stella 011</x:v>
      </x:c>
      <x:c r="I786"/>
      <x:c r="J786" t="str">
        <x:v>Khác</x:v>
      </x:c>
      <x:c r="K786"/>
      <x:c r="L786" t="str">
        <x:v>Công ty TNHH TN-Beauty</x:v>
      </x:c>
      <x:c r="M786"/>
      <x:c r="N786" t="str">
        <x:v>Công ty TNHH mỹ phẩm Việt Hương</x:v>
      </x:c>
      <x:c r="O786" t="str">
        <x:v>Đình chỉ lưu hành, thu hồi và tiêu hủy – Công văn 1772/QLD-MP</x:v>
      </x:c>
      <x:c r="P786" t="str">
        <x:v>A++ – Cục Quản lý Dược; tổ chức chịu trách nhiệm explicit</x:v>
      </x:c>
      <x:c r="Q786" t="str">
        <x:v>Phụ lục 511 sản phẩm, STT 423, trang 14. Công ty Việt Hương là cơ sở sản xuất; cột tổ chức chịu trách nhiệm lấy nguyên văn từ phụ lục.</x:v>
      </x:c>
      <x:c r="R786" t="str">
        <x:v>https://dav.gov.vn/cong-van-so-1772qld-mp-ve-viec-dinh-chi-luu-hanh-thu-hoi-va-tieu-huy-my-pham-vi-pham-cong-ty-tnhh-my-pham-viet-huong-n5334.html</x:v>
      </x:c>
      <x:c r="S786" t="str">
        <x:v>Hà Nội</x:v>
      </x:c>
      <x:c r="T786" t="str">
        <x:v>01</x:v>
      </x:c>
    </x:row>
    <x:row r="787">
      <x:c r="A787" t="n">
        <x:v>786</x:v>
      </x:c>
      <x:c r="B787" s="330"/>
      <x:c r="C787" s="330" t="n">
        <x:v>46155</x:v>
      </x:c>
      <x:c r="D787" t="n">
        <x:v>2024</x:v>
      </x:c>
      <x:c r="E787"/>
      <x:c r="F787" t="str">
        <x:v>22405/24/CBMP-HN</x:v>
      </x:c>
      <x:c r="G787"/>
      <x:c r="H787" t="str">
        <x:v>Stella 010</x:v>
      </x:c>
      <x:c r="I787"/>
      <x:c r="J787" t="str">
        <x:v>Khác</x:v>
      </x:c>
      <x:c r="K787"/>
      <x:c r="L787" t="str">
        <x:v>Công ty TNHH TN-Beauty</x:v>
      </x:c>
      <x:c r="M787"/>
      <x:c r="N787" t="str">
        <x:v>Công ty TNHH mỹ phẩm Việt Hương</x:v>
      </x:c>
      <x:c r="O787" t="str">
        <x:v>Đình chỉ lưu hành, thu hồi và tiêu hủy – Công văn 1772/QLD-MP</x:v>
      </x:c>
      <x:c r="P787" t="str">
        <x:v>A++ – Cục Quản lý Dược; tổ chức chịu trách nhiệm explicit</x:v>
      </x:c>
      <x:c r="Q787" t="str">
        <x:v>Phụ lục 511 sản phẩm, STT 424, trang 14. Công ty Việt Hương là cơ sở sản xuất; cột tổ chức chịu trách nhiệm lấy nguyên văn từ phụ lục.</x:v>
      </x:c>
      <x:c r="R787" t="str">
        <x:v>https://dav.gov.vn/cong-van-so-1772qld-mp-ve-viec-dinh-chi-luu-hanh-thu-hoi-va-tieu-huy-my-pham-vi-pham-cong-ty-tnhh-my-pham-viet-huong-n5334.html</x:v>
      </x:c>
      <x:c r="S787" t="str">
        <x:v>Hà Nội</x:v>
      </x:c>
      <x:c r="T787" t="str">
        <x:v>01</x:v>
      </x:c>
    </x:row>
    <x:row r="788">
      <x:c r="A788" t="n">
        <x:v>787</x:v>
      </x:c>
      <x:c r="B788" s="330"/>
      <x:c r="C788" s="330" t="n">
        <x:v>46155</x:v>
      </x:c>
      <x:c r="D788" t="n">
        <x:v>2024</x:v>
      </x:c>
      <x:c r="E788"/>
      <x:c r="F788" t="str">
        <x:v>22648/24/CBMP-HN</x:v>
      </x:c>
      <x:c r="G788"/>
      <x:c r="H788" t="str">
        <x:v>Melasma Facial Scrub</x:v>
      </x:c>
      <x:c r="I788"/>
      <x:c r="J788" t="str">
        <x:v>Khác</x:v>
      </x:c>
      <x:c r="K788"/>
      <x:c r="L788" t="str">
        <x:v>Công ty CP Dịch vụ Thương mại TLG Việt Nam</x:v>
      </x:c>
      <x:c r="M788"/>
      <x:c r="N788" t="str">
        <x:v>Công ty TNHH mỹ phẩm Việt Hương</x:v>
      </x:c>
      <x:c r="O788" t="str">
        <x:v>Đình chỉ lưu hành, thu hồi và tiêu hủy – Công văn 1772/QLD-MP</x:v>
      </x:c>
      <x:c r="P788" t="str">
        <x:v>A++ – Cục Quản lý Dược; tổ chức chịu trách nhiệm explicit</x:v>
      </x:c>
      <x:c r="Q788" t="str">
        <x:v>Phụ lục 511 sản phẩm, STT 425, trang 14. Công ty Việt Hương là cơ sở sản xuất; cột tổ chức chịu trách nhiệm lấy nguyên văn từ phụ lục.</x:v>
      </x:c>
      <x:c r="R788" t="str">
        <x:v>https://dav.gov.vn/cong-van-so-1772qld-mp-ve-viec-dinh-chi-luu-hanh-thu-hoi-va-tieu-huy-my-pham-vi-pham-cong-ty-tnhh-my-pham-viet-huong-n5334.html</x:v>
      </x:c>
      <x:c r="S788" t="str">
        <x:v>Hà Nội</x:v>
      </x:c>
      <x:c r="T788" t="str">
        <x:v>01</x:v>
      </x:c>
    </x:row>
    <x:row r="789">
      <x:c r="A789" t="n">
        <x:v>788</x:v>
      </x:c>
      <x:c r="B789" s="330"/>
      <x:c r="C789" s="330" t="n">
        <x:v>46155</x:v>
      </x:c>
      <x:c r="D789" t="n">
        <x:v>2024</x:v>
      </x:c>
      <x:c r="E789"/>
      <x:c r="F789" t="str">
        <x:v>22924/24/CBMP-HN</x:v>
      </x:c>
      <x:c r="G789"/>
      <x:c r="H789" t="str">
        <x:v>Melasma Cleanser</x:v>
      </x:c>
      <x:c r="I789"/>
      <x:c r="J789" t="str">
        <x:v>Sữa rửa mặt</x:v>
      </x:c>
      <x:c r="K789"/>
      <x:c r="L789" t="str">
        <x:v>Công ty CP Dịch vụ Thương mại TLG Việt Nam</x:v>
      </x:c>
      <x:c r="M789"/>
      <x:c r="N789" t="str">
        <x:v>Công ty TNHH mỹ phẩm Việt Hương</x:v>
      </x:c>
      <x:c r="O789" t="str">
        <x:v>Đình chỉ lưu hành, thu hồi và tiêu hủy – Công văn 1772/QLD-MP</x:v>
      </x:c>
      <x:c r="P789" t="str">
        <x:v>A++ – Cục Quản lý Dược; tổ chức chịu trách nhiệm explicit</x:v>
      </x:c>
      <x:c r="Q789" t="str">
        <x:v>Phụ lục 511 sản phẩm, STT 426, trang 14. Công ty Việt Hương là cơ sở sản xuất; cột tổ chức chịu trách nhiệm lấy nguyên văn từ phụ lục.</x:v>
      </x:c>
      <x:c r="R789" t="str">
        <x:v>https://dav.gov.vn/cong-van-so-1772qld-mp-ve-viec-dinh-chi-luu-hanh-thu-hoi-va-tieu-huy-my-pham-vi-pham-cong-ty-tnhh-my-pham-viet-huong-n5334.html</x:v>
      </x:c>
      <x:c r="S789" t="str">
        <x:v>Hà Nội</x:v>
      </x:c>
      <x:c r="T789" t="str">
        <x:v>01</x:v>
      </x:c>
    </x:row>
    <x:row r="790">
      <x:c r="A790" t="n">
        <x:v>789</x:v>
      </x:c>
      <x:c r="B790" s="330"/>
      <x:c r="C790" s="330" t="n">
        <x:v>46155</x:v>
      </x:c>
      <x:c r="D790" t="n">
        <x:v>2025</x:v>
      </x:c>
      <x:c r="E790"/>
      <x:c r="F790" t="str">
        <x:v>23213/25/CBMP-HN</x:v>
      </x:c>
      <x:c r="G790"/>
      <x:c r="H790" t="str">
        <x:v>Xịt khoáng Toner Cici</x:v>
      </x:c>
      <x:c r="I790"/>
      <x:c r="J790" t="str">
        <x:v>Serum/Essence da</x:v>
      </x:c>
      <x:c r="K790"/>
      <x:c r="L790" t="str">
        <x:v>Công ty CP Dịch vụ Thương mại TLG Việt Nam</x:v>
      </x:c>
      <x:c r="M790"/>
      <x:c r="N790" t="str">
        <x:v>Công ty TNHH mỹ phẩm Việt Hương</x:v>
      </x:c>
      <x:c r="O790" t="str">
        <x:v>Đình chỉ lưu hành, thu hồi và tiêu hủy – Công văn 1772/QLD-MP</x:v>
      </x:c>
      <x:c r="P790" t="str">
        <x:v>A++ – Cục Quản lý Dược; tổ chức chịu trách nhiệm explicit</x:v>
      </x:c>
      <x:c r="Q790" t="str">
        <x:v>Phụ lục 511 sản phẩm, STT 427, trang 14. Công ty Việt Hương là cơ sở sản xuất; cột tổ chức chịu trách nhiệm lấy nguyên văn từ phụ lục.</x:v>
      </x:c>
      <x:c r="R790" t="str">
        <x:v>https://dav.gov.vn/cong-van-so-1772qld-mp-ve-viec-dinh-chi-luu-hanh-thu-hoi-va-tieu-huy-my-pham-vi-pham-cong-ty-tnhh-my-pham-viet-huong-n5334.html</x:v>
      </x:c>
      <x:c r="S790" t="str">
        <x:v>Hà Nội</x:v>
      </x:c>
      <x:c r="T790" t="str">
        <x:v>01</x:v>
      </x:c>
    </x:row>
    <x:row r="791">
      <x:c r="A791" t="n">
        <x:v>790</x:v>
      </x:c>
      <x:c r="B791" s="330"/>
      <x:c r="C791" s="330" t="n">
        <x:v>46155</x:v>
      </x:c>
      <x:c r="D791" t="n">
        <x:v>2025</x:v>
      </x:c>
      <x:c r="E791"/>
      <x:c r="F791" t="str">
        <x:v>23367/25/CBMP-HN</x:v>
      </x:c>
      <x:c r="G791"/>
      <x:c r="H791" t="str">
        <x:v>Melasma Facial Cleanser</x:v>
      </x:c>
      <x:c r="I791"/>
      <x:c r="J791" t="str">
        <x:v>Sữa rửa mặt</x:v>
      </x:c>
      <x:c r="K791"/>
      <x:c r="L791" t="str">
        <x:v>Công ty CP Dịch vụ Thương mại TLG Việt Nam</x:v>
      </x:c>
      <x:c r="M791"/>
      <x:c r="N791" t="str">
        <x:v>Công ty TNHH mỹ phẩm Việt Hương</x:v>
      </x:c>
      <x:c r="O791" t="str">
        <x:v>Đình chỉ lưu hành, thu hồi và tiêu hủy – Công văn 1772/QLD-MP</x:v>
      </x:c>
      <x:c r="P791" t="str">
        <x:v>A++ – Cục Quản lý Dược; tổ chức chịu trách nhiệm explicit</x:v>
      </x:c>
      <x:c r="Q791" t="str">
        <x:v>Phụ lục 511 sản phẩm, STT 428, trang 14. Công ty Việt Hương là cơ sở sản xuất; cột tổ chức chịu trách nhiệm lấy nguyên văn từ phụ lục.</x:v>
      </x:c>
      <x:c r="R791" t="str">
        <x:v>https://dav.gov.vn/cong-van-so-1772qld-mp-ve-viec-dinh-chi-luu-hanh-thu-hoi-va-tieu-huy-my-pham-vi-pham-cong-ty-tnhh-my-pham-viet-huong-n5334.html</x:v>
      </x:c>
      <x:c r="S791" t="str">
        <x:v>Hà Nội</x:v>
      </x:c>
      <x:c r="T791" t="str">
        <x:v>01</x:v>
      </x:c>
    </x:row>
    <x:row r="792">
      <x:c r="A792" t="n">
        <x:v>791</x:v>
      </x:c>
      <x:c r="B792" s="330"/>
      <x:c r="C792" s="330" t="n">
        <x:v>46155</x:v>
      </x:c>
      <x:c r="D792" t="n">
        <x:v>2025</x:v>
      </x:c>
      <x:c r="E792"/>
      <x:c r="F792" t="str">
        <x:v>23957/25/CBMP-HN</x:v>
      </x:c>
      <x:c r="G792"/>
      <x:c r="H792" t="str">
        <x:v>Melasma sun shield</x:v>
      </x:c>
      <x:c r="I792"/>
      <x:c r="J792" t="str">
        <x:v>Khác</x:v>
      </x:c>
      <x:c r="K792"/>
      <x:c r="L792" t="str">
        <x:v>Công ty CP Dịch vụ Thương mại TLG Việt Nam</x:v>
      </x:c>
      <x:c r="M792"/>
      <x:c r="N792" t="str">
        <x:v>Công ty TNHH mỹ phẩm Việt Hương</x:v>
      </x:c>
      <x:c r="O792" t="str">
        <x:v>Đình chỉ lưu hành, thu hồi và tiêu hủy – Công văn 1772/QLD-MP</x:v>
      </x:c>
      <x:c r="P792" t="str">
        <x:v>A++ – Cục Quản lý Dược; tổ chức chịu trách nhiệm explicit</x:v>
      </x:c>
      <x:c r="Q792" t="str">
        <x:v>Phụ lục 511 sản phẩm, STT 429, trang 14. Công ty Việt Hương là cơ sở sản xuất; cột tổ chức chịu trách nhiệm lấy nguyên văn từ phụ lục.</x:v>
      </x:c>
      <x:c r="R792" t="str">
        <x:v>https://dav.gov.vn/cong-van-so-1772qld-mp-ve-viec-dinh-chi-luu-hanh-thu-hoi-va-tieu-huy-my-pham-vi-pham-cong-ty-tnhh-my-pham-viet-huong-n5334.html</x:v>
      </x:c>
      <x:c r="S792" t="str">
        <x:v>Hà Nội</x:v>
      </x:c>
      <x:c r="T792" t="str">
        <x:v>01</x:v>
      </x:c>
    </x:row>
    <x:row r="793">
      <x:c r="A793" t="n">
        <x:v>792</x:v>
      </x:c>
      <x:c r="B793" s="330"/>
      <x:c r="C793" s="330" t="n">
        <x:v>46155</x:v>
      </x:c>
      <x:c r="D793" t="n">
        <x:v>2025</x:v>
      </x:c>
      <x:c r="E793"/>
      <x:c r="F793" t="str">
        <x:v>23958/25/CBMP-HN</x:v>
      </x:c>
      <x:c r="G793"/>
      <x:c r="H793" t="str">
        <x:v>Melasma milky</x:v>
      </x:c>
      <x:c r="I793"/>
      <x:c r="J793" t="str">
        <x:v>Khác</x:v>
      </x:c>
      <x:c r="K793"/>
      <x:c r="L793" t="str">
        <x:v>Công ty CP Dịch vụ Thương mại TLG Việt Nam</x:v>
      </x:c>
      <x:c r="M793"/>
      <x:c r="N793" t="str">
        <x:v>Công ty TNHH mỹ phẩm Việt Hương</x:v>
      </x:c>
      <x:c r="O793" t="str">
        <x:v>Đình chỉ lưu hành, thu hồi và tiêu hủy – Công văn 1772/QLD-MP</x:v>
      </x:c>
      <x:c r="P793" t="str">
        <x:v>A++ – Cục Quản lý Dược; tổ chức chịu trách nhiệm explicit</x:v>
      </x:c>
      <x:c r="Q793" t="str">
        <x:v>Phụ lục 511 sản phẩm, STT 430, trang 14. Công ty Việt Hương là cơ sở sản xuất; cột tổ chức chịu trách nhiệm lấy nguyên văn từ phụ lục.</x:v>
      </x:c>
      <x:c r="R793" t="str">
        <x:v>https://dav.gov.vn/cong-van-so-1772qld-mp-ve-viec-dinh-chi-luu-hanh-thu-hoi-va-tieu-huy-my-pham-vi-pham-cong-ty-tnhh-my-pham-viet-huong-n5334.html</x:v>
      </x:c>
      <x:c r="S793" t="str">
        <x:v>Hà Nội</x:v>
      </x:c>
      <x:c r="T793" t="str">
        <x:v>01</x:v>
      </x:c>
    </x:row>
    <x:row r="794">
      <x:c r="A794" t="n">
        <x:v>793</x:v>
      </x:c>
      <x:c r="B794" s="330"/>
      <x:c r="C794" s="330" t="n">
        <x:v>46155</x:v>
      </x:c>
      <x:c r="D794" t="n">
        <x:v>2025</x:v>
      </x:c>
      <x:c r="E794"/>
      <x:c r="F794" t="str">
        <x:v>24077/25/CBMP-HN</x:v>
      </x:c>
      <x:c r="G794"/>
      <x:c r="H794" t="str">
        <x:v>Oli lab</x:v>
      </x:c>
      <x:c r="I794"/>
      <x:c r="J794" t="str">
        <x:v>Khác</x:v>
      </x:c>
      <x:c r="K794"/>
      <x:c r="L794" t="str">
        <x:v>Công ty CP Dịch vụ Thương mại TLG Việt Nam</x:v>
      </x:c>
      <x:c r="M794"/>
      <x:c r="N794" t="str">
        <x:v>Công ty TNHH mỹ phẩm Việt Hương</x:v>
      </x:c>
      <x:c r="O794" t="str">
        <x:v>Đình chỉ lưu hành, thu hồi và tiêu hủy – Công văn 1772/QLD-MP</x:v>
      </x:c>
      <x:c r="P794" t="str">
        <x:v>A++ – Cục Quản lý Dược; tổ chức chịu trách nhiệm explicit</x:v>
      </x:c>
      <x:c r="Q794" t="str">
        <x:v>Phụ lục 511 sản phẩm, STT 431, trang 14. Công ty Việt Hương là cơ sở sản xuất; cột tổ chức chịu trách nhiệm lấy nguyên văn từ phụ lục.</x:v>
      </x:c>
      <x:c r="R794" t="str">
        <x:v>https://dav.gov.vn/cong-van-so-1772qld-mp-ve-viec-dinh-chi-luu-hanh-thu-hoi-va-tieu-huy-my-pham-vi-pham-cong-ty-tnhh-my-pham-viet-huong-n5334.html</x:v>
      </x:c>
      <x:c r="S794" t="str">
        <x:v>Hà Nội</x:v>
      </x:c>
      <x:c r="T794" t="str">
        <x:v>01</x:v>
      </x:c>
    </x:row>
    <x:row r="795">
      <x:c r="A795" t="n">
        <x:v>794</x:v>
      </x:c>
      <x:c r="B795" s="330"/>
      <x:c r="C795" s="330" t="n">
        <x:v>46155</x:v>
      </x:c>
      <x:c r="D795" t="n">
        <x:v>2025</x:v>
      </x:c>
      <x:c r="E795"/>
      <x:c r="F795" t="str">
        <x:v>24477/25/CBMP-HN</x:v>
      </x:c>
      <x:c r="G795"/>
      <x:c r="H795" t="str">
        <x:v>Ola lab</x:v>
      </x:c>
      <x:c r="I795"/>
      <x:c r="J795" t="str">
        <x:v>Khác</x:v>
      </x:c>
      <x:c r="K795"/>
      <x:c r="L795" t="str">
        <x:v>Công ty CP Dịch vụ Thương mại TLG Việt Nam</x:v>
      </x:c>
      <x:c r="M795"/>
      <x:c r="N795" t="str">
        <x:v>Công ty TNHH mỹ phẩm Việt Hương</x:v>
      </x:c>
      <x:c r="O795" t="str">
        <x:v>Đình chỉ lưu hành, thu hồi và tiêu hủy – Công văn 1772/QLD-MP</x:v>
      </x:c>
      <x:c r="P795" t="str">
        <x:v>A++ – Cục Quản lý Dược; tổ chức chịu trách nhiệm explicit</x:v>
      </x:c>
      <x:c r="Q795" t="str">
        <x:v>Phụ lục 511 sản phẩm, STT 432, trang 14. Công ty Việt Hương là cơ sở sản xuất; cột tổ chức chịu trách nhiệm lấy nguyên văn từ phụ lục.</x:v>
      </x:c>
      <x:c r="R795" t="str">
        <x:v>https://dav.gov.vn/cong-van-so-1772qld-mp-ve-viec-dinh-chi-luu-hanh-thu-hoi-va-tieu-huy-my-pham-vi-pham-cong-ty-tnhh-my-pham-viet-huong-n5334.html</x:v>
      </x:c>
      <x:c r="S795" t="str">
        <x:v>Hà Nội</x:v>
      </x:c>
      <x:c r="T795" t="str">
        <x:v>01</x:v>
      </x:c>
    </x:row>
    <x:row r="796">
      <x:c r="A796" t="n">
        <x:v>795</x:v>
      </x:c>
      <x:c r="B796" s="330"/>
      <x:c r="C796" s="330" t="n">
        <x:v>46155</x:v>
      </x:c>
      <x:c r="D796" t="n">
        <x:v>2024</x:v>
      </x:c>
      <x:c r="E796"/>
      <x:c r="F796" t="str">
        <x:v>22649/24/CBMP-HN</x:v>
      </x:c>
      <x:c r="G796"/>
      <x:c r="H796" t="str">
        <x:v>Sữa tắm trẻ em</x:v>
      </x:c>
      <x:c r="I796"/>
      <x:c r="J796" t="str">
        <x:v>Sữa tắm/Gel tắm</x:v>
      </x:c>
      <x:c r="K796"/>
      <x:c r="L796" t="str">
        <x:v>Công ty TNHH Quốc tế Bebino</x:v>
      </x:c>
      <x:c r="M796"/>
      <x:c r="N796" t="str">
        <x:v>Công ty TNHH mỹ phẩm Việt Hương</x:v>
      </x:c>
      <x:c r="O796" t="str">
        <x:v>Đình chỉ lưu hành, thu hồi và tiêu hủy – Công văn 1772/QLD-MP</x:v>
      </x:c>
      <x:c r="P796" t="str">
        <x:v>A++ – Cục Quản lý Dược; tổ chức chịu trách nhiệm explicit</x:v>
      </x:c>
      <x:c r="Q796" t="str">
        <x:v>Phụ lục 511 sản phẩm, STT 433, trang 14. Công ty Việt Hương là cơ sở sản xuất; cột tổ chức chịu trách nhiệm lấy nguyên văn từ phụ lục.</x:v>
      </x:c>
      <x:c r="R796" t="str">
        <x:v>https://dav.gov.vn/cong-van-so-1772qld-mp-ve-viec-dinh-chi-luu-hanh-thu-hoi-va-tieu-huy-my-pham-vi-pham-cong-ty-tnhh-my-pham-viet-huong-n5334.html</x:v>
      </x:c>
      <x:c r="S796" t="str">
        <x:v>Hà Nội</x:v>
      </x:c>
      <x:c r="T796" t="str">
        <x:v>01</x:v>
      </x:c>
    </x:row>
    <x:row r="797">
      <x:c r="A797" t="n">
        <x:v>796</x:v>
      </x:c>
      <x:c r="B797" s="330"/>
      <x:c r="C797" s="330" t="n">
        <x:v>46155</x:v>
      </x:c>
      <x:c r="D797" t="n">
        <x:v>2024</x:v>
      </x:c>
      <x:c r="E797"/>
      <x:c r="F797" t="str">
        <x:v>22650/24/CBMP-HN</x:v>
      </x:c>
      <x:c r="G797"/>
      <x:c r="H797" t="str">
        <x:v>Tinh dầu Tràm</x:v>
      </x:c>
      <x:c r="I797"/>
      <x:c r="J797" t="str">
        <x:v>Khác</x:v>
      </x:c>
      <x:c r="K797"/>
      <x:c r="L797" t="str">
        <x:v>Công ty TNHH Quốc tế Bebino</x:v>
      </x:c>
      <x:c r="M797"/>
      <x:c r="N797" t="str">
        <x:v>Công ty TNHH mỹ phẩm Việt Hương</x:v>
      </x:c>
      <x:c r="O797" t="str">
        <x:v>Đình chỉ lưu hành, thu hồi và tiêu hủy – Công văn 1772/QLD-MP</x:v>
      </x:c>
      <x:c r="P797" t="str">
        <x:v>A++ – Cục Quản lý Dược; tổ chức chịu trách nhiệm explicit</x:v>
      </x:c>
      <x:c r="Q797" t="str">
        <x:v>Phụ lục 511 sản phẩm, STT 434, trang 14. Công ty Việt Hương là cơ sở sản xuất; cột tổ chức chịu trách nhiệm lấy nguyên văn từ phụ lục.</x:v>
      </x:c>
      <x:c r="R797" t="str">
        <x:v>https://dav.gov.vn/cong-van-so-1772qld-mp-ve-viec-dinh-chi-luu-hanh-thu-hoi-va-tieu-huy-my-pham-vi-pham-cong-ty-tnhh-my-pham-viet-huong-n5334.html</x:v>
      </x:c>
      <x:c r="S797" t="str">
        <x:v>Hà Nội</x:v>
      </x:c>
      <x:c r="T797" t="str">
        <x:v>01</x:v>
      </x:c>
    </x:row>
    <x:row r="798">
      <x:c r="A798" t="n">
        <x:v>797</x:v>
      </x:c>
      <x:c r="B798" s="330"/>
      <x:c r="C798" s="330" t="n">
        <x:v>46155</x:v>
      </x:c>
      <x:c r="D798" t="n">
        <x:v>2025</x:v>
      </x:c>
      <x:c r="E798"/>
      <x:c r="F798" t="str">
        <x:v>24954/25/CBMP-HN</x:v>
      </x:c>
      <x:c r="G798"/>
      <x:c r="H798" t="str">
        <x:v>Nước tắm bé</x:v>
      </x:c>
      <x:c r="I798"/>
      <x:c r="J798" t="str">
        <x:v>Khác</x:v>
      </x:c>
      <x:c r="K798"/>
      <x:c r="L798" t="str">
        <x:v>Công ty TNHH Quốc tế Bebino</x:v>
      </x:c>
      <x:c r="M798"/>
      <x:c r="N798" t="str">
        <x:v>Công ty TNHH mỹ phẩm Việt Hương</x:v>
      </x:c>
      <x:c r="O798" t="str">
        <x:v>Đình chỉ lưu hành, thu hồi và tiêu hủy – Công văn 1772/QLD-MP</x:v>
      </x:c>
      <x:c r="P798" t="str">
        <x:v>A++ – Cục Quản lý Dược; tổ chức chịu trách nhiệm explicit</x:v>
      </x:c>
      <x:c r="Q798" t="str">
        <x:v>Phụ lục 511 sản phẩm, STT 435, trang 14. Công ty Việt Hương là cơ sở sản xuất; cột tổ chức chịu trách nhiệm lấy nguyên văn từ phụ lục.</x:v>
      </x:c>
      <x:c r="R798" t="str">
        <x:v>https://dav.gov.vn/cong-van-so-1772qld-mp-ve-viec-dinh-chi-luu-hanh-thu-hoi-va-tieu-huy-my-pham-vi-pham-cong-ty-tnhh-my-pham-viet-huong-n5334.html</x:v>
      </x:c>
      <x:c r="S798" t="str">
        <x:v>Hà Nội</x:v>
      </x:c>
      <x:c r="T798" t="str">
        <x:v>01</x:v>
      </x:c>
    </x:row>
    <x:row r="799">
      <x:c r="A799" t="n">
        <x:v>798</x:v>
      </x:c>
      <x:c r="B799" s="330"/>
      <x:c r="C799" s="330" t="n">
        <x:v>46155</x:v>
      </x:c>
      <x:c r="D799" t="n">
        <x:v>2025</x:v>
      </x:c>
      <x:c r="E799"/>
      <x:c r="F799" t="str">
        <x:v>25575/25/CBMP-HN</x:v>
      </x:c>
      <x:c r="G799"/>
      <x:c r="H799" t="str">
        <x:v>Mamababy care oil</x:v>
      </x:c>
      <x:c r="I799"/>
      <x:c r="J799" t="str">
        <x:v>Khác</x:v>
      </x:c>
      <x:c r="K799"/>
      <x:c r="L799" t="str">
        <x:v>Công ty TNHH Quốc tế Bebino</x:v>
      </x:c>
      <x:c r="M799"/>
      <x:c r="N799" t="str">
        <x:v>Công ty TNHH mỹ phẩm Việt Hương</x:v>
      </x:c>
      <x:c r="O799" t="str">
        <x:v>Đình chỉ lưu hành, thu hồi và tiêu hủy – Công văn 1772/QLD-MP</x:v>
      </x:c>
      <x:c r="P799" t="str">
        <x:v>A++ – Cục Quản lý Dược; tổ chức chịu trách nhiệm explicit</x:v>
      </x:c>
      <x:c r="Q799" t="str">
        <x:v>Phụ lục 511 sản phẩm, STT 436, trang 14. Công ty Việt Hương là cơ sở sản xuất; cột tổ chức chịu trách nhiệm lấy nguyên văn từ phụ lục.</x:v>
      </x:c>
      <x:c r="R799" t="str">
        <x:v>https://dav.gov.vn/cong-van-so-1772qld-mp-ve-viec-dinh-chi-luu-hanh-thu-hoi-va-tieu-huy-my-pham-vi-pham-cong-ty-tnhh-my-pham-viet-huong-n5334.html</x:v>
      </x:c>
      <x:c r="S799" t="str">
        <x:v>Hà Nội</x:v>
      </x:c>
      <x:c r="T799" t="str">
        <x:v>01</x:v>
      </x:c>
    </x:row>
    <x:row r="800">
      <x:c r="A800" t="n">
        <x:v>799</x:v>
      </x:c>
      <x:c r="B800" s="330"/>
      <x:c r="C800" s="330" t="n">
        <x:v>46155</x:v>
      </x:c>
      <x:c r="D800" t="n">
        <x:v>2025</x:v>
      </x:c>
      <x:c r="E800"/>
      <x:c r="F800" t="str">
        <x:v>25576/25/CBMP-HN</x:v>
      </x:c>
      <x:c r="G800"/>
      <x:c r="H800" t="str">
        <x:v>Bibicream</x:v>
      </x:c>
      <x:c r="I800"/>
      <x:c r="J800" t="str">
        <x:v>Kem dưỡng da</x:v>
      </x:c>
      <x:c r="K800"/>
      <x:c r="L800" t="str">
        <x:v>Công ty TNHH Quốc tế Bebino</x:v>
      </x:c>
      <x:c r="M800"/>
      <x:c r="N800" t="str">
        <x:v>Công ty TNHH mỹ phẩm Việt Hương</x:v>
      </x:c>
      <x:c r="O800" t="str">
        <x:v>Đình chỉ lưu hành, thu hồi và tiêu hủy – Công văn 1772/QLD-MP</x:v>
      </x:c>
      <x:c r="P800" t="str">
        <x:v>A++ – Cục Quản lý Dược; tổ chức chịu trách nhiệm explicit</x:v>
      </x:c>
      <x:c r="Q800" t="str">
        <x:v>Phụ lục 511 sản phẩm, STT 437, trang 14. Công ty Việt Hương là cơ sở sản xuất; cột tổ chức chịu trách nhiệm lấy nguyên văn từ phụ lục.</x:v>
      </x:c>
      <x:c r="R800" t="str">
        <x:v>https://dav.gov.vn/cong-van-so-1772qld-mp-ve-viec-dinh-chi-luu-hanh-thu-hoi-va-tieu-huy-my-pham-vi-pham-cong-ty-tnhh-my-pham-viet-huong-n5334.html</x:v>
      </x:c>
      <x:c r="S800" t="str">
        <x:v>Hà Nội</x:v>
      </x:c>
      <x:c r="T800" t="str">
        <x:v>01</x:v>
      </x:c>
    </x:row>
    <x:row r="801">
      <x:c r="A801" t="n">
        <x:v>800</x:v>
      </x:c>
      <x:c r="B801" s="330"/>
      <x:c r="C801" s="330" t="n">
        <x:v>46155</x:v>
      </x:c>
      <x:c r="D801" t="n">
        <x:v>2024</x:v>
      </x:c>
      <x:c r="E801"/>
      <x:c r="F801" t="str">
        <x:v>22690/24/CBMP-HN</x:v>
      </x:c>
      <x:c r="G801"/>
      <x:c r="H801" t="str">
        <x:v>Dynamic</x:v>
      </x:c>
      <x:c r="I801"/>
      <x:c r="J801" t="str">
        <x:v>Khác</x:v>
      </x:c>
      <x:c r="K801"/>
      <x:c r="L801" t="str">
        <x:v>Công ty TNHH Achadu Group</x:v>
      </x:c>
      <x:c r="M801"/>
      <x:c r="N801" t="str">
        <x:v>Công ty TNHH mỹ phẩm Việt Hương</x:v>
      </x:c>
      <x:c r="O801" t="str">
        <x:v>Đình chỉ lưu hành, thu hồi và tiêu hủy – Công văn 1772/QLD-MP</x:v>
      </x:c>
      <x:c r="P801" t="str">
        <x:v>A++ – Cục Quản lý Dược; tổ chức chịu trách nhiệm explicit</x:v>
      </x:c>
      <x:c r="Q801" t="str">
        <x:v>Phụ lục 511 sản phẩm, STT 438, trang 14. Công ty Việt Hương là cơ sở sản xuất; cột tổ chức chịu trách nhiệm lấy nguyên văn từ phụ lục.</x:v>
      </x:c>
      <x:c r="R801" t="str">
        <x:v>https://dav.gov.vn/cong-van-so-1772qld-mp-ve-viec-dinh-chi-luu-hanh-thu-hoi-va-tieu-huy-my-pham-vi-pham-cong-ty-tnhh-my-pham-viet-huong-n5334.html</x:v>
      </x:c>
      <x:c r="S801" t="str">
        <x:v>Hà Nội</x:v>
      </x:c>
      <x:c r="T801" t="str">
        <x:v>01</x:v>
      </x:c>
    </x:row>
    <x:row r="802">
      <x:c r="A802" t="n">
        <x:v>801</x:v>
      </x:c>
      <x:c r="B802" s="330"/>
      <x:c r="C802" s="330" t="n">
        <x:v>46155</x:v>
      </x:c>
      <x:c r="D802" t="n">
        <x:v>2024</x:v>
      </x:c>
      <x:c r="E802"/>
      <x:c r="F802" t="str">
        <x:v>22691/24/CBMP-HN</x:v>
      </x:c>
      <x:c r="G802"/>
      <x:c r="H802" t="str">
        <x:v>First Love</x:v>
      </x:c>
      <x:c r="I802"/>
      <x:c r="J802" t="str">
        <x:v>Khác</x:v>
      </x:c>
      <x:c r="K802"/>
      <x:c r="L802" t="str">
        <x:v>Công ty TNHH Achadu Group</x:v>
      </x:c>
      <x:c r="M802"/>
      <x:c r="N802" t="str">
        <x:v>Công ty TNHH mỹ phẩm Việt Hương</x:v>
      </x:c>
      <x:c r="O802" t="str">
        <x:v>Đình chỉ lưu hành, thu hồi và tiêu hủy – Công văn 1772/QLD-MP</x:v>
      </x:c>
      <x:c r="P802" t="str">
        <x:v>A++ – Cục Quản lý Dược; tổ chức chịu trách nhiệm explicit</x:v>
      </x:c>
      <x:c r="Q802" t="str">
        <x:v>Phụ lục 511 sản phẩm, STT 439, trang 14. Công ty Việt Hương là cơ sở sản xuất; cột tổ chức chịu trách nhiệm lấy nguyên văn từ phụ lục.</x:v>
      </x:c>
      <x:c r="R802" t="str">
        <x:v>https://dav.gov.vn/cong-van-so-1772qld-mp-ve-viec-dinh-chi-luu-hanh-thu-hoi-va-tieu-huy-my-pham-vi-pham-cong-ty-tnhh-my-pham-viet-huong-n5334.html</x:v>
      </x:c>
      <x:c r="S802" t="str">
        <x:v>Hà Nội</x:v>
      </x:c>
      <x:c r="T802" t="str">
        <x:v>01</x:v>
      </x:c>
    </x:row>
    <x:row r="803">
      <x:c r="A803" t="n">
        <x:v>802</x:v>
      </x:c>
      <x:c r="B803" s="330"/>
      <x:c r="C803" s="330" t="n">
        <x:v>46155</x:v>
      </x:c>
      <x:c r="D803" t="n">
        <x:v>2024</x:v>
      </x:c>
      <x:c r="E803"/>
      <x:c r="F803" t="str">
        <x:v>22692/24/CBMP-HN</x:v>
      </x:c>
      <x:c r="G803"/>
      <x:c r="H803" t="str">
        <x:v>Honey Date</x:v>
      </x:c>
      <x:c r="I803"/>
      <x:c r="J803" t="str">
        <x:v>Khác</x:v>
      </x:c>
      <x:c r="K803"/>
      <x:c r="L803" t="str">
        <x:v>Công ty TNHH Achadu Group</x:v>
      </x:c>
      <x:c r="M803"/>
      <x:c r="N803" t="str">
        <x:v>Công ty TNHH mỹ phẩm Việt Hương</x:v>
      </x:c>
      <x:c r="O803" t="str">
        <x:v>Đình chỉ lưu hành, thu hồi và tiêu hủy – Công văn 1772/QLD-MP</x:v>
      </x:c>
      <x:c r="P803" t="str">
        <x:v>A++ – Cục Quản lý Dược; tổ chức chịu trách nhiệm explicit</x:v>
      </x:c>
      <x:c r="Q803" t="str">
        <x:v>Phụ lục 511 sản phẩm, STT 440, trang 14. Công ty Việt Hương là cơ sở sản xuất; cột tổ chức chịu trách nhiệm lấy nguyên văn từ phụ lục.</x:v>
      </x:c>
      <x:c r="R803" t="str">
        <x:v>https://dav.gov.vn/cong-van-so-1772qld-mp-ve-viec-dinh-chi-luu-hanh-thu-hoi-va-tieu-huy-my-pham-vi-pham-cong-ty-tnhh-my-pham-viet-huong-n5334.html</x:v>
      </x:c>
      <x:c r="S803" t="str">
        <x:v>Hà Nội</x:v>
      </x:c>
      <x:c r="T803" t="str">
        <x:v>01</x:v>
      </x:c>
    </x:row>
    <x:row r="804">
      <x:c r="A804" t="n">
        <x:v>803</x:v>
      </x:c>
      <x:c r="B804" s="330"/>
      <x:c r="C804" s="330" t="n">
        <x:v>46155</x:v>
      </x:c>
      <x:c r="D804" t="n">
        <x:v>2024</x:v>
      </x:c>
      <x:c r="E804"/>
      <x:c r="F804" t="str">
        <x:v>22693/24/CBMP-HN</x:v>
      </x:c>
      <x:c r="G804"/>
      <x:c r="H804" t="str">
        <x:v>Rose Sexy</x:v>
      </x:c>
      <x:c r="I804"/>
      <x:c r="J804" t="str">
        <x:v>Khác</x:v>
      </x:c>
      <x:c r="K804"/>
      <x:c r="L804" t="str">
        <x:v>Công ty TNHH Achadu Group</x:v>
      </x:c>
      <x:c r="M804"/>
      <x:c r="N804" t="str">
        <x:v>Công ty TNHH mỹ phẩm Việt Hương</x:v>
      </x:c>
      <x:c r="O804" t="str">
        <x:v>Đình chỉ lưu hành, thu hồi và tiêu hủy – Công văn 1772/QLD-MP</x:v>
      </x:c>
      <x:c r="P804" t="str">
        <x:v>A++ – Cục Quản lý Dược; tổ chức chịu trách nhiệm explicit</x:v>
      </x:c>
      <x:c r="Q804" t="str">
        <x:v>Phụ lục 511 sản phẩm, STT 441, trang 14. Công ty Việt Hương là cơ sở sản xuất; cột tổ chức chịu trách nhiệm lấy nguyên văn từ phụ lục.</x:v>
      </x:c>
      <x:c r="R804" t="str">
        <x:v>https://dav.gov.vn/cong-van-so-1772qld-mp-ve-viec-dinh-chi-luu-hanh-thu-hoi-va-tieu-huy-my-pham-vi-pham-cong-ty-tnhh-my-pham-viet-huong-n5334.html</x:v>
      </x:c>
      <x:c r="S804" t="str">
        <x:v>Hà Nội</x:v>
      </x:c>
      <x:c r="T804" t="str">
        <x:v>01</x:v>
      </x:c>
    </x:row>
    <x:row r="805">
      <x:c r="A805" t="n">
        <x:v>804</x:v>
      </x:c>
      <x:c r="B805" s="330"/>
      <x:c r="C805" s="330" t="n">
        <x:v>46155</x:v>
      </x:c>
      <x:c r="D805" t="n">
        <x:v>2024</x:v>
      </x:c>
      <x:c r="E805"/>
      <x:c r="F805" t="str">
        <x:v>22695/24/CBMP-HN</x:v>
      </x:c>
      <x:c r="G805"/>
      <x:c r="H805" t="str">
        <x:v>Creed For Man</x:v>
      </x:c>
      <x:c r="I805"/>
      <x:c r="J805" t="str">
        <x:v>Khác</x:v>
      </x:c>
      <x:c r="K805"/>
      <x:c r="L805" t="str">
        <x:v>Công ty TNHH Achadu Group</x:v>
      </x:c>
      <x:c r="M805"/>
      <x:c r="N805" t="str">
        <x:v>Công ty TNHH mỹ phẩm Việt Hương</x:v>
      </x:c>
      <x:c r="O805" t="str">
        <x:v>Đình chỉ lưu hành, thu hồi và tiêu hủy – Công văn 1772/QLD-MP</x:v>
      </x:c>
      <x:c r="P805" t="str">
        <x:v>A++ – Cục Quản lý Dược; tổ chức chịu trách nhiệm explicit</x:v>
      </x:c>
      <x:c r="Q805" t="str">
        <x:v>Phụ lục 511 sản phẩm, STT 442, trang 14. Công ty Việt Hương là cơ sở sản xuất; cột tổ chức chịu trách nhiệm lấy nguyên văn từ phụ lục.</x:v>
      </x:c>
      <x:c r="R805" t="str">
        <x:v>https://dav.gov.vn/cong-van-so-1772qld-mp-ve-viec-dinh-chi-luu-hanh-thu-hoi-va-tieu-huy-my-pham-vi-pham-cong-ty-tnhh-my-pham-viet-huong-n5334.html</x:v>
      </x:c>
      <x:c r="S805" t="str">
        <x:v>Hà Nội</x:v>
      </x:c>
      <x:c r="T805" t="str">
        <x:v>01</x:v>
      </x:c>
    </x:row>
    <x:row r="806">
      <x:c r="A806" t="n">
        <x:v>805</x:v>
      </x:c>
      <x:c r="B806" s="330"/>
      <x:c r="C806" s="330" t="n">
        <x:v>46155</x:v>
      </x:c>
      <x:c r="D806" t="n">
        <x:v>2024</x:v>
      </x:c>
      <x:c r="E806"/>
      <x:c r="F806" t="str">
        <x:v>22720/24/CBMP-HN</x:v>
      </x:c>
      <x:c r="G806"/>
      <x:c r="H806" t="str">
        <x:v>Gel tẩy da chết Cà Phê</x:v>
      </x:c>
      <x:c r="I806"/>
      <x:c r="J806" t="str">
        <x:v>Khác</x:v>
      </x:c>
      <x:c r="K806"/>
      <x:c r="L806" t="str">
        <x:v>Công ty TNHH Achadu Group</x:v>
      </x:c>
      <x:c r="M806"/>
      <x:c r="N806" t="str">
        <x:v>Công ty TNHH mỹ phẩm Việt Hương</x:v>
      </x:c>
      <x:c r="O806" t="str">
        <x:v>Đình chỉ lưu hành, thu hồi và tiêu hủy – Công văn 1772/QLD-MP</x:v>
      </x:c>
      <x:c r="P806" t="str">
        <x:v>A++ – Cục Quản lý Dược; tổ chức chịu trách nhiệm explicit</x:v>
      </x:c>
      <x:c r="Q806" t="str">
        <x:v>Phụ lục 511 sản phẩm, STT 443, trang 14. Công ty Việt Hương là cơ sở sản xuất; cột tổ chức chịu trách nhiệm lấy nguyên văn từ phụ lục.</x:v>
      </x:c>
      <x:c r="R806" t="str">
        <x:v>https://dav.gov.vn/cong-van-so-1772qld-mp-ve-viec-dinh-chi-luu-hanh-thu-hoi-va-tieu-huy-my-pham-vi-pham-cong-ty-tnhh-my-pham-viet-huong-n5334.html</x:v>
      </x:c>
      <x:c r="S806" t="str">
        <x:v>Hà Nội</x:v>
      </x:c>
      <x:c r="T806" t="str">
        <x:v>01</x:v>
      </x:c>
    </x:row>
    <x:row r="807">
      <x:c r="A807" t="n">
        <x:v>806</x:v>
      </x:c>
      <x:c r="B807" s="330"/>
      <x:c r="C807" s="330" t="n">
        <x:v>46155</x:v>
      </x:c>
      <x:c r="D807" t="n">
        <x:v>2025</x:v>
      </x:c>
      <x:c r="E807"/>
      <x:c r="F807" t="str">
        <x:v>26552/25/CBMP-HN</x:v>
      </x:c>
      <x:c r="G807"/>
      <x:c r="H807" t="str">
        <x:v>GEL TẨY DA CHẾT CÀ PHÊ</x:v>
      </x:c>
      <x:c r="I807"/>
      <x:c r="J807" t="str">
        <x:v>Khác</x:v>
      </x:c>
      <x:c r="K807"/>
      <x:c r="L807" t="str">
        <x:v>Công ty cổ phần sản phẩm thiên nhiên và hữu cơ Ona Global</x:v>
      </x:c>
      <x:c r="M807"/>
      <x:c r="N807" t="str">
        <x:v>Công ty TNHH mỹ phẩm Việt Hương</x:v>
      </x:c>
      <x:c r="O807" t="str">
        <x:v>Đình chỉ lưu hành, thu hồi và tiêu hủy – Công văn 1772/QLD-MP</x:v>
      </x:c>
      <x:c r="P807" t="str">
        <x:v>A++ – Cục Quản lý Dược; tổ chức chịu trách nhiệm explicit</x:v>
      </x:c>
      <x:c r="Q807" t="str">
        <x:v>Phụ lục 511 sản phẩm, STT 444, trang 15. Công ty Việt Hương là cơ sở sản xuất; cột tổ chức chịu trách nhiệm lấy nguyên văn từ phụ lục.</x:v>
      </x:c>
      <x:c r="R807" t="str">
        <x:v>https://dav.gov.vn/cong-van-so-1772qld-mp-ve-viec-dinh-chi-luu-hanh-thu-hoi-va-tieu-huy-my-pham-vi-pham-cong-ty-tnhh-my-pham-viet-huong-n5334.html</x:v>
      </x:c>
      <x:c r="S807" t="str">
        <x:v>Hà Nội</x:v>
      </x:c>
      <x:c r="T807" t="str">
        <x:v>01</x:v>
      </x:c>
    </x:row>
    <x:row r="808">
      <x:c r="A808" t="n">
        <x:v>807</x:v>
      </x:c>
      <x:c r="B808" s="330"/>
      <x:c r="C808" s="330" t="n">
        <x:v>46155</x:v>
      </x:c>
      <x:c r="D808" t="n">
        <x:v>2024</x:v>
      </x:c>
      <x:c r="E808"/>
      <x:c r="F808" t="str">
        <x:v>22923/24/CBMP-HN</x:v>
      </x:c>
      <x:c r="G808"/>
      <x:c r="H808" t="str">
        <x:v>Armpit Plus Serum</x:v>
      </x:c>
      <x:c r="I808"/>
      <x:c r="J808" t="str">
        <x:v>Serum/Essence da</x:v>
      </x:c>
      <x:c r="K808"/>
      <x:c r="L808" t="str">
        <x:v>Hộ kinh doanh Nhật Minh</x:v>
      </x:c>
      <x:c r="M808"/>
      <x:c r="N808" t="str">
        <x:v>Công ty TNHH mỹ phẩm Việt Hương</x:v>
      </x:c>
      <x:c r="O808" t="str">
        <x:v>Đình chỉ lưu hành, thu hồi và tiêu hủy – Công văn 1772/QLD-MP</x:v>
      </x:c>
      <x:c r="P808" t="str">
        <x:v>A++ – Cục Quản lý Dược; tổ chức chịu trách nhiệm explicit</x:v>
      </x:c>
      <x:c r="Q808" t="str">
        <x:v>Phụ lục 511 sản phẩm, STT 445, trang 15. Công ty Việt Hương là cơ sở sản xuất; cột tổ chức chịu trách nhiệm lấy nguyên văn từ phụ lục.</x:v>
      </x:c>
      <x:c r="R808" t="str">
        <x:v>https://dav.gov.vn/cong-van-so-1772qld-mp-ve-viec-dinh-chi-luu-hanh-thu-hoi-va-tieu-huy-my-pham-vi-pham-cong-ty-tnhh-my-pham-viet-huong-n5334.html</x:v>
      </x:c>
      <x:c r="S808" t="str">
        <x:v>Hà Nội</x:v>
      </x:c>
      <x:c r="T808" t="str">
        <x:v>01</x:v>
      </x:c>
    </x:row>
    <x:row r="809">
      <x:c r="A809" t="n">
        <x:v>808</x:v>
      </x:c>
      <x:c r="B809" s="330"/>
      <x:c r="C809" s="330" t="n">
        <x:v>46155</x:v>
      </x:c>
      <x:c r="D809" t="n">
        <x:v>2025</x:v>
      </x:c>
      <x:c r="E809"/>
      <x:c r="F809" t="str">
        <x:v>23139/25/CBMP-HN</x:v>
      </x:c>
      <x:c r="G809"/>
      <x:c r="H809" t="str">
        <x:v>Red sin</x:v>
      </x:c>
      <x:c r="I809"/>
      <x:c r="J809" t="str">
        <x:v>Khác</x:v>
      </x:c>
      <x:c r="K809"/>
      <x:c r="L809" t="str">
        <x:v>Công ty TNHH Đầu tư thương mại Gen Global</x:v>
      </x:c>
      <x:c r="M809"/>
      <x:c r="N809" t="str">
        <x:v>Công ty TNHH mỹ phẩm Việt Hương</x:v>
      </x:c>
      <x:c r="O809" t="str">
        <x:v>Đình chỉ lưu hành, thu hồi và tiêu hủy – Công văn 1772/QLD-MP</x:v>
      </x:c>
      <x:c r="P809" t="str">
        <x:v>A++ – Cục Quản lý Dược; tổ chức chịu trách nhiệm explicit</x:v>
      </x:c>
      <x:c r="Q809" t="str">
        <x:v>Phụ lục 511 sản phẩm, STT 446, trang 15. Công ty Việt Hương là cơ sở sản xuất; cột tổ chức chịu trách nhiệm lấy nguyên văn từ phụ lục.</x:v>
      </x:c>
      <x:c r="R809" t="str">
        <x:v>https://dav.gov.vn/cong-van-so-1772qld-mp-ve-viec-dinh-chi-luu-hanh-thu-hoi-va-tieu-huy-my-pham-vi-pham-cong-ty-tnhh-my-pham-viet-huong-n5334.html</x:v>
      </x:c>
      <x:c r="S809" t="str">
        <x:v>Hà Nội</x:v>
      </x:c>
      <x:c r="T809" t="str">
        <x:v>01</x:v>
      </x:c>
    </x:row>
    <x:row r="810">
      <x:c r="A810" t="n">
        <x:v>809</x:v>
      </x:c>
      <x:c r="B810" s="330"/>
      <x:c r="C810" s="330" t="n">
        <x:v>46155</x:v>
      </x:c>
      <x:c r="D810" t="n">
        <x:v>2025</x:v>
      </x:c>
      <x:c r="E810"/>
      <x:c r="F810" t="str">
        <x:v>23140/25/CBMP-HN</x:v>
      </x:c>
      <x:c r="G810"/>
      <x:c r="H810" t="str">
        <x:v>Sinful breeze</x:v>
      </x:c>
      <x:c r="I810"/>
      <x:c r="J810" t="str">
        <x:v>Khác</x:v>
      </x:c>
      <x:c r="K810"/>
      <x:c r="L810" t="str">
        <x:v>Công ty TNHH Đầu tư thương mại Gen Global</x:v>
      </x:c>
      <x:c r="M810"/>
      <x:c r="N810" t="str">
        <x:v>Công ty TNHH mỹ phẩm Việt Hương</x:v>
      </x:c>
      <x:c r="O810" t="str">
        <x:v>Đình chỉ lưu hành, thu hồi và tiêu hủy – Công văn 1772/QLD-MP</x:v>
      </x:c>
      <x:c r="P810" t="str">
        <x:v>A++ – Cục Quản lý Dược; tổ chức chịu trách nhiệm explicit</x:v>
      </x:c>
      <x:c r="Q810" t="str">
        <x:v>Phụ lục 511 sản phẩm, STT 447, trang 15. Công ty Việt Hương là cơ sở sản xuất; cột tổ chức chịu trách nhiệm lấy nguyên văn từ phụ lục.</x:v>
      </x:c>
      <x:c r="R810" t="str">
        <x:v>https://dav.gov.vn/cong-van-so-1772qld-mp-ve-viec-dinh-chi-luu-hanh-thu-hoi-va-tieu-huy-my-pham-vi-pham-cong-ty-tnhh-my-pham-viet-huong-n5334.html</x:v>
      </x:c>
      <x:c r="S810" t="str">
        <x:v>Hà Nội</x:v>
      </x:c>
      <x:c r="T810" t="str">
        <x:v>01</x:v>
      </x:c>
    </x:row>
    <x:row r="811">
      <x:c r="A811" t="n">
        <x:v>810</x:v>
      </x:c>
      <x:c r="B811" s="330"/>
      <x:c r="C811" s="330" t="n">
        <x:v>46155</x:v>
      </x:c>
      <x:c r="D811" t="n">
        <x:v>2025</x:v>
      </x:c>
      <x:c r="E811"/>
      <x:c r="F811" t="str">
        <x:v>23141/25/CBMP-HN</x:v>
      </x:c>
      <x:c r="G811"/>
      <x:c r="H811" t="str">
        <x:v>Lust of life</x:v>
      </x:c>
      <x:c r="I811"/>
      <x:c r="J811" t="str">
        <x:v>Khác</x:v>
      </x:c>
      <x:c r="K811"/>
      <x:c r="L811" t="str">
        <x:v>Công ty TNHH Đầu tư thương mại Gen Global</x:v>
      </x:c>
      <x:c r="M811"/>
      <x:c r="N811" t="str">
        <x:v>Công ty TNHH mỹ phẩm Việt Hương</x:v>
      </x:c>
      <x:c r="O811" t="str">
        <x:v>Đình chỉ lưu hành, thu hồi và tiêu hủy – Công văn 1772/QLD-MP</x:v>
      </x:c>
      <x:c r="P811" t="str">
        <x:v>A++ – Cục Quản lý Dược; tổ chức chịu trách nhiệm explicit</x:v>
      </x:c>
      <x:c r="Q811" t="str">
        <x:v>Phụ lục 511 sản phẩm, STT 448, trang 15. Công ty Việt Hương là cơ sở sản xuất; cột tổ chức chịu trách nhiệm lấy nguyên văn từ phụ lục.</x:v>
      </x:c>
      <x:c r="R811" t="str">
        <x:v>https://dav.gov.vn/cong-van-so-1772qld-mp-ve-viec-dinh-chi-luu-hanh-thu-hoi-va-tieu-huy-my-pham-vi-pham-cong-ty-tnhh-my-pham-viet-huong-n5334.html</x:v>
      </x:c>
      <x:c r="S811" t="str">
        <x:v>Hà Nội</x:v>
      </x:c>
      <x:c r="T811" t="str">
        <x:v>01</x:v>
      </x:c>
    </x:row>
    <x:row r="812">
      <x:c r="A812" t="n">
        <x:v>811</x:v>
      </x:c>
      <x:c r="B812" s="330"/>
      <x:c r="C812" s="330" t="n">
        <x:v>46155</x:v>
      </x:c>
      <x:c r="D812" t="n">
        <x:v>2025</x:v>
      </x:c>
      <x:c r="E812"/>
      <x:c r="F812" t="str">
        <x:v>23142/25/CBMP-HN</x:v>
      </x:c>
      <x:c r="G812"/>
      <x:c r="H812" t="str">
        <x:v>Blue murmur</x:v>
      </x:c>
      <x:c r="I812"/>
      <x:c r="J812" t="str">
        <x:v>Khác</x:v>
      </x:c>
      <x:c r="K812"/>
      <x:c r="L812" t="str">
        <x:v>Công ty TNHH Đầu tư thương mại Gen Global</x:v>
      </x:c>
      <x:c r="M812"/>
      <x:c r="N812" t="str">
        <x:v>Công ty TNHH mỹ phẩm Việt Hương</x:v>
      </x:c>
      <x:c r="O812" t="str">
        <x:v>Đình chỉ lưu hành, thu hồi và tiêu hủy – Công văn 1772/QLD-MP</x:v>
      </x:c>
      <x:c r="P812" t="str">
        <x:v>A++ – Cục Quản lý Dược; tổ chức chịu trách nhiệm explicit</x:v>
      </x:c>
      <x:c r="Q812" t="str">
        <x:v>Phụ lục 511 sản phẩm, STT 449, trang 15. Công ty Việt Hương là cơ sở sản xuất; cột tổ chức chịu trách nhiệm lấy nguyên văn từ phụ lục.</x:v>
      </x:c>
      <x:c r="R812" t="str">
        <x:v>https://dav.gov.vn/cong-van-so-1772qld-mp-ve-viec-dinh-chi-luu-hanh-thu-hoi-va-tieu-huy-my-pham-vi-pham-cong-ty-tnhh-my-pham-viet-huong-n5334.html</x:v>
      </x:c>
      <x:c r="S812" t="str">
        <x:v>Hà Nội</x:v>
      </x:c>
      <x:c r="T812" t="str">
        <x:v>01</x:v>
      </x:c>
    </x:row>
    <x:row r="813">
      <x:c r="A813" t="n">
        <x:v>812</x:v>
      </x:c>
      <x:c r="B813" s="330"/>
      <x:c r="C813" s="330" t="n">
        <x:v>46155</x:v>
      </x:c>
      <x:c r="D813" t="n">
        <x:v>2025</x:v>
      </x:c>
      <x:c r="E813"/>
      <x:c r="F813" t="str">
        <x:v>23143/25/CBMP-HN</x:v>
      </x:c>
      <x:c r="G813"/>
      <x:c r="H813" t="str">
        <x:v>Bare skin</x:v>
      </x:c>
      <x:c r="I813"/>
      <x:c r="J813" t="str">
        <x:v>Khác</x:v>
      </x:c>
      <x:c r="K813"/>
      <x:c r="L813" t="str">
        <x:v>Công ty TNHH Đầu tư thương mại Gen Global</x:v>
      </x:c>
      <x:c r="M813"/>
      <x:c r="N813" t="str">
        <x:v>Công ty TNHH mỹ phẩm Việt Hương</x:v>
      </x:c>
      <x:c r="O813" t="str">
        <x:v>Đình chỉ lưu hành, thu hồi và tiêu hủy – Công văn 1772/QLD-MP</x:v>
      </x:c>
      <x:c r="P813" t="str">
        <x:v>A++ – Cục Quản lý Dược; tổ chức chịu trách nhiệm explicit</x:v>
      </x:c>
      <x:c r="Q813" t="str">
        <x:v>Phụ lục 511 sản phẩm, STT 450, trang 15. Công ty Việt Hương là cơ sở sản xuất; cột tổ chức chịu trách nhiệm lấy nguyên văn từ phụ lục.</x:v>
      </x:c>
      <x:c r="R813" t="str">
        <x:v>https://dav.gov.vn/cong-van-so-1772qld-mp-ve-viec-dinh-chi-luu-hanh-thu-hoi-va-tieu-huy-my-pham-vi-pham-cong-ty-tnhh-my-pham-viet-huong-n5334.html</x:v>
      </x:c>
      <x:c r="S813" t="str">
        <x:v>Hà Nội</x:v>
      </x:c>
      <x:c r="T813" t="str">
        <x:v>01</x:v>
      </x:c>
    </x:row>
    <x:row r="814">
      <x:c r="A814" t="n">
        <x:v>813</x:v>
      </x:c>
      <x:c r="B814" s="330"/>
      <x:c r="C814" s="330" t="n">
        <x:v>46155</x:v>
      </x:c>
      <x:c r="D814" t="n">
        <x:v>2025</x:v>
      </x:c>
      <x:c r="E814"/>
      <x:c r="F814" t="str">
        <x:v>23144/25/CBMP-HN</x:v>
      </x:c>
      <x:c r="G814"/>
      <x:c r="H814" t="str">
        <x:v>Venom</x:v>
      </x:c>
      <x:c r="I814"/>
      <x:c r="J814" t="str">
        <x:v>Khác</x:v>
      </x:c>
      <x:c r="K814"/>
      <x:c r="L814" t="str">
        <x:v>Công ty TNHH Đầu tư thương mại Gen Global</x:v>
      </x:c>
      <x:c r="M814"/>
      <x:c r="N814" t="str">
        <x:v>Công ty TNHH mỹ phẩm Việt Hương</x:v>
      </x:c>
      <x:c r="O814" t="str">
        <x:v>Đình chỉ lưu hành, thu hồi và tiêu hủy – Công văn 1772/QLD-MP</x:v>
      </x:c>
      <x:c r="P814" t="str">
        <x:v>A++ – Cục Quản lý Dược; tổ chức chịu trách nhiệm explicit</x:v>
      </x:c>
      <x:c r="Q814" t="str">
        <x:v>Phụ lục 511 sản phẩm, STT 451, trang 15. Công ty Việt Hương là cơ sở sản xuất; cột tổ chức chịu trách nhiệm lấy nguyên văn từ phụ lục.</x:v>
      </x:c>
      <x:c r="R814" t="str">
        <x:v>https://dav.gov.vn/cong-van-so-1772qld-mp-ve-viec-dinh-chi-luu-hanh-thu-hoi-va-tieu-huy-my-pham-vi-pham-cong-ty-tnhh-my-pham-viet-huong-n5334.html</x:v>
      </x:c>
      <x:c r="S814" t="str">
        <x:v>Hà Nội</x:v>
      </x:c>
      <x:c r="T814" t="str">
        <x:v>01</x:v>
      </x:c>
    </x:row>
    <x:row r="815">
      <x:c r="A815" t="n">
        <x:v>814</x:v>
      </x:c>
      <x:c r="B815" s="330"/>
      <x:c r="C815" s="330" t="n">
        <x:v>46155</x:v>
      </x:c>
      <x:c r="D815" t="n">
        <x:v>2025</x:v>
      </x:c>
      <x:c r="E815"/>
      <x:c r="F815" t="str">
        <x:v>23145/25/CBMP-HN</x:v>
      </x:c>
      <x:c r="G815"/>
      <x:c r="H815" t="str">
        <x:v>Cloud luxe</x:v>
      </x:c>
      <x:c r="I815"/>
      <x:c r="J815" t="str">
        <x:v>Khác</x:v>
      </x:c>
      <x:c r="K815"/>
      <x:c r="L815" t="str">
        <x:v>Công ty TNHH Đầu tư thương mại Gen Global</x:v>
      </x:c>
      <x:c r="M815"/>
      <x:c r="N815" t="str">
        <x:v>Công ty TNHH mỹ phẩm Việt Hương</x:v>
      </x:c>
      <x:c r="O815" t="str">
        <x:v>Đình chỉ lưu hành, thu hồi và tiêu hủy – Công văn 1772/QLD-MP</x:v>
      </x:c>
      <x:c r="P815" t="str">
        <x:v>A++ – Cục Quản lý Dược; tổ chức chịu trách nhiệm explicit</x:v>
      </x:c>
      <x:c r="Q815" t="str">
        <x:v>Phụ lục 511 sản phẩm, STT 452, trang 15. Công ty Việt Hương là cơ sở sản xuất; cột tổ chức chịu trách nhiệm lấy nguyên văn từ phụ lục.</x:v>
      </x:c>
      <x:c r="R815" t="str">
        <x:v>https://dav.gov.vn/cong-van-so-1772qld-mp-ve-viec-dinh-chi-luu-hanh-thu-hoi-va-tieu-huy-my-pham-vi-pham-cong-ty-tnhh-my-pham-viet-huong-n5334.html</x:v>
      </x:c>
      <x:c r="S815" t="str">
        <x:v>Hà Nội</x:v>
      </x:c>
      <x:c r="T815" t="str">
        <x:v>01</x:v>
      </x:c>
    </x:row>
    <x:row r="816">
      <x:c r="A816" t="n">
        <x:v>815</x:v>
      </x:c>
      <x:c r="B816" s="330"/>
      <x:c r="C816" s="330" t="n">
        <x:v>46155</x:v>
      </x:c>
      <x:c r="D816" t="n">
        <x:v>2025</x:v>
      </x:c>
      <x:c r="E816"/>
      <x:c r="F816" t="str">
        <x:v>23359/25/CBMP-HN</x:v>
      </x:c>
      <x:c r="G816"/>
      <x:c r="H816" t="str">
        <x:v>Morning glow</x:v>
      </x:c>
      <x:c r="I816"/>
      <x:c r="J816" t="str">
        <x:v>Khác</x:v>
      </x:c>
      <x:c r="K816"/>
      <x:c r="L816" t="str">
        <x:v>Công ty TNHH đầu tư và phát triển thương mại Hòa Anh</x:v>
      </x:c>
      <x:c r="M816"/>
      <x:c r="N816" t="str">
        <x:v>Công ty TNHH mỹ phẩm Việt Hương</x:v>
      </x:c>
      <x:c r="O816" t="str">
        <x:v>Đình chỉ lưu hành, thu hồi và tiêu hủy – Công văn 1772/QLD-MP</x:v>
      </x:c>
      <x:c r="P816" t="str">
        <x:v>A++ – Cục Quản lý Dược; tổ chức chịu trách nhiệm explicit</x:v>
      </x:c>
      <x:c r="Q816" t="str">
        <x:v>Phụ lục 511 sản phẩm, STT 453, trang 15. Công ty Việt Hương là cơ sở sản xuất; cột tổ chức chịu trách nhiệm lấy nguyên văn từ phụ lục.</x:v>
      </x:c>
      <x:c r="R816" t="str">
        <x:v>https://dav.gov.vn/cong-van-so-1772qld-mp-ve-viec-dinh-chi-luu-hanh-thu-hoi-va-tieu-huy-my-pham-vi-pham-cong-ty-tnhh-my-pham-viet-huong-n5334.html</x:v>
      </x:c>
      <x:c r="S816" t="str">
        <x:v>Hà Nội</x:v>
      </x:c>
      <x:c r="T816" t="str">
        <x:v>01</x:v>
      </x:c>
    </x:row>
    <x:row r="817">
      <x:c r="A817" t="n">
        <x:v>816</x:v>
      </x:c>
      <x:c r="B817" s="330"/>
      <x:c r="C817" s="330" t="n">
        <x:v>46155</x:v>
      </x:c>
      <x:c r="D817" t="n">
        <x:v>2026</x:v>
      </x:c>
      <x:c r="E817"/>
      <x:c r="F817" t="str">
        <x:v>26561/26/CBMP-HN</x:v>
      </x:c>
      <x:c r="G817"/>
      <x:c r="H817" t="str">
        <x:v>SPOTLESS GLOW</x:v>
      </x:c>
      <x:c r="I817"/>
      <x:c r="J817" t="str">
        <x:v>Khác</x:v>
      </x:c>
      <x:c r="K817"/>
      <x:c r="L817" t="str">
        <x:v>Công ty TNHH đầu tư và phát triển thương mại Hòa Anh</x:v>
      </x:c>
      <x:c r="M817"/>
      <x:c r="N817" t="str">
        <x:v>Công ty TNHH mỹ phẩm Việt Hương</x:v>
      </x:c>
      <x:c r="O817" t="str">
        <x:v>Đình chỉ lưu hành, thu hồi và tiêu hủy – Công văn 1772/QLD-MP</x:v>
      </x:c>
      <x:c r="P817" t="str">
        <x:v>A++ – Cục Quản lý Dược; tổ chức chịu trách nhiệm explicit</x:v>
      </x:c>
      <x:c r="Q817" t="str">
        <x:v>Phụ lục 511 sản phẩm, STT 454, trang 15. Công ty Việt Hương là cơ sở sản xuất; cột tổ chức chịu trách nhiệm lấy nguyên văn từ phụ lục.</x:v>
      </x:c>
      <x:c r="R817" t="str">
        <x:v>https://dav.gov.vn/cong-van-so-1772qld-mp-ve-viec-dinh-chi-luu-hanh-thu-hoi-va-tieu-huy-my-pham-vi-pham-cong-ty-tnhh-my-pham-viet-huong-n5334.html</x:v>
      </x:c>
      <x:c r="S817" t="str">
        <x:v>Hà Nội</x:v>
      </x:c>
      <x:c r="T817" t="str">
        <x:v>01</x:v>
      </x:c>
    </x:row>
    <x:row r="818">
      <x:c r="A818" t="n">
        <x:v>817</x:v>
      </x:c>
      <x:c r="B818" s="330"/>
      <x:c r="C818" s="330" t="n">
        <x:v>46155</x:v>
      </x:c>
      <x:c r="D818" t="n">
        <x:v>2025</x:v>
      </x:c>
      <x:c r="E818"/>
      <x:c r="F818" t="str">
        <x:v>23669/25/CBMP-HN</x:v>
      </x:c>
      <x:c r="G818"/>
      <x:c r="H818" t="str">
        <x:v>Soft kiss makeup remover</x:v>
      </x:c>
      <x:c r="I818"/>
      <x:c r="J818" t="str">
        <x:v>Tẩy trang</x:v>
      </x:c>
      <x:c r="K818"/>
      <x:c r="L818" t="str">
        <x:v>Công ty TNHH đầu tư thương mại The gen global</x:v>
      </x:c>
      <x:c r="M818"/>
      <x:c r="N818" t="str">
        <x:v>Công ty TNHH mỹ phẩm Việt Hương</x:v>
      </x:c>
      <x:c r="O818" t="str">
        <x:v>Đình chỉ lưu hành, thu hồi và tiêu hủy – Công văn 1772/QLD-MP</x:v>
      </x:c>
      <x:c r="P818" t="str">
        <x:v>A++ – Cục Quản lý Dược; tổ chức chịu trách nhiệm explicit</x:v>
      </x:c>
      <x:c r="Q818" t="str">
        <x:v>Phụ lục 511 sản phẩm, STT 455, trang 15. Công ty Việt Hương là cơ sở sản xuất; cột tổ chức chịu trách nhiệm lấy nguyên văn từ phụ lục.</x:v>
      </x:c>
      <x:c r="R818" t="str">
        <x:v>https://dav.gov.vn/cong-van-so-1772qld-mp-ve-viec-dinh-chi-luu-hanh-thu-hoi-va-tieu-huy-my-pham-vi-pham-cong-ty-tnhh-my-pham-viet-huong-n5334.html</x:v>
      </x:c>
      <x:c r="S818" t="str">
        <x:v>Hà Nội</x:v>
      </x:c>
      <x:c r="T818" t="str">
        <x:v>01</x:v>
      </x:c>
    </x:row>
    <x:row r="819">
      <x:c r="A819" t="n">
        <x:v>818</x:v>
      </x:c>
      <x:c r="B819" s="330"/>
      <x:c r="C819" s="330" t="n">
        <x:v>46155</x:v>
      </x:c>
      <x:c r="D819" t="n">
        <x:v>2025</x:v>
      </x:c>
      <x:c r="E819"/>
      <x:c r="F819" t="str">
        <x:v>23745/25/CBMP-HN</x:v>
      </x:c>
      <x:c r="G819"/>
      <x:c r="H819" t="str">
        <x:v>Perfect facial cleanser</x:v>
      </x:c>
      <x:c r="I819"/>
      <x:c r="J819" t="str">
        <x:v>Sữa rửa mặt</x:v>
      </x:c>
      <x:c r="K819"/>
      <x:c r="L819" t="str">
        <x:v>Công ty TNHH MTV Polyco solutions</x:v>
      </x:c>
      <x:c r="M819"/>
      <x:c r="N819" t="str">
        <x:v>Công ty TNHH mỹ phẩm Việt Hương</x:v>
      </x:c>
      <x:c r="O819" t="str">
        <x:v>Đình chỉ lưu hành, thu hồi và tiêu hủy – Công văn 1772/QLD-MP</x:v>
      </x:c>
      <x:c r="P819" t="str">
        <x:v>A++ – Cục Quản lý Dược; tổ chức chịu trách nhiệm explicit</x:v>
      </x:c>
      <x:c r="Q819" t="str">
        <x:v>Phụ lục 511 sản phẩm, STT 456, trang 15. Công ty Việt Hương là cơ sở sản xuất; cột tổ chức chịu trách nhiệm lấy nguyên văn từ phụ lục.</x:v>
      </x:c>
      <x:c r="R819" t="str">
        <x:v>https://dav.gov.vn/cong-van-so-1772qld-mp-ve-viec-dinh-chi-luu-hanh-thu-hoi-va-tieu-huy-my-pham-vi-pham-cong-ty-tnhh-my-pham-viet-huong-n5334.html</x:v>
      </x:c>
      <x:c r="S819" t="str">
        <x:v>Hà Nội</x:v>
      </x:c>
      <x:c r="T819" t="str">
        <x:v>01</x:v>
      </x:c>
    </x:row>
    <x:row r="820">
      <x:c r="A820" t="n">
        <x:v>819</x:v>
      </x:c>
      <x:c r="B820" s="330"/>
      <x:c r="C820" s="330" t="n">
        <x:v>46155</x:v>
      </x:c>
      <x:c r="D820" t="n">
        <x:v>2025</x:v>
      </x:c>
      <x:c r="E820"/>
      <x:c r="F820" t="str">
        <x:v>23746/25/CBMP-HN</x:v>
      </x:c>
      <x:c r="G820"/>
      <x:c r="H820" t="str">
        <x:v>Almond gel exfoliant</x:v>
      </x:c>
      <x:c r="I820"/>
      <x:c r="J820" t="str">
        <x:v>Khác</x:v>
      </x:c>
      <x:c r="K820"/>
      <x:c r="L820" t="str">
        <x:v>Công ty TNHH MTV Polyco solutions</x:v>
      </x:c>
      <x:c r="M820"/>
      <x:c r="N820" t="str">
        <x:v>Công ty TNHH mỹ phẩm Việt Hương</x:v>
      </x:c>
      <x:c r="O820" t="str">
        <x:v>Đình chỉ lưu hành, thu hồi và tiêu hủy – Công văn 1772/QLD-MP</x:v>
      </x:c>
      <x:c r="P820" t="str">
        <x:v>A++ – Cục Quản lý Dược; tổ chức chịu trách nhiệm explicit</x:v>
      </x:c>
      <x:c r="Q820" t="str">
        <x:v>Phụ lục 511 sản phẩm, STT 457, trang 15. Công ty Việt Hương là cơ sở sản xuất; cột tổ chức chịu trách nhiệm lấy nguyên văn từ phụ lục.</x:v>
      </x:c>
      <x:c r="R820" t="str">
        <x:v>https://dav.gov.vn/cong-van-so-1772qld-mp-ve-viec-dinh-chi-luu-hanh-thu-hoi-va-tieu-huy-my-pham-vi-pham-cong-ty-tnhh-my-pham-viet-huong-n5334.html</x:v>
      </x:c>
      <x:c r="S820" t="str">
        <x:v>Hà Nội</x:v>
      </x:c>
      <x:c r="T820" t="str">
        <x:v>01</x:v>
      </x:c>
    </x:row>
    <x:row r="821">
      <x:c r="A821" t="n">
        <x:v>820</x:v>
      </x:c>
      <x:c r="B821" s="330"/>
      <x:c r="C821" s="330" t="n">
        <x:v>46155</x:v>
      </x:c>
      <x:c r="D821" t="n">
        <x:v>2025</x:v>
      </x:c>
      <x:c r="E821"/>
      <x:c r="F821" t="str">
        <x:v>23747/25/CBMP-HN</x:v>
      </x:c>
      <x:c r="G821"/>
      <x:c r="H821" t="str">
        <x:v>Sun protection cream</x:v>
      </x:c>
      <x:c r="I821"/>
      <x:c r="J821" t="str">
        <x:v>Kem dưỡng da</x:v>
      </x:c>
      <x:c r="K821"/>
      <x:c r="L821" t="str">
        <x:v>Công ty TNHH MTV Polyco solutions</x:v>
      </x:c>
      <x:c r="M821"/>
      <x:c r="N821" t="str">
        <x:v>Công ty TNHH mỹ phẩm Việt Hương</x:v>
      </x:c>
      <x:c r="O821" t="str">
        <x:v>Đình chỉ lưu hành, thu hồi và tiêu hủy – Công văn 1772/QLD-MP</x:v>
      </x:c>
      <x:c r="P821" t="str">
        <x:v>A++ – Cục Quản lý Dược; tổ chức chịu trách nhiệm explicit</x:v>
      </x:c>
      <x:c r="Q821" t="str">
        <x:v>Phụ lục 511 sản phẩm, STT 458, trang 15. Công ty Việt Hương là cơ sở sản xuất; cột tổ chức chịu trách nhiệm lấy nguyên văn từ phụ lục.</x:v>
      </x:c>
      <x:c r="R821" t="str">
        <x:v>https://dav.gov.vn/cong-van-so-1772qld-mp-ve-viec-dinh-chi-luu-hanh-thu-hoi-va-tieu-huy-my-pham-vi-pham-cong-ty-tnhh-my-pham-viet-huong-n5334.html</x:v>
      </x:c>
      <x:c r="S821" t="str">
        <x:v>Hà Nội</x:v>
      </x:c>
      <x:c r="T821" t="str">
        <x:v>01</x:v>
      </x:c>
    </x:row>
    <x:row r="822">
      <x:c r="A822" t="n">
        <x:v>821</x:v>
      </x:c>
      <x:c r="B822" s="330"/>
      <x:c r="C822" s="330" t="n">
        <x:v>46155</x:v>
      </x:c>
      <x:c r="D822" t="n">
        <x:v>2025</x:v>
      </x:c>
      <x:c r="E822"/>
      <x:c r="F822" t="str">
        <x:v>23748/25/CBMP-HN</x:v>
      </x:c>
      <x:c r="G822"/>
      <x:c r="H822" t="str">
        <x:v>Facial moisturizer</x:v>
      </x:c>
      <x:c r="I822"/>
      <x:c r="J822" t="str">
        <x:v>Khác</x:v>
      </x:c>
      <x:c r="K822"/>
      <x:c r="L822" t="str">
        <x:v>Công ty TNHH MTV Polyco solutions</x:v>
      </x:c>
      <x:c r="M822"/>
      <x:c r="N822" t="str">
        <x:v>Công ty TNHH mỹ phẩm Việt Hương</x:v>
      </x:c>
      <x:c r="O822" t="str">
        <x:v>Đình chỉ lưu hành, thu hồi và tiêu hủy – Công văn 1772/QLD-MP</x:v>
      </x:c>
      <x:c r="P822" t="str">
        <x:v>A++ – Cục Quản lý Dược; tổ chức chịu trách nhiệm explicit</x:v>
      </x:c>
      <x:c r="Q822" t="str">
        <x:v>Phụ lục 511 sản phẩm, STT 459, trang 15. Công ty Việt Hương là cơ sở sản xuất; cột tổ chức chịu trách nhiệm lấy nguyên văn từ phụ lục.</x:v>
      </x:c>
      <x:c r="R822" t="str">
        <x:v>https://dav.gov.vn/cong-van-so-1772qld-mp-ve-viec-dinh-chi-luu-hanh-thu-hoi-va-tieu-huy-my-pham-vi-pham-cong-ty-tnhh-my-pham-viet-huong-n5334.html</x:v>
      </x:c>
      <x:c r="S822" t="str">
        <x:v>Hà Nội</x:v>
      </x:c>
      <x:c r="T822" t="str">
        <x:v>01</x:v>
      </x:c>
    </x:row>
    <x:row r="823">
      <x:c r="A823" t="n">
        <x:v>822</x:v>
      </x:c>
      <x:c r="B823" s="330"/>
      <x:c r="C823" s="330" t="n">
        <x:v>46155</x:v>
      </x:c>
      <x:c r="D823" t="n">
        <x:v>2025</x:v>
      </x:c>
      <x:c r="E823"/>
      <x:c r="F823" t="str">
        <x:v>23764/25/CBMP-HN</x:v>
      </x:c>
      <x:c r="G823"/>
      <x:c r="H823" t="str">
        <x:v>Secret Sforza</x:v>
      </x:c>
      <x:c r="I823"/>
      <x:c r="J823" t="str">
        <x:v>Khác</x:v>
      </x:c>
      <x:c r="K823"/>
      <x:c r="L823" t="str">
        <x:v>Công Ty Cổ Phần Thời Trang Chancos Việt Nam</x:v>
      </x:c>
      <x:c r="M823"/>
      <x:c r="N823" t="str">
        <x:v>Công ty TNHH mỹ phẩm Việt Hương</x:v>
      </x:c>
      <x:c r="O823" t="str">
        <x:v>Đình chỉ lưu hành, thu hồi và tiêu hủy – Công văn 1772/QLD-MP</x:v>
      </x:c>
      <x:c r="P823" t="str">
        <x:v>A++ – Cục Quản lý Dược; tổ chức chịu trách nhiệm explicit</x:v>
      </x:c>
      <x:c r="Q823" t="str">
        <x:v>Phụ lục 511 sản phẩm, STT 460, trang 15. Công ty Việt Hương là cơ sở sản xuất; cột tổ chức chịu trách nhiệm lấy nguyên văn từ phụ lục.</x:v>
      </x:c>
      <x:c r="R823" t="str">
        <x:v>https://dav.gov.vn/cong-van-so-1772qld-mp-ve-viec-dinh-chi-luu-hanh-thu-hoi-va-tieu-huy-my-pham-vi-pham-cong-ty-tnhh-my-pham-viet-huong-n5334.html</x:v>
      </x:c>
      <x:c r="S823" t="str">
        <x:v>Hà Nội</x:v>
      </x:c>
      <x:c r="T823" t="str">
        <x:v>01</x:v>
      </x:c>
    </x:row>
    <x:row r="824">
      <x:c r="A824" t="n">
        <x:v>823</x:v>
      </x:c>
      <x:c r="B824" s="330"/>
      <x:c r="C824" s="330" t="n">
        <x:v>46155</x:v>
      </x:c>
      <x:c r="D824" t="n">
        <x:v>2025</x:v>
      </x:c>
      <x:c r="E824"/>
      <x:c r="F824" t="str">
        <x:v>23765/25/CBMP-HN</x:v>
      </x:c>
      <x:c r="G824"/>
      <x:c r="H824" t="str">
        <x:v>Montenapoleone</x:v>
      </x:c>
      <x:c r="I824"/>
      <x:c r="J824" t="str">
        <x:v>Khác</x:v>
      </x:c>
      <x:c r="K824"/>
      <x:c r="L824" t="str">
        <x:v>Công Ty Cổ Phần Thời Trang Chancos Việt Nam</x:v>
      </x:c>
      <x:c r="M824"/>
      <x:c r="N824" t="str">
        <x:v>Công ty TNHH mỹ phẩm Việt Hương</x:v>
      </x:c>
      <x:c r="O824" t="str">
        <x:v>Đình chỉ lưu hành, thu hồi và tiêu hủy – Công văn 1772/QLD-MP</x:v>
      </x:c>
      <x:c r="P824" t="str">
        <x:v>A++ – Cục Quản lý Dược; tổ chức chịu trách nhiệm explicit</x:v>
      </x:c>
      <x:c r="Q824" t="str">
        <x:v>Phụ lục 511 sản phẩm, STT 461, trang 15. Công ty Việt Hương là cơ sở sản xuất; cột tổ chức chịu trách nhiệm lấy nguyên văn từ phụ lục.</x:v>
      </x:c>
      <x:c r="R824" t="str">
        <x:v>https://dav.gov.vn/cong-van-so-1772qld-mp-ve-viec-dinh-chi-luu-hanh-thu-hoi-va-tieu-huy-my-pham-vi-pham-cong-ty-tnhh-my-pham-viet-huong-n5334.html</x:v>
      </x:c>
      <x:c r="S824" t="str">
        <x:v>Hà Nội</x:v>
      </x:c>
      <x:c r="T824" t="str">
        <x:v>01</x:v>
      </x:c>
    </x:row>
    <x:row r="825">
      <x:c r="A825" t="n">
        <x:v>824</x:v>
      </x:c>
      <x:c r="B825" s="330"/>
      <x:c r="C825" s="330" t="n">
        <x:v>46155</x:v>
      </x:c>
      <x:c r="D825" t="n">
        <x:v>2025</x:v>
      </x:c>
      <x:c r="E825"/>
      <x:c r="F825" t="str">
        <x:v>23766/25/CBMP-HN</x:v>
      </x:c>
      <x:c r="G825"/>
      <x:c r="H825" t="str">
        <x:v>Ambrosian Horizon</x:v>
      </x:c>
      <x:c r="I825"/>
      <x:c r="J825" t="str">
        <x:v>Khác</x:v>
      </x:c>
      <x:c r="K825"/>
      <x:c r="L825" t="str">
        <x:v>Công Ty Cổ Phần Thời Trang Chancos Việt Nam</x:v>
      </x:c>
      <x:c r="M825"/>
      <x:c r="N825" t="str">
        <x:v>Công ty TNHH mỹ phẩm Việt Hương</x:v>
      </x:c>
      <x:c r="O825" t="str">
        <x:v>Đình chỉ lưu hành, thu hồi và tiêu hủy – Công văn 1772/QLD-MP</x:v>
      </x:c>
      <x:c r="P825" t="str">
        <x:v>A++ – Cục Quản lý Dược; tổ chức chịu trách nhiệm explicit</x:v>
      </x:c>
      <x:c r="Q825" t="str">
        <x:v>Phụ lục 511 sản phẩm, STT 462, trang 15. Công ty Việt Hương là cơ sở sản xuất; cột tổ chức chịu trách nhiệm lấy nguyên văn từ phụ lục.</x:v>
      </x:c>
      <x:c r="R825" t="str">
        <x:v>https://dav.gov.vn/cong-van-so-1772qld-mp-ve-viec-dinh-chi-luu-hanh-thu-hoi-va-tieu-huy-my-pham-vi-pham-cong-ty-tnhh-my-pham-viet-huong-n5334.html</x:v>
      </x:c>
      <x:c r="S825" t="str">
        <x:v>Hà Nội</x:v>
      </x:c>
      <x:c r="T825" t="str">
        <x:v>01</x:v>
      </x:c>
    </x:row>
    <x:row r="826">
      <x:c r="A826" t="n">
        <x:v>825</x:v>
      </x:c>
      <x:c r="B826" s="330"/>
      <x:c r="C826" s="330" t="n">
        <x:v>46155</x:v>
      </x:c>
      <x:c r="D826" t="n">
        <x:v>2025</x:v>
      </x:c>
      <x:c r="E826"/>
      <x:c r="F826" t="str">
        <x:v>23767/25/CBMP-HN</x:v>
      </x:c>
      <x:c r="G826"/>
      <x:c r="H826" t="str">
        <x:v>Rêve Brera</x:v>
      </x:c>
      <x:c r="I826"/>
      <x:c r="J826" t="str">
        <x:v>Khác</x:v>
      </x:c>
      <x:c r="K826"/>
      <x:c r="L826" t="str">
        <x:v>Công Ty Cổ Phần Thời Trang Chancos Việt Nam</x:v>
      </x:c>
      <x:c r="M826"/>
      <x:c r="N826" t="str">
        <x:v>Công ty TNHH mỹ phẩm Việt Hương</x:v>
      </x:c>
      <x:c r="O826" t="str">
        <x:v>Đình chỉ lưu hành, thu hồi và tiêu hủy – Công văn 1772/QLD-MP</x:v>
      </x:c>
      <x:c r="P826" t="str">
        <x:v>A++ – Cục Quản lý Dược; tổ chức chịu trách nhiệm explicit</x:v>
      </x:c>
      <x:c r="Q826" t="str">
        <x:v>Phụ lục 511 sản phẩm, STT 463, trang 15. Công ty Việt Hương là cơ sở sản xuất; cột tổ chức chịu trách nhiệm lấy nguyên văn từ phụ lục.</x:v>
      </x:c>
      <x:c r="R826" t="str">
        <x:v>https://dav.gov.vn/cong-van-so-1772qld-mp-ve-viec-dinh-chi-luu-hanh-thu-hoi-va-tieu-huy-my-pham-vi-pham-cong-ty-tnhh-my-pham-viet-huong-n5334.html</x:v>
      </x:c>
      <x:c r="S826" t="str">
        <x:v>Hà Nội</x:v>
      </x:c>
      <x:c r="T826" t="str">
        <x:v>01</x:v>
      </x:c>
    </x:row>
    <x:row r="827">
      <x:c r="A827" t="n">
        <x:v>826</x:v>
      </x:c>
      <x:c r="B827" s="330"/>
      <x:c r="C827" s="330" t="n">
        <x:v>46155</x:v>
      </x:c>
      <x:c r="D827" t="n">
        <x:v>2025</x:v>
      </x:c>
      <x:c r="E827"/>
      <x:c r="F827" t="str">
        <x:v>23768/25/CBMP-HN</x:v>
      </x:c>
      <x:c r="G827"/>
      <x:c r="H827" t="str">
        <x:v>Soie Vicolo</x:v>
      </x:c>
      <x:c r="I827"/>
      <x:c r="J827" t="str">
        <x:v>Khác</x:v>
      </x:c>
      <x:c r="K827"/>
      <x:c r="L827" t="str">
        <x:v>Công Ty Cổ Phần Thời Trang Chancos Việt Nam</x:v>
      </x:c>
      <x:c r="M827"/>
      <x:c r="N827" t="str">
        <x:v>Công ty TNHH mỹ phẩm Việt Hương</x:v>
      </x:c>
      <x:c r="O827" t="str">
        <x:v>Đình chỉ lưu hành, thu hồi và tiêu hủy – Công văn 1772/QLD-MP</x:v>
      </x:c>
      <x:c r="P827" t="str">
        <x:v>A++ – Cục Quản lý Dược; tổ chức chịu trách nhiệm explicit</x:v>
      </x:c>
      <x:c r="Q827" t="str">
        <x:v>Phụ lục 511 sản phẩm, STT 464, trang 15. Công ty Việt Hương là cơ sở sản xuất; cột tổ chức chịu trách nhiệm lấy nguyên văn từ phụ lục.</x:v>
      </x:c>
      <x:c r="R827" t="str">
        <x:v>https://dav.gov.vn/cong-van-so-1772qld-mp-ve-viec-dinh-chi-luu-hanh-thu-hoi-va-tieu-huy-my-pham-vi-pham-cong-ty-tnhh-my-pham-viet-huong-n5334.html</x:v>
      </x:c>
      <x:c r="S827" t="str">
        <x:v>Hà Nội</x:v>
      </x:c>
      <x:c r="T827" t="str">
        <x:v>01</x:v>
      </x:c>
    </x:row>
    <x:row r="828">
      <x:c r="A828" t="n">
        <x:v>827</x:v>
      </x:c>
      <x:c r="B828" s="330"/>
      <x:c r="C828" s="330" t="n">
        <x:v>46155</x:v>
      </x:c>
      <x:c r="D828" t="n">
        <x:v>2025</x:v>
      </x:c>
      <x:c r="E828"/>
      <x:c r="F828" t="str">
        <x:v>23769/25/CBMP-HN</x:v>
      </x:c>
      <x:c r="G828"/>
      <x:c r="H828" t="str">
        <x:v>Velvet Nuova</x:v>
      </x:c>
      <x:c r="I828"/>
      <x:c r="J828" t="str">
        <x:v>Khác</x:v>
      </x:c>
      <x:c r="K828"/>
      <x:c r="L828" t="str">
        <x:v>Công Ty Cổ Phần Thời Trang Chancos Việt Nam</x:v>
      </x:c>
      <x:c r="M828"/>
      <x:c r="N828" t="str">
        <x:v>Công ty TNHH mỹ phẩm Việt Hương</x:v>
      </x:c>
      <x:c r="O828" t="str">
        <x:v>Đình chỉ lưu hành, thu hồi và tiêu hủy – Công văn 1772/QLD-MP</x:v>
      </x:c>
      <x:c r="P828" t="str">
        <x:v>A++ – Cục Quản lý Dược; tổ chức chịu trách nhiệm explicit</x:v>
      </x:c>
      <x:c r="Q828" t="str">
        <x:v>Phụ lục 511 sản phẩm, STT 465, trang 15. Công ty Việt Hương là cơ sở sản xuất; cột tổ chức chịu trách nhiệm lấy nguyên văn từ phụ lục.</x:v>
      </x:c>
      <x:c r="R828" t="str">
        <x:v>https://dav.gov.vn/cong-van-so-1772qld-mp-ve-viec-dinh-chi-luu-hanh-thu-hoi-va-tieu-huy-my-pham-vi-pham-cong-ty-tnhh-my-pham-viet-huong-n5334.html</x:v>
      </x:c>
      <x:c r="S828" t="str">
        <x:v>Hà Nội</x:v>
      </x:c>
      <x:c r="T828" t="str">
        <x:v>01</x:v>
      </x:c>
    </x:row>
    <x:row r="829">
      <x:c r="A829" t="n">
        <x:v>828</x:v>
      </x:c>
      <x:c r="B829" s="330"/>
      <x:c r="C829" s="330" t="n">
        <x:v>46155</x:v>
      </x:c>
      <x:c r="D829" t="n">
        <x:v>2025</x:v>
      </x:c>
      <x:c r="E829"/>
      <x:c r="F829" t="str">
        <x:v>23770/25/CBMP-HN</x:v>
      </x:c>
      <x:c r="G829"/>
      <x:c r="H829" t="str">
        <x:v>Duomo Eterno</x:v>
      </x:c>
      <x:c r="I829"/>
      <x:c r="J829" t="str">
        <x:v>Khác</x:v>
      </x:c>
      <x:c r="K829"/>
      <x:c r="L829" t="str">
        <x:v>Công Ty Cổ Phần Thời Trang Chancos Việt Nam</x:v>
      </x:c>
      <x:c r="M829"/>
      <x:c r="N829" t="str">
        <x:v>Công ty TNHH mỹ phẩm Việt Hương</x:v>
      </x:c>
      <x:c r="O829" t="str">
        <x:v>Đình chỉ lưu hành, thu hồi và tiêu hủy – Công văn 1772/QLD-MP</x:v>
      </x:c>
      <x:c r="P829" t="str">
        <x:v>A++ – Cục Quản lý Dược; tổ chức chịu trách nhiệm explicit</x:v>
      </x:c>
      <x:c r="Q829" t="str">
        <x:v>Phụ lục 511 sản phẩm, STT 466, trang 15. Công ty Việt Hương là cơ sở sản xuất; cột tổ chức chịu trách nhiệm lấy nguyên văn từ phụ lục.</x:v>
      </x:c>
      <x:c r="R829" t="str">
        <x:v>https://dav.gov.vn/cong-van-so-1772qld-mp-ve-viec-dinh-chi-luu-hanh-thu-hoi-va-tieu-huy-my-pham-vi-pham-cong-ty-tnhh-my-pham-viet-huong-n5334.html</x:v>
      </x:c>
      <x:c r="S829" t="str">
        <x:v>Hà Nội</x:v>
      </x:c>
      <x:c r="T829" t="str">
        <x:v>01</x:v>
      </x:c>
    </x:row>
    <x:row r="830">
      <x:c r="A830" t="n">
        <x:v>829</x:v>
      </x:c>
      <x:c r="B830" s="330"/>
      <x:c r="C830" s="330" t="n">
        <x:v>46155</x:v>
      </x:c>
      <x:c r="D830" t="n">
        <x:v>2025</x:v>
      </x:c>
      <x:c r="E830"/>
      <x:c r="F830" t="str">
        <x:v>23771/25/CBMP-HN</x:v>
      </x:c>
      <x:c r="G830"/>
      <x:c r="H830" t="str">
        <x:v>Scala Notturna</x:v>
      </x:c>
      <x:c r="I830"/>
      <x:c r="J830" t="str">
        <x:v>Khác</x:v>
      </x:c>
      <x:c r="K830"/>
      <x:c r="L830" t="str">
        <x:v>Công Ty Cổ Phần Thời Trang Chancos Việt Nam</x:v>
      </x:c>
      <x:c r="M830"/>
      <x:c r="N830" t="str">
        <x:v>Công ty TNHH mỹ phẩm Việt Hương</x:v>
      </x:c>
      <x:c r="O830" t="str">
        <x:v>Đình chỉ lưu hành, thu hồi và tiêu hủy – Công văn 1772/QLD-MP</x:v>
      </x:c>
      <x:c r="P830" t="str">
        <x:v>A++ – Cục Quản lý Dược; tổ chức chịu trách nhiệm explicit</x:v>
      </x:c>
      <x:c r="Q830" t="str">
        <x:v>Phụ lục 511 sản phẩm, STT 467, trang 15. Công ty Việt Hương là cơ sở sản xuất; cột tổ chức chịu trách nhiệm lấy nguyên văn từ phụ lục.</x:v>
      </x:c>
      <x:c r="R830" t="str">
        <x:v>https://dav.gov.vn/cong-van-so-1772qld-mp-ve-viec-dinh-chi-luu-hanh-thu-hoi-va-tieu-huy-my-pham-vi-pham-cong-ty-tnhh-my-pham-viet-huong-n5334.html</x:v>
      </x:c>
      <x:c r="S830" t="str">
        <x:v>Hà Nội</x:v>
      </x:c>
      <x:c r="T830" t="str">
        <x:v>01</x:v>
      </x:c>
    </x:row>
    <x:row r="831">
      <x:c r="A831" t="n">
        <x:v>830</x:v>
      </x:c>
      <x:c r="B831" s="330"/>
      <x:c r="C831" s="330" t="n">
        <x:v>46155</x:v>
      </x:c>
      <x:c r="D831" t="n">
        <x:v>2025</x:v>
      </x:c>
      <x:c r="E831"/>
      <x:c r="F831" t="str">
        <x:v>23772/25/CBMP-HN</x:v>
      </x:c>
      <x:c r="G831"/>
      <x:c r="H831" t="str">
        <x:v>Navigli Sereno</x:v>
      </x:c>
      <x:c r="I831"/>
      <x:c r="J831" t="str">
        <x:v>Khác</x:v>
      </x:c>
      <x:c r="K831"/>
      <x:c r="L831" t="str">
        <x:v>Công Ty Cổ Phần Thời Trang Chancos Việt Nam</x:v>
      </x:c>
      <x:c r="M831"/>
      <x:c r="N831" t="str">
        <x:v>Công ty TNHH mỹ phẩm Việt Hương</x:v>
      </x:c>
      <x:c r="O831" t="str">
        <x:v>Đình chỉ lưu hành, thu hồi và tiêu hủy – Công văn 1772/QLD-MP</x:v>
      </x:c>
      <x:c r="P831" t="str">
        <x:v>A++ – Cục Quản lý Dược; tổ chức chịu trách nhiệm explicit</x:v>
      </x:c>
      <x:c r="Q831" t="str">
        <x:v>Phụ lục 511 sản phẩm, STT 468, trang 15. Công ty Việt Hương là cơ sở sản xuất; cột tổ chức chịu trách nhiệm lấy nguyên văn từ phụ lục.</x:v>
      </x:c>
      <x:c r="R831" t="str">
        <x:v>https://dav.gov.vn/cong-van-so-1772qld-mp-ve-viec-dinh-chi-luu-hanh-thu-hoi-va-tieu-huy-my-pham-vi-pham-cong-ty-tnhh-my-pham-viet-huong-n5334.html</x:v>
      </x:c>
      <x:c r="S831" t="str">
        <x:v>Hà Nội</x:v>
      </x:c>
      <x:c r="T831" t="str">
        <x:v>01</x:v>
      </x:c>
    </x:row>
    <x:row r="832">
      <x:c r="A832" t="n">
        <x:v>831</x:v>
      </x:c>
      <x:c r="B832" s="330"/>
      <x:c r="C832" s="330" t="n">
        <x:v>46155</x:v>
      </x:c>
      <x:c r="D832" t="n">
        <x:v>2025</x:v>
      </x:c>
      <x:c r="E832"/>
      <x:c r="F832" t="str">
        <x:v>23773/25/CBMP-HN</x:v>
      </x:c>
      <x:c r="G832"/>
      <x:c r="H832" t="str">
        <x:v>Palazzo di Luce</x:v>
      </x:c>
      <x:c r="I832"/>
      <x:c r="J832" t="str">
        <x:v>Khác</x:v>
      </x:c>
      <x:c r="K832"/>
      <x:c r="L832" t="str">
        <x:v>Công Ty Cổ Phần Thời Trang Chancos Việt Nam</x:v>
      </x:c>
      <x:c r="M832"/>
      <x:c r="N832" t="str">
        <x:v>Công ty TNHH mỹ phẩm Việt Hương</x:v>
      </x:c>
      <x:c r="O832" t="str">
        <x:v>Đình chỉ lưu hành, thu hồi và tiêu hủy – Công văn 1772/QLD-MP</x:v>
      </x:c>
      <x:c r="P832" t="str">
        <x:v>A++ – Cục Quản lý Dược; tổ chức chịu trách nhiệm explicit</x:v>
      </x:c>
      <x:c r="Q832" t="str">
        <x:v>Phụ lục 511 sản phẩm, STT 469, trang 15. Công ty Việt Hương là cơ sở sản xuất; cột tổ chức chịu trách nhiệm lấy nguyên văn từ phụ lục.</x:v>
      </x:c>
      <x:c r="R832" t="str">
        <x:v>https://dav.gov.vn/cong-van-so-1772qld-mp-ve-viec-dinh-chi-luu-hanh-thu-hoi-va-tieu-huy-my-pham-vi-pham-cong-ty-tnhh-my-pham-viet-huong-n5334.html</x:v>
      </x:c>
      <x:c r="S832" t="str">
        <x:v>Hà Nội</x:v>
      </x:c>
      <x:c r="T832" t="str">
        <x:v>01</x:v>
      </x:c>
    </x:row>
    <x:row r="833">
      <x:c r="A833" t="n">
        <x:v>832</x:v>
      </x:c>
      <x:c r="B833" s="330"/>
      <x:c r="C833" s="330" t="n">
        <x:v>46155</x:v>
      </x:c>
      <x:c r="D833" t="n">
        <x:v>2025</x:v>
      </x:c>
      <x:c r="E833"/>
      <x:c r="F833" t="str">
        <x:v>23774/25/CBMP-HN</x:v>
      </x:c>
      <x:c r="G833"/>
      <x:c r="H833" t="str">
        <x:v>Luxe Galleria</x:v>
      </x:c>
      <x:c r="I833"/>
      <x:c r="J833" t="str">
        <x:v>Khác</x:v>
      </x:c>
      <x:c r="K833"/>
      <x:c r="L833" t="str">
        <x:v>Công Ty Cổ Phần Thời Trang Chancos Việt Nam</x:v>
      </x:c>
      <x:c r="M833"/>
      <x:c r="N833" t="str">
        <x:v>Công ty TNHH mỹ phẩm Việt Hương</x:v>
      </x:c>
      <x:c r="O833" t="str">
        <x:v>Đình chỉ lưu hành, thu hồi và tiêu hủy – Công văn 1772/QLD-MP</x:v>
      </x:c>
      <x:c r="P833" t="str">
        <x:v>A++ – Cục Quản lý Dược; tổ chức chịu trách nhiệm explicit</x:v>
      </x:c>
      <x:c r="Q833" t="str">
        <x:v>Phụ lục 511 sản phẩm, STT 470, trang 15. Công ty Việt Hương là cơ sở sản xuất; cột tổ chức chịu trách nhiệm lấy nguyên văn từ phụ lục.</x:v>
      </x:c>
      <x:c r="R833" t="str">
        <x:v>https://dav.gov.vn/cong-van-so-1772qld-mp-ve-viec-dinh-chi-luu-hanh-thu-hoi-va-tieu-huy-my-pham-vi-pham-cong-ty-tnhh-my-pham-viet-huong-n5334.html</x:v>
      </x:c>
      <x:c r="S833" t="str">
        <x:v>Hà Nội</x:v>
      </x:c>
      <x:c r="T833" t="str">
        <x:v>01</x:v>
      </x:c>
    </x:row>
    <x:row r="834">
      <x:c r="A834" t="n">
        <x:v>833</x:v>
      </x:c>
      <x:c r="B834" s="330"/>
      <x:c r="C834" s="330" t="n">
        <x:v>46155</x:v>
      </x:c>
      <x:c r="D834" t="n">
        <x:v>2025</x:v>
      </x:c>
      <x:c r="E834"/>
      <x:c r="F834" t="str">
        <x:v>23775/25/CBMP-HN</x:v>
      </x:c>
      <x:c r="G834"/>
      <x:c r="H834" t="str">
        <x:v>Corso Sempione</x:v>
      </x:c>
      <x:c r="I834"/>
      <x:c r="J834" t="str">
        <x:v>Khác</x:v>
      </x:c>
      <x:c r="K834"/>
      <x:c r="L834" t="str">
        <x:v>Công Ty Cổ Phần Thời Trang Chancos Việt Nam</x:v>
      </x:c>
      <x:c r="M834"/>
      <x:c r="N834" t="str">
        <x:v>Công ty TNHH mỹ phẩm Việt Hương</x:v>
      </x:c>
      <x:c r="O834" t="str">
        <x:v>Đình chỉ lưu hành, thu hồi và tiêu hủy – Công văn 1772/QLD-MP</x:v>
      </x:c>
      <x:c r="P834" t="str">
        <x:v>A++ – Cục Quản lý Dược; tổ chức chịu trách nhiệm explicit</x:v>
      </x:c>
      <x:c r="Q834" t="str">
        <x:v>Phụ lục 511 sản phẩm, STT 471, trang 15. Công ty Việt Hương là cơ sở sản xuất; cột tổ chức chịu trách nhiệm lấy nguyên văn từ phụ lục.</x:v>
      </x:c>
      <x:c r="R834" t="str">
        <x:v>https://dav.gov.vn/cong-van-so-1772qld-mp-ve-viec-dinh-chi-luu-hanh-thu-hoi-va-tieu-huy-my-pham-vi-pham-cong-ty-tnhh-my-pham-viet-huong-n5334.html</x:v>
      </x:c>
      <x:c r="S834" t="str">
        <x:v>Hà Nội</x:v>
      </x:c>
      <x:c r="T834" t="str">
        <x:v>01</x:v>
      </x:c>
    </x:row>
    <x:row r="835">
      <x:c r="A835" t="n">
        <x:v>834</x:v>
      </x:c>
      <x:c r="B835" s="330"/>
      <x:c r="C835" s="330" t="n">
        <x:v>46155</x:v>
      </x:c>
      <x:c r="D835" t="n">
        <x:v>2025</x:v>
      </x:c>
      <x:c r="E835"/>
      <x:c r="F835" t="str">
        <x:v>23776/25/CBMP-HN</x:v>
      </x:c>
      <x:c r="G835"/>
      <x:c r="H835" t="str">
        <x:v>Aube Vittoria</x:v>
      </x:c>
      <x:c r="I835"/>
      <x:c r="J835" t="str">
        <x:v>Khác</x:v>
      </x:c>
      <x:c r="K835"/>
      <x:c r="L835" t="str">
        <x:v>Công Ty Cổ Phần Thời Trang Chancos Việt Nam</x:v>
      </x:c>
      <x:c r="M835"/>
      <x:c r="N835" t="str">
        <x:v>Công ty TNHH mỹ phẩm Việt Hương</x:v>
      </x:c>
      <x:c r="O835" t="str">
        <x:v>Đình chỉ lưu hành, thu hồi và tiêu hủy – Công văn 1772/QLD-MP</x:v>
      </x:c>
      <x:c r="P835" t="str">
        <x:v>A++ – Cục Quản lý Dược; tổ chức chịu trách nhiệm explicit</x:v>
      </x:c>
      <x:c r="Q835" t="str">
        <x:v>Phụ lục 511 sản phẩm, STT 472, trang 15. Công ty Việt Hương là cơ sở sản xuất; cột tổ chức chịu trách nhiệm lấy nguyên văn từ phụ lục.</x:v>
      </x:c>
      <x:c r="R835" t="str">
        <x:v>https://dav.gov.vn/cong-van-so-1772qld-mp-ve-viec-dinh-chi-luu-hanh-thu-hoi-va-tieu-huy-my-pham-vi-pham-cong-ty-tnhh-my-pham-viet-huong-n5334.html</x:v>
      </x:c>
      <x:c r="S835" t="str">
        <x:v>Hà Nội</x:v>
      </x:c>
      <x:c r="T835" t="str">
        <x:v>01</x:v>
      </x:c>
    </x:row>
    <x:row r="836">
      <x:c r="A836" t="n">
        <x:v>835</x:v>
      </x:c>
      <x:c r="B836" s="330"/>
      <x:c r="C836" s="330" t="n">
        <x:v>46155</x:v>
      </x:c>
      <x:c r="D836" t="n">
        <x:v>2025</x:v>
      </x:c>
      <x:c r="E836"/>
      <x:c r="F836" t="str">
        <x:v>23777/25/CBMP-HN</x:v>
      </x:c>
      <x:c r="G836"/>
      <x:c r="H836" t="str">
        <x:v>Milano Kiss</x:v>
      </x:c>
      <x:c r="I836"/>
      <x:c r="J836" t="str">
        <x:v>Khác</x:v>
      </x:c>
      <x:c r="K836"/>
      <x:c r="L836" t="str">
        <x:v>Công Ty Cổ Phần Thời Trang Chancos Việt Nam</x:v>
      </x:c>
      <x:c r="M836"/>
      <x:c r="N836" t="str">
        <x:v>Công ty TNHH mỹ phẩm Việt Hương</x:v>
      </x:c>
      <x:c r="O836" t="str">
        <x:v>Đình chỉ lưu hành, thu hồi và tiêu hủy – Công văn 1772/QLD-MP</x:v>
      </x:c>
      <x:c r="P836" t="str">
        <x:v>A++ – Cục Quản lý Dược; tổ chức chịu trách nhiệm explicit</x:v>
      </x:c>
      <x:c r="Q836" t="str">
        <x:v>Phụ lục 511 sản phẩm, STT 473, trang 15. Công ty Việt Hương là cơ sở sản xuất; cột tổ chức chịu trách nhiệm lấy nguyên văn từ phụ lục.</x:v>
      </x:c>
      <x:c r="R836" t="str">
        <x:v>https://dav.gov.vn/cong-van-so-1772qld-mp-ve-viec-dinh-chi-luu-hanh-thu-hoi-va-tieu-huy-my-pham-vi-pham-cong-ty-tnhh-my-pham-viet-huong-n5334.html</x:v>
      </x:c>
      <x:c r="S836" t="str">
        <x:v>Hà Nội</x:v>
      </x:c>
      <x:c r="T836" t="str">
        <x:v>01</x:v>
      </x:c>
    </x:row>
    <x:row r="837">
      <x:c r="A837" t="n">
        <x:v>836</x:v>
      </x:c>
      <x:c r="B837" s="330"/>
      <x:c r="C837" s="330" t="n">
        <x:v>46155</x:v>
      </x:c>
      <x:c r="D837" t="n">
        <x:v>2025</x:v>
      </x:c>
      <x:c r="E837"/>
      <x:c r="F837" t="str">
        <x:v>23996/25/CBMP-HN</x:v>
      </x:c>
      <x:c r="G837"/>
      <x:c r="H837" t="str">
        <x:v>Lush relief cream</x:v>
      </x:c>
      <x:c r="I837"/>
      <x:c r="J837" t="str">
        <x:v>Kem dưỡng da</x:v>
      </x:c>
      <x:c r="K837"/>
      <x:c r="L837" t="str">
        <x:v>Công ty TNHH đầu tư Minh Khang Việt Nam</x:v>
      </x:c>
      <x:c r="M837"/>
      <x:c r="N837" t="str">
        <x:v>Công ty TNHH mỹ phẩm Việt Hương</x:v>
      </x:c>
      <x:c r="O837" t="str">
        <x:v>Đình chỉ lưu hành, thu hồi và tiêu hủy – Công văn 1772/QLD-MP</x:v>
      </x:c>
      <x:c r="P837" t="str">
        <x:v>A++ – Cục Quản lý Dược; tổ chức chịu trách nhiệm explicit</x:v>
      </x:c>
      <x:c r="Q837" t="str">
        <x:v>Phụ lục 511 sản phẩm, STT 474, trang 15. Công ty Việt Hương là cơ sở sản xuất; cột tổ chức chịu trách nhiệm lấy nguyên văn từ phụ lục.</x:v>
      </x:c>
      <x:c r="R837" t="str">
        <x:v>https://dav.gov.vn/cong-van-so-1772qld-mp-ve-viec-dinh-chi-luu-hanh-thu-hoi-va-tieu-huy-my-pham-vi-pham-cong-ty-tnhh-my-pham-viet-huong-n5334.html</x:v>
      </x:c>
      <x:c r="S837" t="str">
        <x:v>Hà Nội</x:v>
      </x:c>
      <x:c r="T837" t="str">
        <x:v>01</x:v>
      </x:c>
    </x:row>
    <x:row r="838">
      <x:c r="A838" t="n">
        <x:v>837</x:v>
      </x:c>
      <x:c r="B838" s="330"/>
      <x:c r="C838" s="330" t="n">
        <x:v>46155</x:v>
      </x:c>
      <x:c r="D838" t="n">
        <x:v>2025</x:v>
      </x:c>
      <x:c r="E838"/>
      <x:c r="F838" t="str">
        <x:v>23997/25/CBMP-HN</x:v>
      </x:c>
      <x:c r="G838"/>
      <x:c r="H838" t="str">
        <x:v>Clearskin 2-days serum</x:v>
      </x:c>
      <x:c r="I838"/>
      <x:c r="J838" t="str">
        <x:v>Serum/Essence da</x:v>
      </x:c>
      <x:c r="K838"/>
      <x:c r="L838" t="str">
        <x:v>Công ty TNHH đầu tư Minh Khang Việt Nam</x:v>
      </x:c>
      <x:c r="M838"/>
      <x:c r="N838" t="str">
        <x:v>Công ty TNHH mỹ phẩm Việt Hương</x:v>
      </x:c>
      <x:c r="O838" t="str">
        <x:v>Đình chỉ lưu hành, thu hồi và tiêu hủy – Công văn 1772/QLD-MP</x:v>
      </x:c>
      <x:c r="P838" t="str">
        <x:v>A++ – Cục Quản lý Dược; tổ chức chịu trách nhiệm explicit</x:v>
      </x:c>
      <x:c r="Q838" t="str">
        <x:v>Phụ lục 511 sản phẩm, STT 475, trang 15. Công ty Việt Hương là cơ sở sản xuất; cột tổ chức chịu trách nhiệm lấy nguyên văn từ phụ lục.</x:v>
      </x:c>
      <x:c r="R838" t="str">
        <x:v>https://dav.gov.vn/cong-van-so-1772qld-mp-ve-viec-dinh-chi-luu-hanh-thu-hoi-va-tieu-huy-my-pham-vi-pham-cong-ty-tnhh-my-pham-viet-huong-n5334.html</x:v>
      </x:c>
      <x:c r="S838" t="str">
        <x:v>Hà Nội</x:v>
      </x:c>
      <x:c r="T838" t="str">
        <x:v>01</x:v>
      </x:c>
    </x:row>
    <x:row r="839">
      <x:c r="A839" t="n">
        <x:v>838</x:v>
      </x:c>
      <x:c r="B839" s="330"/>
      <x:c r="C839" s="330" t="n">
        <x:v>46155</x:v>
      </x:c>
      <x:c r="D839" t="n">
        <x:v>2025</x:v>
      </x:c>
      <x:c r="E839"/>
      <x:c r="F839" t="str">
        <x:v>23998/25/CBMP-HN</x:v>
      </x:c>
      <x:c r="G839"/>
      <x:c r="H839" t="str">
        <x:v>Skinrenew cleanser</x:v>
      </x:c>
      <x:c r="I839"/>
      <x:c r="J839" t="str">
        <x:v>Sữa rửa mặt</x:v>
      </x:c>
      <x:c r="K839"/>
      <x:c r="L839" t="str">
        <x:v>Công ty TNHH đầu tư Minh Khang Việt Nam</x:v>
      </x:c>
      <x:c r="M839"/>
      <x:c r="N839" t="str">
        <x:v>Công ty TNHH mỹ phẩm Việt Hương</x:v>
      </x:c>
      <x:c r="O839" t="str">
        <x:v>Đình chỉ lưu hành, thu hồi và tiêu hủy – Công văn 1772/QLD-MP</x:v>
      </x:c>
      <x:c r="P839" t="str">
        <x:v>A++ – Cục Quản lý Dược; tổ chức chịu trách nhiệm explicit</x:v>
      </x:c>
      <x:c r="Q839" t="str">
        <x:v>Phụ lục 511 sản phẩm, STT 476, trang 15. Công ty Việt Hương là cơ sở sản xuất; cột tổ chức chịu trách nhiệm lấy nguyên văn từ phụ lục.</x:v>
      </x:c>
      <x:c r="R839" t="str">
        <x:v>https://dav.gov.vn/cong-van-so-1772qld-mp-ve-viec-dinh-chi-luu-hanh-thu-hoi-va-tieu-huy-my-pham-vi-pham-cong-ty-tnhh-my-pham-viet-huong-n5334.html</x:v>
      </x:c>
      <x:c r="S839" t="str">
        <x:v>Hà Nội</x:v>
      </x:c>
      <x:c r="T839" t="str">
        <x:v>01</x:v>
      </x:c>
    </x:row>
    <x:row r="840">
      <x:c r="A840" t="n">
        <x:v>839</x:v>
      </x:c>
      <x:c r="B840" s="330"/>
      <x:c r="C840" s="330" t="n">
        <x:v>46155</x:v>
      </x:c>
      <x:c r="D840" t="n">
        <x:v>2025</x:v>
      </x:c>
      <x:c r="E840"/>
      <x:c r="F840" t="str">
        <x:v>24072/25/CBMP-HN</x:v>
      </x:c>
      <x:c r="G840"/>
      <x:c r="H840" t="str">
        <x:v>Bloomskin serum</x:v>
      </x:c>
      <x:c r="I840"/>
      <x:c r="J840" t="str">
        <x:v>Serum/Essence da</x:v>
      </x:c>
      <x:c r="K840"/>
      <x:c r="L840" t="str">
        <x:v>Công ty TNHH đầu tư Minh Khang Việt Nam</x:v>
      </x:c>
      <x:c r="M840"/>
      <x:c r="N840" t="str">
        <x:v>Công ty TNHH mỹ phẩm Việt Hương</x:v>
      </x:c>
      <x:c r="O840" t="str">
        <x:v>Đình chỉ lưu hành, thu hồi và tiêu hủy – Công văn 1772/QLD-MP</x:v>
      </x:c>
      <x:c r="P840" t="str">
        <x:v>A++ – Cục Quản lý Dược; tổ chức chịu trách nhiệm explicit</x:v>
      </x:c>
      <x:c r="Q840" t="str">
        <x:v>Phụ lục 511 sản phẩm, STT 477, trang 15. Công ty Việt Hương là cơ sở sản xuất; cột tổ chức chịu trách nhiệm lấy nguyên văn từ phụ lục.</x:v>
      </x:c>
      <x:c r="R840" t="str">
        <x:v>https://dav.gov.vn/cong-van-so-1772qld-mp-ve-viec-dinh-chi-luu-hanh-thu-hoi-va-tieu-huy-my-pham-vi-pham-cong-ty-tnhh-my-pham-viet-huong-n5334.html</x:v>
      </x:c>
      <x:c r="S840" t="str">
        <x:v>Hà Nội</x:v>
      </x:c>
      <x:c r="T840" t="str">
        <x:v>01</x:v>
      </x:c>
    </x:row>
    <x:row r="841">
      <x:c r="A841" t="n">
        <x:v>840</x:v>
      </x:c>
      <x:c r="B841" s="330"/>
      <x:c r="C841" s="330" t="n">
        <x:v>46155</x:v>
      </x:c>
      <x:c r="D841" t="n">
        <x:v>2025</x:v>
      </x:c>
      <x:c r="E841"/>
      <x:c r="F841" t="str">
        <x:v>24000/25/CBMP-HN</x:v>
      </x:c>
      <x:c r="G841"/>
      <x:c r="H841" t="str">
        <x:v>Kem chống nắng</x:v>
      </x:c>
      <x:c r="I841"/>
      <x:c r="J841" t="str">
        <x:v>Kem chống nắng</x:v>
      </x:c>
      <x:c r="K841"/>
      <x:c r="L841" t="str">
        <x:v>Công ty TNHH Dược mỹ phẩm Hoài Nguyên Organic</x:v>
      </x:c>
      <x:c r="M841"/>
      <x:c r="N841" t="str">
        <x:v>Công ty TNHH mỹ phẩm Việt Hương</x:v>
      </x:c>
      <x:c r="O841" t="str">
        <x:v>Đình chỉ lưu hành, thu hồi và tiêu hủy – Công văn 1772/QLD-MP</x:v>
      </x:c>
      <x:c r="P841" t="str">
        <x:v>A++ – Cục Quản lý Dược; tổ chức chịu trách nhiệm explicit</x:v>
      </x:c>
      <x:c r="Q841" t="str">
        <x:v>Phụ lục 511 sản phẩm, STT 478, trang 15. Công ty Việt Hương là cơ sở sản xuất; cột tổ chức chịu trách nhiệm lấy nguyên văn từ phụ lục.</x:v>
      </x:c>
      <x:c r="R841" t="str">
        <x:v>https://dav.gov.vn/cong-van-so-1772qld-mp-ve-viec-dinh-chi-luu-hanh-thu-hoi-va-tieu-huy-my-pham-vi-pham-cong-ty-tnhh-my-pham-viet-huong-n5334.html</x:v>
      </x:c>
      <x:c r="S841" t="str">
        <x:v>Hà Nội</x:v>
      </x:c>
      <x:c r="T841" t="str">
        <x:v>01</x:v>
      </x:c>
    </x:row>
    <x:row r="842">
      <x:c r="A842" t="n">
        <x:v>841</x:v>
      </x:c>
      <x:c r="B842" s="330"/>
      <x:c r="C842" s="330" t="n">
        <x:v>46155</x:v>
      </x:c>
      <x:c r="D842" t="n">
        <x:v>2025</x:v>
      </x:c>
      <x:c r="E842"/>
      <x:c r="F842" t="str">
        <x:v>24076/25/CBMP-HN</x:v>
      </x:c>
      <x:c r="G842"/>
      <x:c r="H842" t="str">
        <x:v>Xịt dưỡng tóc tinh dầu bưởi</x:v>
      </x:c>
      <x:c r="I842"/>
      <x:c r="J842" t="str">
        <x:v>Khác</x:v>
      </x:c>
      <x:c r="K842"/>
      <x:c r="L842" t="str">
        <x:v>Công ty TNHH The Gloria</x:v>
      </x:c>
      <x:c r="M842"/>
      <x:c r="N842" t="str">
        <x:v>Công ty TNHH mỹ phẩm Việt Hương</x:v>
      </x:c>
      <x:c r="O842" t="str">
        <x:v>Đình chỉ lưu hành, thu hồi và tiêu hủy – Công văn 1772/QLD-MP</x:v>
      </x:c>
      <x:c r="P842" t="str">
        <x:v>A++ – Cục Quản lý Dược; tổ chức chịu trách nhiệm explicit</x:v>
      </x:c>
      <x:c r="Q842" t="str">
        <x:v>Phụ lục 511 sản phẩm, STT 479, trang 15. Công ty Việt Hương là cơ sở sản xuất; cột tổ chức chịu trách nhiệm lấy nguyên văn từ phụ lục.</x:v>
      </x:c>
      <x:c r="R842" t="str">
        <x:v>https://dav.gov.vn/cong-van-so-1772qld-mp-ve-viec-dinh-chi-luu-hanh-thu-hoi-va-tieu-huy-my-pham-vi-pham-cong-ty-tnhh-my-pham-viet-huong-n5334.html</x:v>
      </x:c>
      <x:c r="S842" t="str">
        <x:v>Hà Nội</x:v>
      </x:c>
      <x:c r="T842" t="str">
        <x:v>01</x:v>
      </x:c>
    </x:row>
    <x:row r="843">
      <x:c r="A843" t="n">
        <x:v>842</x:v>
      </x:c>
      <x:c r="B843" s="330"/>
      <x:c r="C843" s="330" t="n">
        <x:v>46155</x:v>
      </x:c>
      <x:c r="D843" t="n">
        <x:v>2025</x:v>
      </x:c>
      <x:c r="E843"/>
      <x:c r="F843" t="str">
        <x:v>24478/25/CBMP-HN</x:v>
      </x:c>
      <x:c r="G843"/>
      <x:c r="H843" t="str">
        <x:v>Hôi nách</x:v>
      </x:c>
      <x:c r="I843"/>
      <x:c r="J843" t="str">
        <x:v>Khử mùi</x:v>
      </x:c>
      <x:c r="K843"/>
      <x:c r="L843" t="str">
        <x:v>Công ty TNHH The Gloria</x:v>
      </x:c>
      <x:c r="M843"/>
      <x:c r="N843" t="str">
        <x:v>Công ty TNHH mỹ phẩm Việt Hương</x:v>
      </x:c>
      <x:c r="O843" t="str">
        <x:v>Đình chỉ lưu hành, thu hồi và tiêu hủy – Công văn 1772/QLD-MP</x:v>
      </x:c>
      <x:c r="P843" t="str">
        <x:v>A++ – Cục Quản lý Dược; tổ chức chịu trách nhiệm explicit</x:v>
      </x:c>
      <x:c r="Q843" t="str">
        <x:v>Phụ lục 511 sản phẩm, STT 480, trang 15. Công ty Việt Hương là cơ sở sản xuất; cột tổ chức chịu trách nhiệm lấy nguyên văn từ phụ lục.</x:v>
      </x:c>
      <x:c r="R843" t="str">
        <x:v>https://dav.gov.vn/cong-van-so-1772qld-mp-ve-viec-dinh-chi-luu-hanh-thu-hoi-va-tieu-huy-my-pham-vi-pham-cong-ty-tnhh-my-pham-viet-huong-n5334.html</x:v>
      </x:c>
      <x:c r="S843" t="str">
        <x:v>Hà Nội</x:v>
      </x:c>
      <x:c r="T843" t="str">
        <x:v>01</x:v>
      </x:c>
    </x:row>
    <x:row r="844">
      <x:c r="A844" t="n">
        <x:v>843</x:v>
      </x:c>
      <x:c r="B844" s="330"/>
      <x:c r="C844" s="330" t="n">
        <x:v>46155</x:v>
      </x:c>
      <x:c r="D844" t="n">
        <x:v>2025</x:v>
      </x:c>
      <x:c r="E844"/>
      <x:c r="F844" t="str">
        <x:v>24479/25/CBMP-HN</x:v>
      </x:c>
      <x:c r="G844"/>
      <x:c r="H844" t="str">
        <x:v>Serum mụn Dạ Thảo Liên</x:v>
      </x:c>
      <x:c r="I844"/>
      <x:c r="J844" t="str">
        <x:v>Serum/Essence da</x:v>
      </x:c>
      <x:c r="K844"/>
      <x:c r="L844" t="str">
        <x:v>Công ty TNHH thương mại Tự Do Phát Tài</x:v>
      </x:c>
      <x:c r="M844"/>
      <x:c r="N844" t="str">
        <x:v>Công ty TNHH mỹ phẩm Việt Hương</x:v>
      </x:c>
      <x:c r="O844" t="str">
        <x:v>Đình chỉ lưu hành, thu hồi và tiêu hủy – Công văn 1772/QLD-MP</x:v>
      </x:c>
      <x:c r="P844" t="str">
        <x:v>A++ – Cục Quản lý Dược; tổ chức chịu trách nhiệm explicit</x:v>
      </x:c>
      <x:c r="Q844" t="str">
        <x:v>Phụ lục 511 sản phẩm, STT 481, trang 16. Công ty Việt Hương là cơ sở sản xuất; cột tổ chức chịu trách nhiệm lấy nguyên văn từ phụ lục.</x:v>
      </x:c>
      <x:c r="R844" t="str">
        <x:v>https://dav.gov.vn/cong-van-so-1772qld-mp-ve-viec-dinh-chi-luu-hanh-thu-hoi-va-tieu-huy-my-pham-vi-pham-cong-ty-tnhh-my-pham-viet-huong-n5334.html</x:v>
      </x:c>
      <x:c r="S844" t="str">
        <x:v>Hà Nội</x:v>
      </x:c>
      <x:c r="T844" t="str">
        <x:v>01</x:v>
      </x:c>
    </x:row>
    <x:row r="845">
      <x:c r="A845" t="n">
        <x:v>844</x:v>
      </x:c>
      <x:c r="B845" s="330"/>
      <x:c r="C845" s="330" t="n">
        <x:v>46155</x:v>
      </x:c>
      <x:c r="D845" t="n">
        <x:v>2025</x:v>
      </x:c>
      <x:c r="E845"/>
      <x:c r="F845" t="str">
        <x:v>24499/25/CBMP-HN</x:v>
      </x:c>
      <x:c r="G845"/>
      <x:c r="H845" t="str">
        <x:v>Nước tắm thảo mộc</x:v>
      </x:c>
      <x:c r="I845"/>
      <x:c r="J845" t="str">
        <x:v>Khác</x:v>
      </x:c>
      <x:c r="K845"/>
      <x:c r="L845" t="str">
        <x:v>HKD Momo KID</x:v>
      </x:c>
      <x:c r="M845"/>
      <x:c r="N845" t="str">
        <x:v>Công ty TNHH mỹ phẩm Việt Hương</x:v>
      </x:c>
      <x:c r="O845" t="str">
        <x:v>Đình chỉ lưu hành, thu hồi và tiêu hủy – Công văn 1772/QLD-MP</x:v>
      </x:c>
      <x:c r="P845" t="str">
        <x:v>A++ – Cục Quản lý Dược; tổ chức chịu trách nhiệm explicit</x:v>
      </x:c>
      <x:c r="Q845" t="str">
        <x:v>Phụ lục 511 sản phẩm, STT 482, trang 16. Công ty Việt Hương là cơ sở sản xuất; cột tổ chức chịu trách nhiệm lấy nguyên văn từ phụ lục.</x:v>
      </x:c>
      <x:c r="R845" t="str">
        <x:v>https://dav.gov.vn/cong-van-so-1772qld-mp-ve-viec-dinh-chi-luu-hanh-thu-hoi-va-tieu-huy-my-pham-vi-pham-cong-ty-tnhh-my-pham-viet-huong-n5334.html</x:v>
      </x:c>
      <x:c r="S845" t="str">
        <x:v>Hà Nội</x:v>
      </x:c>
      <x:c r="T845" t="str">
        <x:v>01</x:v>
      </x:c>
    </x:row>
    <x:row r="846">
      <x:c r="A846" t="n">
        <x:v>845</x:v>
      </x:c>
      <x:c r="B846" s="330"/>
      <x:c r="C846" s="330" t="n">
        <x:v>46155</x:v>
      </x:c>
      <x:c r="D846" t="n">
        <x:v>2025</x:v>
      </x:c>
      <x:c r="E846"/>
      <x:c r="F846" t="str">
        <x:v>24734/25/CBMP-HN</x:v>
      </x:c>
      <x:c r="G846"/>
      <x:c r="H846" t="str">
        <x:v>Aftercare tattoo balm</x:v>
      </x:c>
      <x:c r="I846"/>
      <x:c r="J846" t="str">
        <x:v>Khác</x:v>
      </x:c>
      <x:c r="K846"/>
      <x:c r="L846" t="str">
        <x:v>Công ty TNHH Ink.Inc Tattoo Hà Nội</x:v>
      </x:c>
      <x:c r="M846"/>
      <x:c r="N846" t="str">
        <x:v>Công ty TNHH mỹ phẩm Việt Hương</x:v>
      </x:c>
      <x:c r="O846" t="str">
        <x:v>Đình chỉ lưu hành, thu hồi và tiêu hủy – Công văn 1772/QLD-MP</x:v>
      </x:c>
      <x:c r="P846" t="str">
        <x:v>A++ – Cục Quản lý Dược; tổ chức chịu trách nhiệm explicit</x:v>
      </x:c>
      <x:c r="Q846" t="str">
        <x:v>Phụ lục 511 sản phẩm, STT 483, trang 16. Công ty Việt Hương là cơ sở sản xuất; cột tổ chức chịu trách nhiệm lấy nguyên văn từ phụ lục.</x:v>
      </x:c>
      <x:c r="R846" t="str">
        <x:v>https://dav.gov.vn/cong-van-so-1772qld-mp-ve-viec-dinh-chi-luu-hanh-thu-hoi-va-tieu-huy-my-pham-vi-pham-cong-ty-tnhh-my-pham-viet-huong-n5334.html</x:v>
      </x:c>
      <x:c r="S846" t="str">
        <x:v>Hà Nội</x:v>
      </x:c>
      <x:c r="T846" t="str">
        <x:v>01</x:v>
      </x:c>
    </x:row>
    <x:row r="847">
      <x:c r="A847" t="n">
        <x:v>846</x:v>
      </x:c>
      <x:c r="B847" s="330"/>
      <x:c r="C847" s="330" t="n">
        <x:v>46155</x:v>
      </x:c>
      <x:c r="D847" t="n">
        <x:v>2025</x:v>
      </x:c>
      <x:c r="E847"/>
      <x:c r="F847" t="str">
        <x:v>25236/25/CBMP-HN</x:v>
      </x:c>
      <x:c r="G847"/>
      <x:c r="H847" t="str">
        <x:v>Phủ bạc Ecocharm Black Hair</x:v>
      </x:c>
      <x:c r="I847"/>
      <x:c r="J847" t="str">
        <x:v>Nhuộm/tẩy màu tóc</x:v>
      </x:c>
      <x:c r="K847"/>
      <x:c r="L847" t="str">
        <x:v>Công ty TNHH nghiên cứu và phát triển dược liệu Ecocharm Việt Nam</x:v>
      </x:c>
      <x:c r="M847"/>
      <x:c r="N847" t="str">
        <x:v>Công ty TNHH mỹ phẩm Việt Hương</x:v>
      </x:c>
      <x:c r="O847" t="str">
        <x:v>Đình chỉ lưu hành, thu hồi và tiêu hủy – Công văn 1772/QLD-MP</x:v>
      </x:c>
      <x:c r="P847" t="str">
        <x:v>A++ – Cục Quản lý Dược; tổ chức chịu trách nhiệm explicit</x:v>
      </x:c>
      <x:c r="Q847" t="str">
        <x:v>Phụ lục 511 sản phẩm, STT 484, trang 16. Công ty Việt Hương là cơ sở sản xuất; cột tổ chức chịu trách nhiệm lấy nguyên văn từ phụ lục.</x:v>
      </x:c>
      <x:c r="R847" t="str">
        <x:v>https://dav.gov.vn/cong-van-so-1772qld-mp-ve-viec-dinh-chi-luu-hanh-thu-hoi-va-tieu-huy-my-pham-vi-pham-cong-ty-tnhh-my-pham-viet-huong-n5334.html</x:v>
      </x:c>
      <x:c r="S847" t="str">
        <x:v>Hà Nội</x:v>
      </x:c>
      <x:c r="T847" t="str">
        <x:v>01</x:v>
      </x:c>
    </x:row>
    <x:row r="848">
      <x:c r="A848" t="n">
        <x:v>847</x:v>
      </x:c>
      <x:c r="B848" s="330"/>
      <x:c r="C848" s="330" t="n">
        <x:v>46155</x:v>
      </x:c>
      <x:c r="D848" t="n">
        <x:v>2025</x:v>
      </x:c>
      <x:c r="E848"/>
      <x:c r="F848" t="str">
        <x:v>25383/25/CBMP-HN</x:v>
      </x:c>
      <x:c r="G848"/>
      <x:c r="H848" t="str">
        <x:v>Dakami cleanser</x:v>
      </x:c>
      <x:c r="I848"/>
      <x:c r="J848" t="str">
        <x:v>Sữa rửa mặt</x:v>
      </x:c>
      <x:c r="K848"/>
      <x:c r="L848" t="str">
        <x:v>Công ty TNHH Olahi</x:v>
      </x:c>
      <x:c r="M848"/>
      <x:c r="N848" t="str">
        <x:v>Công ty TNHH mỹ phẩm Việt Hương</x:v>
      </x:c>
      <x:c r="O848" t="str">
        <x:v>Đình chỉ lưu hành, thu hồi và tiêu hủy – Công văn 1772/QLD-MP</x:v>
      </x:c>
      <x:c r="P848" t="str">
        <x:v>A++ – Cục Quản lý Dược; tổ chức chịu trách nhiệm explicit</x:v>
      </x:c>
      <x:c r="Q848" t="str">
        <x:v>Phụ lục 511 sản phẩm, STT 485, trang 16. Công ty Việt Hương là cơ sở sản xuất; cột tổ chức chịu trách nhiệm lấy nguyên văn từ phụ lục.</x:v>
      </x:c>
      <x:c r="R848" t="str">
        <x:v>https://dav.gov.vn/cong-van-so-1772qld-mp-ve-viec-dinh-chi-luu-hanh-thu-hoi-va-tieu-huy-my-pham-vi-pham-cong-ty-tnhh-my-pham-viet-huong-n5334.html</x:v>
      </x:c>
      <x:c r="S848" t="str">
        <x:v>Hà Nội</x:v>
      </x:c>
      <x:c r="T848" t="str">
        <x:v>01</x:v>
      </x:c>
    </x:row>
    <x:row r="849">
      <x:c r="A849" t="n">
        <x:v>848</x:v>
      </x:c>
      <x:c r="B849" s="330"/>
      <x:c r="C849" s="330" t="n">
        <x:v>46155</x:v>
      </x:c>
      <x:c r="D849" t="n">
        <x:v>2025</x:v>
      </x:c>
      <x:c r="E849"/>
      <x:c r="F849" t="str">
        <x:v>25573/25/CBMP-HN</x:v>
      </x:c>
      <x:c r="G849"/>
      <x:c r="H849" t="str">
        <x:v>Sữa rửa mặt</x:v>
      </x:c>
      <x:c r="I849"/>
      <x:c r="J849" t="str">
        <x:v>Sữa rửa mặt</x:v>
      </x:c>
      <x:c r="K849"/>
      <x:c r="L849" t="str">
        <x:v>Công ty TNHH Cầu Bình An</x:v>
      </x:c>
      <x:c r="M849"/>
      <x:c r="N849" t="str">
        <x:v>Công ty TNHH mỹ phẩm Việt Hương</x:v>
      </x:c>
      <x:c r="O849" t="str">
        <x:v>Đình chỉ lưu hành, thu hồi và tiêu hủy – Công văn 1772/QLD-MP</x:v>
      </x:c>
      <x:c r="P849" t="str">
        <x:v>A++ – Cục Quản lý Dược; tổ chức chịu trách nhiệm explicit</x:v>
      </x:c>
      <x:c r="Q849" t="str">
        <x:v>Phụ lục 511 sản phẩm, STT 486, trang 16. Công ty Việt Hương là cơ sở sản xuất; cột tổ chức chịu trách nhiệm lấy nguyên văn từ phụ lục.</x:v>
      </x:c>
      <x:c r="R849" t="str">
        <x:v>https://dav.gov.vn/cong-van-so-1772qld-mp-ve-viec-dinh-chi-luu-hanh-thu-hoi-va-tieu-huy-my-pham-vi-pham-cong-ty-tnhh-my-pham-viet-huong-n5334.html</x:v>
      </x:c>
      <x:c r="S849" t="str">
        <x:v>Hà Nội</x:v>
      </x:c>
      <x:c r="T849" t="str">
        <x:v>01</x:v>
      </x:c>
    </x:row>
    <x:row r="850">
      <x:c r="A850" t="n">
        <x:v>849</x:v>
      </x:c>
      <x:c r="B850" s="330"/>
      <x:c r="C850" s="330" t="n">
        <x:v>46155</x:v>
      </x:c>
      <x:c r="D850" t="n">
        <x:v>2025</x:v>
      </x:c>
      <x:c r="E850"/>
      <x:c r="F850" t="str">
        <x:v>25574/25/CBMP-HN</x:v>
      </x:c>
      <x:c r="G850"/>
      <x:c r="H850" t="str">
        <x:v>Kem massage</x:v>
      </x:c>
      <x:c r="I850"/>
      <x:c r="J850" t="str">
        <x:v>Khác</x:v>
      </x:c>
      <x:c r="K850"/>
      <x:c r="L850" t="str">
        <x:v>Công ty TNHH mỹ phẩm Ngân Bình</x:v>
      </x:c>
      <x:c r="M850"/>
      <x:c r="N850" t="str">
        <x:v>Công ty TNHH mỹ phẩm Việt Hương</x:v>
      </x:c>
      <x:c r="O850" t="str">
        <x:v>Đình chỉ lưu hành, thu hồi và tiêu hủy – Công văn 1772/QLD-MP</x:v>
      </x:c>
      <x:c r="P850" t="str">
        <x:v>A++ – Cục Quản lý Dược; tổ chức chịu trách nhiệm explicit</x:v>
      </x:c>
      <x:c r="Q850" t="str">
        <x:v>Phụ lục 511 sản phẩm, STT 487, trang 16. Công ty Việt Hương là cơ sở sản xuất; cột tổ chức chịu trách nhiệm lấy nguyên văn từ phụ lục.</x:v>
      </x:c>
      <x:c r="R850" t="str">
        <x:v>https://dav.gov.vn/cong-van-so-1772qld-mp-ve-viec-dinh-chi-luu-hanh-thu-hoi-va-tieu-huy-my-pham-vi-pham-cong-ty-tnhh-my-pham-viet-huong-n5334.html</x:v>
      </x:c>
      <x:c r="S850" t="str">
        <x:v>Hà Nội</x:v>
      </x:c>
      <x:c r="T850" t="str">
        <x:v>01</x:v>
      </x:c>
    </x:row>
    <x:row r="851">
      <x:c r="A851" t="n">
        <x:v>850</x:v>
      </x:c>
      <x:c r="B851" s="330"/>
      <x:c r="C851" s="330" t="n">
        <x:v>46155</x:v>
      </x:c>
      <x:c r="D851" t="n">
        <x:v>2025</x:v>
      </x:c>
      <x:c r="E851"/>
      <x:c r="F851" t="str">
        <x:v>25586/25/CBMP-HN</x:v>
      </x:c>
      <x:c r="G851"/>
      <x:c r="H851" t="str">
        <x:v>Yu deep cleanser</x:v>
      </x:c>
      <x:c r="I851"/>
      <x:c r="J851" t="str">
        <x:v>Sữa rửa mặt</x:v>
      </x:c>
      <x:c r="K851"/>
      <x:c r="L851" t="str">
        <x:v>Công ty TNHH Yulas</x:v>
      </x:c>
      <x:c r="M851"/>
      <x:c r="N851" t="str">
        <x:v>Công ty TNHH mỹ phẩm Việt Hương</x:v>
      </x:c>
      <x:c r="O851" t="str">
        <x:v>Đình chỉ lưu hành, thu hồi và tiêu hủy – Công văn 1772/QLD-MP</x:v>
      </x:c>
      <x:c r="P851" t="str">
        <x:v>A++ – Cục Quản lý Dược; tổ chức chịu trách nhiệm explicit</x:v>
      </x:c>
      <x:c r="Q851" t="str">
        <x:v>Phụ lục 511 sản phẩm, STT 488, trang 16. Công ty Việt Hương là cơ sở sản xuất; cột tổ chức chịu trách nhiệm lấy nguyên văn từ phụ lục.</x:v>
      </x:c>
      <x:c r="R851" t="str">
        <x:v>https://dav.gov.vn/cong-van-so-1772qld-mp-ve-viec-dinh-chi-luu-hanh-thu-hoi-va-tieu-huy-my-pham-vi-pham-cong-ty-tnhh-my-pham-viet-huong-n5334.html</x:v>
      </x:c>
      <x:c r="S851" t="str">
        <x:v>Hà Nội</x:v>
      </x:c>
      <x:c r="T851" t="str">
        <x:v>01</x:v>
      </x:c>
    </x:row>
    <x:row r="852">
      <x:c r="A852" t="n">
        <x:v>851</x:v>
      </x:c>
      <x:c r="B852" s="330"/>
      <x:c r="C852" s="330" t="n">
        <x:v>46155</x:v>
      </x:c>
      <x:c r="D852" t="n">
        <x:v>2025</x:v>
      </x:c>
      <x:c r="E852"/>
      <x:c r="F852" t="str">
        <x:v>25587/25/CBMP-HN</x:v>
      </x:c>
      <x:c r="G852"/>
      <x:c r="H852" t="str">
        <x:v>Yu pure cleanser</x:v>
      </x:c>
      <x:c r="I852"/>
      <x:c r="J852" t="str">
        <x:v>Sữa rửa mặt</x:v>
      </x:c>
      <x:c r="K852"/>
      <x:c r="L852" t="str">
        <x:v>Công ty TNHH Yulas</x:v>
      </x:c>
      <x:c r="M852"/>
      <x:c r="N852" t="str">
        <x:v>Công ty TNHH mỹ phẩm Việt Hương</x:v>
      </x:c>
      <x:c r="O852" t="str">
        <x:v>Đình chỉ lưu hành, thu hồi và tiêu hủy – Công văn 1772/QLD-MP</x:v>
      </x:c>
      <x:c r="P852" t="str">
        <x:v>A++ – Cục Quản lý Dược; tổ chức chịu trách nhiệm explicit</x:v>
      </x:c>
      <x:c r="Q852" t="str">
        <x:v>Phụ lục 511 sản phẩm, STT 489, trang 16. Công ty Việt Hương là cơ sở sản xuất; cột tổ chức chịu trách nhiệm lấy nguyên văn từ phụ lục.</x:v>
      </x:c>
      <x:c r="R852" t="str">
        <x:v>https://dav.gov.vn/cong-van-so-1772qld-mp-ve-viec-dinh-chi-luu-hanh-thu-hoi-va-tieu-huy-my-pham-vi-pham-cong-ty-tnhh-my-pham-viet-huong-n5334.html</x:v>
      </x:c>
      <x:c r="S852" t="str">
        <x:v>Hà Nội</x:v>
      </x:c>
      <x:c r="T852" t="str">
        <x:v>01</x:v>
      </x:c>
    </x:row>
    <x:row r="853">
      <x:c r="A853" t="n">
        <x:v>852</x:v>
      </x:c>
      <x:c r="B853" s="330"/>
      <x:c r="C853" s="330" t="n">
        <x:v>46155</x:v>
      </x:c>
      <x:c r="D853" t="n">
        <x:v>2025</x:v>
      </x:c>
      <x:c r="E853"/>
      <x:c r="F853" t="str">
        <x:v>25588/25/CBMP-HN</x:v>
      </x:c>
      <x:c r="G853"/>
      <x:c r="H853" t="str">
        <x:v>Yu green serum</x:v>
      </x:c>
      <x:c r="I853"/>
      <x:c r="J853" t="str">
        <x:v>Serum/Essence da</x:v>
      </x:c>
      <x:c r="K853"/>
      <x:c r="L853" t="str">
        <x:v>Công ty TNHH Yulas</x:v>
      </x:c>
      <x:c r="M853"/>
      <x:c r="N853" t="str">
        <x:v>Công ty TNHH mỹ phẩm Việt Hương</x:v>
      </x:c>
      <x:c r="O853" t="str">
        <x:v>Đình chỉ lưu hành, thu hồi và tiêu hủy – Công văn 1772/QLD-MP</x:v>
      </x:c>
      <x:c r="P853" t="str">
        <x:v>A++ – Cục Quản lý Dược; tổ chức chịu trách nhiệm explicit</x:v>
      </x:c>
      <x:c r="Q853" t="str">
        <x:v>Phụ lục 511 sản phẩm, STT 490, trang 16. Công ty Việt Hương là cơ sở sản xuất; cột tổ chức chịu trách nhiệm lấy nguyên văn từ phụ lục.</x:v>
      </x:c>
      <x:c r="R853" t="str">
        <x:v>https://dav.gov.vn/cong-van-so-1772qld-mp-ve-viec-dinh-chi-luu-hanh-thu-hoi-va-tieu-huy-my-pham-vi-pham-cong-ty-tnhh-my-pham-viet-huong-n5334.html</x:v>
      </x:c>
      <x:c r="S853" t="str">
        <x:v>Hà Nội</x:v>
      </x:c>
      <x:c r="T853" t="str">
        <x:v>01</x:v>
      </x:c>
    </x:row>
    <x:row r="854">
      <x:c r="A854" t="n">
        <x:v>853</x:v>
      </x:c>
      <x:c r="B854" s="330"/>
      <x:c r="C854" s="330" t="n">
        <x:v>46155</x:v>
      </x:c>
      <x:c r="D854" t="n">
        <x:v>2025</x:v>
      </x:c>
      <x:c r="E854"/>
      <x:c r="F854" t="str">
        <x:v>25589/25/CBMP-HN</x:v>
      </x:c>
      <x:c r="G854"/>
      <x:c r="H854" t="str">
        <x:v>Yu sensitive remover</x:v>
      </x:c>
      <x:c r="I854"/>
      <x:c r="J854" t="str">
        <x:v>Tẩy trang</x:v>
      </x:c>
      <x:c r="K854"/>
      <x:c r="L854" t="str">
        <x:v>Công ty TNHH Yulas</x:v>
      </x:c>
      <x:c r="M854"/>
      <x:c r="N854" t="str">
        <x:v>Công ty TNHH mỹ phẩm Việt Hương</x:v>
      </x:c>
      <x:c r="O854" t="str">
        <x:v>Đình chỉ lưu hành, thu hồi và tiêu hủy – Công văn 1772/QLD-MP</x:v>
      </x:c>
      <x:c r="P854" t="str">
        <x:v>A++ – Cục Quản lý Dược; tổ chức chịu trách nhiệm explicit</x:v>
      </x:c>
      <x:c r="Q854" t="str">
        <x:v>Phụ lục 511 sản phẩm, STT 491, trang 16. Công ty Việt Hương là cơ sở sản xuất; cột tổ chức chịu trách nhiệm lấy nguyên văn từ phụ lục.</x:v>
      </x:c>
      <x:c r="R854" t="str">
        <x:v>https://dav.gov.vn/cong-van-so-1772qld-mp-ve-viec-dinh-chi-luu-hanh-thu-hoi-va-tieu-huy-my-pham-vi-pham-cong-ty-tnhh-my-pham-viet-huong-n5334.html</x:v>
      </x:c>
      <x:c r="S854" t="str">
        <x:v>Hà Nội</x:v>
      </x:c>
      <x:c r="T854" t="str">
        <x:v>01</x:v>
      </x:c>
    </x:row>
    <x:row r="855">
      <x:c r="A855" t="n">
        <x:v>854</x:v>
      </x:c>
      <x:c r="B855" s="330"/>
      <x:c r="C855" s="330" t="n">
        <x:v>46155</x:v>
      </x:c>
      <x:c r="D855" t="n">
        <x:v>2025</x:v>
      </x:c>
      <x:c r="E855"/>
      <x:c r="F855" t="str">
        <x:v>25753/25/CBMP-HN</x:v>
      </x:c>
      <x:c r="G855"/>
      <x:c r="H855" t="str">
        <x:v>Yu bright guard</x:v>
      </x:c>
      <x:c r="I855"/>
      <x:c r="J855" t="str">
        <x:v>Khác</x:v>
      </x:c>
      <x:c r="K855"/>
      <x:c r="L855" t="str">
        <x:v>Công ty TNHH Yulas</x:v>
      </x:c>
      <x:c r="M855"/>
      <x:c r="N855" t="str">
        <x:v>Công ty TNHH mỹ phẩm Việt Hương</x:v>
      </x:c>
      <x:c r="O855" t="str">
        <x:v>Đình chỉ lưu hành, thu hồi và tiêu hủy – Công văn 1772/QLD-MP</x:v>
      </x:c>
      <x:c r="P855" t="str">
        <x:v>A++ – Cục Quản lý Dược; tổ chức chịu trách nhiệm explicit</x:v>
      </x:c>
      <x:c r="Q855" t="str">
        <x:v>Phụ lục 511 sản phẩm, STT 492, trang 16. Công ty Việt Hương là cơ sở sản xuất; cột tổ chức chịu trách nhiệm lấy nguyên văn từ phụ lục.</x:v>
      </x:c>
      <x:c r="R855" t="str">
        <x:v>https://dav.gov.vn/cong-van-so-1772qld-mp-ve-viec-dinh-chi-luu-hanh-thu-hoi-va-tieu-huy-my-pham-vi-pham-cong-ty-tnhh-my-pham-viet-huong-n5334.html</x:v>
      </x:c>
      <x:c r="S855" t="str">
        <x:v>Hà Nội</x:v>
      </x:c>
      <x:c r="T855" t="str">
        <x:v>01</x:v>
      </x:c>
    </x:row>
    <x:row r="856">
      <x:c r="A856" t="n">
        <x:v>855</x:v>
      </x:c>
      <x:c r="B856" s="330"/>
      <x:c r="C856" s="330" t="n">
        <x:v>46155</x:v>
      </x:c>
      <x:c r="D856" t="n">
        <x:v>2025</x:v>
      </x:c>
      <x:c r="E856"/>
      <x:c r="F856" t="str">
        <x:v>25701/25/CBMP-HN</x:v>
      </x:c>
      <x:c r="G856"/>
      <x:c r="H856" t="str">
        <x:v>Dầu gội Hamayna natural</x:v>
      </x:c>
      <x:c r="I856"/>
      <x:c r="J856" t="str">
        <x:v>Dầu gội</x:v>
      </x:c>
      <x:c r="K856"/>
      <x:c r="L856" t="str">
        <x:v>Công ty TNHH thương mại Hamayna</x:v>
      </x:c>
      <x:c r="M856"/>
      <x:c r="N856" t="str">
        <x:v>Công ty TNHH mỹ phẩm Việt Hương</x:v>
      </x:c>
      <x:c r="O856" t="str">
        <x:v>Đình chỉ lưu hành, thu hồi và tiêu hủy – Công văn 1772/QLD-MP</x:v>
      </x:c>
      <x:c r="P856" t="str">
        <x:v>A++ – Cục Quản lý Dược; tổ chức chịu trách nhiệm explicit</x:v>
      </x:c>
      <x:c r="Q856" t="str">
        <x:v>Phụ lục 511 sản phẩm, STT 493, trang 16. Công ty Việt Hương là cơ sở sản xuất; cột tổ chức chịu trách nhiệm lấy nguyên văn từ phụ lục.</x:v>
      </x:c>
      <x:c r="R856" t="str">
        <x:v>https://dav.gov.vn/cong-van-so-1772qld-mp-ve-viec-dinh-chi-luu-hanh-thu-hoi-va-tieu-huy-my-pham-vi-pham-cong-ty-tnhh-my-pham-viet-huong-n5334.html</x:v>
      </x:c>
      <x:c r="S856" t="str">
        <x:v>Hà Nội</x:v>
      </x:c>
      <x:c r="T856" t="str">
        <x:v>01</x:v>
      </x:c>
    </x:row>
    <x:row r="857">
      <x:c r="A857" t="n">
        <x:v>856</x:v>
      </x:c>
      <x:c r="B857" s="330"/>
      <x:c r="C857" s="330" t="n">
        <x:v>46155</x:v>
      </x:c>
      <x:c r="D857" t="n">
        <x:v>2025</x:v>
      </x:c>
      <x:c r="E857"/>
      <x:c r="F857" t="str">
        <x:v>25702/25/CBMP-HN</x:v>
      </x:c>
      <x:c r="G857"/>
      <x:c r="H857" t="str">
        <x:v>Dầu xả Hamayna restoring</x:v>
      </x:c>
      <x:c r="I857"/>
      <x:c r="J857" t="str">
        <x:v>Dầu xả</x:v>
      </x:c>
      <x:c r="K857"/>
      <x:c r="L857" t="str">
        <x:v>Công ty TNHH thương mại Hamayna</x:v>
      </x:c>
      <x:c r="M857"/>
      <x:c r="N857" t="str">
        <x:v>Công ty TNHH mỹ phẩm Việt Hương</x:v>
      </x:c>
      <x:c r="O857" t="str">
        <x:v>Đình chỉ lưu hành, thu hồi và tiêu hủy – Công văn 1772/QLD-MP</x:v>
      </x:c>
      <x:c r="P857" t="str">
        <x:v>A++ – Cục Quản lý Dược; tổ chức chịu trách nhiệm explicit</x:v>
      </x:c>
      <x:c r="Q857" t="str">
        <x:v>Phụ lục 511 sản phẩm, STT 494, trang 16. Công ty Việt Hương là cơ sở sản xuất; cột tổ chức chịu trách nhiệm lấy nguyên văn từ phụ lục.</x:v>
      </x:c>
      <x:c r="R857" t="str">
        <x:v>https://dav.gov.vn/cong-van-so-1772qld-mp-ve-viec-dinh-chi-luu-hanh-thu-hoi-va-tieu-huy-my-pham-vi-pham-cong-ty-tnhh-my-pham-viet-huong-n5334.html</x:v>
      </x:c>
      <x:c r="S857" t="str">
        <x:v>Hà Nội</x:v>
      </x:c>
      <x:c r="T857" t="str">
        <x:v>01</x:v>
      </x:c>
    </x:row>
    <x:row r="858">
      <x:c r="A858" t="n">
        <x:v>857</x:v>
      </x:c>
      <x:c r="B858" s="330"/>
      <x:c r="C858" s="330" t="n">
        <x:v>46155</x:v>
      </x:c>
      <x:c r="D858" t="n">
        <x:v>2025</x:v>
      </x:c>
      <x:c r="E858"/>
      <x:c r="F858" t="str">
        <x:v>25703/25/CBMP-HN</x:v>
      </x:c>
      <x:c r="G858"/>
      <x:c r="H858" t="str">
        <x:v>Gentle hair care</x:v>
      </x:c>
      <x:c r="I858"/>
      <x:c r="J858" t="str">
        <x:v>Khác</x:v>
      </x:c>
      <x:c r="K858"/>
      <x:c r="L858" t="str">
        <x:v>Công ty TNHH thương mại Hamayna</x:v>
      </x:c>
      <x:c r="M858"/>
      <x:c r="N858" t="str">
        <x:v>Công ty TNHH mỹ phẩm Việt Hương</x:v>
      </x:c>
      <x:c r="O858" t="str">
        <x:v>Đình chỉ lưu hành, thu hồi và tiêu hủy – Công văn 1772/QLD-MP</x:v>
      </x:c>
      <x:c r="P858" t="str">
        <x:v>A++ – Cục Quản lý Dược; tổ chức chịu trách nhiệm explicit</x:v>
      </x:c>
      <x:c r="Q858" t="str">
        <x:v>Phụ lục 511 sản phẩm, STT 495, trang 16. Công ty Việt Hương là cơ sở sản xuất; cột tổ chức chịu trách nhiệm lấy nguyên văn từ phụ lục.</x:v>
      </x:c>
      <x:c r="R858" t="str">
        <x:v>https://dav.gov.vn/cong-van-so-1772qld-mp-ve-viec-dinh-chi-luu-hanh-thu-hoi-va-tieu-huy-my-pham-vi-pham-cong-ty-tnhh-my-pham-viet-huong-n5334.html</x:v>
      </x:c>
      <x:c r="S858" t="str">
        <x:v>Hà Nội</x:v>
      </x:c>
      <x:c r="T858" t="str">
        <x:v>01</x:v>
      </x:c>
    </x:row>
    <x:row r="859">
      <x:c r="A859" t="n">
        <x:v>858</x:v>
      </x:c>
      <x:c r="B859" s="330"/>
      <x:c r="C859" s="330" t="n">
        <x:v>46155</x:v>
      </x:c>
      <x:c r="D859" t="n">
        <x:v>2025</x:v>
      </x:c>
      <x:c r="E859"/>
      <x:c r="F859" t="str">
        <x:v>25705/25/CBMP-HN</x:v>
      </x:c>
      <x:c r="G859"/>
      <x:c r="H859" t="str">
        <x:v>Son dưỡng môi hồng Gogo Tales</x:v>
      </x:c>
      <x:c r="I859"/>
      <x:c r="J859" t="str">
        <x:v>Sản phẩm môi</x:v>
      </x:c>
      <x:c r="K859"/>
      <x:c r="L859" t="str">
        <x:v>Hộ kinh doanh Trần Thị Phương Thảo</x:v>
      </x:c>
      <x:c r="M859"/>
      <x:c r="N859" t="str">
        <x:v>Công ty TNHH mỹ phẩm Việt Hương</x:v>
      </x:c>
      <x:c r="O859" t="str">
        <x:v>Đình chỉ lưu hành, thu hồi và tiêu hủy – Công văn 1772/QLD-MP</x:v>
      </x:c>
      <x:c r="P859" t="str">
        <x:v>A++ – Cục Quản lý Dược; tổ chức chịu trách nhiệm explicit</x:v>
      </x:c>
      <x:c r="Q859" t="str">
        <x:v>Phụ lục 511 sản phẩm, STT 496, trang 16. Công ty Việt Hương là cơ sở sản xuất; cột tổ chức chịu trách nhiệm lấy nguyên văn từ phụ lục.</x:v>
      </x:c>
      <x:c r="R859" t="str">
        <x:v>https://dav.gov.vn/cong-van-so-1772qld-mp-ve-viec-dinh-chi-luu-hanh-thu-hoi-va-tieu-huy-my-pham-vi-pham-cong-ty-tnhh-my-pham-viet-huong-n5334.html</x:v>
      </x:c>
      <x:c r="S859" t="str">
        <x:v>Hà Nội</x:v>
      </x:c>
      <x:c r="T859" t="str">
        <x:v>01</x:v>
      </x:c>
    </x:row>
    <x:row r="860">
      <x:c r="A860" t="n">
        <x:v>859</x:v>
      </x:c>
      <x:c r="B860" s="330"/>
      <x:c r="C860" s="330" t="n">
        <x:v>46155</x:v>
      </x:c>
      <x:c r="D860" t="n">
        <x:v>2025</x:v>
      </x:c>
      <x:c r="E860"/>
      <x:c r="F860" t="str">
        <x:v>25752/25/CBMP-HN</x:v>
      </x:c>
      <x:c r="G860"/>
      <x:c r="H860" t="str">
        <x:v>Cleanser dry skin care</x:v>
      </x:c>
      <x:c r="I860"/>
      <x:c r="J860" t="str">
        <x:v>Sữa rửa mặt</x:v>
      </x:c>
      <x:c r="K860"/>
      <x:c r="L860" t="str">
        <x:v>Hộ kinh doanh Phạn Quốc Thái - Hải Phú</x:v>
      </x:c>
      <x:c r="M860"/>
      <x:c r="N860" t="str">
        <x:v>Công ty TNHH mỹ phẩm Việt Hương</x:v>
      </x:c>
      <x:c r="O860" t="str">
        <x:v>Đình chỉ lưu hành, thu hồi và tiêu hủy – Công văn 1772/QLD-MP</x:v>
      </x:c>
      <x:c r="P860" t="str">
        <x:v>A++ – Cục Quản lý Dược; tổ chức chịu trách nhiệm explicit</x:v>
      </x:c>
      <x:c r="Q860" t="str">
        <x:v>Phụ lục 511 sản phẩm, STT 497, trang 16. Công ty Việt Hương là cơ sở sản xuất; cột tổ chức chịu trách nhiệm lấy nguyên văn từ phụ lục.</x:v>
      </x:c>
      <x:c r="R860" t="str">
        <x:v>https://dav.gov.vn/cong-van-so-1772qld-mp-ve-viec-dinh-chi-luu-hanh-thu-hoi-va-tieu-huy-my-pham-vi-pham-cong-ty-tnhh-my-pham-viet-huong-n5334.html</x:v>
      </x:c>
      <x:c r="S860" t="str">
        <x:v>Hà Nội</x:v>
      </x:c>
      <x:c r="T860" t="str">
        <x:v>01</x:v>
      </x:c>
    </x:row>
    <x:row r="861">
      <x:c r="A861" t="n">
        <x:v>860</x:v>
      </x:c>
      <x:c r="B861" s="330"/>
      <x:c r="C861" s="330" t="n">
        <x:v>46155</x:v>
      </x:c>
      <x:c r="D861" t="n">
        <x:v>2025</x:v>
      </x:c>
      <x:c r="E861"/>
      <x:c r="F861" t="str">
        <x:v>25905/25/CBMP-HN</x:v>
      </x:c>
      <x:c r="G861"/>
      <x:c r="H861" t="str">
        <x:v>Sữa Tắm Than</x:v>
      </x:c>
      <x:c r="I861"/>
      <x:c r="J861" t="str">
        <x:v>Sữa tắm/Gel tắm</x:v>
      </x:c>
      <x:c r="K861"/>
      <x:c r="L861" t="str">
        <x:v>Công ty TNHH Cầu Bình An</x:v>
      </x:c>
      <x:c r="M861"/>
      <x:c r="N861" t="str">
        <x:v>Công ty TNHH mỹ phẩm Việt Hương</x:v>
      </x:c>
      <x:c r="O861" t="str">
        <x:v>Đình chỉ lưu hành, thu hồi và tiêu hủy – Công văn 1772/QLD-MP</x:v>
      </x:c>
      <x:c r="P861" t="str">
        <x:v>A++ – Cục Quản lý Dược; tổ chức chịu trách nhiệm explicit</x:v>
      </x:c>
      <x:c r="Q861" t="str">
        <x:v>Phụ lục 511 sản phẩm, STT 498, trang 16. Công ty Việt Hương là cơ sở sản xuất; cột tổ chức chịu trách nhiệm lấy nguyên văn từ phụ lục.</x:v>
      </x:c>
      <x:c r="R861" t="str">
        <x:v>https://dav.gov.vn/cong-van-so-1772qld-mp-ve-viec-dinh-chi-luu-hanh-thu-hoi-va-tieu-huy-my-pham-vi-pham-cong-ty-tnhh-my-pham-viet-huong-n5334.html</x:v>
      </x:c>
      <x:c r="S861" t="str">
        <x:v>Hà Nội</x:v>
      </x:c>
      <x:c r="T861" t="str">
        <x:v>01</x:v>
      </x:c>
    </x:row>
    <x:row r="862">
      <x:c r="A862" t="n">
        <x:v>861</x:v>
      </x:c>
      <x:c r="B862" s="330"/>
      <x:c r="C862" s="330" t="n">
        <x:v>46155</x:v>
      </x:c>
      <x:c r="D862" t="n">
        <x:v>2025</x:v>
      </x:c>
      <x:c r="E862"/>
      <x:c r="F862" t="str">
        <x:v>25945/25/CBMP-HN</x:v>
      </x:c>
      <x:c r="G862"/>
      <x:c r="H862" t="str">
        <x:v>Silk Shine Conditioner</x:v>
      </x:c>
      <x:c r="I862"/>
      <x:c r="J862" t="str">
        <x:v>Dầu xả</x:v>
      </x:c>
      <x:c r="K862"/>
      <x:c r="L862" t="str">
        <x:v>Công ty TNHH Beauty Cosmetics Việt Nam</x:v>
      </x:c>
      <x:c r="M862"/>
      <x:c r="N862" t="str">
        <x:v>Công ty TNHH mỹ phẩm Việt Hương</x:v>
      </x:c>
      <x:c r="O862" t="str">
        <x:v>Đình chỉ lưu hành, thu hồi và tiêu hủy – Công văn 1772/QLD-MP</x:v>
      </x:c>
      <x:c r="P862" t="str">
        <x:v>A++ – Cục Quản lý Dược; tổ chức chịu trách nhiệm explicit</x:v>
      </x:c>
      <x:c r="Q862" t="str">
        <x:v>Phụ lục 511 sản phẩm, STT 499, trang 16. Công ty Việt Hương là cơ sở sản xuất; cột tổ chức chịu trách nhiệm lấy nguyên văn từ phụ lục.</x:v>
      </x:c>
      <x:c r="R862" t="str">
        <x:v>https://dav.gov.vn/cong-van-so-1772qld-mp-ve-viec-dinh-chi-luu-hanh-thu-hoi-va-tieu-huy-my-pham-vi-pham-cong-ty-tnhh-my-pham-viet-huong-n5334.html</x:v>
      </x:c>
      <x:c r="S862" t="str">
        <x:v>Hà Nội</x:v>
      </x:c>
      <x:c r="T862" t="str">
        <x:v>01</x:v>
      </x:c>
    </x:row>
    <x:row r="863">
      <x:c r="A863" t="n">
        <x:v>862</x:v>
      </x:c>
      <x:c r="B863" s="330"/>
      <x:c r="C863" s="330" t="n">
        <x:v>46155</x:v>
      </x:c>
      <x:c r="D863" t="n">
        <x:v>2025</x:v>
      </x:c>
      <x:c r="E863"/>
      <x:c r="F863" t="str">
        <x:v>25946/25/CBMP-HN</x:v>
      </x:c>
      <x:c r="G863"/>
      <x:c r="H863" t="str">
        <x:v>Silk Shine Shampoo</x:v>
      </x:c>
      <x:c r="I863"/>
      <x:c r="J863" t="str">
        <x:v>Dầu gội</x:v>
      </x:c>
      <x:c r="K863"/>
      <x:c r="L863" t="str">
        <x:v>Công ty TNHH Beauty Cosmetics Việt Nam</x:v>
      </x:c>
      <x:c r="M863"/>
      <x:c r="N863" t="str">
        <x:v>Công ty TNHH mỹ phẩm Việt Hương</x:v>
      </x:c>
      <x:c r="O863" t="str">
        <x:v>Đình chỉ lưu hành, thu hồi và tiêu hủy – Công văn 1772/QLD-MP</x:v>
      </x:c>
      <x:c r="P863" t="str">
        <x:v>A++ – Cục Quản lý Dược; tổ chức chịu trách nhiệm explicit</x:v>
      </x:c>
      <x:c r="Q863" t="str">
        <x:v>Phụ lục 511 sản phẩm, STT 500, trang 16. Công ty Việt Hương là cơ sở sản xuất; cột tổ chức chịu trách nhiệm lấy nguyên văn từ phụ lục.</x:v>
      </x:c>
      <x:c r="R863" t="str">
        <x:v>https://dav.gov.vn/cong-van-so-1772qld-mp-ve-viec-dinh-chi-luu-hanh-thu-hoi-va-tieu-huy-my-pham-vi-pham-cong-ty-tnhh-my-pham-viet-huong-n5334.html</x:v>
      </x:c>
      <x:c r="S863" t="str">
        <x:v>Hà Nội</x:v>
      </x:c>
      <x:c r="T863" t="str">
        <x:v>01</x:v>
      </x:c>
    </x:row>
    <x:row r="864">
      <x:c r="A864" t="n">
        <x:v>863</x:v>
      </x:c>
      <x:c r="B864" s="330"/>
      <x:c r="C864" s="330" t="n">
        <x:v>46155</x:v>
      </x:c>
      <x:c r="D864" t="n">
        <x:v>2025</x:v>
      </x:c>
      <x:c r="E864"/>
      <x:c r="F864" t="str">
        <x:v>26076/25/CBMP-HN</x:v>
      </x:c>
      <x:c r="G864"/>
      <x:c r="H864" t="str">
        <x:v>Sữa rửa mặt Alpha man</x:v>
      </x:c>
      <x:c r="I864"/>
      <x:c r="J864" t="str">
        <x:v>Sữa rửa mặt</x:v>
      </x:c>
      <x:c r="K864"/>
      <x:c r="L864" t="str">
        <x:v>Công ty TNHH sản xuất và thương mại TM&amp;TD Việt Nam</x:v>
      </x:c>
      <x:c r="M864"/>
      <x:c r="N864" t="str">
        <x:v>Công ty TNHH mỹ phẩm Việt Hương</x:v>
      </x:c>
      <x:c r="O864" t="str">
        <x:v>Đình chỉ lưu hành, thu hồi và tiêu hủy – Công văn 1772/QLD-MP</x:v>
      </x:c>
      <x:c r="P864" t="str">
        <x:v>A++ – Cục Quản lý Dược; tổ chức chịu trách nhiệm explicit</x:v>
      </x:c>
      <x:c r="Q864" t="str">
        <x:v>Phụ lục 511 sản phẩm, STT 501, trang 16. Công ty Việt Hương là cơ sở sản xuất; cột tổ chức chịu trách nhiệm lấy nguyên văn từ phụ lục.</x:v>
      </x:c>
      <x:c r="R864" t="str">
        <x:v>https://dav.gov.vn/cong-van-so-1772qld-mp-ve-viec-dinh-chi-luu-hanh-thu-hoi-va-tieu-huy-my-pham-vi-pham-cong-ty-tnhh-my-pham-viet-huong-n5334.html</x:v>
      </x:c>
      <x:c r="S864" t="str">
        <x:v>Hà Nội</x:v>
      </x:c>
      <x:c r="T864" t="str">
        <x:v>01</x:v>
      </x:c>
    </x:row>
    <x:row r="865">
      <x:c r="A865" t="n">
        <x:v>864</x:v>
      </x:c>
      <x:c r="B865" s="330"/>
      <x:c r="C865" s="330" t="n">
        <x:v>46155</x:v>
      </x:c>
      <x:c r="D865" t="n">
        <x:v>2025</x:v>
      </x:c>
      <x:c r="E865"/>
      <x:c r="F865" t="str">
        <x:v>26077/25/CBMP-HN</x:v>
      </x:c>
      <x:c r="G865"/>
      <x:c r="H865" t="str">
        <x:v>Sáp vuốt tóc Alpha man</x:v>
      </x:c>
      <x:c r="I865"/>
      <x:c r="J865" t="str">
        <x:v>Khác</x:v>
      </x:c>
      <x:c r="K865"/>
      <x:c r="L865" t="str">
        <x:v>Công ty TNHH sản xuất và thương mại TM&amp;TD Việt Nam</x:v>
      </x:c>
      <x:c r="M865"/>
      <x:c r="N865" t="str">
        <x:v>Công ty TNHH mỹ phẩm Việt Hương</x:v>
      </x:c>
      <x:c r="O865" t="str">
        <x:v>Đình chỉ lưu hành, thu hồi và tiêu hủy – Công văn 1772/QLD-MP</x:v>
      </x:c>
      <x:c r="P865" t="str">
        <x:v>A++ – Cục Quản lý Dược; tổ chức chịu trách nhiệm explicit</x:v>
      </x:c>
      <x:c r="Q865" t="str">
        <x:v>Phụ lục 511 sản phẩm, STT 502, trang 16. Công ty Việt Hương là cơ sở sản xuất; cột tổ chức chịu trách nhiệm lấy nguyên văn từ phụ lục.</x:v>
      </x:c>
      <x:c r="R865" t="str">
        <x:v>https://dav.gov.vn/cong-van-so-1772qld-mp-ve-viec-dinh-chi-luu-hanh-thu-hoi-va-tieu-huy-my-pham-vi-pham-cong-ty-tnhh-my-pham-viet-huong-n5334.html</x:v>
      </x:c>
      <x:c r="S865" t="str">
        <x:v>Hà Nội</x:v>
      </x:c>
      <x:c r="T865" t="str">
        <x:v>01</x:v>
      </x:c>
    </x:row>
    <x:row r="866">
      <x:c r="A866" t="n">
        <x:v>865</x:v>
      </x:c>
      <x:c r="B866" s="330"/>
      <x:c r="C866" s="330" t="n">
        <x:v>46155</x:v>
      </x:c>
      <x:c r="D866" t="n">
        <x:v>2025</x:v>
      </x:c>
      <x:c r="E866"/>
      <x:c r="F866" t="str">
        <x:v>26081/25/CBMP-HN</x:v>
      </x:c>
      <x:c r="G866"/>
      <x:c r="H866" t="str">
        <x:v>Glowsy</x:v>
      </x:c>
      <x:c r="I866"/>
      <x:c r="J866" t="str">
        <x:v>Khác</x:v>
      </x:c>
      <x:c r="K866"/>
      <x:c r="L866" t="str">
        <x:v>Công ty TNHH Vini TM Group</x:v>
      </x:c>
      <x:c r="M866"/>
      <x:c r="N866" t="str">
        <x:v>Công ty TNHH mỹ phẩm Việt Hương</x:v>
      </x:c>
      <x:c r="O866" t="str">
        <x:v>Đình chỉ lưu hành, thu hồi và tiêu hủy – Công văn 1772/QLD-MP</x:v>
      </x:c>
      <x:c r="P866" t="str">
        <x:v>A++ – Cục Quản lý Dược; tổ chức chịu trách nhiệm explicit</x:v>
      </x:c>
      <x:c r="Q866" t="str">
        <x:v>Phụ lục 511 sản phẩm, STT 503, trang 16. Công ty Việt Hương là cơ sở sản xuất; cột tổ chức chịu trách nhiệm lấy nguyên văn từ phụ lục.</x:v>
      </x:c>
      <x:c r="R866" t="str">
        <x:v>https://dav.gov.vn/cong-van-so-1772qld-mp-ve-viec-dinh-chi-luu-hanh-thu-hoi-va-tieu-huy-my-pham-vi-pham-cong-ty-tnhh-my-pham-viet-huong-n5334.html</x:v>
      </x:c>
      <x:c r="S866" t="str">
        <x:v>Hà Nội</x:v>
      </x:c>
      <x:c r="T866" t="str">
        <x:v>01</x:v>
      </x:c>
    </x:row>
    <x:row r="867">
      <x:c r="A867" t="n">
        <x:v>866</x:v>
      </x:c>
      <x:c r="B867" s="330"/>
      <x:c r="C867" s="330" t="n">
        <x:v>46155</x:v>
      </x:c>
      <x:c r="D867" t="n">
        <x:v>2025</x:v>
      </x:c>
      <x:c r="E867"/>
      <x:c r="F867" t="str">
        <x:v>26083/25/CBMP-HN</x:v>
      </x:c>
      <x:c r="G867"/>
      <x:c r="H867" t="str">
        <x:v>Dakami Black Ginseng night</x:v>
      </x:c>
      <x:c r="I867"/>
      <x:c r="J867" t="str">
        <x:v>Khác</x:v>
      </x:c>
      <x:c r="K867"/>
      <x:c r="L867" t="str">
        <x:v>Công ty cổ phần Dakami group</x:v>
      </x:c>
      <x:c r="M867"/>
      <x:c r="N867" t="str">
        <x:v>Công ty TNHH mỹ phẩm Việt Hương</x:v>
      </x:c>
      <x:c r="O867" t="str">
        <x:v>Đình chỉ lưu hành, thu hồi và tiêu hủy – Công văn 1772/QLD-MP</x:v>
      </x:c>
      <x:c r="P867" t="str">
        <x:v>A++ – Cục Quản lý Dược; tổ chức chịu trách nhiệm explicit</x:v>
      </x:c>
      <x:c r="Q867" t="str">
        <x:v>Phụ lục 511 sản phẩm, STT 504, trang 16. Công ty Việt Hương là cơ sở sản xuất; cột tổ chức chịu trách nhiệm lấy nguyên văn từ phụ lục.</x:v>
      </x:c>
      <x:c r="R867" t="str">
        <x:v>https://dav.gov.vn/cong-van-so-1772qld-mp-ve-viec-dinh-chi-luu-hanh-thu-hoi-va-tieu-huy-my-pham-vi-pham-cong-ty-tnhh-my-pham-viet-huong-n5334.html</x:v>
      </x:c>
      <x:c r="S867" t="str">
        <x:v>Hà Nội</x:v>
      </x:c>
      <x:c r="T867" t="str">
        <x:v>01</x:v>
      </x:c>
    </x:row>
    <x:row r="868">
      <x:c r="A868" t="n">
        <x:v>867</x:v>
      </x:c>
      <x:c r="B868" s="330"/>
      <x:c r="C868" s="330" t="n">
        <x:v>46155</x:v>
      </x:c>
      <x:c r="D868" t="n">
        <x:v>2025</x:v>
      </x:c>
      <x:c r="E868"/>
      <x:c r="F868" t="str">
        <x:v>26134/25/CBMP-HN</x:v>
      </x:c>
      <x:c r="G868"/>
      <x:c r="H868" t="str">
        <x:v>Refresh cleansing gel</x:v>
      </x:c>
      <x:c r="I868"/>
      <x:c r="J868" t="str">
        <x:v>Sữa rửa mặt</x:v>
      </x:c>
      <x:c r="K868"/>
      <x:c r="L868" t="str">
        <x:v>Công ty TNHH Fujiwon</x:v>
      </x:c>
      <x:c r="M868"/>
      <x:c r="N868" t="str">
        <x:v>Công ty TNHH mỹ phẩm Việt Hương</x:v>
      </x:c>
      <x:c r="O868" t="str">
        <x:v>Đình chỉ lưu hành, thu hồi và tiêu hủy – Công văn 1772/QLD-MP</x:v>
      </x:c>
      <x:c r="P868" t="str">
        <x:v>A++ – Cục Quản lý Dược; tổ chức chịu trách nhiệm explicit</x:v>
      </x:c>
      <x:c r="Q868" t="str">
        <x:v>Phụ lục 511 sản phẩm, STT 505, trang 16. Công ty Việt Hương là cơ sở sản xuất; cột tổ chức chịu trách nhiệm lấy nguyên văn từ phụ lục.</x:v>
      </x:c>
      <x:c r="R868" t="str">
        <x:v>https://dav.gov.vn/cong-van-so-1772qld-mp-ve-viec-dinh-chi-luu-hanh-thu-hoi-va-tieu-huy-my-pham-vi-pham-cong-ty-tnhh-my-pham-viet-huong-n5334.html</x:v>
      </x:c>
      <x:c r="S868" t="str">
        <x:v>Hà Nội</x:v>
      </x:c>
      <x:c r="T868" t="str">
        <x:v>01</x:v>
      </x:c>
    </x:row>
    <x:row r="869">
      <x:c r="A869" t="n">
        <x:v>868</x:v>
      </x:c>
      <x:c r="B869" s="330"/>
      <x:c r="C869" s="330" t="n">
        <x:v>46155</x:v>
      </x:c>
      <x:c r="D869" t="n">
        <x:v>2025</x:v>
      </x:c>
      <x:c r="E869"/>
      <x:c r="F869" t="str">
        <x:v>26185/25/CBMP-HN</x:v>
      </x:c>
      <x:c r="G869"/>
      <x:c r="H869" t="str">
        <x:v>Kwhite</x:v>
      </x:c>
      <x:c r="I869"/>
      <x:c r="J869" t="str">
        <x:v>Khác</x:v>
      </x:c>
      <x:c r="K869"/>
      <x:c r="L869" t="str">
        <x:v>Công ty cổ phần Dakami group</x:v>
      </x:c>
      <x:c r="M869"/>
      <x:c r="N869" t="str">
        <x:v>Công ty TNHH mỹ phẩm Việt Hương</x:v>
      </x:c>
      <x:c r="O869" t="str">
        <x:v>Đình chỉ lưu hành, thu hồi và tiêu hủy – Công văn 1772/QLD-MP</x:v>
      </x:c>
      <x:c r="P869" t="str">
        <x:v>A++ – Cục Quản lý Dược; tổ chức chịu trách nhiệm explicit</x:v>
      </x:c>
      <x:c r="Q869" t="str">
        <x:v>Phụ lục 511 sản phẩm, STT 506, trang 16. Công ty Việt Hương là cơ sở sản xuất; cột tổ chức chịu trách nhiệm lấy nguyên văn từ phụ lục.</x:v>
      </x:c>
      <x:c r="R869" t="str">
        <x:v>https://dav.gov.vn/cong-van-so-1772qld-mp-ve-viec-dinh-chi-luu-hanh-thu-hoi-va-tieu-huy-my-pham-vi-pham-cong-ty-tnhh-my-pham-viet-huong-n5334.html</x:v>
      </x:c>
      <x:c r="S869" t="str">
        <x:v>Hà Nội</x:v>
      </x:c>
      <x:c r="T869" t="str">
        <x:v>01</x:v>
      </x:c>
    </x:row>
    <x:row r="870">
      <x:c r="A870" t="n">
        <x:v>869</x:v>
      </x:c>
      <x:c r="B870" s="330"/>
      <x:c r="C870" s="330" t="n">
        <x:v>46155</x:v>
      </x:c>
      <x:c r="D870" t="n">
        <x:v>2025</x:v>
      </x:c>
      <x:c r="E870"/>
      <x:c r="F870" t="str">
        <x:v>26421/25/CBMP-HN</x:v>
      </x:c>
      <x:c r="G870"/>
      <x:c r="H870" t="str">
        <x:v>DAKAMI BLACK GINSENG DAY</x:v>
      </x:c>
      <x:c r="I870"/>
      <x:c r="J870" t="str">
        <x:v>Khác</x:v>
      </x:c>
      <x:c r="K870"/>
      <x:c r="L870" t="str">
        <x:v>Công ty cổ phần Dakami group</x:v>
      </x:c>
      <x:c r="M870"/>
      <x:c r="N870" t="str">
        <x:v>Công ty TNHH mỹ phẩm Việt Hương</x:v>
      </x:c>
      <x:c r="O870" t="str">
        <x:v>Đình chỉ lưu hành, thu hồi và tiêu hủy – Công văn 1772/QLD-MP</x:v>
      </x:c>
      <x:c r="P870" t="str">
        <x:v>A++ – Cục Quản lý Dược; tổ chức chịu trách nhiệm explicit</x:v>
      </x:c>
      <x:c r="Q870" t="str">
        <x:v>Phụ lục 511 sản phẩm, STT 507, trang 16. Công ty Việt Hương là cơ sở sản xuất; cột tổ chức chịu trách nhiệm lấy nguyên văn từ phụ lục.</x:v>
      </x:c>
      <x:c r="R870" t="str">
        <x:v>https://dav.gov.vn/cong-van-so-1772qld-mp-ve-viec-dinh-chi-luu-hanh-thu-hoi-va-tieu-huy-my-pham-vi-pham-cong-ty-tnhh-my-pham-viet-huong-n5334.html</x:v>
      </x:c>
      <x:c r="S870" t="str">
        <x:v>Hà Nội</x:v>
      </x:c>
      <x:c r="T870" t="str">
        <x:v>01</x:v>
      </x:c>
    </x:row>
    <x:row r="871">
      <x:c r="A871" t="n">
        <x:v>870</x:v>
      </x:c>
      <x:c r="B871" s="330"/>
      <x:c r="C871" s="330" t="n">
        <x:v>46155</x:v>
      </x:c>
      <x:c r="D871" t="n">
        <x:v>2025</x:v>
      </x:c>
      <x:c r="E871"/>
      <x:c r="F871" t="str">
        <x:v>26422/25/CBMP-HN</x:v>
      </x:c>
      <x:c r="G871"/>
      <x:c r="H871" t="str">
        <x:v>DAKAMI BLACK GINSENG SERUM</x:v>
      </x:c>
      <x:c r="I871"/>
      <x:c r="J871" t="str">
        <x:v>Serum/Essence da</x:v>
      </x:c>
      <x:c r="K871"/>
      <x:c r="L871" t="str">
        <x:v>Công ty cổ phần Dakami group</x:v>
      </x:c>
      <x:c r="M871"/>
      <x:c r="N871" t="str">
        <x:v>Công ty TNHH mỹ phẩm Việt Hương</x:v>
      </x:c>
      <x:c r="O871" t="str">
        <x:v>Đình chỉ lưu hành, thu hồi và tiêu hủy – Công văn 1772/QLD-MP</x:v>
      </x:c>
      <x:c r="P871" t="str">
        <x:v>A++ – Cục Quản lý Dược; tổ chức chịu trách nhiệm explicit</x:v>
      </x:c>
      <x:c r="Q871" t="str">
        <x:v>Phụ lục 511 sản phẩm, STT 508, trang 16. Công ty Việt Hương là cơ sở sản xuất; cột tổ chức chịu trách nhiệm lấy nguyên văn từ phụ lục.</x:v>
      </x:c>
      <x:c r="R871" t="str">
        <x:v>https://dav.gov.vn/cong-van-so-1772qld-mp-ve-viec-dinh-chi-luu-hanh-thu-hoi-va-tieu-huy-my-pham-vi-pham-cong-ty-tnhh-my-pham-viet-huong-n5334.html</x:v>
      </x:c>
      <x:c r="S871" t="str">
        <x:v>Hà Nội</x:v>
      </x:c>
      <x:c r="T871" t="str">
        <x:v>01</x:v>
      </x:c>
    </x:row>
    <x:row r="872">
      <x:c r="A872" t="n">
        <x:v>871</x:v>
      </x:c>
      <x:c r="B872" s="330"/>
      <x:c r="C872" s="330" t="n">
        <x:v>46155</x:v>
      </x:c>
      <x:c r="D872" t="n">
        <x:v>2025</x:v>
      </x:c>
      <x:c r="E872"/>
      <x:c r="F872" t="str">
        <x:v>26455/25/CBMP-HN</x:v>
      </x:c>
      <x:c r="G872"/>
      <x:c r="H872" t="str">
        <x:v>BLACK GINSENG SERUM</x:v>
      </x:c>
      <x:c r="I872"/>
      <x:c r="J872" t="str">
        <x:v>Serum/Essence da</x:v>
      </x:c>
      <x:c r="K872"/>
      <x:c r="L872" t="str">
        <x:v>Công ty cổ phần Dakami group</x:v>
      </x:c>
      <x:c r="M872"/>
      <x:c r="N872" t="str">
        <x:v>Công ty TNHH mỹ phẩm Việt Hương</x:v>
      </x:c>
      <x:c r="O872" t="str">
        <x:v>Đình chỉ lưu hành, thu hồi và tiêu hủy – Công văn 1772/QLD-MP</x:v>
      </x:c>
      <x:c r="P872" t="str">
        <x:v>A++ – Cục Quản lý Dược; tổ chức chịu trách nhiệm explicit</x:v>
      </x:c>
      <x:c r="Q872" t="str">
        <x:v>Phụ lục 511 sản phẩm, STT 509, trang 16. Công ty Việt Hương là cơ sở sản xuất; cột tổ chức chịu trách nhiệm lấy nguyên văn từ phụ lục.</x:v>
      </x:c>
      <x:c r="R872" t="str">
        <x:v>https://dav.gov.vn/cong-van-so-1772qld-mp-ve-viec-dinh-chi-luu-hanh-thu-hoi-va-tieu-huy-my-pham-vi-pham-cong-ty-tnhh-my-pham-viet-huong-n5334.html</x:v>
      </x:c>
      <x:c r="S872" t="str">
        <x:v>Hà Nội</x:v>
      </x:c>
      <x:c r="T872" t="str">
        <x:v>01</x:v>
      </x:c>
    </x:row>
    <x:row r="873">
      <x:c r="A873" t="n">
        <x:v>872</x:v>
      </x:c>
      <x:c r="B873" s="330"/>
      <x:c r="C873" s="330" t="n">
        <x:v>46155</x:v>
      </x:c>
      <x:c r="D873" t="n">
        <x:v>2025</x:v>
      </x:c>
      <x:c r="E873"/>
      <x:c r="F873" t="str">
        <x:v>25984/25/CBMP-HN</x:v>
      </x:c>
      <x:c r="G873"/>
      <x:c r="H873" t="str">
        <x:v>Red carnation lipstick</x:v>
      </x:c>
      <x:c r="I873"/>
      <x:c r="J873" t="str">
        <x:v>Sản phẩm môi</x:v>
      </x:c>
      <x:c r="K873"/>
      <x:c r="L873" t="str">
        <x:v>Công ty cổ phần Dakami group</x:v>
      </x:c>
      <x:c r="M873"/>
      <x:c r="N873" t="str">
        <x:v>Công ty TNHH mỹ phẩm Việt Hương</x:v>
      </x:c>
      <x:c r="O873" t="str">
        <x:v>Đình chỉ lưu hành, thu hồi và tiêu hủy – Công văn 1772/QLD-MP</x:v>
      </x:c>
      <x:c r="P873" t="str">
        <x:v>A++ – Cục Quản lý Dược; tổ chức chịu trách nhiệm explicit</x:v>
      </x:c>
      <x:c r="Q873" t="str">
        <x:v>Phụ lục 511 sản phẩm, STT 510, trang 16. Công ty Việt Hương là cơ sở sản xuất; cột tổ chức chịu trách nhiệm lấy nguyên văn từ phụ lục.</x:v>
      </x:c>
      <x:c r="R873" t="str">
        <x:v>https://dav.gov.vn/cong-van-so-1772qld-mp-ve-viec-dinh-chi-luu-hanh-thu-hoi-va-tieu-huy-my-pham-vi-pham-cong-ty-tnhh-my-pham-viet-huong-n5334.html</x:v>
      </x:c>
      <x:c r="S873" t="str">
        <x:v>Hà Nội</x:v>
      </x:c>
      <x:c r="T873" t="str">
        <x:v>01</x:v>
      </x:c>
    </x:row>
    <x:row r="874">
      <x:c r="A874" t="n">
        <x:v>873</x:v>
      </x:c>
      <x:c r="B874" s="330"/>
      <x:c r="C874" s="330" t="n">
        <x:v>46155</x:v>
      </x:c>
      <x:c r="D874" t="n">
        <x:v>2025</x:v>
      </x:c>
      <x:c r="E874"/>
      <x:c r="F874" t="str">
        <x:v>26523/25/CBMP-HN</x:v>
      </x:c>
      <x:c r="G874"/>
      <x:c r="H874" t="str">
        <x:v>PHỦ BẠC CRGANIC100</x:v>
      </x:c>
      <x:c r="I874"/>
      <x:c r="J874" t="str">
        <x:v>Nhuộm/tẩy màu tóc</x:v>
      </x:c>
      <x:c r="K874"/>
      <x:c r="L874" t="str">
        <x:v>Hộ Kinh Doanh Organic 100</x:v>
      </x:c>
      <x:c r="M874"/>
      <x:c r="N874" t="str">
        <x:v>Công ty TNHH mỹ phẩm Việt Hương</x:v>
      </x:c>
      <x:c r="O874" t="str">
        <x:v>Đình chỉ lưu hành, thu hồi và tiêu hủy – Công văn 1772/QLD-MP</x:v>
      </x:c>
      <x:c r="P874" t="str">
        <x:v>A++ – Cục Quản lý Dược; tổ chức chịu trách nhiệm explicit</x:v>
      </x:c>
      <x:c r="Q874" t="str">
        <x:v>Phụ lục 511 sản phẩm, STT 511, trang 16. Công ty Việt Hương là cơ sở sản xuất; cột tổ chức chịu trách nhiệm lấy nguyên văn từ phụ lục.</x:v>
      </x:c>
      <x:c r="R874" t="str">
        <x:v>https://dav.gov.vn/cong-van-so-1772qld-mp-ve-viec-dinh-chi-luu-hanh-thu-hoi-va-tieu-huy-my-pham-vi-pham-cong-ty-tnhh-my-pham-viet-huong-n5334.html</x:v>
      </x:c>
      <x:c r="S874" t="str">
        <x:v>Hà Nội</x:v>
      </x:c>
      <x:c r="T874" t="str">
        <x:v>01</x:v>
      </x:c>
    </x:row>
    <x:row r="875">
      <x:c r="A875" t="n">
        <x:v>874</x:v>
      </x:c>
      <x:c r="B875"/>
      <x:c r="C875" t="n">
        <x:v>46198</x:v>
      </x:c>
      <x:c r="D875" t="n">
        <x:v>2024</x:v>
      </x:c>
      <x:c r="E875"/>
      <x:c r="F875" t="str">
        <x:v>Số 01/24/CBMP-HD</x:v>
      </x:c>
      <x:c r="G875"/>
      <x:c r="H875" t="str">
        <x:v>DẦU GỘI THẢO MỘC SÂM SAVINA 2 IN 1 (FORMEN)</x:v>
      </x:c>
      <x:c r="I875" t="str">
        <x:v>SÂM VIỆT NAM</x:v>
      </x:c>
      <x:c r="J875" t="str">
        <x:v>Dầu gội</x:v>
      </x:c>
      <x:c r="K875" t="str">
        <x:v>Chăm sóc tóc (sản phẩm làm sạch)</x:v>
      </x:c>
      <x:c r="L875" t="str">
        <x:v>Công ty TNHH Sản xuất và Thương mại Sâm Việt Nam</x:v>
      </x:c>
      <x:c r="M875" t="str">
        <x:v>Thôn Đông Xã Tự Lạn; huyện Việt Yên; tỉnh Bắc Giang; Việt Nam</x:v>
      </x:c>
      <x:c r="N875"/>
      <x:c r="O875" t="str">
        <x:v>Chưa đối chiếu thu hồi</x:v>
      </x:c>
      <x:c r="P875" t="str">
        <x:v>Nguồn XLSX chính thức – Cổng dữ liệu mở TP Hải Phòng</x:v>
      </x:c>
      <x:c r="Q875" t="str">
        <x:v>Địa bàn nguồn: Hải Dương (lịch sử). Thuộc 28/409 dòng đầu đã đọc trực tiếp; chưa phải bộ dữ liệu đầy đủ.</x:v>
      </x:c>
      <x:c r="R875" t="str">
        <x:v>https://data.haiphong.gov.vn/dataset/07fa5c03-31ee-453f-9bba-f7acd2ffeb6a/resource/4621ee58-725a-481d-b29c-931e46f220c5/download/khocsdl_trichxuatdulieu_dulieusotiepnhanphieucongbosanphammypham_2026-06-25.xlsx</x:v>
      </x:c>
      <x:c r="S875" t="str">
        <x:v>Hải Phòng (Hải Dương lịch sử)</x:v>
      </x:c>
      <x:c r="T875" t="str">
        <x:v>31</x:v>
      </x:c>
    </x:row>
    <x:row r="876">
      <x:c r="A876" t="n">
        <x:v>875</x:v>
      </x:c>
      <x:c r="B876"/>
      <x:c r="C876" t="n">
        <x:v>46198</x:v>
      </x:c>
      <x:c r="D876" t="n">
        <x:v>2024</x:v>
      </x:c>
      <x:c r="E876"/>
      <x:c r="F876" t="str">
        <x:v>Số 02/24/CBMP-HD</x:v>
      </x:c>
      <x:c r="G876"/>
      <x:c r="H876" t="str">
        <x:v>DẦU GỘI THẢO MỘC SÂM SAVINA</x:v>
      </x:c>
      <x:c r="I876" t="str">
        <x:v>SÂM VIỆT NAM</x:v>
      </x:c>
      <x:c r="J876" t="str">
        <x:v>Dầu gội</x:v>
      </x:c>
      <x:c r="K876" t="str">
        <x:v>Chăm sóc tóc (sản phẩm làm sạch)</x:v>
      </x:c>
      <x:c r="L876" t="str">
        <x:v>Công ty TNHH Sản xuất và Thương mại Sâm Việt Nam</x:v>
      </x:c>
      <x:c r="M876" t="str">
        <x:v>Thôn Đông Xã Tự Lạn; huyện Việt Yên; tỉnh Bắc Giang; Việt Nam</x:v>
      </x:c>
      <x:c r="N876"/>
      <x:c r="O876" t="str">
        <x:v>Chưa đối chiếu thu hồi</x:v>
      </x:c>
      <x:c r="P876" t="str">
        <x:v>Nguồn XLSX chính thức – Cổng dữ liệu mở TP Hải Phòng</x:v>
      </x:c>
      <x:c r="Q876" t="str">
        <x:v>Địa bàn nguồn: Hải Dương (lịch sử). Thuộc 28/409 dòng đầu đã đọc trực tiếp; chưa phải bộ dữ liệu đầy đủ.</x:v>
      </x:c>
      <x:c r="R876" t="str">
        <x:v>https://data.haiphong.gov.vn/dataset/07fa5c03-31ee-453f-9bba-f7acd2ffeb6a/resource/4621ee58-725a-481d-b29c-931e46f220c5/download/khocsdl_trichxuatdulieu_dulieusotiepnhanphieucongbosanphammypham_2026-06-25.xlsx</x:v>
      </x:c>
      <x:c r="S876" t="str">
        <x:v>Hải Phòng (Hải Dương lịch sử)</x:v>
      </x:c>
      <x:c r="T876" t="str">
        <x:v>31</x:v>
      </x:c>
    </x:row>
    <x:row r="877">
      <x:c r="A877" t="n">
        <x:v>876</x:v>
      </x:c>
      <x:c r="B877"/>
      <x:c r="C877" t="n">
        <x:v>46198</x:v>
      </x:c>
      <x:c r="D877" t="n">
        <x:v>2024</x:v>
      </x:c>
      <x:c r="E877"/>
      <x:c r="F877" t="str">
        <x:v>Số 03/24/CBMP-HD</x:v>
      </x:c>
      <x:c r="G877"/>
      <x:c r="H877" t="str">
        <x:v>DẦU XẢ THẢO MỘC SÂM SAVINA</x:v>
      </x:c>
      <x:c r="I877" t="str">
        <x:v>SÂM VIỆT NAM</x:v>
      </x:c>
      <x:c r="J877" t="str">
        <x:v>Dầu xả</x:v>
      </x:c>
      <x:c r="K877" t="str">
        <x:v>Sản phẩm chăm sóc tóc (sản phẩm dưỡng tóc)</x:v>
      </x:c>
      <x:c r="L877" t="str">
        <x:v>Công ty TNHH Sản xuất và Thương mại Sâm Việt Nam</x:v>
      </x:c>
      <x:c r="M877" t="str">
        <x:v>Thôn Đông Xã Tự Lạn; huyện Việt Yên; tỉnh Bắc Giang; Việt Nam</x:v>
      </x:c>
      <x:c r="N877"/>
      <x:c r="O877" t="str">
        <x:v>Chưa đối chiếu thu hồi</x:v>
      </x:c>
      <x:c r="P877" t="str">
        <x:v>Nguồn XLSX chính thức – Cổng dữ liệu mở TP Hải Phòng</x:v>
      </x:c>
      <x:c r="Q877" t="str">
        <x:v>Địa bàn nguồn: Hải Dương (lịch sử). Thuộc 28/409 dòng đầu đã đọc trực tiếp; chưa phải bộ dữ liệu đầy đủ.</x:v>
      </x:c>
      <x:c r="R877" t="str">
        <x:v>https://data.haiphong.gov.vn/dataset/07fa5c03-31ee-453f-9bba-f7acd2ffeb6a/resource/4621ee58-725a-481d-b29c-931e46f220c5/download/khocsdl_trichxuatdulieu_dulieusotiepnhanphieucongbosanphammypham_2026-06-25.xlsx</x:v>
      </x:c>
      <x:c r="S877" t="str">
        <x:v>Hải Phòng (Hải Dương lịch sử)</x:v>
      </x:c>
      <x:c r="T877" t="str">
        <x:v>31</x:v>
      </x:c>
    </x:row>
    <x:row r="878">
      <x:c r="A878" t="n">
        <x:v>877</x:v>
      </x:c>
      <x:c r="B878"/>
      <x:c r="C878" t="n">
        <x:v>46198</x:v>
      </x:c>
      <x:c r="D878" t="n">
        <x:v>2024</x:v>
      </x:c>
      <x:c r="E878"/>
      <x:c r="F878" t="str">
        <x:v>Số 04/24/CBMP-HD</x:v>
      </x:c>
      <x:c r="G878"/>
      <x:c r="H878" t="str">
        <x:v>SỮA TẮM DƯỢC LIỆU MỘC THIÊN PHƯỚC</x:v>
      </x:c>
      <x:c r="I878" t="str">
        <x:v>MỘC THIÊN PHƯỚC</x:v>
      </x:c>
      <x:c r="J878" t="str">
        <x:v>Sữa tắm/Gel tắm</x:v>
      </x:c>
      <x:c r="K878" t="str">
        <x:v>Sản phẩm để tắm</x:v>
      </x:c>
      <x:c r="L878" t="str">
        <x:v>Công ty CP Dược Mỹ phẩm Thiên Phước</x:v>
      </x:c>
      <x:c r="M878" t="str">
        <x:v>Số 2 Ngách 34/154; ngõ 154 đường Đình Thôn; phường Mỹ Đình 1; quận Nam Từ Liêm; tp Hà Nội; Việt Nam</x:v>
      </x:c>
      <x:c r="N878"/>
      <x:c r="O878" t="str">
        <x:v>Chưa đối chiếu thu hồi</x:v>
      </x:c>
      <x:c r="P878" t="str">
        <x:v>Nguồn XLSX chính thức – Cổng dữ liệu mở TP Hải Phòng</x:v>
      </x:c>
      <x:c r="Q878" t="str">
        <x:v>Địa bàn nguồn: Hải Dương (lịch sử). Thuộc 28/409 dòng đầu đã đọc trực tiếp; chưa phải bộ dữ liệu đầy đủ.</x:v>
      </x:c>
      <x:c r="R878" t="str">
        <x:v>https://data.haiphong.gov.vn/dataset/07fa5c03-31ee-453f-9bba-f7acd2ffeb6a/resource/4621ee58-725a-481d-b29c-931e46f220c5/download/khocsdl_trichxuatdulieu_dulieusotiepnhanphieucongbosanphammypham_2026-06-25.xlsx</x:v>
      </x:c>
      <x:c r="S878" t="str">
        <x:v>Hải Phòng (Hải Dương lịch sử)</x:v>
      </x:c>
      <x:c r="T878" t="str">
        <x:v>31</x:v>
      </x:c>
    </x:row>
    <x:row r="879">
      <x:c r="A879" t="n">
        <x:v>878</x:v>
      </x:c>
      <x:c r="B879"/>
      <x:c r="C879" t="n">
        <x:v>46198</x:v>
      </x:c>
      <x:c r="D879" t="n">
        <x:v>2024</x:v>
      </x:c>
      <x:c r="E879"/>
      <x:c r="F879" t="str">
        <x:v>Số 05/24/CBMP-HD</x:v>
      </x:c>
      <x:c r="G879"/>
      <x:c r="H879" t="str">
        <x:v>DẦU XẢ DƯỢC LIỆU</x:v>
      </x:c>
      <x:c r="I879" t="str">
        <x:v>MỘC THIÊN PHƯỚC</x:v>
      </x:c>
      <x:c r="J879" t="str">
        <x:v>Dầu xả</x:v>
      </x:c>
      <x:c r="K879" t="str">
        <x:v>Sản phẩm chăm sóc tóc (Sản phẩm dưỡng tóc)</x:v>
      </x:c>
      <x:c r="L879" t="str">
        <x:v>Công ty CP Dược Mỹ phẩm Thiên Phước</x:v>
      </x:c>
      <x:c r="M879" t="str">
        <x:v>Số 2 Ngách 34/154; ngõ 154 đường Đình Thôn; phường Mỹ Đình 1; quận Nam Từ Liêm; tp Hà Nội; Việt Nam</x:v>
      </x:c>
      <x:c r="N879"/>
      <x:c r="O879" t="str">
        <x:v>Chưa đối chiếu thu hồi</x:v>
      </x:c>
      <x:c r="P879" t="str">
        <x:v>Nguồn XLSX chính thức – Cổng dữ liệu mở TP Hải Phòng</x:v>
      </x:c>
      <x:c r="Q879" t="str">
        <x:v>Địa bàn nguồn: Hải Dương (lịch sử). Thuộc 28/409 dòng đầu đã đọc trực tiếp; chưa phải bộ dữ liệu đầy đủ.</x:v>
      </x:c>
      <x:c r="R879" t="str">
        <x:v>https://data.haiphong.gov.vn/dataset/07fa5c03-31ee-453f-9bba-f7acd2ffeb6a/resource/4621ee58-725a-481d-b29c-931e46f220c5/download/khocsdl_trichxuatdulieu_dulieusotiepnhanphieucongbosanphammypham_2026-06-25.xlsx</x:v>
      </x:c>
      <x:c r="S879" t="str">
        <x:v>Hải Phòng (Hải Dương lịch sử)</x:v>
      </x:c>
      <x:c r="T879" t="str">
        <x:v>31</x:v>
      </x:c>
    </x:row>
    <x:row r="880">
      <x:c r="A880" t="n">
        <x:v>879</x:v>
      </x:c>
      <x:c r="B880"/>
      <x:c r="C880" t="n">
        <x:v>46198</x:v>
      </x:c>
      <x:c r="D880" t="n">
        <x:v>2024</x:v>
      </x:c>
      <x:c r="E880"/>
      <x:c r="F880" t="str">
        <x:v>Số 06/24/CBMP-HD</x:v>
      </x:c>
      <x:c r="G880"/>
      <x:c r="H880" t="str">
        <x:v>DẦU GỘI DƯỢC LIỆU</x:v>
      </x:c>
      <x:c r="I880" t="str">
        <x:v>MỘC THIÊN PHƯỚC</x:v>
      </x:c>
      <x:c r="J880" t="str">
        <x:v>Dầu gội</x:v>
      </x:c>
      <x:c r="K880" t="str">
        <x:v>Sản phẩm chăm sóc tóc (Các sản phẩm làm sạch)</x:v>
      </x:c>
      <x:c r="L880" t="str">
        <x:v>Công ty CP Dược Mỹ phẩm Thiên Phước</x:v>
      </x:c>
      <x:c r="M880" t="str">
        <x:v>Số 2 Ngách 34/154; ngõ 154 đường Đình Thôn; phường Mỹ Đình 1; quận Nam Từ Liêm; tp Hà Nội; Việt Nam</x:v>
      </x:c>
      <x:c r="N880"/>
      <x:c r="O880" t="str">
        <x:v>Chưa đối chiếu thu hồi</x:v>
      </x:c>
      <x:c r="P880" t="str">
        <x:v>Nguồn XLSX chính thức – Cổng dữ liệu mở TP Hải Phòng</x:v>
      </x:c>
      <x:c r="Q880" t="str">
        <x:v>Địa bàn nguồn: Hải Dương (lịch sử). Thuộc 28/409 dòng đầu đã đọc trực tiếp; chưa phải bộ dữ liệu đầy đủ.</x:v>
      </x:c>
      <x:c r="R880" t="str">
        <x:v>https://data.haiphong.gov.vn/dataset/07fa5c03-31ee-453f-9bba-f7acd2ffeb6a/resource/4621ee58-725a-481d-b29c-931e46f220c5/download/khocsdl_trichxuatdulieu_dulieusotiepnhanphieucongbosanphammypham_2026-06-25.xlsx</x:v>
      </x:c>
      <x:c r="S880" t="str">
        <x:v>Hải Phòng (Hải Dương lịch sử)</x:v>
      </x:c>
      <x:c r="T880" t="str">
        <x:v>31</x:v>
      </x:c>
    </x:row>
    <x:row r="881">
      <x:c r="A881" t="n">
        <x:v>880</x:v>
      </x:c>
      <x:c r="B881"/>
      <x:c r="C881" t="n">
        <x:v>46198</x:v>
      </x:c>
      <x:c r="D881" t="n">
        <x:v>2024</x:v>
      </x:c>
      <x:c r="E881"/>
      <x:c r="F881" t="str">
        <x:v>Số 07/24/CBMP-HD</x:v>
      </x:c>
      <x:c r="G881"/>
      <x:c r="H881" t="str">
        <x:v>DẦU GỘI DƯỢC LIỆU MỘC THIÊN PHƯỚC</x:v>
      </x:c>
      <x:c r="I881" t="str">
        <x:v>MỘC THIÊN PHƯỚC</x:v>
      </x:c>
      <x:c r="J881" t="str">
        <x:v>Dầu gội</x:v>
      </x:c>
      <x:c r="K881" t="str">
        <x:v>Sản phẩm chăm sóc tóc (Các sản phẩm làm sạch)</x:v>
      </x:c>
      <x:c r="L881" t="str">
        <x:v>Công ty CP Dược Mỹ phẩm Thiên Phước</x:v>
      </x:c>
      <x:c r="M881" t="str">
        <x:v>Số 2 Ngách 34/154; ngõ 154 đường Đình Thôn; phường Mỹ Đình 1; quận Nam Từ Liêm; tp Hà Nội; Việt Nam</x:v>
      </x:c>
      <x:c r="N881"/>
      <x:c r="O881" t="str">
        <x:v>Chưa đối chiếu thu hồi</x:v>
      </x:c>
      <x:c r="P881" t="str">
        <x:v>Nguồn XLSX chính thức – Cổng dữ liệu mở TP Hải Phòng</x:v>
      </x:c>
      <x:c r="Q881" t="str">
        <x:v>Địa bàn nguồn: Hải Dương (lịch sử). Thuộc 28/409 dòng đầu đã đọc trực tiếp; chưa phải bộ dữ liệu đầy đủ.</x:v>
      </x:c>
      <x:c r="R881" t="str">
        <x:v>https://data.haiphong.gov.vn/dataset/07fa5c03-31ee-453f-9bba-f7acd2ffeb6a/resource/4621ee58-725a-481d-b29c-931e46f220c5/download/khocsdl_trichxuatdulieu_dulieusotiepnhanphieucongbosanphammypham_2026-06-25.xlsx</x:v>
      </x:c>
      <x:c r="S881" t="str">
        <x:v>Hải Phòng (Hải Dương lịch sử)</x:v>
      </x:c>
      <x:c r="T881" t="str">
        <x:v>31</x:v>
      </x:c>
    </x:row>
    <x:row r="882">
      <x:c r="A882" t="n">
        <x:v>881</x:v>
      </x:c>
      <x:c r="B882"/>
      <x:c r="C882" t="n">
        <x:v>46198</x:v>
      </x:c>
      <x:c r="D882" t="n">
        <x:v>2024</x:v>
      </x:c>
      <x:c r="E882"/>
      <x:c r="F882" t="str">
        <x:v>Số 08/24/CBMP-HD</x:v>
      </x:c>
      <x:c r="G882"/>
      <x:c r="H882" t="str">
        <x:v>DẦU XẢ DƯỢC LIỆU MỘC THIÊN PHƯỚC</x:v>
      </x:c>
      <x:c r="I882" t="str">
        <x:v>MỘC THIÊN PHƯỚC</x:v>
      </x:c>
      <x:c r="J882" t="str">
        <x:v>Dầu xả</x:v>
      </x:c>
      <x:c r="K882" t="str">
        <x:v>Sản phẩm chăm sóc tóc (Sản phẩm dưỡng tóc)</x:v>
      </x:c>
      <x:c r="L882" t="str">
        <x:v>Công ty CP Dược Mỹ phẩm Thiên Phước</x:v>
      </x:c>
      <x:c r="M882" t="str">
        <x:v>Số 2 Ngách 34/154; ngõ 154 đường Đình Thôn; phường Mỹ Đình 1; quận Nam Từ Liêm; tp Hà Nội; Việt Nam</x:v>
      </x:c>
      <x:c r="N882"/>
      <x:c r="O882" t="str">
        <x:v>Chưa đối chiếu thu hồi</x:v>
      </x:c>
      <x:c r="P882" t="str">
        <x:v>Nguồn XLSX chính thức – Cổng dữ liệu mở TP Hải Phòng</x:v>
      </x:c>
      <x:c r="Q882" t="str">
        <x:v>Địa bàn nguồn: Hải Dương (lịch sử). Thuộc 28/409 dòng đầu đã đọc trực tiếp; chưa phải bộ dữ liệu đầy đủ.</x:v>
      </x:c>
      <x:c r="R882" t="str">
        <x:v>https://data.haiphong.gov.vn/dataset/07fa5c03-31ee-453f-9bba-f7acd2ffeb6a/resource/4621ee58-725a-481d-b29c-931e46f220c5/download/khocsdl_trichxuatdulieu_dulieusotiepnhanphieucongbosanphammypham_2026-06-25.xlsx</x:v>
      </x:c>
      <x:c r="S882" t="str">
        <x:v>Hải Phòng (Hải Dương lịch sử)</x:v>
      </x:c>
      <x:c r="T882" t="str">
        <x:v>31</x:v>
      </x:c>
    </x:row>
    <x:row r="883">
      <x:c r="A883" t="n">
        <x:v>882</x:v>
      </x:c>
      <x:c r="B883"/>
      <x:c r="C883" t="n">
        <x:v>46198</x:v>
      </x:c>
      <x:c r="D883" t="n">
        <x:v>2024</x:v>
      </x:c>
      <x:c r="E883"/>
      <x:c r="F883" t="str">
        <x:v>Số 09/24/CBMP-HD</x:v>
      </x:c>
      <x:c r="G883"/>
      <x:c r="H883" t="str">
        <x:v>XỊT KHỬ MÙI HÔI CHÂN VÀ GIÀY</x:v>
      </x:c>
      <x:c r="I883" t="str">
        <x:v>DR.HERBAL</x:v>
      </x:c>
      <x:c r="J883" t="str">
        <x:v>Khử mùi</x:v>
      </x:c>
      <x:c r="K883" t="str">
        <x:v>Sản phẩm khử mùi và chống mùi (giảm mùi mồ hôi).</x:v>
      </x:c>
      <x:c r="L883" t="str">
        <x:v>Công ty CP Dược VTYT Hải Dương</x:v>
      </x:c>
      <x:c r="M883" t="str">
        <x:v>Số 102 Chi Lăng; phường Nguyễn Trãi; Thành phố Hải Dương; tỉnh Hải Dương</x:v>
      </x:c>
      <x:c r="N883"/>
      <x:c r="O883" t="str">
        <x:v>Chưa đối chiếu thu hồi</x:v>
      </x:c>
      <x:c r="P883" t="str">
        <x:v>Nguồn XLSX chính thức – Cổng dữ liệu mở TP Hải Phòng</x:v>
      </x:c>
      <x:c r="Q883" t="str">
        <x:v>Địa bàn nguồn: Hải Dương (lịch sử). Thuộc 28/409 dòng đầu đã đọc trực tiếp; chưa phải bộ dữ liệu đầy đủ.</x:v>
      </x:c>
      <x:c r="R883" t="str">
        <x:v>https://data.haiphong.gov.vn/dataset/07fa5c03-31ee-453f-9bba-f7acd2ffeb6a/resource/4621ee58-725a-481d-b29c-931e46f220c5/download/khocsdl_trichxuatdulieu_dulieusotiepnhanphieucongbosanphammypham_2026-06-25.xlsx</x:v>
      </x:c>
      <x:c r="S883" t="str">
        <x:v>Hải Phòng (Hải Dương lịch sử)</x:v>
      </x:c>
      <x:c r="T883" t="str">
        <x:v>31</x:v>
      </x:c>
    </x:row>
    <x:row r="884">
      <x:c r="A884" t="n">
        <x:v>883</x:v>
      </x:c>
      <x:c r="B884"/>
      <x:c r="C884" t="n">
        <x:v>46198</x:v>
      </x:c>
      <x:c r="D884" t="n">
        <x:v>2024</x:v>
      </x:c>
      <x:c r="E884"/>
      <x:c r="F884" t="str">
        <x:v>Số 10/24/CBMP-HD</x:v>
      </x:c>
      <x:c r="G884"/>
      <x:c r="H884" t="str">
        <x:v>DẦU GỘI THẢO MỘC</x:v>
      </x:c>
      <x:c r="I884" t="str">
        <x:v>PHÚC VĂN</x:v>
      </x:c>
      <x:c r="J884" t="str">
        <x:v>Dầu gội</x:v>
      </x:c>
      <x:c r="K884" t="str">
        <x:v>Sản phẩm chăm sóc tóc (sản phẩm làm sạch)</x:v>
      </x:c>
      <x:c r="L884" t="str">
        <x:v>Công ty TNHH Phúc Văn Cosmetics</x:v>
      </x:c>
      <x:c r="M884" t="str">
        <x:v>Thôn 10A xã Hải Xuân; tp Móng Cái; tỉnh Quảng Ninh; VN</x:v>
      </x:c>
      <x:c r="N884"/>
      <x:c r="O884" t="str">
        <x:v>Chưa đối chiếu thu hồi</x:v>
      </x:c>
      <x:c r="P884" t="str">
        <x:v>Nguồn XLSX chính thức – Cổng dữ liệu mở TP Hải Phòng</x:v>
      </x:c>
      <x:c r="Q884" t="str">
        <x:v>Địa bàn nguồn: Hải Dương (lịch sử). Thuộc 28/409 dòng đầu đã đọc trực tiếp; chưa phải bộ dữ liệu đầy đủ.</x:v>
      </x:c>
      <x:c r="R884" t="str">
        <x:v>https://data.haiphong.gov.vn/dataset/07fa5c03-31ee-453f-9bba-f7acd2ffeb6a/resource/4621ee58-725a-481d-b29c-931e46f220c5/download/khocsdl_trichxuatdulieu_dulieusotiepnhanphieucongbosanphammypham_2026-06-25.xlsx</x:v>
      </x:c>
      <x:c r="S884" t="str">
        <x:v>Hải Phòng (Hải Dương lịch sử)</x:v>
      </x:c>
      <x:c r="T884" t="str">
        <x:v>31</x:v>
      </x:c>
    </x:row>
    <x:row r="885">
      <x:c r="A885" t="n">
        <x:v>884</x:v>
      </x:c>
      <x:c r="B885"/>
      <x:c r="C885" t="n">
        <x:v>46198</x:v>
      </x:c>
      <x:c r="D885" t="n">
        <x:v>2024</x:v>
      </x:c>
      <x:c r="E885"/>
      <x:c r="F885" t="str">
        <x:v>Số 11/24/CBMP-HD</x:v>
      </x:c>
      <x:c r="G885"/>
      <x:c r="H885" t="str">
        <x:v>DẦU XẢ THẢO MỘC</x:v>
      </x:c>
      <x:c r="I885" t="str">
        <x:v>PHÚC VĂN</x:v>
      </x:c>
      <x:c r="J885" t="str">
        <x:v>Dầu xả</x:v>
      </x:c>
      <x:c r="K885" t="str">
        <x:v>Sản phẩm chăm sóc tóc (sản phẩm dưỡng tóc)</x:v>
      </x:c>
      <x:c r="L885" t="str">
        <x:v>Công ty TNHH Phúc Văn Cosmetics</x:v>
      </x:c>
      <x:c r="M885" t="str">
        <x:v>Thôn 10A xã Hải Xuân; tp Móng Cái; tỉnh Quảng Ninh; VN</x:v>
      </x:c>
      <x:c r="N885"/>
      <x:c r="O885" t="str">
        <x:v>Chưa đối chiếu thu hồi</x:v>
      </x:c>
      <x:c r="P885" t="str">
        <x:v>Nguồn XLSX chính thức – Cổng dữ liệu mở TP Hải Phòng</x:v>
      </x:c>
      <x:c r="Q885" t="str">
        <x:v>Địa bàn nguồn: Hải Dương (lịch sử). Thuộc 28/409 dòng đầu đã đọc trực tiếp; chưa phải bộ dữ liệu đầy đủ.</x:v>
      </x:c>
      <x:c r="R885" t="str">
        <x:v>https://data.haiphong.gov.vn/dataset/07fa5c03-31ee-453f-9bba-f7acd2ffeb6a/resource/4621ee58-725a-481d-b29c-931e46f220c5/download/khocsdl_trichxuatdulieu_dulieusotiepnhanphieucongbosanphammypham_2026-06-25.xlsx</x:v>
      </x:c>
      <x:c r="S885" t="str">
        <x:v>Hải Phòng (Hải Dương lịch sử)</x:v>
      </x:c>
      <x:c r="T885" t="str">
        <x:v>31</x:v>
      </x:c>
    </x:row>
    <x:row r="886">
      <x:c r="A886" t="n">
        <x:v>885</x:v>
      </x:c>
      <x:c r="B886"/>
      <x:c r="C886" t="n">
        <x:v>46198</x:v>
      </x:c>
      <x:c r="D886" t="n">
        <x:v>2024</x:v>
      </x:c>
      <x:c r="E886"/>
      <x:c r="F886" t="str">
        <x:v>Số 12/24/CBMP-HD</x:v>
      </x:c>
      <x:c r="G886"/>
      <x:c r="H886" t="str">
        <x:v>DẦU GỘI DƯỢC LIỆU METTA 1</x:v>
      </x:c>
      <x:c r="I886" t="str">
        <x:v>METTA SPA</x:v>
      </x:c>
      <x:c r="J886" t="str">
        <x:v>Dầu gội</x:v>
      </x:c>
      <x:c r="K886" t="str">
        <x:v>Sản phẩm chăm sóc tóc (sản phẩm làm sạch)</x:v>
      </x:c>
      <x:c r="L886" t="str">
        <x:v>Công ty Cổ phần sức khoẻ vàng METTA GROUP</x:v>
      </x:c>
      <x:c r="M886" t="str">
        <x:v>378 đường Tên Lửa; phường Bình Trị Đông B; quận Bình Tân; tp Hồ Chí Minh; VN</x:v>
      </x:c>
      <x:c r="N886"/>
      <x:c r="O886" t="str">
        <x:v>Chưa đối chiếu thu hồi</x:v>
      </x:c>
      <x:c r="P886" t="str">
        <x:v>Nguồn XLSX chính thức – Cổng dữ liệu mở TP Hải Phòng</x:v>
      </x:c>
      <x:c r="Q886" t="str">
        <x:v>Địa bàn nguồn: Hải Dương (lịch sử). Thuộc 28/409 dòng đầu đã đọc trực tiếp; chưa phải bộ dữ liệu đầy đủ.</x:v>
      </x:c>
      <x:c r="R886" t="str">
        <x:v>https://data.haiphong.gov.vn/dataset/07fa5c03-31ee-453f-9bba-f7acd2ffeb6a/resource/4621ee58-725a-481d-b29c-931e46f220c5/download/khocsdl_trichxuatdulieu_dulieusotiepnhanphieucongbosanphammypham_2026-06-25.xlsx</x:v>
      </x:c>
      <x:c r="S886" t="str">
        <x:v>Hải Phòng (Hải Dương lịch sử)</x:v>
      </x:c>
      <x:c r="T886" t="str">
        <x:v>31</x:v>
      </x:c>
    </x:row>
    <x:row r="887">
      <x:c r="A887" t="n">
        <x:v>886</x:v>
      </x:c>
      <x:c r="B887"/>
      <x:c r="C887" t="n">
        <x:v>46198</x:v>
      </x:c>
      <x:c r="D887" t="n">
        <x:v>2024</x:v>
      </x:c>
      <x:c r="E887"/>
      <x:c r="F887" t="str">
        <x:v>Số 13/24/CBMP-HD</x:v>
      </x:c>
      <x:c r="G887"/>
      <x:c r="H887" t="str">
        <x:v>DẦU GỘI DƯỢC LIỆU METTA 1</x:v>
      </x:c>
      <x:c r="I887" t="str">
        <x:v>METTA SPA</x:v>
      </x:c>
      <x:c r="J887" t="str">
        <x:v>Dầu gội</x:v>
      </x:c>
      <x:c r="K887" t="str">
        <x:v>Sản phẩm chăm sóc tóc (sản phẩm dưỡng tóc)</x:v>
      </x:c>
      <x:c r="L887" t="str">
        <x:v>Công ty Cổ phần sức khoẻ vàng METTA GROUP</x:v>
      </x:c>
      <x:c r="M887" t="str">
        <x:v>379 đường Tên Lửa; phường Bình Trị Đông B; quận Bình Tân; tp Hồ Chí Minh; VN</x:v>
      </x:c>
      <x:c r="N887"/>
      <x:c r="O887" t="str">
        <x:v>Chưa đối chiếu thu hồi</x:v>
      </x:c>
      <x:c r="P887" t="str">
        <x:v>Nguồn XLSX chính thức – Cổng dữ liệu mở TP Hải Phòng</x:v>
      </x:c>
      <x:c r="Q887" t="str">
        <x:v>Địa bàn nguồn: Hải Dương (lịch sử). Thuộc 28/409 dòng đầu đã đọc trực tiếp; chưa phải bộ dữ liệu đầy đủ.</x:v>
      </x:c>
      <x:c r="R887" t="str">
        <x:v>https://data.haiphong.gov.vn/dataset/07fa5c03-31ee-453f-9bba-f7acd2ffeb6a/resource/4621ee58-725a-481d-b29c-931e46f220c5/download/khocsdl_trichxuatdulieu_dulieusotiepnhanphieucongbosanphammypham_2026-06-25.xlsx</x:v>
      </x:c>
      <x:c r="S887" t="str">
        <x:v>Hải Phòng (Hải Dương lịch sử)</x:v>
      </x:c>
      <x:c r="T887" t="str">
        <x:v>31</x:v>
      </x:c>
    </x:row>
    <x:row r="888">
      <x:c r="A888" t="n">
        <x:v>887</x:v>
      </x:c>
      <x:c r="B888"/>
      <x:c r="C888" t="n">
        <x:v>46198</x:v>
      </x:c>
      <x:c r="D888" t="n">
        <x:v>2024</x:v>
      </x:c>
      <x:c r="E888"/>
      <x:c r="F888" t="str">
        <x:v>Số 14/24/CBMP-HD</x:v>
      </x:c>
      <x:c r="G888"/>
      <x:c r="H888" t="str">
        <x:v>DUNG DỊCH VỆ SINH PHỤ NỮ BÉATRICE</x:v>
      </x:c>
      <x:c r="I888"/>
      <x:c r="J888" t="str">
        <x:v>Dung dịch vệ sinh</x:v>
      </x:c>
      <x:c r="K888" t="str">
        <x:v>Sản phẩm dùng để vệ sinh cơ quan sinh dục ngoài</x:v>
      </x:c>
      <x:c r="L888" t="str">
        <x:v>Công ty TNHH TUVA</x:v>
      </x:c>
      <x:c r="M888" t="str">
        <x:v>số 91 Ngách 29/70 phố Khương Hạ; phường Khương Đình; quận Thanh Xuân; tp Hà Nội; VN</x:v>
      </x:c>
      <x:c r="N888"/>
      <x:c r="O888" t="str">
        <x:v>Chưa đối chiếu thu hồi</x:v>
      </x:c>
      <x:c r="P888" t="str">
        <x:v>Nguồn XLSX chính thức – Cổng dữ liệu mở TP Hải Phòng</x:v>
      </x:c>
      <x:c r="Q888" t="str">
        <x:v>Địa bàn nguồn: Hải Dương (lịch sử). Thuộc 28/409 dòng đầu đã đọc trực tiếp; chưa phải bộ dữ liệu đầy đủ.</x:v>
      </x:c>
      <x:c r="R888" t="str">
        <x:v>https://data.haiphong.gov.vn/dataset/07fa5c03-31ee-453f-9bba-f7acd2ffeb6a/resource/4621ee58-725a-481d-b29c-931e46f220c5/download/khocsdl_trichxuatdulieu_dulieusotiepnhanphieucongbosanphammypham_2026-06-25.xlsx</x:v>
      </x:c>
      <x:c r="S888" t="str">
        <x:v>Hải Phòng (Hải Dương lịch sử)</x:v>
      </x:c>
      <x:c r="T888" t="str">
        <x:v>31</x:v>
      </x:c>
    </x:row>
    <x:row r="889">
      <x:c r="A889" t="n">
        <x:v>888</x:v>
      </x:c>
      <x:c r="B889"/>
      <x:c r="C889" t="n">
        <x:v>46198</x:v>
      </x:c>
      <x:c r="D889" t="n">
        <x:v>2024</x:v>
      </x:c>
      <x:c r="E889"/>
      <x:c r="F889" t="str">
        <x:v>Số 15/24/CBMP-HD</x:v>
      </x:c>
      <x:c r="G889"/>
      <x:c r="H889" t="str">
        <x:v>GEL PK LADY EVA</x:v>
      </x:c>
      <x:c r="I889"/>
      <x:c r="J889" t="str">
        <x:v>Dung dịch vệ sinh</x:v>
      </x:c>
      <x:c r="K889" t="str">
        <x:v>Sản phẩm dùng để vệ sinh cơ quan sinh dục ngoài</x:v>
      </x:c>
      <x:c r="L889" t="str">
        <x:v>CÔNG TY CỔ PHẦN DƯỢC MỸ PHẨM TPHARMA</x:v>
      </x:c>
      <x:c r="M889" t="str">
        <x:v>KM 50 Đường An Định; phường Việt Hoà; tp Hải Dương</x:v>
      </x:c>
      <x:c r="N889"/>
      <x:c r="O889" t="str">
        <x:v>Chưa đối chiếu thu hồi</x:v>
      </x:c>
      <x:c r="P889" t="str">
        <x:v>Nguồn XLSX chính thức – Cổng dữ liệu mở TP Hải Phòng</x:v>
      </x:c>
      <x:c r="Q889" t="str">
        <x:v>Địa bàn nguồn: Hải Dương (lịch sử). Thuộc 28/409 dòng đầu đã đọc trực tiếp; chưa phải bộ dữ liệu đầy đủ.</x:v>
      </x:c>
      <x:c r="R889" t="str">
        <x:v>https://data.haiphong.gov.vn/dataset/07fa5c03-31ee-453f-9bba-f7acd2ffeb6a/resource/4621ee58-725a-481d-b29c-931e46f220c5/download/khocsdl_trichxuatdulieu_dulieusotiepnhanphieucongbosanphammypham_2026-06-25.xlsx</x:v>
      </x:c>
      <x:c r="S889" t="str">
        <x:v>Hải Phòng (Hải Dương lịch sử)</x:v>
      </x:c>
      <x:c r="T889" t="str">
        <x:v>31</x:v>
      </x:c>
    </x:row>
    <x:row r="890">
      <x:c r="A890" t="n">
        <x:v>889</x:v>
      </x:c>
      <x:c r="B890"/>
      <x:c r="C890" t="n">
        <x:v>46198</x:v>
      </x:c>
      <x:c r="D890" t="n">
        <x:v>2024</x:v>
      </x:c>
      <x:c r="E890"/>
      <x:c r="F890" t="str">
        <x:v>Số 16/24/CBMP-HD</x:v>
      </x:c>
      <x:c r="G890"/>
      <x:c r="H890" t="str">
        <x:v>DẦU GỘI DƯỢC LIỆU HƯƠNG THẢO</x:v>
      </x:c>
      <x:c r="I890"/>
      <x:c r="J890" t="str">
        <x:v>Dầu gội</x:v>
      </x:c>
      <x:c r="K890" t="str">
        <x:v>Sản phẩm chăm sóc tóc (sản phẩm làm sạch)</x:v>
      </x:c>
      <x:c r="L890" t="str">
        <x:v>Công ty CP Đầu tư và Thương mại Uy Long</x:v>
      </x:c>
      <x:c r="M890" t="str">
        <x:v>Số 319B Vĩnh Hưng; phường Thanh Trì; quận Hoàng Mai; tp Hà Nội; VN</x:v>
      </x:c>
      <x:c r="N890"/>
      <x:c r="O890" t="str">
        <x:v>Chưa đối chiếu thu hồi</x:v>
      </x:c>
      <x:c r="P890" t="str">
        <x:v>Nguồn XLSX chính thức – Cổng dữ liệu mở TP Hải Phòng</x:v>
      </x:c>
      <x:c r="Q890" t="str">
        <x:v>Địa bàn nguồn: Hải Dương (lịch sử). Thuộc 28/409 dòng đầu đã đọc trực tiếp; chưa phải bộ dữ liệu đầy đủ.</x:v>
      </x:c>
      <x:c r="R890" t="str">
        <x:v>https://data.haiphong.gov.vn/dataset/07fa5c03-31ee-453f-9bba-f7acd2ffeb6a/resource/4621ee58-725a-481d-b29c-931e46f220c5/download/khocsdl_trichxuatdulieu_dulieusotiepnhanphieucongbosanphammypham_2026-06-25.xlsx</x:v>
      </x:c>
      <x:c r="S890" t="str">
        <x:v>Hải Phòng (Hải Dương lịch sử)</x:v>
      </x:c>
      <x:c r="T890" t="str">
        <x:v>31</x:v>
      </x:c>
    </x:row>
    <x:row r="891">
      <x:c r="A891" t="n">
        <x:v>890</x:v>
      </x:c>
      <x:c r="B891"/>
      <x:c r="C891" t="n">
        <x:v>46198</x:v>
      </x:c>
      <x:c r="D891" t="n">
        <x:v>2024</x:v>
      </x:c>
      <x:c r="E891"/>
      <x:c r="F891" t="str">
        <x:v>Số 17/24/CBMP-HD</x:v>
      </x:c>
      <x:c r="G891"/>
      <x:c r="H891" t="str">
        <x:v>Dầu xả Dược liệu Hương Thảo</x:v>
      </x:c>
      <x:c r="I891"/>
      <x:c r="J891" t="str">
        <x:v>Dầu xả</x:v>
      </x:c>
      <x:c r="K891" t="str">
        <x:v>Sản phẩm chăm sóc tóc (sản phẩm làm sạch)</x:v>
      </x:c>
      <x:c r="L891" t="str">
        <x:v>Công ty CP Đầu tư và Thương mại Uy Long</x:v>
      </x:c>
      <x:c r="M891" t="str">
        <x:v>Số 319B Vĩnh Hưng; phường Thanh Trì; quận Hoàng Mai; tp Hà Nội; VN</x:v>
      </x:c>
      <x:c r="N891"/>
      <x:c r="O891" t="str">
        <x:v>Chưa đối chiếu thu hồi</x:v>
      </x:c>
      <x:c r="P891" t="str">
        <x:v>Nguồn XLSX chính thức – Cổng dữ liệu mở TP Hải Phòng</x:v>
      </x:c>
      <x:c r="Q891" t="str">
        <x:v>Địa bàn nguồn: Hải Dương (lịch sử). Thuộc 28/409 dòng đầu đã đọc trực tiếp; chưa phải bộ dữ liệu đầy đủ.</x:v>
      </x:c>
      <x:c r="R891" t="str">
        <x:v>https://data.haiphong.gov.vn/dataset/07fa5c03-31ee-453f-9bba-f7acd2ffeb6a/resource/4621ee58-725a-481d-b29c-931e46f220c5/download/khocsdl_trichxuatdulieu_dulieusotiepnhanphieucongbosanphammypham_2026-06-25.xlsx</x:v>
      </x:c>
      <x:c r="S891" t="str">
        <x:v>Hải Phòng (Hải Dương lịch sử)</x:v>
      </x:c>
      <x:c r="T891" t="str">
        <x:v>31</x:v>
      </x:c>
    </x:row>
    <x:row r="892">
      <x:c r="A892" t="n">
        <x:v>891</x:v>
      </x:c>
      <x:c r="B892"/>
      <x:c r="C892" t="n">
        <x:v>46198</x:v>
      </x:c>
      <x:c r="D892" t="n">
        <x:v>2024</x:v>
      </x:c>
      <x:c r="E892"/>
      <x:c r="F892" t="str">
        <x:v>Số 18/24/CBMP-HD</x:v>
      </x:c>
      <x:c r="G892"/>
      <x:c r="H892" t="str">
        <x:v>DUNG DỊCH VỆ SINH EVALOVE</x:v>
      </x:c>
      <x:c r="I892" t="str">
        <x:v>EVALOVE</x:v>
      </x:c>
      <x:c r="J892" t="str">
        <x:v>Dung dịch vệ sinh</x:v>
      </x:c>
      <x:c r="K892" t="str">
        <x:v>Sản phẩm dùng để vệ sinh cơ quan sinh dục ngoài</x:v>
      </x:c>
      <x:c r="L892" t="str">
        <x:v>CÔNG TY CỔ PHẦN DƯỢC MỸ PHẨM TPHARMA</x:v>
      </x:c>
      <x:c r="M892" t="str">
        <x:v>KM 50 Đường An Định; phường Việt Hoà; tp Hải Dương</x:v>
      </x:c>
      <x:c r="N892"/>
      <x:c r="O892" t="str">
        <x:v>Chưa đối chiếu thu hồi</x:v>
      </x:c>
      <x:c r="P892" t="str">
        <x:v>Nguồn XLSX chính thức – Cổng dữ liệu mở TP Hải Phòng</x:v>
      </x:c>
      <x:c r="Q892" t="str">
        <x:v>Địa bàn nguồn: Hải Dương (lịch sử). Thuộc 28/409 dòng đầu đã đọc trực tiếp; chưa phải bộ dữ liệu đầy đủ.</x:v>
      </x:c>
      <x:c r="R892" t="str">
        <x:v>https://data.haiphong.gov.vn/dataset/07fa5c03-31ee-453f-9bba-f7acd2ffeb6a/resource/4621ee58-725a-481d-b29c-931e46f220c5/download/khocsdl_trichxuatdulieu_dulieusotiepnhanphieucongbosanphammypham_2026-06-25.xlsx</x:v>
      </x:c>
      <x:c r="S892" t="str">
        <x:v>Hải Phòng (Hải Dương lịch sử)</x:v>
      </x:c>
      <x:c r="T892" t="str">
        <x:v>31</x:v>
      </x:c>
    </x:row>
    <x:row r="893">
      <x:c r="A893" t="n">
        <x:v>892</x:v>
      </x:c>
      <x:c r="B893"/>
      <x:c r="C893" t="n">
        <x:v>46198</x:v>
      </x:c>
      <x:c r="D893" t="n">
        <x:v>2024</x:v>
      </x:c>
      <x:c r="E893"/>
      <x:c r="F893" t="str">
        <x:v>Số 19/24/CBMP-HD</x:v>
      </x:c>
      <x:c r="G893"/>
      <x:c r="H893" t="str">
        <x:v>DẦU GỘI THẢO DƯỢC VIN TH.ELEVATES</x:v>
      </x:c>
      <x:c r="I893" t="str">
        <x:v>VIN TH.ELEVATES NATURAL HERBALS</x:v>
      </x:c>
      <x:c r="J893" t="str">
        <x:v>Dầu gội</x:v>
      </x:c>
      <x:c r="K893" t="str">
        <x:v>Sản phẩm chăm sóc tóc (sản phẩm làm sạch)</x:v>
      </x:c>
      <x:c r="L893" t="str">
        <x:v>CÔNG TY CỔ PHẦN DỊCH VỤ THƯƠNG MẠI VINLAND TH</x:v>
      </x:c>
      <x:c r="M893" t="str">
        <x:v>Đội 2 phố Vĩnh Ngọc; phường Đông Lĩnh; tp Thanh Hoá; tỉnh Thanh Hoá; VN</x:v>
      </x:c>
      <x:c r="N893"/>
      <x:c r="O893" t="str">
        <x:v>Chưa đối chiếu thu hồi</x:v>
      </x:c>
      <x:c r="P893" t="str">
        <x:v>Nguồn XLSX chính thức – Cổng dữ liệu mở TP Hải Phòng</x:v>
      </x:c>
      <x:c r="Q893" t="str">
        <x:v>Địa bàn nguồn: Hải Dương (lịch sử). Thuộc 28/409 dòng đầu đã đọc trực tiếp; chưa phải bộ dữ liệu đầy đủ.</x:v>
      </x:c>
      <x:c r="R893" t="str">
        <x:v>https://data.haiphong.gov.vn/dataset/07fa5c03-31ee-453f-9bba-f7acd2ffeb6a/resource/4621ee58-725a-481d-b29c-931e46f220c5/download/khocsdl_trichxuatdulieu_dulieusotiepnhanphieucongbosanphammypham_2026-06-25.xlsx</x:v>
      </x:c>
      <x:c r="S893" t="str">
        <x:v>Hải Phòng (Hải Dương lịch sử)</x:v>
      </x:c>
      <x:c r="T893" t="str">
        <x:v>31</x:v>
      </x:c>
    </x:row>
    <x:row r="894">
      <x:c r="A894" t="n">
        <x:v>893</x:v>
      </x:c>
      <x:c r="B894"/>
      <x:c r="C894" t="n">
        <x:v>46198</x:v>
      </x:c>
      <x:c r="D894" t="n">
        <x:v>2024</x:v>
      </x:c>
      <x:c r="E894"/>
      <x:c r="F894" t="str">
        <x:v>Số 20/24/CBMP-HD</x:v>
      </x:c>
      <x:c r="G894"/>
      <x:c r="H894" t="str">
        <x:v>DẦU XẢ THẢO DƯỢC VIN TH;ELEVATES</x:v>
      </x:c>
      <x:c r="I894" t="str">
        <x:v>VIN TH.ELEVATES NATURAL HERBALS</x:v>
      </x:c>
      <x:c r="J894" t="str">
        <x:v>Dầu xả</x:v>
      </x:c>
      <x:c r="K894" t="str">
        <x:v>Sản phẩm chăm sóc tóc (Sản phẩm dưỡng tóc)</x:v>
      </x:c>
      <x:c r="L894" t="str">
        <x:v>CÔNG TY CỔ PHẦN DỊCH VỤ THƯƠNG MẠI VINLAND TH</x:v>
      </x:c>
      <x:c r="M894" t="str">
        <x:v>Đội 2 phố Vĩnh Ngọc; phường Đông Lĩnh; tp Thanh Hoá; tỉnh Thanh Hoá; VN</x:v>
      </x:c>
      <x:c r="N894"/>
      <x:c r="O894" t="str">
        <x:v>Chưa đối chiếu thu hồi</x:v>
      </x:c>
      <x:c r="P894" t="str">
        <x:v>Nguồn XLSX chính thức – Cổng dữ liệu mở TP Hải Phòng</x:v>
      </x:c>
      <x:c r="Q894" t="str">
        <x:v>Địa bàn nguồn: Hải Dương (lịch sử). Thuộc 28/409 dòng đầu đã đọc trực tiếp; chưa phải bộ dữ liệu đầy đủ.</x:v>
      </x:c>
      <x:c r="R894" t="str">
        <x:v>https://data.haiphong.gov.vn/dataset/07fa5c03-31ee-453f-9bba-f7acd2ffeb6a/resource/4621ee58-725a-481d-b29c-931e46f220c5/download/khocsdl_trichxuatdulieu_dulieusotiepnhanphieucongbosanphammypham_2026-06-25.xlsx</x:v>
      </x:c>
      <x:c r="S894" t="str">
        <x:v>Hải Phòng (Hải Dương lịch sử)</x:v>
      </x:c>
      <x:c r="T894" t="str">
        <x:v>31</x:v>
      </x:c>
    </x:row>
    <x:row r="895">
      <x:c r="A895" t="n">
        <x:v>894</x:v>
      </x:c>
      <x:c r="B895"/>
      <x:c r="C895" t="n">
        <x:v>46198</x:v>
      </x:c>
      <x:c r="D895" t="n">
        <x:v>2024</x:v>
      </x:c>
      <x:c r="E895"/>
      <x:c r="F895" t="str">
        <x:v>Số 21/24/CBMP-HD</x:v>
      </x:c>
      <x:c r="G895"/>
      <x:c r="H895" t="str">
        <x:v>Hair Mask</x:v>
      </x:c>
      <x:c r="I895" t="str">
        <x:v>T-N-T</x:v>
      </x:c>
      <x:c r="J895" t="str">
        <x:v>Ủ tóc/Hair mask</x:v>
      </x:c>
      <x:c r="K895" t="str">
        <x:v>Sản phẩm chăm sóc tóc (Sản phẩm dưỡng tóc)</x:v>
      </x:c>
      <x:c r="L895" t="str">
        <x:v>Công ty TNHH TOÀN LUCKY</x:v>
      </x:c>
      <x:c r="M895" t="str">
        <x:v>LK50 - N04 DỰ ÁN Đầu tư nhà ở Thấp tầng tại khu Lò Gạch (giai đoạn II); xã Cự Khê; huyện Thanh Oai; tp Hà Nội; VN.</x:v>
      </x:c>
      <x:c r="N895"/>
      <x:c r="O895" t="str">
        <x:v>Chưa đối chiếu thu hồi</x:v>
      </x:c>
      <x:c r="P895" t="str">
        <x:v>Nguồn XLSX chính thức – Cổng dữ liệu mở TP Hải Phòng</x:v>
      </x:c>
      <x:c r="Q895" t="str">
        <x:v>Địa bàn nguồn: Hải Dương (lịch sử). Thuộc 28/409 dòng đầu đã đọc trực tiếp; chưa phải bộ dữ liệu đầy đủ.</x:v>
      </x:c>
      <x:c r="R895" t="str">
        <x:v>https://data.haiphong.gov.vn/dataset/07fa5c03-31ee-453f-9bba-f7acd2ffeb6a/resource/4621ee58-725a-481d-b29c-931e46f220c5/download/khocsdl_trichxuatdulieu_dulieusotiepnhanphieucongbosanphammypham_2026-06-25.xlsx</x:v>
      </x:c>
      <x:c r="S895" t="str">
        <x:v>Hải Phòng (Hải Dương lịch sử)</x:v>
      </x:c>
      <x:c r="T895" t="str">
        <x:v>31</x:v>
      </x:c>
    </x:row>
    <x:row r="896">
      <x:c r="A896" t="n">
        <x:v>895</x:v>
      </x:c>
      <x:c r="B896"/>
      <x:c r="C896" t="n">
        <x:v>46198</x:v>
      </x:c>
      <x:c r="D896" t="n">
        <x:v>2024</x:v>
      </x:c>
      <x:c r="E896"/>
      <x:c r="F896" t="str">
        <x:v>Số 22/24/CBMP-HD</x:v>
      </x:c>
      <x:c r="G896"/>
      <x:c r="H896" t="str">
        <x:v>PERM &amp; STRAIGHT 1</x:v>
      </x:c>
      <x:c r="I896" t="str">
        <x:v>ALYDANTON</x:v>
      </x:c>
      <x:c r="J896" t="str">
        <x:v>Uốn/duỗi/giữ nếp tóc</x:v>
      </x:c>
      <x:c r="K896" t="str">
        <x:v>Sản phẩm chăm sóc tóc (Uốn tóc; duỗi tóc; giữ nếp tóc)</x:v>
      </x:c>
      <x:c r="L896" t="str">
        <x:v>Công ty TNHH Hoá Mỹ Phẩm Hồng Đạt</x:v>
      </x:c>
      <x:c r="M896" t="str">
        <x:v>Thôn Đông Giao; xã Lương Điền; huyện Cẩm Giàng; tỉnh Hải Dương; VN</x:v>
      </x:c>
      <x:c r="N896"/>
      <x:c r="O896" t="str">
        <x:v>Chưa đối chiếu thu hồi</x:v>
      </x:c>
      <x:c r="P896" t="str">
        <x:v>Nguồn XLSX chính thức – Cổng dữ liệu mở TP Hải Phòng</x:v>
      </x:c>
      <x:c r="Q896" t="str">
        <x:v>Địa bàn nguồn: Hải Dương (lịch sử). Thuộc 28/409 dòng đầu đã đọc trực tiếp; chưa phải bộ dữ liệu đầy đủ.</x:v>
      </x:c>
      <x:c r="R896" t="str">
        <x:v>https://data.haiphong.gov.vn/dataset/07fa5c03-31ee-453f-9bba-f7acd2ffeb6a/resource/4621ee58-725a-481d-b29c-931e46f220c5/download/khocsdl_trichxuatdulieu_dulieusotiepnhanphieucongbosanphammypham_2026-06-25.xlsx</x:v>
      </x:c>
      <x:c r="S896" t="str">
        <x:v>Hải Phòng (Hải Dương lịch sử)</x:v>
      </x:c>
      <x:c r="T896" t="str">
        <x:v>31</x:v>
      </x:c>
    </x:row>
    <x:row r="897">
      <x:c r="A897" t="n">
        <x:v>896</x:v>
      </x:c>
      <x:c r="B897"/>
      <x:c r="C897" t="n">
        <x:v>46198</x:v>
      </x:c>
      <x:c r="D897" t="n">
        <x:v>2024</x:v>
      </x:c>
      <x:c r="E897"/>
      <x:c r="F897" t="str">
        <x:v>Số 23/24/CBMP-HD</x:v>
      </x:c>
      <x:c r="G897"/>
      <x:c r="H897" t="str">
        <x:v>PERM &amp; STRAIGHT 3</x:v>
      </x:c>
      <x:c r="I897" t="str">
        <x:v>ALYDANTON</x:v>
      </x:c>
      <x:c r="J897" t="str">
        <x:v>Uốn/duỗi/giữ nếp tóc</x:v>
      </x:c>
      <x:c r="K897" t="str">
        <x:v>Sản phẩm chăm sóc tóc (Uốn tóc; duỗi tóc; giữ nếp tóc)</x:v>
      </x:c>
      <x:c r="L897" t="str">
        <x:v>Công ty TNHH Hoá Mỹ Phẩm Hồng Đạt</x:v>
      </x:c>
      <x:c r="M897" t="str">
        <x:v>Thôn Đông Giao; xã Lương Điền; huyện Cẩm Giàng; tỉnh Hải Dương; VN</x:v>
      </x:c>
      <x:c r="N897"/>
      <x:c r="O897" t="str">
        <x:v>Chưa đối chiếu thu hồi</x:v>
      </x:c>
      <x:c r="P897" t="str">
        <x:v>Nguồn XLSX chính thức – Cổng dữ liệu mở TP Hải Phòng</x:v>
      </x:c>
      <x:c r="Q897" t="str">
        <x:v>Địa bàn nguồn: Hải Dương (lịch sử). Thuộc 28/409 dòng đầu đã đọc trực tiếp; chưa phải bộ dữ liệu đầy đủ.</x:v>
      </x:c>
      <x:c r="R897" t="str">
        <x:v>https://data.haiphong.gov.vn/dataset/07fa5c03-31ee-453f-9bba-f7acd2ffeb6a/resource/4621ee58-725a-481d-b29c-931e46f220c5/download/khocsdl_trichxuatdulieu_dulieusotiepnhanphieucongbosanphammypham_2026-06-25.xlsx</x:v>
      </x:c>
      <x:c r="S897" t="str">
        <x:v>Hải Phòng (Hải Dương lịch sử)</x:v>
      </x:c>
      <x:c r="T897" t="str">
        <x:v>31</x:v>
      </x:c>
    </x:row>
    <x:row r="898">
      <x:c r="A898" t="n">
        <x:v>897</x:v>
      </x:c>
      <x:c r="B898"/>
      <x:c r="C898" t="n">
        <x:v>46198</x:v>
      </x:c>
      <x:c r="D898" t="n">
        <x:v>2024</x:v>
      </x:c>
      <x:c r="E898"/>
      <x:c r="F898" t="str">
        <x:v>Số 24/24/CBMP-HD</x:v>
      </x:c>
      <x:c r="G898"/>
      <x:c r="H898" t="str">
        <x:v>D2</x:v>
      </x:c>
      <x:c r="I898" t="str">
        <x:v>Bomane</x:v>
      </x:c>
      <x:c r="J898" t="str">
        <x:v>Uốn/duỗi/giữ nếp tóc</x:v>
      </x:c>
      <x:c r="K898" t="str">
        <x:v>Sản phẩm chăm sóc tóc (Uốn tóc; duỗi tóc; giữ nếp tóc)</x:v>
      </x:c>
      <x:c r="L898" t="str">
        <x:v>Công ty TNHH Hoá Mỹ Phẩm Hồng Đạt</x:v>
      </x:c>
      <x:c r="M898" t="str">
        <x:v>Thôn Đông Giao; xã Lương Điền; huyện Cẩm Giàng; tỉnh Hải Dương; VN</x:v>
      </x:c>
      <x:c r="N898"/>
      <x:c r="O898" t="str">
        <x:v>Chưa đối chiếu thu hồi</x:v>
      </x:c>
      <x:c r="P898" t="str">
        <x:v>Nguồn XLSX chính thức – Cổng dữ liệu mở TP Hải Phòng</x:v>
      </x:c>
      <x:c r="Q898" t="str">
        <x:v>Địa bàn nguồn: Hải Dương (lịch sử). Thuộc 28/409 dòng đầu đã đọc trực tiếp; chưa phải bộ dữ liệu đầy đủ.</x:v>
      </x:c>
      <x:c r="R898" t="str">
        <x:v>https://data.haiphong.gov.vn/dataset/07fa5c03-31ee-453f-9bba-f7acd2ffeb6a/resource/4621ee58-725a-481d-b29c-931e46f220c5/download/khocsdl_trichxuatdulieu_dulieusotiepnhanphieucongbosanphammypham_2026-06-25.xlsx</x:v>
      </x:c>
      <x:c r="S898" t="str">
        <x:v>Hải Phòng (Hải Dương lịch sử)</x:v>
      </x:c>
      <x:c r="T898" t="str">
        <x:v>31</x:v>
      </x:c>
    </x:row>
    <x:row r="899">
      <x:c r="A899" t="n">
        <x:v>898</x:v>
      </x:c>
      <x:c r="B899"/>
      <x:c r="C899" t="n">
        <x:v>46198</x:v>
      </x:c>
      <x:c r="D899" t="n">
        <x:v>2024</x:v>
      </x:c>
      <x:c r="E899"/>
      <x:c r="F899" t="str">
        <x:v>Số 25/24/CBMP-HD</x:v>
      </x:c>
      <x:c r="G899"/>
      <x:c r="H899" t="str">
        <x:v>PERM &amp; STRAIGHT G1</x:v>
      </x:c>
      <x:c r="I899" t="str">
        <x:v>GOLDWIN</x:v>
      </x:c>
      <x:c r="J899" t="str">
        <x:v>Uốn/duỗi/giữ nếp tóc</x:v>
      </x:c>
      <x:c r="K899" t="str">
        <x:v>Sản phẩm chăm sóc tóc (Uốn tóc; duỗi tóc; giữ nếp tóc)</x:v>
      </x:c>
      <x:c r="L899" t="str">
        <x:v>Công ty TNHH Hoá Mỹ Phẩm Hồng Đạt</x:v>
      </x:c>
      <x:c r="M899" t="str">
        <x:v>Thôn Đông Giao; xã Lương Điền; huyện Cẩm Giàng; tỉnh Hải Dương; VN</x:v>
      </x:c>
      <x:c r="N899"/>
      <x:c r="O899" t="str">
        <x:v>Chưa đối chiếu thu hồi</x:v>
      </x:c>
      <x:c r="P899" t="str">
        <x:v>Nguồn XLSX chính thức – Cổng dữ liệu mở TP Hải Phòng</x:v>
      </x:c>
      <x:c r="Q899" t="str">
        <x:v>Địa bàn nguồn: Hải Dương (lịch sử). Thuộc 28/409 dòng đầu đã đọc trực tiếp; chưa phải bộ dữ liệu đầy đủ.</x:v>
      </x:c>
      <x:c r="R899" t="str">
        <x:v>https://data.haiphong.gov.vn/dataset/07fa5c03-31ee-453f-9bba-f7acd2ffeb6a/resource/4621ee58-725a-481d-b29c-931e46f220c5/download/khocsdl_trichxuatdulieu_dulieusotiepnhanphieucongbosanphammypham_2026-06-25.xlsx</x:v>
      </x:c>
      <x:c r="S899" t="str">
        <x:v>Hải Phòng (Hải Dương lịch sử)</x:v>
      </x:c>
      <x:c r="T899" t="str">
        <x:v>31</x:v>
      </x:c>
    </x:row>
    <x:row r="900">
      <x:c r="A900" t="n">
        <x:v>899</x:v>
      </x:c>
      <x:c r="B900"/>
      <x:c r="C900" t="n">
        <x:v>46198</x:v>
      </x:c>
      <x:c r="D900" t="n">
        <x:v>2024</x:v>
      </x:c>
      <x:c r="E900"/>
      <x:c r="F900" t="str">
        <x:v>Số 26/24/CBMP-HD</x:v>
      </x:c>
      <x:c r="G900"/>
      <x:c r="H900" t="str">
        <x:v>PERM &amp; STRAIGHT G3</x:v>
      </x:c>
      <x:c r="I900" t="str">
        <x:v>GOLDWIN</x:v>
      </x:c>
      <x:c r="J900" t="str">
        <x:v>Uốn/duỗi/giữ nếp tóc</x:v>
      </x:c>
      <x:c r="K900" t="str">
        <x:v>Sản phẩm chăm sóc tóc (Uốn tóc; duỗi tóc; giữ nếp tóc)</x:v>
      </x:c>
      <x:c r="L900" t="str">
        <x:v>Công ty TNHH Hoá Mỹ Phẩm Hồng Đạt</x:v>
      </x:c>
      <x:c r="M900" t="str">
        <x:v>Thôn Đông Giao; xã Lương Điền; huyện Cẩm Giàng; tỉnh Hải Dương; VN</x:v>
      </x:c>
      <x:c r="N900"/>
      <x:c r="O900" t="str">
        <x:v>Chưa đối chiếu thu hồi</x:v>
      </x:c>
      <x:c r="P900" t="str">
        <x:v>Nguồn XLSX chính thức – Cổng dữ liệu mở TP Hải Phòng</x:v>
      </x:c>
      <x:c r="Q900" t="str">
        <x:v>Địa bàn nguồn: Hải Dương (lịch sử). Thuộc 28/409 dòng đầu đã đọc trực tiếp; chưa phải bộ dữ liệu đầy đủ.</x:v>
      </x:c>
      <x:c r="R900" t="str">
        <x:v>https://data.haiphong.gov.vn/dataset/07fa5c03-31ee-453f-9bba-f7acd2ffeb6a/resource/4621ee58-725a-481d-b29c-931e46f220c5/download/khocsdl_trichxuatdulieu_dulieusotiepnhanphieucongbosanphammypham_2026-06-25.xlsx</x:v>
      </x:c>
      <x:c r="S900" t="str">
        <x:v>Hải Phòng (Hải Dương lịch sử)</x:v>
      </x:c>
      <x:c r="T900" t="str">
        <x:v>31</x:v>
      </x:c>
    </x:row>
    <x:row r="901">
      <x:c r="A901" t="n">
        <x:v>900</x:v>
      </x:c>
      <x:c r="B901"/>
      <x:c r="C901" t="n">
        <x:v>46198</x:v>
      </x:c>
      <x:c r="D901" t="n">
        <x:v>2024</x:v>
      </x:c>
      <x:c r="E901"/>
      <x:c r="F901" t="str">
        <x:v>Số 27/24/CBMP-HD</x:v>
      </x:c>
      <x:c r="G901"/>
      <x:c r="H901" t="str">
        <x:v>SHAMPOO</x:v>
      </x:c>
      <x:c r="I901" t="str">
        <x:v>HM</x:v>
      </x:c>
      <x:c r="J901" t="str">
        <x:v>Dầu gội</x:v>
      </x:c>
      <x:c r="K901" t="str">
        <x:v>Sản phẩm chăm sóc tóc (sản phẩm làm sạch)</x:v>
      </x:c>
      <x:c r="L901" t="str">
        <x:v>Công ty TNHH Hoá Mỹ Phẩm Hồng Đạt</x:v>
      </x:c>
      <x:c r="M901" t="str">
        <x:v>Thôn Đông Giao; xã Lương Điền; huyện Cẩm Giàng; tỉnh Hải Dương; VN</x:v>
      </x:c>
      <x:c r="N901"/>
      <x:c r="O901" t="str">
        <x:v>Chưa đối chiếu thu hồi</x:v>
      </x:c>
      <x:c r="P901" t="str">
        <x:v>Nguồn XLSX chính thức – Cổng dữ liệu mở TP Hải Phòng</x:v>
      </x:c>
      <x:c r="Q901" t="str">
        <x:v>Địa bàn nguồn: Hải Dương (lịch sử). Thuộc 28/409 dòng đầu đã đọc trực tiếp; chưa phải bộ dữ liệu đầy đủ.</x:v>
      </x:c>
      <x:c r="R901" t="str">
        <x:v>https://data.haiphong.gov.vn/dataset/07fa5c03-31ee-453f-9bba-f7acd2ffeb6a/resource/4621ee58-725a-481d-b29c-931e46f220c5/download/khocsdl_trichxuatdulieu_dulieusotiepnhanphieucongbosanphammypham_2026-06-25.xlsx</x:v>
      </x:c>
      <x:c r="S901" t="str">
        <x:v>Hải Phòng (Hải Dương lịch sử)</x:v>
      </x:c>
      <x:c r="T901" t="str">
        <x:v>31</x:v>
      </x:c>
    </x:row>
    <x:row r="902">
      <x:c r="A902" t="n">
        <x:v>901</x:v>
      </x:c>
      <x:c r="B902"/>
      <x:c r="C902" t="n">
        <x:v>46198</x:v>
      </x:c>
      <x:c r="D902" t="n">
        <x:v>2024</x:v>
      </x:c>
      <x:c r="E902"/>
      <x:c r="F902" t="str">
        <x:v>Số 28/24/CBMP-HD</x:v>
      </x:c>
      <x:c r="G902"/>
      <x:c r="H902" t="str">
        <x:v>PERM &amp; STRAIGHT 1</x:v>
      </x:c>
      <x:c r="I902" t="str">
        <x:v>V8</x:v>
      </x:c>
      <x:c r="J902" t="str">
        <x:v>Uốn/duỗi/giữ nếp tóc</x:v>
      </x:c>
      <x:c r="K902" t="str">
        <x:v>Sản phẩm chăm sóc tóc (Uốn tóc; duỗi tóc; giữ nếp tóc)</x:v>
      </x:c>
      <x:c r="L902" t="str">
        <x:v>Công ty TNHH Hoá Mỹ Phẩm Hồng Đạt</x:v>
      </x:c>
      <x:c r="M902" t="str">
        <x:v>Thôn Đông Giao; xã Lương Điền; huyện Cẩm Giàng; tỉnh Hải Dương; VN</x:v>
      </x:c>
      <x:c r="N902"/>
      <x:c r="O902" t="str">
        <x:v>Chưa đối chiếu thu hồi</x:v>
      </x:c>
      <x:c r="P902" t="str">
        <x:v>Nguồn XLSX chính thức – Cổng dữ liệu mở TP Hải Phòng</x:v>
      </x:c>
      <x:c r="Q902" t="str">
        <x:v>Địa bàn nguồn: Hải Dương (lịch sử). Thuộc 28/409 dòng đầu đã đọc trực tiếp; chưa phải bộ dữ liệu đầy đủ.</x:v>
      </x:c>
      <x:c r="R902" t="str">
        <x:v>https://data.haiphong.gov.vn/dataset/07fa5c03-31ee-453f-9bba-f7acd2ffeb6a/resource/4621ee58-725a-481d-b29c-931e46f220c5/download/khocsdl_trichxuatdulieu_dulieusotiepnhanphieucongbosanphammypham_2026-06-25.xlsx</x:v>
      </x:c>
      <x:c r="S902" t="str">
        <x:v>Hải Phòng (Hải Dương lịch sử)</x:v>
      </x:c>
      <x:c r="T902" t="str">
        <x:v>31</x:v>
      </x:c>
    </x:row>
    <x:row r="903">
      <x:c r="A903" s="340" t="n">
        <x:v>902</x:v>
      </x:c>
      <x:c r="B903" s="506" t="n">
        <x:v>46108</x:v>
      </x:c>
      <x:c r="C903" s="506" t="n">
        <x:v>46140</x:v>
      </x:c>
      <x:c r="D903" s="340" t="n">
        <x:v>2026</x:v>
      </x:c>
      <x:c r="E903" s="340" t="n">
        <x:v>3</x:v>
      </x:c>
      <x:c r="F903" s="340" t="str">
        <x:v>27221/2026/CBMP-HN</x:v>
      </x:c>
      <x:c r="G903" s="340"/>
      <x:c r="H903" s="340" t="str">
        <x:v>ROSE GARDEN</x:v>
      </x:c>
      <x:c r="I903" s="340" t="str">
        <x:v>MỘC AN</x:v>
      </x:c>
      <x:c r="J903" s="340" t="str">
        <x:v>Khác</x:v>
      </x:c>
      <x:c r="K903" s="340"/>
      <x:c r="L903" s="340" t="str">
        <x:v>HỘ KINH DOANH MỘC AN</x:v>
      </x:c>
      <x:c r="M903" s="340"/>
      <x:c r="N903" s="340"/>
      <x:c r="O903" s="340" t="str">
        <x:v>Đã cấp số tiếp nhận</x:v>
      </x:c>
      <x:c r="P903" s="340" t="str">
        <x:v>A++ – danh sách cấp số tiếp nhận mỹ phẩm Sở Y tế Hà Nội</x:v>
      </x:c>
      <x:c r="Q903" s="340" t="str">
        <x:v>Clean gate đủ: CBMP + tên sản phẩm + cơ sở công bố; PIF ngoài phạm vi.</x:v>
      </x:c>
      <x:c r="R903" s="340" t="str">
        <x:v>https://datafiles.hanoi.gov.vn/gov-hni/6778/VanBan/2026/4/28/37481.pdf</x:v>
      </x:c>
      <x:c r="S903" s="340" t="str">
        <x:v>Hà Nội</x:v>
      </x:c>
      <x:c r="T903" s="340" t="str">
        <x:v>01</x:v>
      </x:c>
    </x:row>
    <x:row r="904">
      <x:c r="A904" s="340" t="n">
        <x:v>903</x:v>
      </x:c>
      <x:c r="B904" s="506" t="n">
        <x:v>46108</x:v>
      </x:c>
      <x:c r="C904" s="506" t="n">
        <x:v>46140</x:v>
      </x:c>
      <x:c r="D904" s="340" t="n">
        <x:v>2026</x:v>
      </x:c>
      <x:c r="E904" s="340" t="n">
        <x:v>3</x:v>
      </x:c>
      <x:c r="F904" s="340" t="str">
        <x:v>27222/2026/CBMP-HN</x:v>
      </x:c>
      <x:c r="G904" s="340"/>
      <x:c r="H904" s="340" t="str">
        <x:v>KIDDMOS</x:v>
      </x:c>
      <x:c r="I904" s="340"/>
      <x:c r="J904" s="340" t="str">
        <x:v>Khác</x:v>
      </x:c>
      <x:c r="K904" s="340"/>
      <x:c r="L904" s="340" t="str">
        <x:v>CÔNG TY TNHH PHÁT TRIỂN THƯƠNG MẠI VÀ DỊCH VỤ I-SUN PHARMA VIỆT NAM</x:v>
      </x:c>
      <x:c r="M904" s="340"/>
      <x:c r="N904" s="340"/>
      <x:c r="O904" s="340" t="str">
        <x:v>Đã cấp số tiếp nhận</x:v>
      </x:c>
      <x:c r="P904" s="340" t="str">
        <x:v>A++ – danh sách cấp số tiếp nhận mỹ phẩm Sở Y tế Hà Nội</x:v>
      </x:c>
      <x:c r="Q904" s="340" t="str">
        <x:v>Clean gate đủ: CBMP + tên sản phẩm + cơ sở công bố; PIF ngoài phạm vi.</x:v>
      </x:c>
      <x:c r="R904" s="340" t="str">
        <x:v>https://datafiles.hanoi.gov.vn/gov-hni/6778/VanBan/2026/4/28/37481.pdf</x:v>
      </x:c>
      <x:c r="S904" s="340" t="str">
        <x:v>Hà Nội</x:v>
      </x:c>
      <x:c r="T904" s="340" t="str">
        <x:v>01</x:v>
      </x:c>
    </x:row>
    <x:row r="905">
      <x:c r="A905" s="340" t="n">
        <x:v>904</x:v>
      </x:c>
      <x:c r="B905" s="506" t="n">
        <x:v>46108</x:v>
      </x:c>
      <x:c r="C905" s="506" t="n">
        <x:v>46140</x:v>
      </x:c>
      <x:c r="D905" s="340" t="n">
        <x:v>2026</x:v>
      </x:c>
      <x:c r="E905" s="340" t="n">
        <x:v>3</x:v>
      </x:c>
      <x:c r="F905" s="340" t="str">
        <x:v>27223/2026/CBMP-HN</x:v>
      </x:c>
      <x:c r="G905" s="340"/>
      <x:c r="H905" s="340" t="str">
        <x:v>DẦU GỘI HƯƠNG CẦM</x:v>
      </x:c>
      <x:c r="I905" s="340"/>
      <x:c r="J905" s="340" t="str">
        <x:v>Dầu gội</x:v>
      </x:c>
      <x:c r="K905" s="340"/>
      <x:c r="L905" s="340" t="str">
        <x:v>CÔNG TY TNHH PHÁT TRIỂN THƯƠNG MẠI VÀ DỊCH VỤ I-SUN PHARMA VIỆT NAM</x:v>
      </x:c>
      <x:c r="M905" s="340"/>
      <x:c r="N905" s="340"/>
      <x:c r="O905" s="340" t="str">
        <x:v>Đã cấp số tiếp nhận</x:v>
      </x:c>
      <x:c r="P905" s="340" t="str">
        <x:v>A++ – danh sách cấp số tiếp nhận mỹ phẩm Sở Y tế Hà Nội</x:v>
      </x:c>
      <x:c r="Q905" s="340" t="str">
        <x:v>Clean gate đủ: CBMP + tên sản phẩm + cơ sở công bố; PIF ngoài phạm vi.</x:v>
      </x:c>
      <x:c r="R905" s="340" t="str">
        <x:v>https://datafiles.hanoi.gov.vn/gov-hni/6778/VanBan/2026/4/28/37481.pdf</x:v>
      </x:c>
      <x:c r="S905" s="340" t="str">
        <x:v>Hà Nội</x:v>
      </x:c>
      <x:c r="T905" s="340" t="str">
        <x:v>01</x:v>
      </x:c>
    </x:row>
    <x:row r="906">
      <x:c r="A906" s="340" t="n">
        <x:v>905</x:v>
      </x:c>
      <x:c r="B906" s="506" t="n">
        <x:v>46108</x:v>
      </x:c>
      <x:c r="C906" s="506" t="n">
        <x:v>46140</x:v>
      </x:c>
      <x:c r="D906" s="340" t="n">
        <x:v>2026</x:v>
      </x:c>
      <x:c r="E906" s="340" t="n">
        <x:v>3</x:v>
      </x:c>
      <x:c r="F906" s="340" t="str">
        <x:v>27224/2026/CBMP-HN</x:v>
      </x:c>
      <x:c r="G906" s="340"/>
      <x:c r="H906" s="340" t="str">
        <x:v>LUMINOUS CREAM</x:v>
      </x:c>
      <x:c r="I906" s="340" t="str">
        <x:v>NES LUMI</x:v>
      </x:c>
      <x:c r="J906" s="340" t="str">
        <x:v>Kem dưỡng da</x:v>
      </x:c>
      <x:c r="K906" s="340"/>
      <x:c r="L906" s="340" t="str">
        <x:v>CÔNG TY TNHH NES LUMI</x:v>
      </x:c>
      <x:c r="M906" s="340"/>
      <x:c r="N906" s="340"/>
      <x:c r="O906" s="340" t="str">
        <x:v>Đã cấp số tiếp nhận</x:v>
      </x:c>
      <x:c r="P906" s="340" t="str">
        <x:v>A++ – danh sách cấp số tiếp nhận mỹ phẩm Sở Y tế Hà Nội</x:v>
      </x:c>
      <x:c r="Q906" s="340" t="str">
        <x:v>Clean gate đủ: CBMP + tên sản phẩm + cơ sở công bố; PIF ngoài phạm vi.</x:v>
      </x:c>
      <x:c r="R906" s="340" t="str">
        <x:v>https://datafiles.hanoi.gov.vn/gov-hni/6778/VanBan/2026/4/28/37481.pdf</x:v>
      </x:c>
      <x:c r="S906" s="340" t="str">
        <x:v>Hà Nội</x:v>
      </x:c>
      <x:c r="T906" s="340" t="str">
        <x:v>01</x:v>
      </x:c>
    </x:row>
    <x:row r="907">
      <x:c r="A907" s="340" t="n">
        <x:v>906</x:v>
      </x:c>
      <x:c r="B907" s="506" t="n">
        <x:v>46108</x:v>
      </x:c>
      <x:c r="C907" s="506" t="n">
        <x:v>46140</x:v>
      </x:c>
      <x:c r="D907" s="340" t="n">
        <x:v>2026</x:v>
      </x:c>
      <x:c r="E907" s="340" t="n">
        <x:v>3</x:v>
      </x:c>
      <x:c r="F907" s="340" t="str">
        <x:v>27225/2026/CBMP-HN</x:v>
      </x:c>
      <x:c r="G907" s="340"/>
      <x:c r="H907" s="340" t="str">
        <x:v>SMOOTH SKIN CREAM</x:v>
      </x:c>
      <x:c r="I907" s="340" t="str">
        <x:v>NES LUMI</x:v>
      </x:c>
      <x:c r="J907" s="340" t="str">
        <x:v>Kem dưỡng da</x:v>
      </x:c>
      <x:c r="K907" s="340"/>
      <x:c r="L907" s="340" t="str">
        <x:v>CÔNG TY TNHH NES LUMI</x:v>
      </x:c>
      <x:c r="M907" s="340"/>
      <x:c r="N907" s="340"/>
      <x:c r="O907" s="340" t="str">
        <x:v>Đã cấp số tiếp nhận</x:v>
      </x:c>
      <x:c r="P907" s="340" t="str">
        <x:v>A++ – danh sách cấp số tiếp nhận mỹ phẩm Sở Y tế Hà Nội</x:v>
      </x:c>
      <x:c r="Q907" s="340" t="str">
        <x:v>Clean gate đủ: CBMP + tên sản phẩm + cơ sở công bố; PIF ngoài phạm vi.</x:v>
      </x:c>
      <x:c r="R907" s="340" t="str">
        <x:v>https://datafiles.hanoi.gov.vn/gov-hni/6778/VanBan/2026/4/28/37481.pdf</x:v>
      </x:c>
      <x:c r="S907" s="340" t="str">
        <x:v>Hà Nội</x:v>
      </x:c>
      <x:c r="T907" s="340" t="str">
        <x:v>01</x:v>
      </x:c>
    </x:row>
    <x:row r="908">
      <x:c r="A908" s="340" t="n">
        <x:v>907</x:v>
      </x:c>
      <x:c r="B908" s="506" t="n">
        <x:v>46108</x:v>
      </x:c>
      <x:c r="C908" s="506" t="n">
        <x:v>46140</x:v>
      </x:c>
      <x:c r="D908" s="340" t="n">
        <x:v>2026</x:v>
      </x:c>
      <x:c r="E908" s="340" t="n">
        <x:v>3</x:v>
      </x:c>
      <x:c r="F908" s="340" t="str">
        <x:v>27226/2026/CBMP-HN</x:v>
      </x:c>
      <x:c r="G908" s="340"/>
      <x:c r="H908" s="340" t="str">
        <x:v>CLEANSER SKIN</x:v>
      </x:c>
      <x:c r="I908" s="340" t="str">
        <x:v>LAMEC</x:v>
      </x:c>
      <x:c r="J908" s="340" t="str">
        <x:v>Sữa rửa mặt/Tẩy trang</x:v>
      </x:c>
      <x:c r="K908" s="340"/>
      <x:c r="L908" s="340" t="str">
        <x:v>CÔNG TY CỔ PHẦN DƯỢC MỸ PHẨM LAMEC</x:v>
      </x:c>
      <x:c r="M908" s="340"/>
      <x:c r="N908" s="340"/>
      <x:c r="O908" s="340" t="str">
        <x:v>Đã cấp số tiếp nhận</x:v>
      </x:c>
      <x:c r="P908" s="340" t="str">
        <x:v>A++ – danh sách cấp số tiếp nhận mỹ phẩm Sở Y tế Hà Nội</x:v>
      </x:c>
      <x:c r="Q908" s="340" t="str">
        <x:v>Clean gate đủ: CBMP + tên sản phẩm + cơ sở công bố; PIF ngoài phạm vi.</x:v>
      </x:c>
      <x:c r="R908" s="340" t="str">
        <x:v>https://datafiles.hanoi.gov.vn/gov-hni/6778/VanBan/2026/4/28/37481.pdf</x:v>
      </x:c>
      <x:c r="S908" s="340" t="str">
        <x:v>Hà Nội</x:v>
      </x:c>
      <x:c r="T908" s="340" t="str">
        <x:v>01</x:v>
      </x:c>
    </x:row>
    <x:row r="909">
      <x:c r="A909" s="340" t="n">
        <x:v>908</x:v>
      </x:c>
      <x:c r="B909" s="506" t="n">
        <x:v>46111</x:v>
      </x:c>
      <x:c r="C909" s="506" t="n">
        <x:v>46140</x:v>
      </x:c>
      <x:c r="D909" s="340" t="n">
        <x:v>2026</x:v>
      </x:c>
      <x:c r="E909" s="340" t="n">
        <x:v>3</x:v>
      </x:c>
      <x:c r="F909" s="340" t="str">
        <x:v>27227/2026/CBMP-HN</x:v>
      </x:c>
      <x:c r="G909" s="340"/>
      <x:c r="H909" s="340" t="str">
        <x:v>DEEP SMOOTH CONDITIONER</x:v>
      </x:c>
      <x:c r="I909" s="340" t="str">
        <x:v>LUNAFAM</x:v>
      </x:c>
      <x:c r="J909" s="340" t="str">
        <x:v>Dầu xả</x:v>
      </x:c>
      <x:c r="K909" s="340"/>
      <x:c r="L909" s="340" t="str">
        <x:v>CÔNG TY TNHH DỊCH VỤ THƯƠNG MẠI QUỐC TẾ TL M&amp;C</x:v>
      </x:c>
      <x:c r="M909" s="340"/>
      <x:c r="N909" s="340"/>
      <x:c r="O909" s="340" t="str">
        <x:v>Đã cấp số tiếp nhận</x:v>
      </x:c>
      <x:c r="P909" s="340" t="str">
        <x:v>A++ – danh sách cấp số tiếp nhận mỹ phẩm Sở Y tế Hà Nội</x:v>
      </x:c>
      <x:c r="Q909" s="340" t="str">
        <x:v>Clean gate đủ: CBMP + tên sản phẩm + cơ sở công bố; PIF ngoài phạm vi.</x:v>
      </x:c>
      <x:c r="R909" s="340" t="str">
        <x:v>https://datafiles.hanoi.gov.vn/gov-hni/6778/VanBan/2026/4/28/37481.pdf</x:v>
      </x:c>
      <x:c r="S909" s="340" t="str">
        <x:v>Hà Nội</x:v>
      </x:c>
      <x:c r="T909" s="340" t="str">
        <x:v>01</x:v>
      </x:c>
    </x:row>
    <x:row r="910">
      <x:c r="A910" s="340" t="n">
        <x:v>909</x:v>
      </x:c>
      <x:c r="B910" s="506" t="n">
        <x:v>46111</x:v>
      </x:c>
      <x:c r="C910" s="506" t="n">
        <x:v>46140</x:v>
      </x:c>
      <x:c r="D910" s="340" t="n">
        <x:v>2026</x:v>
      </x:c>
      <x:c r="E910" s="340" t="n">
        <x:v>3</x:v>
      </x:c>
      <x:c r="F910" s="340" t="str">
        <x:v>27228/2026/CBMP-HN</x:v>
      </x:c>
      <x:c r="G910" s="340"/>
      <x:c r="H910" s="340" t="str">
        <x:v>KEYEL EVEN TONE CREAM</x:v>
      </x:c>
      <x:c r="I910" s="340" t="str">
        <x:v>KEYEL</x:v>
      </x:c>
      <x:c r="J910" s="340" t="str">
        <x:v>Kem dưỡng da</x:v>
      </x:c>
      <x:c r="K910" s="340"/>
      <x:c r="L910" s="340" t="str">
        <x:v>CÔNG TY TNHH DỊCH VỤ THƯƠNG MẠI QUỐC TẾ TL M&amp;C</x:v>
      </x:c>
      <x:c r="M910" s="340"/>
      <x:c r="N910" s="340"/>
      <x:c r="O910" s="340" t="str">
        <x:v>Đã cấp số tiếp nhận</x:v>
      </x:c>
      <x:c r="P910" s="340" t="str">
        <x:v>A++ – danh sách cấp số tiếp nhận mỹ phẩm Sở Y tế Hà Nội</x:v>
      </x:c>
      <x:c r="Q910" s="340" t="str">
        <x:v>Clean gate đủ: CBMP + tên sản phẩm + cơ sở công bố; PIF ngoài phạm vi.</x:v>
      </x:c>
      <x:c r="R910" s="340" t="str">
        <x:v>https://datafiles.hanoi.gov.vn/gov-hni/6778/VanBan/2026/4/28/37481.pdf</x:v>
      </x:c>
      <x:c r="S910" s="340" t="str">
        <x:v>Hà Nội</x:v>
      </x:c>
      <x:c r="T910" s="340" t="str">
        <x:v>01</x:v>
      </x:c>
    </x:row>
    <x:row r="911">
      <x:c r="A911" s="340" t="n">
        <x:v>910</x:v>
      </x:c>
      <x:c r="B911" s="506" t="n">
        <x:v>46112</x:v>
      </x:c>
      <x:c r="C911" s="506" t="n">
        <x:v>46140</x:v>
      </x:c>
      <x:c r="D911" s="340" t="n">
        <x:v>2026</x:v>
      </x:c>
      <x:c r="E911" s="340" t="n">
        <x:v>3</x:v>
      </x:c>
      <x:c r="F911" s="340" t="str">
        <x:v>27229/2026/CBMP-HN</x:v>
      </x:c>
      <x:c r="G911" s="340"/>
      <x:c r="H911" s="340" t="str">
        <x:v>Sumigyno</x:v>
      </x:c>
      <x:c r="I911" s="340"/>
      <x:c r="J911" s="340" t="str">
        <x:v>Khác</x:v>
      </x:c>
      <x:c r="K911" s="340"/>
      <x:c r="L911" s="340" t="str">
        <x:v>Công ty TNHH ESDI Việt Nam</x:v>
      </x:c>
      <x:c r="M911" s="340"/>
      <x:c r="N911" s="340"/>
      <x:c r="O911" s="340" t="str">
        <x:v>Đã cấp số tiếp nhận</x:v>
      </x:c>
      <x:c r="P911" s="340" t="str">
        <x:v>A++ – danh sách cấp số tiếp nhận mỹ phẩm Sở Y tế Hà Nội</x:v>
      </x:c>
      <x:c r="Q911" s="340" t="str">
        <x:v>Clean gate đủ: CBMP + tên sản phẩm + cơ sở công bố; PIF ngoài phạm vi.</x:v>
      </x:c>
      <x:c r="R911" s="340" t="str">
        <x:v>https://datafiles.hanoi.gov.vn/gov-hni/6778/VanBan/2026/4/28/37481.pdf</x:v>
      </x:c>
      <x:c r="S911" s="340" t="str">
        <x:v>Hà Nội</x:v>
      </x:c>
      <x:c r="T911" s="340" t="str">
        <x:v>01</x:v>
      </x:c>
    </x:row>
    <x:row r="912">
      <x:c r="A912" s="340" t="n">
        <x:v>911</x:v>
      </x:c>
      <x:c r="B912" s="506" t="n">
        <x:v>46112</x:v>
      </x:c>
      <x:c r="C912" s="506" t="n">
        <x:v>46140</x:v>
      </x:c>
      <x:c r="D912" s="340" t="n">
        <x:v>2026</x:v>
      </x:c>
      <x:c r="E912" s="340" t="n">
        <x:v>3</x:v>
      </x:c>
      <x:c r="F912" s="340" t="str">
        <x:v>27230/2026/CBMP-HN</x:v>
      </x:c>
      <x:c r="G912" s="340"/>
      <x:c r="H912" s="340" t="str">
        <x:v>VALORA SERUM</x:v>
      </x:c>
      <x:c r="I912" s="340"/>
      <x:c r="J912" s="340" t="str">
        <x:v>Serum/Essence da</x:v>
      </x:c>
      <x:c r="K912" s="340"/>
      <x:c r="L912" s="340" t="str">
        <x:v>CÔNG TY TNHH DƯỢC MỸ PHẨM QUỐC TẾ SAYOBE</x:v>
      </x:c>
      <x:c r="M912" s="340"/>
      <x:c r="N912" s="340"/>
      <x:c r="O912" s="340" t="str">
        <x:v>Đã cấp số tiếp nhận</x:v>
      </x:c>
      <x:c r="P912" s="340" t="str">
        <x:v>A++ – danh sách cấp số tiếp nhận mỹ phẩm Sở Y tế Hà Nội</x:v>
      </x:c>
      <x:c r="Q912" s="340" t="str">
        <x:v>Clean gate đủ: CBMP + tên sản phẩm + cơ sở công bố; PIF ngoài phạm vi.</x:v>
      </x:c>
      <x:c r="R912" s="340" t="str">
        <x:v>https://datafiles.hanoi.gov.vn/gov-hni/6778/VanBan/2026/4/28/37481.pdf</x:v>
      </x:c>
      <x:c r="S912" s="340" t="str">
        <x:v>Hà Nội</x:v>
      </x:c>
      <x:c r="T912" s="340" t="str">
        <x:v>01</x:v>
      </x:c>
    </x:row>
    <x:row r="913">
      <x:c r="A913" s="340" t="n">
        <x:v>912</x:v>
      </x:c>
      <x:c r="B913" s="506" t="n">
        <x:v>46112</x:v>
      </x:c>
      <x:c r="C913" s="506" t="n">
        <x:v>46140</x:v>
      </x:c>
      <x:c r="D913" s="340" t="n">
        <x:v>2026</x:v>
      </x:c>
      <x:c r="E913" s="340" t="n">
        <x:v>3</x:v>
      </x:c>
      <x:c r="F913" s="340" t="str">
        <x:v>27231/2026/CBMP-HN</x:v>
      </x:c>
      <x:c r="G913" s="340"/>
      <x:c r="H913" s="340" t="str">
        <x:v>XỊT STOPVI TIMACO</x:v>
      </x:c>
      <x:c r="I913" s="340"/>
      <x:c r="J913" s="340" t="str">
        <x:v>Khác</x:v>
      </x:c>
      <x:c r="K913" s="340"/>
      <x:c r="L913" s="340" t="str">
        <x:v>CÔNG TY TNHH THƯƠNG MẠI VÀ THIẾT BỊ Y TẾ TIẾN MẠNH</x:v>
      </x:c>
      <x:c r="M913" s="340"/>
      <x:c r="N913" s="340"/>
      <x:c r="O913" s="340" t="str">
        <x:v>Đã cấp số tiếp nhận</x:v>
      </x:c>
      <x:c r="P913" s="340" t="str">
        <x:v>A++ – danh sách cấp số tiếp nhận mỹ phẩm Sở Y tế Hà Nội</x:v>
      </x:c>
      <x:c r="Q913" s="340" t="str">
        <x:v>Clean gate đủ: CBMP + tên sản phẩm + cơ sở công bố; PIF ngoài phạm vi.</x:v>
      </x:c>
      <x:c r="R913" s="340" t="str">
        <x:v>https://datafiles.hanoi.gov.vn/gov-hni/6778/VanBan/2026/4/28/37481.pdf</x:v>
      </x:c>
      <x:c r="S913" s="340" t="str">
        <x:v>Hà Nội</x:v>
      </x:c>
      <x:c r="T913" s="340" t="str">
        <x:v>01</x:v>
      </x:c>
    </x:row>
    <x:row r="914">
      <x:c r="A914" s="340" t="n">
        <x:v>913</x:v>
      </x:c>
      <x:c r="B914" s="506" t="n">
        <x:v>46112</x:v>
      </x:c>
      <x:c r="C914" s="506" t="n">
        <x:v>46140</x:v>
      </x:c>
      <x:c r="D914" s="340" t="n">
        <x:v>2026</x:v>
      </x:c>
      <x:c r="E914" s="340" t="n">
        <x:v>3</x:v>
      </x:c>
      <x:c r="F914" s="340" t="str">
        <x:v>27232/2026/CBMP-HN</x:v>
      </x:c>
      <x:c r="G914" s="340"/>
      <x:c r="H914" s="340" t="str">
        <x:v>DUNG DỊCH VỆ SINH BIODREAMAXLL PLUS</x:v>
      </x:c>
      <x:c r="I914" s="340"/>
      <x:c r="J914" s="340" t="str">
        <x:v>Dung dịch vệ sinh</x:v>
      </x:c>
      <x:c r="K914" s="340"/>
      <x:c r="L914" s="340" t="str">
        <x:v>CÔNG TY TNHH DƯỢC MỸ PHẨM QUỐC TẾ SAYOBE</x:v>
      </x:c>
      <x:c r="M914" s="340"/>
      <x:c r="N914" s="340"/>
      <x:c r="O914" s="340" t="str">
        <x:v>Đã cấp số tiếp nhận</x:v>
      </x:c>
      <x:c r="P914" s="340" t="str">
        <x:v>A++ – danh sách cấp số tiếp nhận mỹ phẩm Sở Y tế Hà Nội</x:v>
      </x:c>
      <x:c r="Q914" s="340" t="str">
        <x:v>Clean gate đủ: CBMP + tên sản phẩm + cơ sở công bố; PIF ngoài phạm vi.</x:v>
      </x:c>
      <x:c r="R914" s="340" t="str">
        <x:v>https://datafiles.hanoi.gov.vn/gov-hni/6778/VanBan/2026/4/28/37481.pdf</x:v>
      </x:c>
      <x:c r="S914" s="340" t="str">
        <x:v>Hà Nội</x:v>
      </x:c>
      <x:c r="T914" s="340" t="str">
        <x:v>01</x:v>
      </x:c>
    </x:row>
    <x:row r="915">
      <x:c r="A915" s="340" t="n">
        <x:v>914</x:v>
      </x:c>
      <x:c r="B915" s="506" t="n">
        <x:v>46112</x:v>
      </x:c>
      <x:c r="C915" s="506" t="n">
        <x:v>46140</x:v>
      </x:c>
      <x:c r="D915" s="340" t="n">
        <x:v>2026</x:v>
      </x:c>
      <x:c r="E915" s="340" t="n">
        <x:v>3</x:v>
      </x:c>
      <x:c r="F915" s="340" t="str">
        <x:v>27234/2026/CBMP-HN</x:v>
      </x:c>
      <x:c r="G915" s="340"/>
      <x:c r="H915" s="340" t="str">
        <x:v>GEL HEMOREAM</x:v>
      </x:c>
      <x:c r="I915" s="340"/>
      <x:c r="J915" s="340" t="str">
        <x:v>Khác</x:v>
      </x:c>
      <x:c r="K915" s="340"/>
      <x:c r="L915" s="340" t="str">
        <x:v>Công ty Cổ phần Hóa dược Việt Nam</x:v>
      </x:c>
      <x:c r="M915" s="340"/>
      <x:c r="N915" s="340"/>
      <x:c r="O915" s="340" t="str">
        <x:v>Đã cấp số tiếp nhận</x:v>
      </x:c>
      <x:c r="P915" s="340" t="str">
        <x:v>A++ – danh sách cấp số tiếp nhận mỹ phẩm Sở Y tế Hà Nội</x:v>
      </x:c>
      <x:c r="Q915" s="340" t="str">
        <x:v>Clean gate đủ: CBMP + tên sản phẩm + cơ sở công bố; PIF ngoài phạm vi.</x:v>
      </x:c>
      <x:c r="R915" s="340" t="str">
        <x:v>https://datafiles.hanoi.gov.vn/gov-hni/6778/VanBan/2026/4/28/37481.pdf</x:v>
      </x:c>
      <x:c r="S915" s="340" t="str">
        <x:v>Hà Nội</x:v>
      </x:c>
      <x:c r="T915" s="340" t="str">
        <x:v>01</x:v>
      </x:c>
    </x:row>
    <x:row r="916">
      <x:c r="A916" s="340" t="n">
        <x:v>915</x:v>
      </x:c>
      <x:c r="B916" s="506" t="n">
        <x:v>46112</x:v>
      </x:c>
      <x:c r="C916" s="506" t="n">
        <x:v>46140</x:v>
      </x:c>
      <x:c r="D916" s="340" t="n">
        <x:v>2026</x:v>
      </x:c>
      <x:c r="E916" s="340" t="n">
        <x:v>3</x:v>
      </x:c>
      <x:c r="F916" s="340" t="str">
        <x:v>27235/2026/CBMP-HN</x:v>
      </x:c>
      <x:c r="G916" s="340"/>
      <x:c r="H916" s="340" t="str">
        <x:v>M05 CREAM</x:v>
      </x:c>
      <x:c r="I916" s="340" t="str">
        <x:v>M.CELLS</x:v>
      </x:c>
      <x:c r="J916" s="340" t="str">
        <x:v>Kem dưỡng da</x:v>
      </x:c>
      <x:c r="K916" s="340"/>
      <x:c r="L916" s="340" t="str">
        <x:v>CÔNG TY TNHH DƯỢC MỸ PHẨM DO.MYC GROUP</x:v>
      </x:c>
      <x:c r="M916" s="340"/>
      <x:c r="N916" s="340"/>
      <x:c r="O916" s="340" t="str">
        <x:v>Đã cấp số tiếp nhận</x:v>
      </x:c>
      <x:c r="P916" s="340" t="str">
        <x:v>A++ – danh sách cấp số tiếp nhận mỹ phẩm Sở Y tế Hà Nội</x:v>
      </x:c>
      <x:c r="Q916" s="340" t="str">
        <x:v>Clean gate đủ: CBMP + tên sản phẩm + cơ sở công bố; PIF ngoài phạm vi.</x:v>
      </x:c>
      <x:c r="R916" s="340" t="str">
        <x:v>https://datafiles.hanoi.gov.vn/gov-hni/6778/VanBan/2026/4/28/37481.pdf</x:v>
      </x:c>
      <x:c r="S916" s="340" t="str">
        <x:v>Hà Nội</x:v>
      </x:c>
      <x:c r="T916" s="340" t="str">
        <x:v>01</x:v>
      </x:c>
    </x:row>
    <x:row r="917">
      <x:c r="A917" s="340" t="n">
        <x:v>916</x:v>
      </x:c>
      <x:c r="B917" s="506" t="n">
        <x:v>46112</x:v>
      </x:c>
      <x:c r="C917" s="506" t="n">
        <x:v>46140</x:v>
      </x:c>
      <x:c r="D917" s="340" t="n">
        <x:v>2026</x:v>
      </x:c>
      <x:c r="E917" s="340" t="n">
        <x:v>3</x:v>
      </x:c>
      <x:c r="F917" s="340" t="str">
        <x:v>27236/2026/CBMP-HN</x:v>
      </x:c>
      <x:c r="G917" s="340"/>
      <x:c r="H917" s="340" t="str">
        <x:v>M06 CREAM</x:v>
      </x:c>
      <x:c r="I917" s="340" t="str">
        <x:v>M.CELLS</x:v>
      </x:c>
      <x:c r="J917" s="340" t="str">
        <x:v>Kem dưỡng da</x:v>
      </x:c>
      <x:c r="K917" s="340"/>
      <x:c r="L917" s="340" t="str">
        <x:v>CÔNG TY TNHH DƯỢC MỸ PHẨM DO.MYC GROUP</x:v>
      </x:c>
      <x:c r="M917" s="340"/>
      <x:c r="N917" s="340"/>
      <x:c r="O917" s="340" t="str">
        <x:v>Đã cấp số tiếp nhận</x:v>
      </x:c>
      <x:c r="P917" s="340" t="str">
        <x:v>A++ – danh sách cấp số tiếp nhận mỹ phẩm Sở Y tế Hà Nội</x:v>
      </x:c>
      <x:c r="Q917" s="340" t="str">
        <x:v>Clean gate đủ: CBMP + tên sản phẩm + cơ sở công bố; PIF ngoài phạm vi.</x:v>
      </x:c>
      <x:c r="R917" s="340" t="str">
        <x:v>https://datafiles.hanoi.gov.vn/gov-hni/6778/VanBan/2026/4/28/37481.pdf</x:v>
      </x:c>
      <x:c r="S917" s="340" t="str">
        <x:v>Hà Nội</x:v>
      </x:c>
      <x:c r="T917" s="340" t="str">
        <x:v>01</x:v>
      </x:c>
    </x:row>
    <x:row r="918">
      <x:c r="A918" s="340" t="n">
        <x:v>917</x:v>
      </x:c>
      <x:c r="B918" s="506" t="n">
        <x:v>46112</x:v>
      </x:c>
      <x:c r="C918" s="506" t="n">
        <x:v>46140</x:v>
      </x:c>
      <x:c r="D918" s="340" t="n">
        <x:v>2026</x:v>
      </x:c>
      <x:c r="E918" s="340" t="n">
        <x:v>3</x:v>
      </x:c>
      <x:c r="F918" s="340" t="str">
        <x:v>27237/2026/CBMP-HN</x:v>
      </x:c>
      <x:c r="G918" s="340"/>
      <x:c r="H918" s="340" t="str">
        <x:v>KEM DƯỠNG ẨM KIỀM DẦU RAU - MA</x:v>
      </x:c>
      <x:c r="I918" s="340" t="str">
        <x:v>CỎ MỀM</x:v>
      </x:c>
      <x:c r="J918" s="340" t="str">
        <x:v>Kem dưỡng da</x:v>
      </x:c>
      <x:c r="K918" s="340"/>
      <x:c r="L918" s="340" t="str">
        <x:v>CÔNG TY CỔ PHẦN MỸ PHẨM THIÊN NHIÊN SONG AN</x:v>
      </x:c>
      <x:c r="M918" s="340"/>
      <x:c r="N918" s="340"/>
      <x:c r="O918" s="340" t="str">
        <x:v>Đã cấp số tiếp nhận</x:v>
      </x:c>
      <x:c r="P918" s="340" t="str">
        <x:v>A++ – danh sách cấp số tiếp nhận mỹ phẩm Sở Y tế Hà Nội</x:v>
      </x:c>
      <x:c r="Q918" s="340" t="str">
        <x:v>Clean gate đủ: CBMP + tên sản phẩm + cơ sở công bố; PIF ngoài phạm vi.</x:v>
      </x:c>
      <x:c r="R918" s="340" t="str">
        <x:v>https://datafiles.hanoi.gov.vn/gov-hni/6778/VanBan/2026/4/28/37481.pdf</x:v>
      </x:c>
      <x:c r="S918" s="340" t="str">
        <x:v>Hà Nội</x:v>
      </x:c>
      <x:c r="T918" s="340" t="str">
        <x:v>01</x:v>
      </x:c>
    </x:row>
    <x:row r="919">
      <x:c r="A919" s="340" t="n">
        <x:v>918</x:v>
      </x:c>
      <x:c r="B919" s="506" t="n">
        <x:v>46112</x:v>
      </x:c>
      <x:c r="C919" s="506" t="n">
        <x:v>46140</x:v>
      </x:c>
      <x:c r="D919" s="340" t="n">
        <x:v>2026</x:v>
      </x:c>
      <x:c r="E919" s="340" t="n">
        <x:v>3</x:v>
      </x:c>
      <x:c r="F919" s="340" t="str">
        <x:v>27238/2026/CBMP-HN</x:v>
      </x:c>
      <x:c r="G919" s="340"/>
      <x:c r="H919" s="340" t="str">
        <x:v>NƯỚC SÚC MIỆNG DENTISTRY</x:v>
      </x:c>
      <x:c r="I919" s="340"/>
      <x:c r="J919" s="340" t="str">
        <x:v>Chăm sóc răng miệng</x:v>
      </x:c>
      <x:c r="K919" s="340"/>
      <x:c r="L919" s="340" t="str">
        <x:v>CÔNG TY TNHH ĐẦU TƯ KINH DOANH THƯƠNG MẠI MAI LINH</x:v>
      </x:c>
      <x:c r="M919" s="340"/>
      <x:c r="N919" s="340"/>
      <x:c r="O919" s="340" t="str">
        <x:v>Đã cấp số tiếp nhận</x:v>
      </x:c>
      <x:c r="P919" s="340" t="str">
        <x:v>A++ – danh sách cấp số tiếp nhận mỹ phẩm Sở Y tế Hà Nội</x:v>
      </x:c>
      <x:c r="Q919" s="340" t="str">
        <x:v>Clean gate đủ: CBMP + tên sản phẩm + cơ sở công bố; PIF ngoài phạm vi.</x:v>
      </x:c>
      <x:c r="R919" s="340" t="str">
        <x:v>https://datafiles.hanoi.gov.vn/gov-hni/6778/VanBan/2026/4/28/37481.pdf</x:v>
      </x:c>
      <x:c r="S919" s="340" t="str">
        <x:v>Hà Nội</x:v>
      </x:c>
      <x:c r="T919" s="340" t="str">
        <x:v>01</x:v>
      </x:c>
    </x:row>
    <x:row r="920">
      <x:c r="A920" s="340" t="n">
        <x:v>919</x:v>
      </x:c>
      <x:c r="B920" s="506" t="n">
        <x:v>46112</x:v>
      </x:c>
      <x:c r="C920" s="506" t="n">
        <x:v>46140</x:v>
      </x:c>
      <x:c r="D920" s="340" t="n">
        <x:v>2026</x:v>
      </x:c>
      <x:c r="E920" s="340" t="n">
        <x:v>3</x:v>
      </x:c>
      <x:c r="F920" s="340" t="str">
        <x:v>27239/2026/CBMP-HN</x:v>
      </x:c>
      <x:c r="G920" s="340"/>
      <x:c r="H920" s="340" t="str">
        <x:v>BRIGHTENING TONE UP DAY</x:v>
      </x:c>
      <x:c r="I920" s="340" t="str">
        <x:v>MUGESS+</x:v>
      </x:c>
      <x:c r="J920" s="340" t="str">
        <x:v>Khác</x:v>
      </x:c>
      <x:c r="K920" s="340"/>
      <x:c r="L920" s="340" t="str">
        <x:v>CÔNG TY TNHH THƯƠNG MẠI YVES</x:v>
      </x:c>
      <x:c r="M920" s="340"/>
      <x:c r="N920" s="340"/>
      <x:c r="O920" s="340" t="str">
        <x:v>Đã cấp số tiếp nhận</x:v>
      </x:c>
      <x:c r="P920" s="340" t="str">
        <x:v>A++ – danh sách cấp số tiếp nhận mỹ phẩm Sở Y tế Hà Nội</x:v>
      </x:c>
      <x:c r="Q920" s="340" t="str">
        <x:v>Clean gate đủ: CBMP + tên sản phẩm + cơ sở công bố; PIF ngoài phạm vi.</x:v>
      </x:c>
      <x:c r="R920" s="340" t="str">
        <x:v>https://datafiles.hanoi.gov.vn/gov-hni/6778/VanBan/2026/4/28/37481.pdf</x:v>
      </x:c>
      <x:c r="S920" s="340" t="str">
        <x:v>Hà Nội</x:v>
      </x:c>
      <x:c r="T920" s="340" t="str">
        <x:v>01</x:v>
      </x:c>
    </x:row>
    <x:row r="921">
      <x:c r="A921" s="340" t="n">
        <x:v>920</x:v>
      </x:c>
      <x:c r="B921" s="506" t="n">
        <x:v>46112</x:v>
      </x:c>
      <x:c r="C921" s="506" t="n">
        <x:v>46140</x:v>
      </x:c>
      <x:c r="D921" s="340" t="n">
        <x:v>2026</x:v>
      </x:c>
      <x:c r="E921" s="340" t="n">
        <x:v>3</x:v>
      </x:c>
      <x:c r="F921" s="340" t="str">
        <x:v>27240/2026/CBMP-HN</x:v>
      </x:c>
      <x:c r="G921" s="340"/>
      <x:c r="H921" s="340" t="str">
        <x:v>SERUM B5 NIACINAMIDE</x:v>
      </x:c>
      <x:c r="I921" s="340" t="str">
        <x:v>MUGESS+</x:v>
      </x:c>
      <x:c r="J921" s="340" t="str">
        <x:v>Serum/Essence da</x:v>
      </x:c>
      <x:c r="K921" s="340"/>
      <x:c r="L921" s="340" t="str">
        <x:v>CÔNG TY TNHH THƯƠNG MẠI YVES</x:v>
      </x:c>
      <x:c r="M921" s="340"/>
      <x:c r="N921" s="340"/>
      <x:c r="O921" s="340" t="str">
        <x:v>Đã cấp số tiếp nhận</x:v>
      </x:c>
      <x:c r="P921" s="340" t="str">
        <x:v>A++ – danh sách cấp số tiếp nhận mỹ phẩm Sở Y tế Hà Nội</x:v>
      </x:c>
      <x:c r="Q921" s="340" t="str">
        <x:v>Clean gate đủ: CBMP + tên sản phẩm + cơ sở công bố; PIF ngoài phạm vi.</x:v>
      </x:c>
      <x:c r="R921" s="340" t="str">
        <x:v>https://datafiles.hanoi.gov.vn/gov-hni/6778/VanBan/2026/4/28/37481.pdf</x:v>
      </x:c>
      <x:c r="S921" s="340" t="str">
        <x:v>Hà Nội</x:v>
      </x:c>
      <x:c r="T921" s="340" t="str">
        <x:v>01</x:v>
      </x:c>
    </x:row>
    <x:row r="922">
      <x:c r="A922" s="340" t="n">
        <x:v>921</x:v>
      </x:c>
      <x:c r="B922" s="506" t="n">
        <x:v>46112</x:v>
      </x:c>
      <x:c r="C922" s="506" t="n">
        <x:v>46140</x:v>
      </x:c>
      <x:c r="D922" s="340" t="n">
        <x:v>2026</x:v>
      </x:c>
      <x:c r="E922" s="340" t="n">
        <x:v>3</x:v>
      </x:c>
      <x:c r="F922" s="340" t="str">
        <x:v>27241/2026/CBMP-HN</x:v>
      </x:c>
      <x:c r="G922" s="340"/>
      <x:c r="H922" s="340" t="str">
        <x:v>D-SKIN SERUM</x:v>
      </x:c>
      <x:c r="I922" s="340" t="str">
        <x:v>MUGESS+</x:v>
      </x:c>
      <x:c r="J922" s="340" t="str">
        <x:v>Serum/Essence da</x:v>
      </x:c>
      <x:c r="K922" s="340"/>
      <x:c r="L922" s="340" t="str">
        <x:v>CÔNG TY TNHH THƯƠNG MẠI YVES</x:v>
      </x:c>
      <x:c r="M922" s="340"/>
      <x:c r="N922" s="340"/>
      <x:c r="O922" s="340" t="str">
        <x:v>Đã cấp số tiếp nhận</x:v>
      </x:c>
      <x:c r="P922" s="340" t="str">
        <x:v>A++ – danh sách cấp số tiếp nhận mỹ phẩm Sở Y tế Hà Nội</x:v>
      </x:c>
      <x:c r="Q922" s="340" t="str">
        <x:v>Clean gate đủ: CBMP + tên sản phẩm + cơ sở công bố; PIF ngoài phạm vi.</x:v>
      </x:c>
      <x:c r="R922" s="340" t="str">
        <x:v>https://datafiles.hanoi.gov.vn/gov-hni/6778/VanBan/2026/4/28/37481.pdf</x:v>
      </x:c>
      <x:c r="S922" s="340" t="str">
        <x:v>Hà Nội</x:v>
      </x:c>
      <x:c r="T922" s="340" t="str">
        <x:v>01</x:v>
      </x:c>
    </x:row>
    <x:row r="923">
      <x:c r="A923" s="340" t="n">
        <x:v>922</x:v>
      </x:c>
      <x:c r="B923" s="506" t="n">
        <x:v>46112</x:v>
      </x:c>
      <x:c r="C923" s="506" t="n">
        <x:v>46140</x:v>
      </x:c>
      <x:c r="D923" s="340" t="n">
        <x:v>2026</x:v>
      </x:c>
      <x:c r="E923" s="340" t="n">
        <x:v>3</x:v>
      </x:c>
      <x:c r="F923" s="340" t="str">
        <x:v>27242/2026/CBMP-HN</x:v>
      </x:c>
      <x:c r="G923" s="340"/>
      <x:c r="H923" s="340" t="str">
        <x:v>PHYTO CREAM</x:v>
      </x:c>
      <x:c r="I923" s="340" t="str">
        <x:v>NINE9</x:v>
      </x:c>
      <x:c r="J923" s="340" t="str">
        <x:v>Kem dưỡng da</x:v>
      </x:c>
      <x:c r="K923" s="340"/>
      <x:c r="L923" s="340" t="str">
        <x:v>CÔNG TY TNHH SẢN XUẤT THƯƠNG MẠI VÀ XUẤT NHẬP KHẨU HOÀNG PHƯƠNG</x:v>
      </x:c>
      <x:c r="M923" s="340"/>
      <x:c r="N923" s="340"/>
      <x:c r="O923" s="340" t="str">
        <x:v>Đã cấp số tiếp nhận</x:v>
      </x:c>
      <x:c r="P923" s="340" t="str">
        <x:v>A++ – danh sách cấp số tiếp nhận mỹ phẩm Sở Y tế Hà Nội</x:v>
      </x:c>
      <x:c r="Q923" s="340" t="str">
        <x:v>Clean gate đủ: CBMP + tên sản phẩm + cơ sở công bố; PIF ngoài phạm vi.</x:v>
      </x:c>
      <x:c r="R923" s="340" t="str">
        <x:v>https://datafiles.hanoi.gov.vn/gov-hni/6778/VanBan/2026/4/28/37481.pdf</x:v>
      </x:c>
      <x:c r="S923" s="340" t="str">
        <x:v>Hà Nội</x:v>
      </x:c>
      <x:c r="T923" s="340" t="str">
        <x:v>01</x:v>
      </x:c>
    </x:row>
    <x:row r="924">
      <x:c r="A924" s="340" t="n">
        <x:v>923</x:v>
      </x:c>
      <x:c r="B924" s="506" t="n">
        <x:v>46112</x:v>
      </x:c>
      <x:c r="C924" s="506" t="n">
        <x:v>46140</x:v>
      </x:c>
      <x:c r="D924" s="340" t="n">
        <x:v>2026</x:v>
      </x:c>
      <x:c r="E924" s="340" t="n">
        <x:v>3</x:v>
      </x:c>
      <x:c r="F924" s="340" t="str">
        <x:v>27243/2026/CBMP-HN</x:v>
      </x:c>
      <x:c r="G924" s="340"/>
      <x:c r="H924" s="340" t="str">
        <x:v>SYN LOVE</x:v>
      </x:c>
      <x:c r="I924" s="340" t="str">
        <x:v>SYNCHOICE</x:v>
      </x:c>
      <x:c r="J924" s="340" t="str">
        <x:v>Khác</x:v>
      </x:c>
      <x:c r="K924" s="340"/>
      <x:c r="L924" s="340" t="str">
        <x:v>HỘ KINH DOANH SYNDRA</x:v>
      </x:c>
      <x:c r="M924" s="340"/>
      <x:c r="N924" s="340"/>
      <x:c r="O924" s="340" t="str">
        <x:v>Đã cấp số tiếp nhận</x:v>
      </x:c>
      <x:c r="P924" s="340" t="str">
        <x:v>A++ – danh sách cấp số tiếp nhận mỹ phẩm Sở Y tế Hà Nội</x:v>
      </x:c>
      <x:c r="Q924" s="340" t="str">
        <x:v>Clean gate đủ: CBMP + tên sản phẩm + cơ sở công bố; PIF ngoài phạm vi.</x:v>
      </x:c>
      <x:c r="R924" s="340" t="str">
        <x:v>https://datafiles.hanoi.gov.vn/gov-hni/6778/VanBan/2026/4/28/37481.pdf</x:v>
      </x:c>
      <x:c r="S924" s="340" t="str">
        <x:v>Hà Nội</x:v>
      </x:c>
      <x:c r="T924" s="340" t="str">
        <x:v>01</x:v>
      </x:c>
    </x:row>
    <x:row r="925">
      <x:c r="A925" s="340" t="n">
        <x:v>924</x:v>
      </x:c>
      <x:c r="B925" s="506" t="n">
        <x:v>46112</x:v>
      </x:c>
      <x:c r="C925" s="506" t="n">
        <x:v>46140</x:v>
      </x:c>
      <x:c r="D925" s="340" t="n">
        <x:v>2026</x:v>
      </x:c>
      <x:c r="E925" s="340" t="n">
        <x:v>3</x:v>
      </x:c>
      <x:c r="F925" s="340" t="str">
        <x:v>27244/2026/CBMP-HN</x:v>
      </x:c>
      <x:c r="G925" s="340"/>
      <x:c r="H925" s="340" t="str">
        <x:v>SYN KISS</x:v>
      </x:c>
      <x:c r="I925" s="340" t="str">
        <x:v>SYNCHOICE</x:v>
      </x:c>
      <x:c r="J925" s="340" t="str">
        <x:v>Khác</x:v>
      </x:c>
      <x:c r="K925" s="340"/>
      <x:c r="L925" s="340" t="str">
        <x:v>HỘ KINH DOANH SYNDRA</x:v>
      </x:c>
      <x:c r="M925" s="340"/>
      <x:c r="N925" s="340"/>
      <x:c r="O925" s="340" t="str">
        <x:v>Đã cấp số tiếp nhận</x:v>
      </x:c>
      <x:c r="P925" s="340" t="str">
        <x:v>A++ – danh sách cấp số tiếp nhận mỹ phẩm Sở Y tế Hà Nội</x:v>
      </x:c>
      <x:c r="Q925" s="340" t="str">
        <x:v>Clean gate đủ: CBMP + tên sản phẩm + cơ sở công bố; PIF ngoài phạm vi.</x:v>
      </x:c>
      <x:c r="R925" s="340" t="str">
        <x:v>https://datafiles.hanoi.gov.vn/gov-hni/6778/VanBan/2026/4/28/37481.pdf</x:v>
      </x:c>
      <x:c r="S925" s="340" t="str">
        <x:v>Hà Nội</x:v>
      </x:c>
      <x:c r="T925" s="340" t="str">
        <x:v>01</x:v>
      </x:c>
    </x:row>
    <x:row r="926">
      <x:c r="A926" s="340" t="n">
        <x:v>925</x:v>
      </x:c>
      <x:c r="B926" s="506" t="n">
        <x:v>46112</x:v>
      </x:c>
      <x:c r="C926" s="506" t="n">
        <x:v>46140</x:v>
      </x:c>
      <x:c r="D926" s="340" t="n">
        <x:v>2026</x:v>
      </x:c>
      <x:c r="E926" s="340" t="n">
        <x:v>3</x:v>
      </x:c>
      <x:c r="F926" s="340" t="str">
        <x:v>27246/2026/CBMP-HN</x:v>
      </x:c>
      <x:c r="G926" s="340"/>
      <x:c r="H926" s="340" t="str">
        <x:v>NƯỚC TẨY TRANG</x:v>
      </x:c>
      <x:c r="I926" s="340" t="str">
        <x:v>9P5 SKINCARE</x:v>
      </x:c>
      <x:c r="J926" s="340" t="str">
        <x:v>Sữa rửa mặt/Tẩy trang</x:v>
      </x:c>
      <x:c r="K926" s="340"/>
      <x:c r="L926" s="340" t="str">
        <x:v>CÔNG TY TNHH DƯỢC MỸ PHẨM VÀ THẨM MỸ COSVIA</x:v>
      </x:c>
      <x:c r="M926" s="340"/>
      <x:c r="N926" s="340"/>
      <x:c r="O926" s="340" t="str">
        <x:v>Đã cấp số tiếp nhận</x:v>
      </x:c>
      <x:c r="P926" s="340" t="str">
        <x:v>A++ – danh sách cấp số tiếp nhận mỹ phẩm Sở Y tế Hà Nội</x:v>
      </x:c>
      <x:c r="Q926" s="340" t="str">
        <x:v>Clean gate đủ: CBMP + tên sản phẩm + cơ sở công bố; PIF ngoài phạm vi.</x:v>
      </x:c>
      <x:c r="R926" s="340" t="str">
        <x:v>https://datafiles.hanoi.gov.vn/gov-hni/6778/VanBan/2026/4/28/37481.pdf</x:v>
      </x:c>
      <x:c r="S926" s="340" t="str">
        <x:v>Hà Nội</x:v>
      </x:c>
      <x:c r="T926" s="340" t="str">
        <x:v>01</x:v>
      </x:c>
    </x:row>
    <x:row r="927">
      <x:c r="A927" s="340" t="n">
        <x:v>926</x:v>
      </x:c>
      <x:c r="B927" s="506" t="n">
        <x:v>46112</x:v>
      </x:c>
      <x:c r="C927" s="506" t="n">
        <x:v>46140</x:v>
      </x:c>
      <x:c r="D927" s="340" t="n">
        <x:v>2026</x:v>
      </x:c>
      <x:c r="E927" s="340" t="n">
        <x:v>3</x:v>
      </x:c>
      <x:c r="F927" s="340" t="str">
        <x:v>27247/2026/CBMP-HN</x:v>
      </x:c>
      <x:c r="G927" s="340"/>
      <x:c r="H927" s="340" t="str">
        <x:v>EISENE BODY S</x:v>
      </x:c>
      <x:c r="I927" s="340"/>
      <x:c r="J927" s="340" t="str">
        <x:v>Khác</x:v>
      </x:c>
      <x:c r="K927" s="340"/>
      <x:c r="L927" s="340" t="str">
        <x:v>CÔNG TY TNHH BODY HEALTH</x:v>
      </x:c>
      <x:c r="M927" s="340"/>
      <x:c r="N927" s="340"/>
      <x:c r="O927" s="340" t="str">
        <x:v>Đã cấp số tiếp nhận</x:v>
      </x:c>
      <x:c r="P927" s="340" t="str">
        <x:v>A++ – danh sách cấp số tiếp nhận mỹ phẩm Sở Y tế Hà Nội</x:v>
      </x:c>
      <x:c r="Q927" s="340" t="str">
        <x:v>Clean gate đủ: CBMP + tên sản phẩm + cơ sở công bố; PIF ngoài phạm vi.</x:v>
      </x:c>
      <x:c r="R927" s="340" t="str">
        <x:v>https://datafiles.hanoi.gov.vn/gov-hni/6778/VanBan/2026/4/28/37481.pdf</x:v>
      </x:c>
      <x:c r="S927" s="340" t="str">
        <x:v>Hà Nội</x:v>
      </x:c>
      <x:c r="T927" s="340" t="str">
        <x:v>01</x:v>
      </x:c>
    </x:row>
    <x:row r="928">
      <x:c r="A928" s="340" t="n">
        <x:v>927</x:v>
      </x:c>
      <x:c r="B928" s="506" t="n">
        <x:v>46112</x:v>
      </x:c>
      <x:c r="C928" s="506" t="n">
        <x:v>46140</x:v>
      </x:c>
      <x:c r="D928" s="340" t="n">
        <x:v>2026</x:v>
      </x:c>
      <x:c r="E928" s="340" t="n">
        <x:v>3</x:v>
      </x:c>
      <x:c r="F928" s="340" t="str">
        <x:v>27249/2026/CBMP-HN</x:v>
      </x:c>
      <x:c r="G928" s="340"/>
      <x:c r="H928" s="340" t="str">
        <x:v>ROOT &amp; SCALP SHAMPOO</x:v>
      </x:c>
      <x:c r="I928" s="340" t="str">
        <x:v>LUNAFAM</x:v>
      </x:c>
      <x:c r="J928" s="340" t="str">
        <x:v>Dầu gội</x:v>
      </x:c>
      <x:c r="K928" s="340"/>
      <x:c r="L928" s="340" t="str">
        <x:v>CÔNG TY TNHH DỊCH VỤ THƯƠNG MẠI QUỐC TẾ TL M&amp;C</x:v>
      </x:c>
      <x:c r="M928" s="340"/>
      <x:c r="N928" s="340"/>
      <x:c r="O928" s="340" t="str">
        <x:v>Đã cấp số tiếp nhận</x:v>
      </x:c>
      <x:c r="P928" s="340" t="str">
        <x:v>A++ – danh sách cấp số tiếp nhận mỹ phẩm Sở Y tế Hà Nội</x:v>
      </x:c>
      <x:c r="Q928" s="340" t="str">
        <x:v>Clean gate đủ: CBMP + tên sản phẩm + cơ sở công bố; PIF ngoài phạm vi.</x:v>
      </x:c>
      <x:c r="R928" s="340" t="str">
        <x:v>https://datafiles.hanoi.gov.vn/gov-hni/6778/VanBan/2026/4/28/37481.pdf</x:v>
      </x:c>
      <x:c r="S928" s="340" t="str">
        <x:v>Hà Nội</x:v>
      </x:c>
      <x:c r="T928" s="340" t="str">
        <x:v>01</x:v>
      </x:c>
    </x:row>
    <x:row r="929">
      <x:c r="A929" s="340" t="n">
        <x:v>928</x:v>
      </x:c>
      <x:c r="B929" s="506" t="n">
        <x:v>46112</x:v>
      </x:c>
      <x:c r="C929" s="506" t="n">
        <x:v>46140</x:v>
      </x:c>
      <x:c r="D929" s="340" t="n">
        <x:v>2026</x:v>
      </x:c>
      <x:c r="E929" s="340" t="n">
        <x:v>3</x:v>
      </x:c>
      <x:c r="F929" s="340" t="str">
        <x:v>27250/2026/CBMP-HN</x:v>
      </x:c>
      <x:c r="G929" s="340"/>
      <x:c r="H929" s="340" t="str">
        <x:v>NƯỚC GỘI ĐẦU KAROSE SHINE</x:v>
      </x:c>
      <x:c r="I929" s="340" t="str">
        <x:v>KAROSE</x:v>
      </x:c>
      <x:c r="J929" s="340" t="str">
        <x:v>Dầu gội</x:v>
      </x:c>
      <x:c r="K929" s="340"/>
      <x:c r="L929" s="340" t="str">
        <x:v>Công ty TNHH Rosa Valley Việt Nam</x:v>
      </x:c>
      <x:c r="M929" s="340"/>
      <x:c r="N929" s="340"/>
      <x:c r="O929" s="340" t="str">
        <x:v>Đã cấp số tiếp nhận</x:v>
      </x:c>
      <x:c r="P929" s="340" t="str">
        <x:v>A++ – danh sách cấp số tiếp nhận mỹ phẩm Sở Y tế Hà Nội</x:v>
      </x:c>
      <x:c r="Q929" s="340" t="str">
        <x:v>Clean gate đủ: CBMP + tên sản phẩm + cơ sở công bố; PIF ngoài phạm vi.</x:v>
      </x:c>
      <x:c r="R929" s="340" t="str">
        <x:v>https://datafiles.hanoi.gov.vn/gov-hni/6778/VanBan/2026/4/28/37481.pdf</x:v>
      </x:c>
      <x:c r="S929" s="340" t="str">
        <x:v>Hà Nội</x:v>
      </x:c>
      <x:c r="T929" s="340" t="str">
        <x:v>01</x:v>
      </x:c>
    </x:row>
    <x:row r="930">
      <x:c r="A930" s="340" t="n">
        <x:v>929</x:v>
      </x:c>
      <x:c r="B930" s="506" t="n">
        <x:v>46112</x:v>
      </x:c>
      <x:c r="C930" s="506" t="n">
        <x:v>46140</x:v>
      </x:c>
      <x:c r="D930" s="340" t="n">
        <x:v>2026</x:v>
      </x:c>
      <x:c r="E930" s="340" t="n">
        <x:v>3</x:v>
      </x:c>
      <x:c r="F930" s="340" t="str">
        <x:v>27253/2026/CBMP-HN</x:v>
      </x:c>
      <x:c r="G930" s="340"/>
      <x:c r="H930" s="340" t="str">
        <x:v>SERUM KEYEL</x:v>
      </x:c>
      <x:c r="I930" s="340" t="str">
        <x:v>KEYEL</x:v>
      </x:c>
      <x:c r="J930" s="340" t="str">
        <x:v>Serum/Essence da</x:v>
      </x:c>
      <x:c r="K930" s="340"/>
      <x:c r="L930" s="340" t="str">
        <x:v>CÔNG TY TNHH DỊCH VỤ THƯƠNG MẠI QUỐC TẾ TL M&amp;C</x:v>
      </x:c>
      <x:c r="M930" s="340"/>
      <x:c r="N930" s="340"/>
      <x:c r="O930" s="340" t="str">
        <x:v>Đã cấp số tiếp nhận</x:v>
      </x:c>
      <x:c r="P930" s="340" t="str">
        <x:v>A++ – danh sách cấp số tiếp nhận mỹ phẩm Sở Y tế Hà Nội</x:v>
      </x:c>
      <x:c r="Q930" s="340" t="str">
        <x:v>Clean gate đủ: CBMP + tên sản phẩm + cơ sở công bố; PIF ngoài phạm vi.</x:v>
      </x:c>
      <x:c r="R930" s="340" t="str">
        <x:v>https://datafiles.hanoi.gov.vn/gov-hni/6778/VanBan/2026/4/28/37481.pdf</x:v>
      </x:c>
      <x:c r="S930" s="340" t="str">
        <x:v>Hà Nội</x:v>
      </x:c>
      <x:c r="T930" s="340" t="str">
        <x:v>01</x:v>
      </x:c>
    </x:row>
    <x:row r="931">
      <x:c r="A931" s="340" t="n">
        <x:v>930</x:v>
      </x:c>
      <x:c r="B931" s="506" t="n">
        <x:v>46112</x:v>
      </x:c>
      <x:c r="C931" s="506" t="n">
        <x:v>46140</x:v>
      </x:c>
      <x:c r="D931" s="340" t="n">
        <x:v>2026</x:v>
      </x:c>
      <x:c r="E931" s="340" t="n">
        <x:v>3</x:v>
      </x:c>
      <x:c r="F931" s="340" t="str">
        <x:v>27254/2026/CBMP-HN</x:v>
      </x:c>
      <x:c r="G931" s="340"/>
      <x:c r="H931" s="340" t="str">
        <x:v>CONCEALER CREAM N2</x:v>
      </x:c>
      <x:c r="I931" s="340" t="str">
        <x:v>NINE9</x:v>
      </x:c>
      <x:c r="J931" s="340" t="str">
        <x:v>Kem dưỡng da</x:v>
      </x:c>
      <x:c r="K931" s="340"/>
      <x:c r="L931" s="340" t="str">
        <x:v>CÔNG TY TNHH SẢN XUẤT THƯƠNG MẠI VÀ XUẤT NHẬP KHẨU HOÀNG PHƯƠNG</x:v>
      </x:c>
      <x:c r="M931" s="340"/>
      <x:c r="N931" s="340"/>
      <x:c r="O931" s="340" t="str">
        <x:v>Đã cấp số tiếp nhận</x:v>
      </x:c>
      <x:c r="P931" s="340" t="str">
        <x:v>A++ – danh sách cấp số tiếp nhận mỹ phẩm Sở Y tế Hà Nội</x:v>
      </x:c>
      <x:c r="Q931" s="340" t="str">
        <x:v>Clean gate đủ: CBMP + tên sản phẩm + cơ sở công bố; PIF ngoài phạm vi.</x:v>
      </x:c>
      <x:c r="R931" s="340" t="str">
        <x:v>https://datafiles.hanoi.gov.vn/gov-hni/6778/VanBan/2026/4/28/37481.pdf</x:v>
      </x:c>
      <x:c r="S931" s="340" t="str">
        <x:v>Hà Nội</x:v>
      </x:c>
      <x:c r="T931" s="340" t="str">
        <x:v>01</x:v>
      </x:c>
    </x:row>
    <x:row r="932">
      <x:c r="A932" s="340" t="n">
        <x:v>931</x:v>
      </x:c>
      <x:c r="B932" s="506" t="n">
        <x:v>46112</x:v>
      </x:c>
      <x:c r="C932" s="506" t="n">
        <x:v>46140</x:v>
      </x:c>
      <x:c r="D932" s="340" t="n">
        <x:v>2026</x:v>
      </x:c>
      <x:c r="E932" s="340" t="n">
        <x:v>3</x:v>
      </x:c>
      <x:c r="F932" s="340" t="str">
        <x:v>27255/2026/CBMP-HN</x:v>
      </x:c>
      <x:c r="G932" s="340"/>
      <x:c r="H932" s="340" t="str">
        <x:v>BEAUTY SMILE</x:v>
      </x:c>
      <x:c r="I932" s="340" t="str">
        <x:v>SACOVAH</x:v>
      </x:c>
      <x:c r="J932" s="340" t="str">
        <x:v>Khác</x:v>
      </x:c>
      <x:c r="K932" s="340"/>
      <x:c r="L932" s="340" t="str">
        <x:v>CÔNG TY TNHH ĐẦU TƯ VÀ THƯƠNG MẠI THÁI HƯƠNG</x:v>
      </x:c>
      <x:c r="M932" s="340"/>
      <x:c r="N932" s="340"/>
      <x:c r="O932" s="340" t="str">
        <x:v>Đã cấp số tiếp nhận</x:v>
      </x:c>
      <x:c r="P932" s="340" t="str">
        <x:v>A++ – danh sách cấp số tiếp nhận mỹ phẩm Sở Y tế Hà Nội</x:v>
      </x:c>
      <x:c r="Q932" s="340" t="str">
        <x:v>Clean gate đủ: CBMP + tên sản phẩm + cơ sở công bố; PIF ngoài phạm vi.</x:v>
      </x:c>
      <x:c r="R932" s="340" t="str">
        <x:v>https://datafiles.hanoi.gov.vn/gov-hni/6778/VanBan/2026/4/28/37481.pdf</x:v>
      </x:c>
      <x:c r="S932" s="340" t="str">
        <x:v>Hà Nội</x:v>
      </x:c>
      <x:c r="T932" s="340" t="str">
        <x:v>01</x:v>
      </x:c>
    </x:row>
    <x:row r="933">
      <x:c r="A933" s="340" t="n">
        <x:v>932</x:v>
      </x:c>
      <x:c r="B933" s="506" t="n">
        <x:v>46112</x:v>
      </x:c>
      <x:c r="C933" s="506" t="n">
        <x:v>46140</x:v>
      </x:c>
      <x:c r="D933" s="340" t="n">
        <x:v>2026</x:v>
      </x:c>
      <x:c r="E933" s="340" t="n">
        <x:v>3</x:v>
      </x:c>
      <x:c r="F933" s="340" t="str">
        <x:v>27256/2026/CBMP-HN</x:v>
      </x:c>
      <x:c r="G933" s="340"/>
      <x:c r="H933" s="340" t="str">
        <x:v>VALORA PERFUME</x:v>
      </x:c>
      <x:c r="I933" s="340"/>
      <x:c r="J933" s="340" t="str">
        <x:v>Nước hoa</x:v>
      </x:c>
      <x:c r="K933" s="340"/>
      <x:c r="L933" s="340" t="str">
        <x:v>CÔNG TY TNHH DƯỢC MỸ PHẨM QUỐC TẾ SAYOBE</x:v>
      </x:c>
      <x:c r="M933" s="340"/>
      <x:c r="N933" s="340"/>
      <x:c r="O933" s="340" t="str">
        <x:v>Đã cấp số tiếp nhận</x:v>
      </x:c>
      <x:c r="P933" s="340" t="str">
        <x:v>A++ – danh sách cấp số tiếp nhận mỹ phẩm Sở Y tế Hà Nội</x:v>
      </x:c>
      <x:c r="Q933" s="340" t="str">
        <x:v>Clean gate đủ: CBMP + tên sản phẩm + cơ sở công bố; PIF ngoài phạm vi.</x:v>
      </x:c>
      <x:c r="R933" s="340" t="str">
        <x:v>https://datafiles.hanoi.gov.vn/gov-hni/6778/VanBan/2026/4/28/37481.pdf</x:v>
      </x:c>
      <x:c r="S933" s="340" t="str">
        <x:v>Hà Nội</x:v>
      </x:c>
      <x:c r="T933" s="340" t="str">
        <x:v>01</x:v>
      </x:c>
    </x:row>
    <x:row r="934">
      <x:c r="A934" s="340" t="n">
        <x:v>933</x:v>
      </x:c>
      <x:c r="B934" s="340"/>
      <x:c r="C934" s="506" t="n">
        <x:v>46085</x:v>
      </x:c>
      <x:c r="D934" s="340" t="n">
        <x:v>2023</x:v>
      </x:c>
      <x:c r="E934" s="340"/>
      <x:c r="F934" s="340" t="str">
        <x:v>16601/23/CBMP-HN</x:v>
      </x:c>
      <x:c r="G934" s="340"/>
      <x:c r="H934" s="340" t="str">
        <x:v>Premium Whitening Body Cream</x:v>
      </x:c>
      <x:c r="I934" s="340" t="str">
        <x:v>Kmbeauty</x:v>
      </x:c>
      <x:c r="J934" s="340" t="str">
        <x:v>Kem dưỡng da</x:v>
      </x:c>
      <x:c r="K934" s="340"/>
      <x:c r="L934" s="340" t="str">
        <x:v>Hộ kinh doanh Phan Thị Kiều Minh</x:v>
      </x:c>
      <x:c r="M934" s="340"/>
      <x:c r="N934" s="340" t="str">
        <x:v>Công ty cổ phần Dược mỹ phẩm Butter-C</x:v>
      </x:c>
      <x:c r="O934" s="340" t="str">
        <x:v>Đã thu hồi số tiếp nhận</x:v>
      </x:c>
      <x:c r="P934" s="340" t="str">
        <x:v>A++ – QĐ 940/QĐ-SYT Hà Nội; mirror cơ quan nhà nước</x:v>
      </x:c>
      <x:c r="Q934" s="340" t="str">
        <x:v>Clean gate đủ: CBMP + tên sản phẩm + cơ sở công bố; thu hồi do Butter-C chấm dứt ủy quyền; PIF ngoài phạm vi.</x:v>
      </x:c>
      <x:c r="R934" s="340" t="str">
        <x:v>https://soyte.hatinh.gov.vn/upload/1000030/20260429/So_y_te_Ha_Noi_DSThuhoiSCBMPQI_2026_fd5c936f22.pdf</x:v>
      </x:c>
      <x:c r="S934" s="340" t="str">
        <x:v>Hà Nội</x:v>
      </x:c>
      <x:c r="T934" s="340" t="str">
        <x:v>01</x:v>
      </x:c>
    </x:row>
    <x:row r="935">
      <x:c r="A935" s="340" t="n">
        <x:v>934</x:v>
      </x:c>
      <x:c r="B935" s="340"/>
      <x:c r="C935" s="506" t="n">
        <x:v>46085</x:v>
      </x:c>
      <x:c r="D935" s="340" t="n">
        <x:v>2023</x:v>
      </x:c>
      <x:c r="E935" s="340"/>
      <x:c r="F935" s="340" t="str">
        <x:v>16637/23/CBMP-HN</x:v>
      </x:c>
      <x:c r="G935" s="340"/>
      <x:c r="H935" s="340" t="str">
        <x:v>Sichateeth</x:v>
      </x:c>
      <x:c r="I935" s="340"/>
      <x:c r="J935" s="340" t="str">
        <x:v>Khác</x:v>
      </x:c>
      <x:c r="K935" s="340"/>
      <x:c r="L935" s="340" t="str">
        <x:v>Công ty TNHH Dược mỹ phẩm Sichaly</x:v>
      </x:c>
      <x:c r="M935" s="340"/>
      <x:c r="N935" s="340" t="str">
        <x:v>Công ty cổ phần Dược mỹ phẩm Butter-C</x:v>
      </x:c>
      <x:c r="O935" s="340" t="str">
        <x:v>Đã thu hồi số tiếp nhận</x:v>
      </x:c>
      <x:c r="P935" s="340" t="str">
        <x:v>A++ – QĐ 940/QĐ-SYT Hà Nội; mirror cơ quan nhà nước</x:v>
      </x:c>
      <x:c r="Q935" s="340" t="str">
        <x:v>Clean gate đủ: CBMP + tên sản phẩm + cơ sở công bố; thu hồi do Butter-C chấm dứt ủy quyền; PIF ngoài phạm vi.</x:v>
      </x:c>
      <x:c r="R935" s="340" t="str">
        <x:v>https://soyte.hatinh.gov.vn/upload/1000030/20260429/So_y_te_Ha_Noi_DSThuhoiSCBMPQI_2026_fd5c936f22.pdf</x:v>
      </x:c>
      <x:c r="S935" s="340" t="str">
        <x:v>Hà Nội</x:v>
      </x:c>
      <x:c r="T935" s="340" t="str">
        <x:v>01</x:v>
      </x:c>
    </x:row>
    <x:row r="936">
      <x:c r="A936" s="340" t="n">
        <x:v>935</x:v>
      </x:c>
      <x:c r="B936" s="340"/>
      <x:c r="C936" s="506" t="n">
        <x:v>46085</x:v>
      </x:c>
      <x:c r="D936" s="340" t="n">
        <x:v>2023</x:v>
      </x:c>
      <x:c r="E936" s="340"/>
      <x:c r="F936" s="340" t="str">
        <x:v>16704/23/CBMP-HN</x:v>
      </x:c>
      <x:c r="G936" s="340"/>
      <x:c r="H936" s="340" t="str">
        <x:v>O'Hara Flora</x:v>
      </x:c>
      <x:c r="I936" s="340"/>
      <x:c r="J936" s="340" t="str">
        <x:v>Khác</x:v>
      </x:c>
      <x:c r="K936" s="340"/>
      <x:c r="L936" s="340" t="str">
        <x:v>Công ty TNHH công nghệ Oppa</x:v>
      </x:c>
      <x:c r="M936" s="340"/>
      <x:c r="N936" s="340" t="str">
        <x:v>Công ty cổ phần Dược mỹ phẩm Butter-C</x:v>
      </x:c>
      <x:c r="O936" s="340" t="str">
        <x:v>Đã thu hồi số tiếp nhận</x:v>
      </x:c>
      <x:c r="P936" s="340" t="str">
        <x:v>A++ – QĐ 940/QĐ-SYT Hà Nội; mirror cơ quan nhà nước</x:v>
      </x:c>
      <x:c r="Q936" s="340" t="str">
        <x:v>Clean gate đủ: CBMP + tên sản phẩm + cơ sở công bố; thu hồi do Butter-C chấm dứt ủy quyền; PIF ngoài phạm vi.</x:v>
      </x:c>
      <x:c r="R936" s="340" t="str">
        <x:v>https://soyte.hatinh.gov.vn/upload/1000030/20260429/So_y_te_Ha_Noi_DSThuhoiSCBMPQI_2026_fd5c936f22.pdf</x:v>
      </x:c>
      <x:c r="S936" s="340" t="str">
        <x:v>Hà Nội</x:v>
      </x:c>
      <x:c r="T936" s="340" t="str">
        <x:v>01</x:v>
      </x:c>
    </x:row>
    <x:row r="937">
      <x:c r="A937" s="340" t="n">
        <x:v>936</x:v>
      </x:c>
      <x:c r="B937" s="340"/>
      <x:c r="C937" s="506" t="n">
        <x:v>46085</x:v>
      </x:c>
      <x:c r="D937" s="340" t="n">
        <x:v>2023</x:v>
      </x:c>
      <x:c r="E937" s="340"/>
      <x:c r="F937" s="340" t="str">
        <x:v>17192/23/CBMP-HN</x:v>
      </x:c>
      <x:c r="G937" s="340"/>
      <x:c r="H937" s="340" t="str">
        <x:v>Dung dịch vệ sinh thiên nhiên 8.3</x:v>
      </x:c>
      <x:c r="I937" s="340"/>
      <x:c r="J937" s="340" t="str">
        <x:v>Dung dịch vệ sinh</x:v>
      </x:c>
      <x:c r="K937" s="340"/>
      <x:c r="L937" s="340" t="str">
        <x:v>Công ty TNHH Dược phẩm Biomed</x:v>
      </x:c>
      <x:c r="M937" s="340"/>
      <x:c r="N937" s="340" t="str">
        <x:v>Công ty cổ phần Dược mỹ phẩm Butter-C</x:v>
      </x:c>
      <x:c r="O937" s="340" t="str">
        <x:v>Đã thu hồi số tiếp nhận</x:v>
      </x:c>
      <x:c r="P937" s="340" t="str">
        <x:v>A++ – QĐ 940/QĐ-SYT Hà Nội; mirror cơ quan nhà nước</x:v>
      </x:c>
      <x:c r="Q937" s="340" t="str">
        <x:v>Clean gate đủ: CBMP + tên sản phẩm + cơ sở công bố; thu hồi do Butter-C chấm dứt ủy quyền; PIF ngoài phạm vi.</x:v>
      </x:c>
      <x:c r="R937" s="340" t="str">
        <x:v>https://soyte.hatinh.gov.vn/upload/1000030/20260429/So_y_te_Ha_Noi_DSThuhoiSCBMPQI_2026_fd5c936f22.pdf</x:v>
      </x:c>
      <x:c r="S937" s="340" t="str">
        <x:v>Hà Nội</x:v>
      </x:c>
      <x:c r="T937" s="340" t="str">
        <x:v>01</x:v>
      </x:c>
    </x:row>
    <x:row r="938">
      <x:c r="A938" s="340" t="n">
        <x:v>937</x:v>
      </x:c>
      <x:c r="B938" s="340"/>
      <x:c r="C938" s="506" t="n">
        <x:v>46085</x:v>
      </x:c>
      <x:c r="D938" s="340" t="n">
        <x:v>2023</x:v>
      </x:c>
      <x:c r="E938" s="340"/>
      <x:c r="F938" s="340" t="str">
        <x:v>17231/23/CBMP-HN</x:v>
      </x:c>
      <x:c r="G938" s="340"/>
      <x:c r="H938" s="340" t="str">
        <x:v>Manlio Mouth Wash</x:v>
      </x:c>
      <x:c r="I938" s="340"/>
      <x:c r="J938" s="340" t="str">
        <x:v>Chăm sóc răng miệng</x:v>
      </x:c>
      <x:c r="K938" s="340"/>
      <x:c r="L938" s="340" t="str">
        <x:v>Công ty cổ phần mỹ phẩm Dinh Việt Nam</x:v>
      </x:c>
      <x:c r="M938" s="340"/>
      <x:c r="N938" s="340" t="str">
        <x:v>Công ty cổ phần Dược mỹ phẩm Butter-C</x:v>
      </x:c>
      <x:c r="O938" s="340" t="str">
        <x:v>Đã thu hồi số tiếp nhận</x:v>
      </x:c>
      <x:c r="P938" s="340" t="str">
        <x:v>A++ – QĐ 940/QĐ-SYT Hà Nội; mirror cơ quan nhà nước</x:v>
      </x:c>
      <x:c r="Q938" s="340" t="str">
        <x:v>Clean gate đủ: CBMP + tên sản phẩm + cơ sở công bố; thu hồi do Butter-C chấm dứt ủy quyền; PIF ngoài phạm vi.</x:v>
      </x:c>
      <x:c r="R938" s="340" t="str">
        <x:v>https://soyte.hatinh.gov.vn/upload/1000030/20260429/So_y_te_Ha_Noi_DSThuhoiSCBMPQI_2026_fd5c936f22.pdf</x:v>
      </x:c>
      <x:c r="S938" s="340" t="str">
        <x:v>Hà Nội</x:v>
      </x:c>
      <x:c r="T938" s="340" t="str">
        <x:v>01</x:v>
      </x:c>
    </x:row>
    <x:row r="939">
      <x:c r="A939" s="340" t="n">
        <x:v>938</x:v>
      </x:c>
      <x:c r="B939" s="340"/>
      <x:c r="C939" s="506" t="n">
        <x:v>46085</x:v>
      </x:c>
      <x:c r="D939" s="340" t="n">
        <x:v>2023</x:v>
      </x:c>
      <x:c r="E939" s="340"/>
      <x:c r="F939" s="340" t="str">
        <x:v>17462/23/CBMP-HN</x:v>
      </x:c>
      <x:c r="G939" s="340"/>
      <x:c r="H939" s="340" t="str">
        <x:v>Nước tắm thảo mộc Nhất Anh</x:v>
      </x:c>
      <x:c r="I939" s="340"/>
      <x:c r="J939" s="340" t="str">
        <x:v>Sữa tắm/Gel tắm</x:v>
      </x:c>
      <x:c r="K939" s="340"/>
      <x:c r="L939" s="340" t="str">
        <x:v>Công ty cổ phần dược mỹ phẩm Nhất Anh</x:v>
      </x:c>
      <x:c r="M939" s="340"/>
      <x:c r="N939" s="340" t="str">
        <x:v>Công ty cổ phần Dược mỹ phẩm Butter-C</x:v>
      </x:c>
      <x:c r="O939" s="340" t="str">
        <x:v>Đã thu hồi số tiếp nhận</x:v>
      </x:c>
      <x:c r="P939" s="340" t="str">
        <x:v>A++ – QĐ 940/QĐ-SYT Hà Nội; mirror cơ quan nhà nước</x:v>
      </x:c>
      <x:c r="Q939" s="340" t="str">
        <x:v>Clean gate đủ: CBMP + tên sản phẩm + cơ sở công bố; thu hồi do Butter-C chấm dứt ủy quyền; PIF ngoài phạm vi.</x:v>
      </x:c>
      <x:c r="R939" s="340" t="str">
        <x:v>https://soyte.hatinh.gov.vn/upload/1000030/20260429/So_y_te_Ha_Noi_DSThuhoiSCBMPQI_2026_fd5c936f22.pdf</x:v>
      </x:c>
      <x:c r="S939" s="340" t="str">
        <x:v>Hà Nội</x:v>
      </x:c>
      <x:c r="T939" s="340" t="str">
        <x:v>01</x:v>
      </x:c>
    </x:row>
    <x:row r="940">
      <x:c r="A940" s="340" t="n">
        <x:v>939</x:v>
      </x:c>
      <x:c r="B940" s="340"/>
      <x:c r="C940" s="506" t="n">
        <x:v>46085</x:v>
      </x:c>
      <x:c r="D940" s="340" t="n">
        <x:v>2023</x:v>
      </x:c>
      <x:c r="E940" s="340"/>
      <x:c r="F940" s="340" t="str">
        <x:v>18524/23/CBMP-HN</x:v>
      </x:c>
      <x:c r="G940" s="340"/>
      <x:c r="H940" s="340" t="str">
        <x:v>Fusin Tranex</x:v>
      </x:c>
      <x:c r="I940" s="340"/>
      <x:c r="J940" s="340" t="str">
        <x:v>Khác</x:v>
      </x:c>
      <x:c r="K940" s="340"/>
      <x:c r="L940" s="340" t="str">
        <x:v>Công ty TNHH dược mỹ phẩm Fusin Cosmetic</x:v>
      </x:c>
      <x:c r="M940" s="340"/>
      <x:c r="N940" s="340" t="str">
        <x:v>Công ty cổ phần Dược mỹ phẩm Butter-C</x:v>
      </x:c>
      <x:c r="O940" s="340" t="str">
        <x:v>Đã thu hồi số tiếp nhận</x:v>
      </x:c>
      <x:c r="P940" s="340" t="str">
        <x:v>A++ – QĐ 940/QĐ-SYT Hà Nội; mirror cơ quan nhà nước</x:v>
      </x:c>
      <x:c r="Q940" s="340" t="str">
        <x:v>Clean gate đủ: CBMP + tên sản phẩm + cơ sở công bố; thu hồi do Butter-C chấm dứt ủy quyền; PIF ngoài phạm vi.</x:v>
      </x:c>
      <x:c r="R940" s="340" t="str">
        <x:v>https://soyte.hatinh.gov.vn/upload/1000030/20260429/So_y_te_Ha_Noi_DSThuhoiSCBMPQI_2026_fd5c936f22.pdf</x:v>
      </x:c>
      <x:c r="S940" s="340" t="str">
        <x:v>Hà Nội</x:v>
      </x:c>
      <x:c r="T940" s="340" t="str">
        <x:v>01</x:v>
      </x:c>
    </x:row>
    <x:row r="941">
      <x:c r="A941" s="340" t="n">
        <x:v>940</x:v>
      </x:c>
      <x:c r="B941" s="340"/>
      <x:c r="C941" s="506" t="n">
        <x:v>46085</x:v>
      </x:c>
      <x:c r="D941" s="340" t="n">
        <x:v>2024</x:v>
      </x:c>
      <x:c r="E941" s="340"/>
      <x:c r="F941" s="340" t="str">
        <x:v>18779/24/CBMP-HN</x:v>
      </x:c>
      <x:c r="G941" s="340"/>
      <x:c r="H941" s="340" t="str">
        <x:v>Cosmi</x:v>
      </x:c>
      <x:c r="I941" s="340" t="str">
        <x:v>Cosmi</x:v>
      </x:c>
      <x:c r="J941" s="340" t="str">
        <x:v>Khác</x:v>
      </x:c>
      <x:c r="K941" s="340"/>
      <x:c r="L941" s="340" t="str">
        <x:v>Công ty cổ phần Dược mỹ phẩm quốc tế Cosmi</x:v>
      </x:c>
      <x:c r="M941" s="340"/>
      <x:c r="N941" s="340" t="str">
        <x:v>Công ty cổ phần Dược mỹ phẩm Butter-C</x:v>
      </x:c>
      <x:c r="O941" s="340" t="str">
        <x:v>Đã thu hồi số tiếp nhận</x:v>
      </x:c>
      <x:c r="P941" s="340" t="str">
        <x:v>A++ – QĐ 940/QĐ-SYT Hà Nội; mirror cơ quan nhà nước</x:v>
      </x:c>
      <x:c r="Q941" s="340" t="str">
        <x:v>Clean gate đủ: CBMP + tên sản phẩm + cơ sở công bố; thu hồi do Butter-C chấm dứt ủy quyền; PIF ngoài phạm vi.</x:v>
      </x:c>
      <x:c r="R941" s="340" t="str">
        <x:v>https://soyte.hatinh.gov.vn/upload/1000030/20260429/So_y_te_Ha_Noi_DSThuhoiSCBMPQI_2026_fd5c936f22.pdf</x:v>
      </x:c>
      <x:c r="S941" s="340" t="str">
        <x:v>Hà Nội</x:v>
      </x:c>
      <x:c r="T941" s="340" t="str">
        <x:v>01</x:v>
      </x:c>
    </x:row>
    <x:row r="942">
      <x:c r="A942" s="340" t="n">
        <x:v>941</x:v>
      </x:c>
      <x:c r="B942" s="340"/>
      <x:c r="C942" s="506" t="n">
        <x:v>46085</x:v>
      </x:c>
      <x:c r="D942" s="340" t="n">
        <x:v>2024</x:v>
      </x:c>
      <x:c r="E942" s="340"/>
      <x:c r="F942" s="340" t="str">
        <x:v>19018/24/CBMP-HN</x:v>
      </x:c>
      <x:c r="G942" s="340"/>
      <x:c r="H942" s="340" t="str">
        <x:v>Tắm gội thảo dược Tinokids</x:v>
      </x:c>
      <x:c r="I942" s="340"/>
      <x:c r="J942" s="340" t="str">
        <x:v>Sữa tắm/Gel tắm</x:v>
      </x:c>
      <x:c r="K942" s="340"/>
      <x:c r="L942" s="340" t="str">
        <x:v>Công ty TNHH thương mại Dược phẩm Thpharma</x:v>
      </x:c>
      <x:c r="M942" s="340"/>
      <x:c r="N942" s="340" t="str">
        <x:v>Công ty cổ phần Dược mỹ phẩm Butter-C</x:v>
      </x:c>
      <x:c r="O942" s="340" t="str">
        <x:v>Đã thu hồi số tiếp nhận</x:v>
      </x:c>
      <x:c r="P942" s="340" t="str">
        <x:v>A++ – QĐ 940/QĐ-SYT Hà Nội; mirror cơ quan nhà nước</x:v>
      </x:c>
      <x:c r="Q942" s="340" t="str">
        <x:v>Clean gate đủ: CBMP + tên sản phẩm + cơ sở công bố; thu hồi do Butter-C chấm dứt ủy quyền; PIF ngoài phạm vi.</x:v>
      </x:c>
      <x:c r="R942" s="340" t="str">
        <x:v>https://soyte.hatinh.gov.vn/upload/1000030/20260429/So_y_te_Ha_Noi_DSThuhoiSCBMPQI_2026_fd5c936f22.pdf</x:v>
      </x:c>
      <x:c r="S942" s="340" t="str">
        <x:v>Hà Nội</x:v>
      </x:c>
      <x:c r="T942" s="340" t="str">
        <x:v>01</x:v>
      </x:c>
    </x:row>
    <x:row r="943">
      <x:c r="A943" s="340" t="n">
        <x:v>942</x:v>
      </x:c>
      <x:c r="B943" s="340"/>
      <x:c r="C943" s="506" t="n">
        <x:v>46085</x:v>
      </x:c>
      <x:c r="D943" s="340" t="n">
        <x:v>2024</x:v>
      </x:c>
      <x:c r="E943" s="340"/>
      <x:c r="F943" s="340" t="str">
        <x:v>19019/24/CBMP-HN</x:v>
      </x:c>
      <x:c r="G943" s="340"/>
      <x:c r="H943" s="340" t="str">
        <x:v>Melody</x:v>
      </x:c>
      <x:c r="I943" s="340"/>
      <x:c r="J943" s="340" t="str">
        <x:v>Khác</x:v>
      </x:c>
      <x:c r="K943" s="340"/>
      <x:c r="L943" s="340" t="str">
        <x:v>Công ty TNHH thương mại Dược phẩm Thpharma</x:v>
      </x:c>
      <x:c r="M943" s="340"/>
      <x:c r="N943" s="340" t="str">
        <x:v>Công ty cổ phần Dược mỹ phẩm Butter-C</x:v>
      </x:c>
      <x:c r="O943" s="340" t="str">
        <x:v>Đã thu hồi số tiếp nhận</x:v>
      </x:c>
      <x:c r="P943" s="340" t="str">
        <x:v>A++ – QĐ 940/QĐ-SYT Hà Nội; mirror cơ quan nhà nước</x:v>
      </x:c>
      <x:c r="Q943" s="340" t="str">
        <x:v>Clean gate đủ: CBMP + tên sản phẩm + cơ sở công bố; thu hồi do Butter-C chấm dứt ủy quyền; PIF ngoài phạm vi.</x:v>
      </x:c>
      <x:c r="R943" s="340" t="str">
        <x:v>https://soyte.hatinh.gov.vn/upload/1000030/20260429/So_y_te_Ha_Noi_DSThuhoiSCBMPQI_2026_fd5c936f22.pdf</x:v>
      </x:c>
      <x:c r="S943" s="340" t="str">
        <x:v>Hà Nội</x:v>
      </x:c>
      <x:c r="T943" s="340" t="str">
        <x:v>01</x:v>
      </x:c>
    </x:row>
    <x:row r="944">
      <x:c r="A944" s="340" t="n">
        <x:v>943</x:v>
      </x:c>
      <x:c r="B944" s="340"/>
      <x:c r="C944" s="506" t="n">
        <x:v>46085</x:v>
      </x:c>
      <x:c r="D944" s="340" t="n">
        <x:v>2024</x:v>
      </x:c>
      <x:c r="E944" s="340"/>
      <x:c r="F944" s="340" t="str">
        <x:v>19163/24/CBMP-HN</x:v>
      </x:c>
      <x:c r="G944" s="340"/>
      <x:c r="H944" s="340" t="str">
        <x:v>Tắm tạo bọt Tinokids</x:v>
      </x:c>
      <x:c r="I944" s="340"/>
      <x:c r="J944" s="340" t="str">
        <x:v>Sữa tắm/Gel tắm</x:v>
      </x:c>
      <x:c r="K944" s="340"/>
      <x:c r="L944" s="340" t="str">
        <x:v>Công ty TNHH thương mại Dược phẩm Thpharma</x:v>
      </x:c>
      <x:c r="M944" s="340"/>
      <x:c r="N944" s="340" t="str">
        <x:v>Công ty cổ phần Dược mỹ phẩm Butter-C</x:v>
      </x:c>
      <x:c r="O944" s="340" t="str">
        <x:v>Đã thu hồi số tiếp nhận</x:v>
      </x:c>
      <x:c r="P944" s="340" t="str">
        <x:v>A++ – QĐ 940/QĐ-SYT Hà Nội; mirror cơ quan nhà nước</x:v>
      </x:c>
      <x:c r="Q944" s="340" t="str">
        <x:v>Clean gate đủ: CBMP + tên sản phẩm + cơ sở công bố; thu hồi do Butter-C chấm dứt ủy quyền; PIF ngoài phạm vi.</x:v>
      </x:c>
      <x:c r="R944" s="340" t="str">
        <x:v>https://soyte.hatinh.gov.vn/upload/1000030/20260429/So_y_te_Ha_Noi_DSThuhoiSCBMPQI_2026_fd5c936f22.pdf</x:v>
      </x:c>
      <x:c r="S944" s="340" t="str">
        <x:v>Hà Nội</x:v>
      </x:c>
      <x:c r="T944" s="340" t="str">
        <x:v>01</x:v>
      </x:c>
    </x:row>
    <x:row r="945">
      <x:c r="A945" s="340" t="n">
        <x:v>944</x:v>
      </x:c>
      <x:c r="B945" s="340"/>
      <x:c r="C945" s="506" t="n">
        <x:v>46085</x:v>
      </x:c>
      <x:c r="D945" s="340" t="n">
        <x:v>2024</x:v>
      </x:c>
      <x:c r="E945" s="340"/>
      <x:c r="F945" s="340" t="str">
        <x:v>19251/24/CBMP-HN</x:v>
      </x:c>
      <x:c r="G945" s="340"/>
      <x:c r="H945" s="340" t="str">
        <x:v>Nano Gold Sunscreen Plus</x:v>
      </x:c>
      <x:c r="I945" s="340" t="str">
        <x:v>Hpglamour</x:v>
      </x:c>
      <x:c r="J945" s="340" t="str">
        <x:v>Kem chống nắng</x:v>
      </x:c>
      <x:c r="K945" s="340"/>
      <x:c r="L945" s="340" t="str">
        <x:v>Công ty cổ phần mỹ phẩm Hoàng Phát</x:v>
      </x:c>
      <x:c r="M945" s="340"/>
      <x:c r="N945" s="340" t="str">
        <x:v>Công ty cổ phần Dược mỹ phẩm Butter-C</x:v>
      </x:c>
      <x:c r="O945" s="340" t="str">
        <x:v>Đã thu hồi số tiếp nhận</x:v>
      </x:c>
      <x:c r="P945" s="340" t="str">
        <x:v>A++ – QĐ 940/QĐ-SYT Hà Nội; mirror cơ quan nhà nước</x:v>
      </x:c>
      <x:c r="Q945" s="340" t="str">
        <x:v>Clean gate đủ: CBMP + tên sản phẩm + cơ sở công bố; thu hồi do Butter-C chấm dứt ủy quyền; PIF ngoài phạm vi.</x:v>
      </x:c>
      <x:c r="R945" s="340" t="str">
        <x:v>https://soyte.hatinh.gov.vn/upload/1000030/20260429/So_y_te_Ha_Noi_DSThuhoiSCBMPQI_2026_fd5c936f22.pdf</x:v>
      </x:c>
      <x:c r="S945" s="340" t="str">
        <x:v>Hà Nội</x:v>
      </x:c>
      <x:c r="T945" s="340" t="str">
        <x:v>01</x:v>
      </x:c>
    </x:row>
    <x:row r="946">
      <x:c r="A946" s="340" t="n">
        <x:v>945</x:v>
      </x:c>
      <x:c r="B946" s="340"/>
      <x:c r="C946" s="506" t="n">
        <x:v>46085</x:v>
      </x:c>
      <x:c r="D946" s="340" t="n">
        <x:v>2024</x:v>
      </x:c>
      <x:c r="E946" s="340"/>
      <x:c r="F946" s="340" t="str">
        <x:v>19285/24/CBMP-HN</x:v>
      </x:c>
      <x:c r="G946" s="340"/>
      <x:c r="H946" s="340" t="str">
        <x:v>Agarwood Plus</x:v>
      </x:c>
      <x:c r="I946" s="340"/>
      <x:c r="J946" s="340" t="str">
        <x:v>Khác</x:v>
      </x:c>
      <x:c r="K946" s="340"/>
      <x:c r="L946" s="340" t="str">
        <x:v>Công ty Cổ phần dược phẩm Pharmacist</x:v>
      </x:c>
      <x:c r="M946" s="340"/>
      <x:c r="N946" s="340" t="str">
        <x:v>Công ty cổ phần Dược mỹ phẩm Butter-C</x:v>
      </x:c>
      <x:c r="O946" s="340" t="str">
        <x:v>Đã thu hồi số tiếp nhận</x:v>
      </x:c>
      <x:c r="P946" s="340" t="str">
        <x:v>A++ – QĐ 940/QĐ-SYT Hà Nội; mirror cơ quan nhà nước</x:v>
      </x:c>
      <x:c r="Q946" s="340" t="str">
        <x:v>Clean gate đủ: CBMP + tên sản phẩm + cơ sở công bố; thu hồi do Butter-C chấm dứt ủy quyền; PIF ngoài phạm vi.</x:v>
      </x:c>
      <x:c r="R946" s="340" t="str">
        <x:v>https://soyte.hatinh.gov.vn/upload/1000030/20260429/So_y_te_Ha_Noi_DSThuhoiSCBMPQI_2026_fd5c936f22.pdf</x:v>
      </x:c>
      <x:c r="S946" s="340" t="str">
        <x:v>Hà Nội</x:v>
      </x:c>
      <x:c r="T946" s="340" t="str">
        <x:v>01</x:v>
      </x:c>
    </x:row>
    <x:row r="947">
      <x:c r="A947" s="340" t="n">
        <x:v>946</x:v>
      </x:c>
      <x:c r="B947" s="340"/>
      <x:c r="C947" s="506" t="n">
        <x:v>46085</x:v>
      </x:c>
      <x:c r="D947" s="340" t="n">
        <x:v>2024</x:v>
      </x:c>
      <x:c r="E947" s="340"/>
      <x:c r="F947" s="340" t="str">
        <x:v>19286/24/CBMP-HN</x:v>
      </x:c>
      <x:c r="G947" s="340"/>
      <x:c r="H947" s="340" t="str">
        <x:v>Lady One</x:v>
      </x:c>
      <x:c r="I947" s="340"/>
      <x:c r="J947" s="340" t="str">
        <x:v>Khác</x:v>
      </x:c>
      <x:c r="K947" s="340"/>
      <x:c r="L947" s="340" t="str">
        <x:v>Công ty Cổ phần dược phẩm Pharmacist</x:v>
      </x:c>
      <x:c r="M947" s="340"/>
      <x:c r="N947" s="340" t="str">
        <x:v>Công ty cổ phần Dược mỹ phẩm Butter-C</x:v>
      </x:c>
      <x:c r="O947" s="340" t="str">
        <x:v>Đã thu hồi số tiếp nhận</x:v>
      </x:c>
      <x:c r="P947" s="340" t="str">
        <x:v>A++ – QĐ 940/QĐ-SYT Hà Nội; mirror cơ quan nhà nước</x:v>
      </x:c>
      <x:c r="Q947" s="340" t="str">
        <x:v>Clean gate đủ: CBMP + tên sản phẩm + cơ sở công bố; thu hồi do Butter-C chấm dứt ủy quyền; PIF ngoài phạm vi.</x:v>
      </x:c>
      <x:c r="R947" s="340" t="str">
        <x:v>https://soyte.hatinh.gov.vn/upload/1000030/20260429/So_y_te_Ha_Noi_DSThuhoiSCBMPQI_2026_fd5c936f22.pdf</x:v>
      </x:c>
      <x:c r="S947" s="340" t="str">
        <x:v>Hà Nội</x:v>
      </x:c>
      <x:c r="T947" s="340" t="str">
        <x:v>01</x:v>
      </x:c>
    </x:row>
    <x:row r="948">
      <x:c r="A948" s="340" t="n">
        <x:v>947</x:v>
      </x:c>
      <x:c r="B948" s="340"/>
      <x:c r="C948" s="506" t="n">
        <x:v>46085</x:v>
      </x:c>
      <x:c r="D948" s="340" t="n">
        <x:v>2024</x:v>
      </x:c>
      <x:c r="E948" s="340"/>
      <x:c r="F948" s="340" t="str">
        <x:v>19348/24/CBMP-HN</x:v>
      </x:c>
      <x:c r="G948" s="340"/>
      <x:c r="H948" s="340" t="str">
        <x:v>Babypenthen</x:v>
      </x:c>
      <x:c r="I948" s="340"/>
      <x:c r="J948" s="340" t="str">
        <x:v>Khác</x:v>
      </x:c>
      <x:c r="K948" s="340"/>
      <x:c r="L948" s="340" t="str">
        <x:v>Công ty cổ phần Dược mỹ phẩm Nhất Anh</x:v>
      </x:c>
      <x:c r="M948" s="340"/>
      <x:c r="N948" s="340" t="str">
        <x:v>Công ty cổ phần Dược mỹ phẩm Butter-C</x:v>
      </x:c>
      <x:c r="O948" s="340" t="str">
        <x:v>Đã thu hồi số tiếp nhận</x:v>
      </x:c>
      <x:c r="P948" s="340" t="str">
        <x:v>A++ – QĐ 940/QĐ-SYT Hà Nội; mirror cơ quan nhà nước</x:v>
      </x:c>
      <x:c r="Q948" s="340" t="str">
        <x:v>Clean gate đủ: CBMP + tên sản phẩm + cơ sở công bố; thu hồi do Butter-C chấm dứt ủy quyền; PIF ngoài phạm vi.</x:v>
      </x:c>
      <x:c r="R948" s="340" t="str">
        <x:v>https://soyte.hatinh.gov.vn/upload/1000030/20260429/So_y_te_Ha_Noi_DSThuhoiSCBMPQI_2026_fd5c936f22.pdf</x:v>
      </x:c>
      <x:c r="S948" s="340" t="str">
        <x:v>Hà Nội</x:v>
      </x:c>
      <x:c r="T948" s="340" t="str">
        <x:v>01</x:v>
      </x:c>
    </x:row>
    <x:row r="949">
      <x:c r="A949" s="340" t="n">
        <x:v>948</x:v>
      </x:c>
      <x:c r="B949" s="340"/>
      <x:c r="C949" s="506" t="n">
        <x:v>46085</x:v>
      </x:c>
      <x:c r="D949" s="340" t="n">
        <x:v>2024</x:v>
      </x:c>
      <x:c r="E949" s="340"/>
      <x:c r="F949" s="340" t="str">
        <x:v>19453/24/CBMP-HN</x:v>
      </x:c>
      <x:c r="G949" s="340"/>
      <x:c r="H949" s="340" t="str">
        <x:v>Dung dịch vệ sinh Agarwood Plus</x:v>
      </x:c>
      <x:c r="I949" s="340"/>
      <x:c r="J949" s="340" t="str">
        <x:v>Dung dịch vệ sinh</x:v>
      </x:c>
      <x:c r="K949" s="340"/>
      <x:c r="L949" s="340" t="str">
        <x:v>Công ty Cổ phần dược phẩm Pharmacist</x:v>
      </x:c>
      <x:c r="M949" s="340"/>
      <x:c r="N949" s="340" t="str">
        <x:v>Công ty cổ phần Dược mỹ phẩm Butter-C</x:v>
      </x:c>
      <x:c r="O949" s="340" t="str">
        <x:v>Đã thu hồi số tiếp nhận</x:v>
      </x:c>
      <x:c r="P949" s="340" t="str">
        <x:v>A++ – QĐ 940/QĐ-SYT Hà Nội; mirror cơ quan nhà nước</x:v>
      </x:c>
      <x:c r="Q949" s="340" t="str">
        <x:v>Clean gate đủ: CBMP + tên sản phẩm + cơ sở công bố; thu hồi do Butter-C chấm dứt ủy quyền; PIF ngoài phạm vi.</x:v>
      </x:c>
      <x:c r="R949" s="340" t="str">
        <x:v>https://soyte.hatinh.gov.vn/upload/1000030/20260429/So_y_te_Ha_Noi_DSThuhoiSCBMPQI_2026_fd5c936f22.pdf</x:v>
      </x:c>
      <x:c r="S949" s="340" t="str">
        <x:v>Hà Nội</x:v>
      </x:c>
      <x:c r="T949" s="340" t="str">
        <x:v>01</x:v>
      </x:c>
    </x:row>
    <x:row r="950">
      <x:c r="A950" s="340" t="n">
        <x:v>949</x:v>
      </x:c>
      <x:c r="B950" s="340"/>
      <x:c r="C950" s="506" t="n">
        <x:v>46155</x:v>
      </x:c>
      <x:c r="D950" s="340" t="n">
        <x:v>2024</x:v>
      </x:c>
      <x:c r="E950" s="340"/>
      <x:c r="F950" s="340" t="str">
        <x:v>22633/24/CBMP-HN</x:v>
      </x:c>
      <x:c r="G950" s="340"/>
      <x:c r="H950" s="340" t="str">
        <x:v>Dưỡng môi Collagen</x:v>
      </x:c>
      <x:c r="I950" s="340"/>
      <x:c r="J950" s="340" t="str">
        <x:v>Sản phẩm môi</x:v>
      </x:c>
      <x:c r="K950" s="340"/>
      <x:c r="L950" s="340" t="str">
        <x:v>Công ty TNHH Dược mỹ phẩm Quốc tế Hồng Nguyên</x:v>
      </x:c>
      <x:c r="M950" s="340"/>
      <x:c r="N950" s="340" t="str">
        <x:v>Công ty cổ phần dược mỹ phẩm A.Q.P Việt Nam</x:v>
      </x:c>
      <x:c r="O950" s="340" t="str">
        <x:v>Đã thu hồi/đình chỉ lưu hành</x:v>
      </x:c>
      <x:c r="P950" s="340" t="str">
        <x:v>A++ – nguồn nhà nước; clean gate đủ</x:v>
      </x:c>
      <x:c r="Q950" s="340" t="str">
        <x:v>QĐ4503/CV1764; STT nguồn 153; PIF ngoài phạm vi.</x:v>
      </x:c>
      <x:c r="R950" s="340" t="str">
        <x:v>https://syt.angiang.gov.vn/Lists/TinTuc/Attachments/8904/14-5-2026-%20%C4%91%C3%ACnh%20ch%E1%BB%89%20l%C6%B0u%20h%C3%A0nh%2C%20thu%20h%E1%BB%93i%20v%C3%A0%20ti%C3%AAu%20h%E1%BB%A7y%20m%E1%BB%B9%20ph%E1%BA%A9m%20vi%20ph%E1%BA%A1m%20CV%201764%20Cuc%20QLD.pdf</x:v>
      </x:c>
      <x:c r="S950" s="340" t="str">
        <x:v>Hà Nội</x:v>
      </x:c>
      <x:c r="T950" s="340" t="str">
        <x:v>01</x:v>
      </x:c>
    </x:row>
    <x:row r="951">
      <x:c r="A951" s="340" t="n">
        <x:v>950</x:v>
      </x:c>
      <x:c r="B951" s="340"/>
      <x:c r="C951" s="506" t="n">
        <x:v>46155</x:v>
      </x:c>
      <x:c r="D951" s="340" t="n">
        <x:v>2024</x:v>
      </x:c>
      <x:c r="E951" s="340"/>
      <x:c r="F951" s="340" t="str">
        <x:v>18891/24/CBMP-HN</x:v>
      </x:c>
      <x:c r="G951" s="340"/>
      <x:c r="H951" s="340" t="str">
        <x:v>Sun Cream</x:v>
      </x:c>
      <x:c r="I951" s="340"/>
      <x:c r="J951" s="340" t="str">
        <x:v>Kem chống nắng</x:v>
      </x:c>
      <x:c r="K951" s="340"/>
      <x:c r="L951" s="340" t="str">
        <x:v>Công ty TNHH Thương mại Mỹ phẩm Ngọc Linh</x:v>
      </x:c>
      <x:c r="M951" s="340"/>
      <x:c r="N951" s="340" t="str">
        <x:v>Công ty cổ phần dược mỹ phẩm A.Q.P Việt Nam</x:v>
      </x:c>
      <x:c r="O951" s="340" t="str">
        <x:v>Đã thu hồi/đình chỉ lưu hành</x:v>
      </x:c>
      <x:c r="P951" s="340" t="str">
        <x:v>A++ – nguồn nhà nước; clean gate đủ</x:v>
      </x:c>
      <x:c r="Q951" s="340" t="str">
        <x:v>QĐ4503/CV1764; STT nguồn 154; PIF ngoài phạm vi.</x:v>
      </x:c>
      <x:c r="R951" s="340" t="str">
        <x:v>https://syt.angiang.gov.vn/Lists/TinTuc/Attachments/8904/14-5-2026-%20%C4%91%C3%ACnh%20ch%E1%BB%89%20l%C6%B0u%20h%C3%A0nh%2C%20thu%20h%E1%BB%93i%20v%C3%A0%20ti%C3%AAu%20h%E1%BB%A7y%20m%E1%BB%B9%20ph%E1%BA%A9m%20vi%20ph%E1%BA%A1m%20CV%201764%20Cuc%20QLD.pdf</x:v>
      </x:c>
      <x:c r="S951" s="340" t="str">
        <x:v>Hà Nội</x:v>
      </x:c>
      <x:c r="T951" s="340" t="str">
        <x:v>01</x:v>
      </x:c>
    </x:row>
    <x:row r="952">
      <x:c r="A952" s="340" t="n">
        <x:v>951</x:v>
      </x:c>
      <x:c r="B952" s="340"/>
      <x:c r="C952" s="506" t="n">
        <x:v>46155</x:v>
      </x:c>
      <x:c r="D952" s="340" t="n">
        <x:v>2024</x:v>
      </x:c>
      <x:c r="E952" s="340"/>
      <x:c r="F952" s="340" t="str">
        <x:v>19425/24/CBMP-HN</x:v>
      </x:c>
      <x:c r="G952" s="340"/>
      <x:c r="H952" s="340" t="str">
        <x:v>Daily Sun Cream</x:v>
      </x:c>
      <x:c r="I952" s="340"/>
      <x:c r="J952" s="340" t="str">
        <x:v>Kem chống nắng</x:v>
      </x:c>
      <x:c r="K952" s="340"/>
      <x:c r="L952" s="340" t="str">
        <x:v>Công ty TNHH Dịch vụ và Thương mại Gia Linh Garden</x:v>
      </x:c>
      <x:c r="M952" s="340"/>
      <x:c r="N952" s="340" t="str">
        <x:v>Công ty cổ phần dược mỹ phẩm A.Q.P Việt Nam</x:v>
      </x:c>
      <x:c r="O952" s="340" t="str">
        <x:v>Đã thu hồi/đình chỉ lưu hành</x:v>
      </x:c>
      <x:c r="P952" s="340" t="str">
        <x:v>A++ – nguồn nhà nước; clean gate đủ</x:v>
      </x:c>
      <x:c r="Q952" s="340" t="str">
        <x:v>QĐ4503/CV1764; STT nguồn 155; PIF ngoài phạm vi.</x:v>
      </x:c>
      <x:c r="R952" s="340" t="str">
        <x:v>https://syt.angiang.gov.vn/Lists/TinTuc/Attachments/8904/14-5-2026-%20%C4%91%C3%ACnh%20ch%E1%BB%89%20l%C6%B0u%20h%C3%A0nh%2C%20thu%20h%E1%BB%93i%20v%C3%A0%20ti%C3%AAu%20h%E1%BB%A7y%20m%E1%BB%B9%20ph%E1%BA%A9m%20vi%20ph%E1%BA%A1m%20CV%201764%20Cuc%20QLD.pdf</x:v>
      </x:c>
      <x:c r="S952" s="340" t="str">
        <x:v>Hà Nội</x:v>
      </x:c>
      <x:c r="T952" s="340" t="str">
        <x:v>01</x:v>
      </x:c>
    </x:row>
    <x:row r="953">
      <x:c r="A953" s="340" t="n">
        <x:v>952</x:v>
      </x:c>
      <x:c r="B953" s="340"/>
      <x:c r="C953" s="506" t="n">
        <x:v>46155</x:v>
      </x:c>
      <x:c r="D953" s="340" t="n">
        <x:v>2024</x:v>
      </x:c>
      <x:c r="E953" s="340"/>
      <x:c r="F953" s="340" t="str">
        <x:v>19426/24/CBMP-HN</x:v>
      </x:c>
      <x:c r="G953" s="340"/>
      <x:c r="H953" s="340" t="str">
        <x:v>Bio Mist Therapy</x:v>
      </x:c>
      <x:c r="I953" s="340"/>
      <x:c r="J953" s="340" t="str">
        <x:v>Khác</x:v>
      </x:c>
      <x:c r="K953" s="340"/>
      <x:c r="L953" s="340" t="str">
        <x:v>Công ty TNHH Dịch vụ và Thương mại Gia Linh Garden</x:v>
      </x:c>
      <x:c r="M953" s="340"/>
      <x:c r="N953" s="340" t="str">
        <x:v>Công ty cổ phần dược mỹ phẩm A.Q.P Việt Nam</x:v>
      </x:c>
      <x:c r="O953" s="340" t="str">
        <x:v>Đã thu hồi/đình chỉ lưu hành</x:v>
      </x:c>
      <x:c r="P953" s="340" t="str">
        <x:v>A++ – nguồn nhà nước; clean gate đủ</x:v>
      </x:c>
      <x:c r="Q953" s="340" t="str">
        <x:v>QĐ4503/CV1764; STT nguồn 156; PIF ngoài phạm vi.</x:v>
      </x:c>
      <x:c r="R953" s="340" t="str">
        <x:v>https://syt.angiang.gov.vn/Lists/TinTuc/Attachments/8904/14-5-2026-%20%C4%91%C3%ACnh%20ch%E1%BB%89%20l%C6%B0u%20h%C3%A0nh%2C%20thu%20h%E1%BB%93i%20v%C3%A0%20ti%C3%AAu%20h%E1%BB%A7y%20m%E1%BB%B9%20ph%E1%BA%A9m%20vi%20ph%E1%BA%A1m%20CV%201764%20Cuc%20QLD.pdf</x:v>
      </x:c>
      <x:c r="S953" s="340" t="str">
        <x:v>Hà Nội</x:v>
      </x:c>
      <x:c r="T953" s="340" t="str">
        <x:v>01</x:v>
      </x:c>
    </x:row>
    <x:row r="954">
      <x:c r="A954" s="340" t="n">
        <x:v>953</x:v>
      </x:c>
      <x:c r="B954" s="340"/>
      <x:c r="C954" s="506" t="n">
        <x:v>46155</x:v>
      </x:c>
      <x:c r="D954" s="340" t="n">
        <x:v>2024</x:v>
      </x:c>
      <x:c r="E954" s="340"/>
      <x:c r="F954" s="340" t="str">
        <x:v>19501/24/CBMP-HN</x:v>
      </x:c>
      <x:c r="G954" s="340"/>
      <x:c r="H954" s="340" t="str">
        <x:v>Ultra Sun Cream</x:v>
      </x:c>
      <x:c r="I954" s="340"/>
      <x:c r="J954" s="340" t="str">
        <x:v>Kem chống nắng</x:v>
      </x:c>
      <x:c r="K954" s="340"/>
      <x:c r="L954" s="340" t="str">
        <x:v>Công ty TNHH Thương mại và dịch vụ Kenas</x:v>
      </x:c>
      <x:c r="M954" s="340"/>
      <x:c r="N954" s="340" t="str">
        <x:v>Công ty cổ phần dược mỹ phẩm A.Q.P Việt Nam</x:v>
      </x:c>
      <x:c r="O954" s="340" t="str">
        <x:v>Đã thu hồi/đình chỉ lưu hành</x:v>
      </x:c>
      <x:c r="P954" s="340" t="str">
        <x:v>A++ – nguồn nhà nước; clean gate đủ</x:v>
      </x:c>
      <x:c r="Q954" s="340" t="str">
        <x:v>QĐ4503/CV1764; STT nguồn 157; PIF ngoài phạm vi.</x:v>
      </x:c>
      <x:c r="R954" s="340" t="str">
        <x:v>https://syt.angiang.gov.vn/Lists/TinTuc/Attachments/8904/14-5-2026-%20%C4%91%C3%ACnh%20ch%E1%BB%89%20l%C6%B0u%20h%C3%A0nh%2C%20thu%20h%E1%BB%93i%20v%C3%A0%20ti%C3%AAu%20h%E1%BB%A7y%20m%E1%BB%B9%20ph%E1%BA%A9m%20vi%20ph%E1%BA%A1m%20CV%201764%20Cuc%20QLD.pdf</x:v>
      </x:c>
      <x:c r="S954" s="340" t="str">
        <x:v>Hà Nội</x:v>
      </x:c>
      <x:c r="T954" s="340" t="str">
        <x:v>01</x:v>
      </x:c>
    </x:row>
    <x:row r="955">
      <x:c r="A955" s="340" t="n">
        <x:v>954</x:v>
      </x:c>
      <x:c r="B955" s="340"/>
      <x:c r="C955" s="506" t="n">
        <x:v>46155</x:v>
      </x:c>
      <x:c r="D955" s="340" t="n">
        <x:v>2024</x:v>
      </x:c>
      <x:c r="E955" s="340"/>
      <x:c r="F955" s="340" t="str">
        <x:v>19564/24/CBMP-HN</x:v>
      </x:c>
      <x:c r="G955" s="340"/>
      <x:c r="H955" s="340" t="str">
        <x:v>Sunscreen</x:v>
      </x:c>
      <x:c r="I955" s="340"/>
      <x:c r="J955" s="340" t="str">
        <x:v>Kem chống nắng</x:v>
      </x:c>
      <x:c r="K955" s="340"/>
      <x:c r="L955" s="340" t="str">
        <x:v>Công ty TNHH Mỹ phẩm quốc tế Đông Phương Group</x:v>
      </x:c>
      <x:c r="M955" s="340"/>
      <x:c r="N955" s="340" t="str">
        <x:v>Công ty cổ phần dược mỹ phẩm A.Q.P Việt Nam</x:v>
      </x:c>
      <x:c r="O955" s="340" t="str">
        <x:v>Đã thu hồi/đình chỉ lưu hành</x:v>
      </x:c>
      <x:c r="P955" s="340" t="str">
        <x:v>A++ – nguồn nhà nước; clean gate đủ</x:v>
      </x:c>
      <x:c r="Q955" s="340" t="str">
        <x:v>QĐ4503/CV1764; STT nguồn 158; PIF ngoài phạm vi.</x:v>
      </x:c>
      <x:c r="R955" s="340" t="str">
        <x:v>https://syt.angiang.gov.vn/Lists/TinTuc/Attachments/8904/14-5-2026-%20%C4%91%C3%ACnh%20ch%E1%BB%89%20l%C6%B0u%20h%C3%A0nh%2C%20thu%20h%E1%BB%93i%20v%C3%A0%20ti%C3%AAu%20h%E1%BB%A7y%20m%E1%BB%B9%20ph%E1%BA%A9m%20vi%20ph%E1%BA%A1m%20CV%201764%20Cuc%20QLD.pdf</x:v>
      </x:c>
      <x:c r="S955" s="340" t="str">
        <x:v>Hà Nội</x:v>
      </x:c>
      <x:c r="T955" s="340" t="str">
        <x:v>01</x:v>
      </x:c>
    </x:row>
    <x:row r="956">
      <x:c r="A956" s="340" t="n">
        <x:v>955</x:v>
      </x:c>
      <x:c r="B956" s="340"/>
      <x:c r="C956" s="506" t="n">
        <x:v>46155</x:v>
      </x:c>
      <x:c r="D956" s="340" t="n">
        <x:v>2024</x:v>
      </x:c>
      <x:c r="E956" s="340"/>
      <x:c r="F956" s="340" t="str">
        <x:v>19565/24/CBMP-HN</x:v>
      </x:c>
      <x:c r="G956" s="340"/>
      <x:c r="H956" s="340" t="str">
        <x:v>Body Whitening Cream</x:v>
      </x:c>
      <x:c r="I956" s="340"/>
      <x:c r="J956" s="340" t="str">
        <x:v>Kem body</x:v>
      </x:c>
      <x:c r="K956" s="340"/>
      <x:c r="L956" s="340" t="str">
        <x:v>Công ty TNHH Mỹ phẩm quốc tế Đông Phương Group</x:v>
      </x:c>
      <x:c r="M956" s="340"/>
      <x:c r="N956" s="340" t="str">
        <x:v>Công ty cổ phần dược mỹ phẩm A.Q.P Việt Nam</x:v>
      </x:c>
      <x:c r="O956" s="340" t="str">
        <x:v>Đã thu hồi/đình chỉ lưu hành</x:v>
      </x:c>
      <x:c r="P956" s="340" t="str">
        <x:v>A++ – nguồn nhà nước; clean gate đủ</x:v>
      </x:c>
      <x:c r="Q956" s="340" t="str">
        <x:v>QĐ4503/CV1764; STT nguồn 159; PIF ngoài phạm vi.</x:v>
      </x:c>
      <x:c r="R956" s="340" t="str">
        <x:v>https://syt.angiang.gov.vn/Lists/TinTuc/Attachments/8904/14-5-2026-%20%C4%91%C3%ACnh%20ch%E1%BB%89%20l%C6%B0u%20h%C3%A0nh%2C%20thu%20h%E1%BB%93i%20v%C3%A0%20ti%C3%AAu%20h%E1%BB%A7y%20m%E1%BB%B9%20ph%E1%BA%A9m%20vi%20ph%E1%BA%A1m%20CV%201764%20Cuc%20QLD.pdf</x:v>
      </x:c>
      <x:c r="S956" s="340" t="str">
        <x:v>Hà Nội</x:v>
      </x:c>
      <x:c r="T956" s="340" t="str">
        <x:v>01</x:v>
      </x:c>
    </x:row>
    <x:row r="957">
      <x:c r="A957" s="340" t="n">
        <x:v>956</x:v>
      </x:c>
      <x:c r="B957" s="340"/>
      <x:c r="C957" s="506" t="n">
        <x:v>46155</x:v>
      </x:c>
      <x:c r="D957" s="340" t="n">
        <x:v>2024</x:v>
      </x:c>
      <x:c r="E957" s="340"/>
      <x:c r="F957" s="340" t="str">
        <x:v>19709/24/CBMP-HN</x:v>
      </x:c>
      <x:c r="G957" s="340"/>
      <x:c r="H957" s="340" t="str">
        <x:v>Melasma Night Cream</x:v>
      </x:c>
      <x:c r="I957" s="340"/>
      <x:c r="J957" s="340" t="str">
        <x:v>Khác</x:v>
      </x:c>
      <x:c r="K957" s="340"/>
      <x:c r="L957" s="340" t="str">
        <x:v>Công ty Cổ phần Tập đoàn Minta</x:v>
      </x:c>
      <x:c r="M957" s="340"/>
      <x:c r="N957" s="340" t="str">
        <x:v>Công ty cổ phần dược mỹ phẩm A.Q.P Việt Nam</x:v>
      </x:c>
      <x:c r="O957" s="340" t="str">
        <x:v>Đã thu hồi/đình chỉ lưu hành</x:v>
      </x:c>
      <x:c r="P957" s="340" t="str">
        <x:v>A++ – nguồn nhà nước; clean gate đủ</x:v>
      </x:c>
      <x:c r="Q957" s="340" t="str">
        <x:v>QĐ4503/CV1764; STT nguồn 160; PIF ngoài phạm vi.</x:v>
      </x:c>
      <x:c r="R957" s="340" t="str">
        <x:v>https://syt.angiang.gov.vn/Lists/TinTuc/Attachments/8904/14-5-2026-%20%C4%91%C3%ACnh%20ch%E1%BB%89%20l%C6%B0u%20h%C3%A0nh%2C%20thu%20h%E1%BB%93i%20v%C3%A0%20ti%C3%AAu%20h%E1%BB%A7y%20m%E1%BB%B9%20ph%E1%BA%A9m%20vi%20ph%E1%BA%A1m%20CV%201764%20Cuc%20QLD.pdf</x:v>
      </x:c>
      <x:c r="S957" s="340" t="str">
        <x:v>Hà Nội</x:v>
      </x:c>
      <x:c r="T957" s="340" t="str">
        <x:v>01</x:v>
      </x:c>
    </x:row>
    <x:row r="958">
      <x:c r="A958" s="340" t="n">
        <x:v>957</x:v>
      </x:c>
      <x:c r="B958" s="340"/>
      <x:c r="C958" s="506" t="n">
        <x:v>46155</x:v>
      </x:c>
      <x:c r="D958" s="340" t="n">
        <x:v>2024</x:v>
      </x:c>
      <x:c r="E958" s="340"/>
      <x:c r="F958" s="340" t="str">
        <x:v>19710/24/CBMP-HN</x:v>
      </x:c>
      <x:c r="G958" s="340"/>
      <x:c r="H958" s="340" t="str">
        <x:v>White Day Premium</x:v>
      </x:c>
      <x:c r="I958" s="340"/>
      <x:c r="J958" s="340" t="str">
        <x:v>Khác</x:v>
      </x:c>
      <x:c r="K958" s="340"/>
      <x:c r="L958" s="340" t="str">
        <x:v>Công ty Cổ phần Tập đoàn Minta</x:v>
      </x:c>
      <x:c r="M958" s="340"/>
      <x:c r="N958" s="340" t="str">
        <x:v>Công ty cổ phần dược mỹ phẩm A.Q.P Việt Nam</x:v>
      </x:c>
      <x:c r="O958" s="340" t="str">
        <x:v>Đã thu hồi/đình chỉ lưu hành</x:v>
      </x:c>
      <x:c r="P958" s="340" t="str">
        <x:v>A++ – nguồn nhà nước; clean gate đủ</x:v>
      </x:c>
      <x:c r="Q958" s="340" t="str">
        <x:v>QĐ4503/CV1764; STT nguồn 161; PIF ngoài phạm vi.</x:v>
      </x:c>
      <x:c r="R958" s="340" t="str">
        <x:v>https://syt.angiang.gov.vn/Lists/TinTuc/Attachments/8904/14-5-2026-%20%C4%91%C3%ACnh%20ch%E1%BB%89%20l%C6%B0u%20h%C3%A0nh%2C%20thu%20h%E1%BB%93i%20v%C3%A0%20ti%C3%AAu%20h%E1%BB%A7y%20m%E1%BB%B9%20ph%E1%BA%A9m%20vi%20ph%E1%BA%A1m%20CV%201764%20Cuc%20QLD.pdf</x:v>
      </x:c>
      <x:c r="S958" s="340" t="str">
        <x:v>Hà Nội</x:v>
      </x:c>
      <x:c r="T958" s="340" t="str">
        <x:v>01</x:v>
      </x:c>
    </x:row>
    <x:row r="959">
      <x:c r="A959" s="340" t="n">
        <x:v>958</x:v>
      </x:c>
      <x:c r="B959" s="340"/>
      <x:c r="C959" s="506" t="n">
        <x:v>46155</x:v>
      </x:c>
      <x:c r="D959" s="340" t="n">
        <x:v>2024</x:v>
      </x:c>
      <x:c r="E959" s="340"/>
      <x:c r="F959" s="340" t="str">
        <x:v>19711/24/CBMP-HN</x:v>
      </x:c>
      <x:c r="G959" s="340"/>
      <x:c r="H959" s="340" t="str">
        <x:v>Sunsmart</x:v>
      </x:c>
      <x:c r="I959" s="340"/>
      <x:c r="J959" s="340" t="str">
        <x:v>Khác</x:v>
      </x:c>
      <x:c r="K959" s="340"/>
      <x:c r="L959" s="340" t="str">
        <x:v>Công ty Cổ phần Tập đoàn Minta</x:v>
      </x:c>
      <x:c r="M959" s="340"/>
      <x:c r="N959" s="340" t="str">
        <x:v>Công ty cổ phần dược mỹ phẩm A.Q.P Việt Nam</x:v>
      </x:c>
      <x:c r="O959" s="340" t="str">
        <x:v>Đã thu hồi/đình chỉ lưu hành</x:v>
      </x:c>
      <x:c r="P959" s="340" t="str">
        <x:v>A++ – nguồn nhà nước; clean gate đủ</x:v>
      </x:c>
      <x:c r="Q959" s="340" t="str">
        <x:v>QĐ4503/CV1764; STT nguồn 162; PIF ngoài phạm vi.</x:v>
      </x:c>
      <x:c r="R959" s="340" t="str">
        <x:v>https://syt.angiang.gov.vn/Lists/TinTuc/Attachments/8904/14-5-2026-%20%C4%91%C3%ACnh%20ch%E1%BB%89%20l%C6%B0u%20h%C3%A0nh%2C%20thu%20h%E1%BB%93i%20v%C3%A0%20ti%C3%AAu%20h%E1%BB%A7y%20m%E1%BB%B9%20ph%E1%BA%A9m%20vi%20ph%E1%BA%A1m%20CV%201764%20Cuc%20QLD.pdf</x:v>
      </x:c>
      <x:c r="S959" s="340" t="str">
        <x:v>Hà Nội</x:v>
      </x:c>
      <x:c r="T959" s="340" t="str">
        <x:v>01</x:v>
      </x:c>
    </x:row>
    <x:row r="960">
      <x:c r="A960" s="340" t="n">
        <x:v>959</x:v>
      </x:c>
      <x:c r="B960" s="340"/>
      <x:c r="C960" s="506" t="n">
        <x:v>46155</x:v>
      </x:c>
      <x:c r="D960" s="340" t="n">
        <x:v>2024</x:v>
      </x:c>
      <x:c r="E960" s="340"/>
      <x:c r="F960" s="340" t="str">
        <x:v>19712/24/CBMP-HN</x:v>
      </x:c>
      <x:c r="G960" s="340"/>
      <x:c r="H960" s="340" t="str">
        <x:v>Sữa rửa mặt Wash Face</x:v>
      </x:c>
      <x:c r="I960" s="340"/>
      <x:c r="J960" s="340" t="str">
        <x:v>Sữa rửa mặt</x:v>
      </x:c>
      <x:c r="K960" s="340"/>
      <x:c r="L960" s="340" t="str">
        <x:v>Công ty Cổ phần Tập đoàn Minta</x:v>
      </x:c>
      <x:c r="M960" s="340"/>
      <x:c r="N960" s="340" t="str">
        <x:v>Công ty cổ phần dược mỹ phẩm A.Q.P Việt Nam</x:v>
      </x:c>
      <x:c r="O960" s="340" t="str">
        <x:v>Đã thu hồi/đình chỉ lưu hành</x:v>
      </x:c>
      <x:c r="P960" s="340" t="str">
        <x:v>A++ – nguồn nhà nước; clean gate đủ</x:v>
      </x:c>
      <x:c r="Q960" s="340" t="str">
        <x:v>QĐ4503/CV1764; STT nguồn 163; PIF ngoài phạm vi.</x:v>
      </x:c>
      <x:c r="R960" s="340" t="str">
        <x:v>https://syt.angiang.gov.vn/Lists/TinTuc/Attachments/8904/14-5-2026-%20%C4%91%C3%ACnh%20ch%E1%BB%89%20l%C6%B0u%20h%C3%A0nh%2C%20thu%20h%E1%BB%93i%20v%C3%A0%20ti%C3%AAu%20h%E1%BB%A7y%20m%E1%BB%B9%20ph%E1%BA%A9m%20vi%20ph%E1%BA%A1m%20CV%201764%20Cuc%20QLD.pdf</x:v>
      </x:c>
      <x:c r="S960" s="340" t="str">
        <x:v>Hà Nội</x:v>
      </x:c>
      <x:c r="T960" s="340" t="str">
        <x:v>01</x:v>
      </x:c>
    </x:row>
    <x:row r="961">
      <x:c r="A961" s="340" t="n">
        <x:v>960</x:v>
      </x:c>
      <x:c r="B961" s="340"/>
      <x:c r="C961" s="506" t="n">
        <x:v>46155</x:v>
      </x:c>
      <x:c r="D961" s="340" t="n">
        <x:v>2024</x:v>
      </x:c>
      <x:c r="E961" s="340"/>
      <x:c r="F961" s="340" t="str">
        <x:v>19713/24/CBMP-HN</x:v>
      </x:c>
      <x:c r="G961" s="340"/>
      <x:c r="H961" s="340" t="str">
        <x:v>Xịt khử mùi Minta</x:v>
      </x:c>
      <x:c r="I961" s="340"/>
      <x:c r="J961" s="340" t="str">
        <x:v>Khác</x:v>
      </x:c>
      <x:c r="K961" s="340"/>
      <x:c r="L961" s="340" t="str">
        <x:v>Công ty Cổ phần Tập đoàn Minta</x:v>
      </x:c>
      <x:c r="M961" s="340"/>
      <x:c r="N961" s="340" t="str">
        <x:v>Công ty cổ phần dược mỹ phẩm A.Q.P Việt Nam</x:v>
      </x:c>
      <x:c r="O961" s="340" t="str">
        <x:v>Đã thu hồi/đình chỉ lưu hành</x:v>
      </x:c>
      <x:c r="P961" s="340" t="str">
        <x:v>A++ – nguồn nhà nước; clean gate đủ</x:v>
      </x:c>
      <x:c r="Q961" s="340" t="str">
        <x:v>QĐ4503/CV1764; STT nguồn 164; PIF ngoài phạm vi.</x:v>
      </x:c>
      <x:c r="R961" s="340" t="str">
        <x:v>https://syt.angiang.gov.vn/Lists/TinTuc/Attachments/8904/14-5-2026-%20%C4%91%C3%ACnh%20ch%E1%BB%89%20l%C6%B0u%20h%C3%A0nh%2C%20thu%20h%E1%BB%93i%20v%C3%A0%20ti%C3%AAu%20h%E1%BB%A7y%20m%E1%BB%B9%20ph%E1%BA%A9m%20vi%20ph%E1%BA%A1m%20CV%201764%20Cuc%20QLD.pdf</x:v>
      </x:c>
      <x:c r="S961" s="340" t="str">
        <x:v>Hà Nội</x:v>
      </x:c>
      <x:c r="T961" s="340" t="str">
        <x:v>01</x:v>
      </x:c>
    </x:row>
    <x:row r="962">
      <x:c r="A962" s="340" t="n">
        <x:v>961</x:v>
      </x:c>
      <x:c r="B962" s="340"/>
      <x:c r="C962" s="506" t="n">
        <x:v>46155</x:v>
      </x:c>
      <x:c r="D962" s="340" t="n">
        <x:v>2024</x:v>
      </x:c>
      <x:c r="E962" s="340"/>
      <x:c r="F962" s="340" t="str">
        <x:v>20374/24/CBMP-HN</x:v>
      </x:c>
      <x:c r="G962" s="340"/>
      <x:c r="H962" s="340" t="str">
        <x:v>Gel mụn Vitamin</x:v>
      </x:c>
      <x:c r="I962" s="340"/>
      <x:c r="J962" s="340" t="str">
        <x:v>Khác</x:v>
      </x:c>
      <x:c r="K962" s="340"/>
      <x:c r="L962" s="340" t="str">
        <x:v>Công ty Cổ phần Tập đoàn Minta</x:v>
      </x:c>
      <x:c r="M962" s="340"/>
      <x:c r="N962" s="340" t="str">
        <x:v>Công ty cổ phần dược mỹ phẩm A.Q.P Việt Nam</x:v>
      </x:c>
      <x:c r="O962" s="340" t="str">
        <x:v>Đã thu hồi/đình chỉ lưu hành</x:v>
      </x:c>
      <x:c r="P962" s="340" t="str">
        <x:v>A++ – nguồn nhà nước; clean gate đủ</x:v>
      </x:c>
      <x:c r="Q962" s="340" t="str">
        <x:v>QĐ4503/CV1764; STT nguồn 165; PIF ngoài phạm vi.</x:v>
      </x:c>
      <x:c r="R962" s="340" t="str">
        <x:v>https://syt.angiang.gov.vn/Lists/TinTuc/Attachments/8904/14-5-2026-%20%C4%91%C3%ACnh%20ch%E1%BB%89%20l%C6%B0u%20h%C3%A0nh%2C%20thu%20h%E1%BB%93i%20v%C3%A0%20ti%C3%AAu%20h%E1%BB%A7y%20m%E1%BB%B9%20ph%E1%BA%A9m%20vi%20ph%E1%BA%A1m%20CV%201764%20Cuc%20QLD.pdf</x:v>
      </x:c>
      <x:c r="S962" s="340" t="str">
        <x:v>Hà Nội</x:v>
      </x:c>
      <x:c r="T962" s="340" t="str">
        <x:v>01</x:v>
      </x:c>
    </x:row>
    <x:row r="963">
      <x:c r="A963" s="340" t="n">
        <x:v>962</x:v>
      </x:c>
      <x:c r="B963" s="340"/>
      <x:c r="C963" s="506" t="n">
        <x:v>46155</x:v>
      </x:c>
      <x:c r="D963" s="340" t="n">
        <x:v>2025</x:v>
      </x:c>
      <x:c r="E963" s="340"/>
      <x:c r="F963" s="340" t="str">
        <x:v>26519/25/CBMP-HN</x:v>
      </x:c>
      <x:c r="G963" s="340"/>
      <x:c r="H963" s="340" t="str">
        <x:v>Xịt khử mùi Minta</x:v>
      </x:c>
      <x:c r="I963" s="340"/>
      <x:c r="J963" s="340" t="str">
        <x:v>Khác</x:v>
      </x:c>
      <x:c r="K963" s="340"/>
      <x:c r="L963" s="340" t="str">
        <x:v>Công ty Cổ phần Tập đoàn Minta</x:v>
      </x:c>
      <x:c r="M963" s="340"/>
      <x:c r="N963" s="340" t="str">
        <x:v>Công ty cổ phần dược mỹ phẩm A.Q.P Việt Nam</x:v>
      </x:c>
      <x:c r="O963" s="340" t="str">
        <x:v>Đã thu hồi/đình chỉ lưu hành</x:v>
      </x:c>
      <x:c r="P963" s="340" t="str">
        <x:v>A++ – nguồn nhà nước; clean gate đủ</x:v>
      </x:c>
      <x:c r="Q963" s="340" t="str">
        <x:v>QĐ4503/CV1764; STT nguồn 166; PIF ngoài phạm vi.</x:v>
      </x:c>
      <x:c r="R963" s="340" t="str">
        <x:v>https://syt.angiang.gov.vn/Lists/TinTuc/Attachments/8904/14-5-2026-%20%C4%91%C3%ACnh%20ch%E1%BB%89%20l%C6%B0u%20h%C3%A0nh%2C%20thu%20h%E1%BB%93i%20v%C3%A0%20ti%C3%AAu%20h%E1%BB%A7y%20m%E1%BB%B9%20ph%E1%BA%A9m%20vi%20ph%E1%BA%A1m%20CV%201764%20Cuc%20QLD.pdf</x:v>
      </x:c>
      <x:c r="S963" s="340" t="str">
        <x:v>Hà Nội</x:v>
      </x:c>
      <x:c r="T963" s="340" t="str">
        <x:v>01</x:v>
      </x:c>
    </x:row>
    <x:row r="964">
      <x:c r="A964" s="340" t="n">
        <x:v>963</x:v>
      </x:c>
      <x:c r="B964" s="340"/>
      <x:c r="C964" s="506" t="n">
        <x:v>46155</x:v>
      </x:c>
      <x:c r="D964" s="340" t="n">
        <x:v>2024</x:v>
      </x:c>
      <x:c r="E964" s="340"/>
      <x:c r="F964" s="340" t="str">
        <x:v>19856/24/CBMP-HN</x:v>
      </x:c>
      <x:c r="G964" s="340"/>
      <x:c r="H964" s="340" t="str">
        <x:v>White X9</x:v>
      </x:c>
      <x:c r="I964" s="340"/>
      <x:c r="J964" s="340" t="str">
        <x:v>Khác</x:v>
      </x:c>
      <x:c r="K964" s="340"/>
      <x:c r="L964" s="340" t="str">
        <x:v>Hộ kinh doanh Giáp Thị Hương</x:v>
      </x:c>
      <x:c r="M964" s="340"/>
      <x:c r="N964" s="340" t="str">
        <x:v>Công ty cổ phần dược mỹ phẩm A.Q.P Việt Nam</x:v>
      </x:c>
      <x:c r="O964" s="340" t="str">
        <x:v>Đã thu hồi/đình chỉ lưu hành</x:v>
      </x:c>
      <x:c r="P964" s="340" t="str">
        <x:v>A++ – nguồn nhà nước; clean gate đủ</x:v>
      </x:c>
      <x:c r="Q964" s="340" t="str">
        <x:v>QĐ4503/CV1764; STT nguồn 167; PIF ngoài phạm vi.</x:v>
      </x:c>
      <x:c r="R964" s="340" t="str">
        <x:v>https://syt.angiang.gov.vn/Lists/TinTuc/Attachments/8904/14-5-2026-%20%C4%91%C3%ACnh%20ch%E1%BB%89%20l%C6%B0u%20h%C3%A0nh%2C%20thu%20h%E1%BB%93i%20v%C3%A0%20ti%C3%AAu%20h%E1%BB%A7y%20m%E1%BB%B9%20ph%E1%BA%A9m%20vi%20ph%E1%BA%A1m%20CV%201764%20Cuc%20QLD.pdf</x:v>
      </x:c>
      <x:c r="S964" s="340" t="str">
        <x:v>Hà Nội</x:v>
      </x:c>
      <x:c r="T964" s="340" t="str">
        <x:v>01</x:v>
      </x:c>
    </x:row>
    <x:row r="965">
      <x:c r="A965" s="340" t="n">
        <x:v>964</x:v>
      </x:c>
      <x:c r="B965" s="340"/>
      <x:c r="C965" s="506" t="n">
        <x:v>46155</x:v>
      </x:c>
      <x:c r="D965" s="340" t="n">
        <x:v>2024</x:v>
      </x:c>
      <x:c r="E965" s="340"/>
      <x:c r="F965" s="340" t="str">
        <x:v>19920/24/CBMP-HN</x:v>
      </x:c>
      <x:c r="G965" s="340"/>
      <x:c r="H965" s="340" t="str">
        <x:v>Sun Cream</x:v>
      </x:c>
      <x:c r="I965" s="340"/>
      <x:c r="J965" s="340" t="str">
        <x:v>Kem chống nắng</x:v>
      </x:c>
      <x:c r="K965" s="340"/>
      <x:c r="L965" s="340" t="str">
        <x:v>Hộ kinh doanh Nguyễn Thị Hồng 1984</x:v>
      </x:c>
      <x:c r="M965" s="340"/>
      <x:c r="N965" s="340" t="str">
        <x:v>Công ty cổ phần dược mỹ phẩm A.Q.P Việt Nam</x:v>
      </x:c>
      <x:c r="O965" s="340" t="str">
        <x:v>Đã thu hồi/đình chỉ lưu hành</x:v>
      </x:c>
      <x:c r="P965" s="340" t="str">
        <x:v>A++ – nguồn nhà nước; clean gate đủ</x:v>
      </x:c>
      <x:c r="Q965" s="340" t="str">
        <x:v>QĐ4503/CV1764; STT nguồn 168; PIF ngoài phạm vi.</x:v>
      </x:c>
      <x:c r="R965" s="340" t="str">
        <x:v>https://syt.angiang.gov.vn/Lists/TinTuc/Attachments/8904/14-5-2026-%20%C4%91%C3%ACnh%20ch%E1%BB%89%20l%C6%B0u%20h%C3%A0nh%2C%20thu%20h%E1%BB%93i%20v%C3%A0%20ti%C3%AAu%20h%E1%BB%A7y%20m%E1%BB%B9%20ph%E1%BA%A9m%20vi%20ph%E1%BA%A1m%20CV%201764%20Cuc%20QLD.pdf</x:v>
      </x:c>
      <x:c r="S965" s="340" t="str">
        <x:v>Hà Nội</x:v>
      </x:c>
      <x:c r="T965" s="340" t="str">
        <x:v>01</x:v>
      </x:c>
    </x:row>
    <x:row r="966">
      <x:c r="A966" s="340" t="n">
        <x:v>965</x:v>
      </x:c>
      <x:c r="B966" s="340"/>
      <x:c r="C966" s="506" t="n">
        <x:v>46155</x:v>
      </x:c>
      <x:c r="D966" s="340" t="n">
        <x:v>2024</x:v>
      </x:c>
      <x:c r="E966" s="340"/>
      <x:c r="F966" s="340" t="str">
        <x:v>20018/24/CBMP-HN</x:v>
      </x:c>
      <x:c r="G966" s="340"/>
      <x:c r="H966" s="340" t="str">
        <x:v>Acne Serum</x:v>
      </x:c>
      <x:c r="I966" s="340"/>
      <x:c r="J966" s="340" t="str">
        <x:v>Serum/Essence da</x:v>
      </x:c>
      <x:c r="K966" s="340"/>
      <x:c r="L966" s="340" t="str">
        <x:v>Hộ kinh doanh Nguyễn Đình Thắng 1</x:v>
      </x:c>
      <x:c r="M966" s="340"/>
      <x:c r="N966" s="340" t="str">
        <x:v>Công ty cổ phần dược mỹ phẩm A.Q.P Việt Nam</x:v>
      </x:c>
      <x:c r="O966" s="340" t="str">
        <x:v>Đã thu hồi/đình chỉ lưu hành</x:v>
      </x:c>
      <x:c r="P966" s="340" t="str">
        <x:v>A++ – nguồn nhà nước; clean gate đủ</x:v>
      </x:c>
      <x:c r="Q966" s="340" t="str">
        <x:v>QĐ4503/CV1764; STT nguồn 169; PIF ngoài phạm vi.</x:v>
      </x:c>
      <x:c r="R966" s="340" t="str">
        <x:v>https://syt.angiang.gov.vn/Lists/TinTuc/Attachments/8904/14-5-2026-%20%C4%91%C3%ACnh%20ch%E1%BB%89%20l%C6%B0u%20h%C3%A0nh%2C%20thu%20h%E1%BB%93i%20v%C3%A0%20ti%C3%AAu%20h%E1%BB%A7y%20m%E1%BB%B9%20ph%E1%BA%A9m%20vi%20ph%E1%BA%A1m%20CV%201764%20Cuc%20QLD.pdf</x:v>
      </x:c>
      <x:c r="S966" s="340" t="str">
        <x:v>Hà Nội</x:v>
      </x:c>
      <x:c r="T966" s="340" t="str">
        <x:v>01</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style="91" customWidth="1"/>
    <x:col min="2" max="2" width="14" style="91" customWidth="1"/>
    <x:col min="3" max="3" width="24" style="91" customWidth="1"/>
    <x:col min="5" max="5" width="22" style="91" customWidth="1"/>
    <x:col min="6" max="6" width="42" style="91" customWidth="1"/>
    <x:col min="7" max="7" width="38" style="91" customWidth="1"/>
    <x:col min="8" max="8" width="65" style="91" customWidth="1"/>
  </x:cols>
  <x:sheetData>
    <x:row r="1" s="91" customFormat="1" ht="48" customHeight="1">
      <x:c r="A1" s="276" t="inlineStr">
        <x:is>
          <x:t xml:space="preserve">STT làm</x:t>
        </x:is>
      </x:c>
      <x:c r="B1" s="276" t="inlineStr">
        <x:is>
          <x:t xml:space="preserve">Mã hành chính</x:t>
        </x:is>
      </x:c>
      <x:c r="C1" s="276" t="inlineStr">
        <x:is>
          <x:t xml:space="preserve">Tỉnh/Thành</x:t>
        </x:is>
      </x:c>
      <x:c r="D1" s="276" t="inlineStr">
        <x:is>
          <x:t xml:space="preserve">Loại</x:t>
        </x:is>
      </x:c>
      <x:c r="E1" s="276" t="inlineStr">
        <x:is>
          <x:t xml:space="preserve">Tên sheet</x:t>
        </x:is>
      </x:c>
      <x:c r="F1" s="276" t="inlineStr">
        <x:is>
          <x:t xml:space="preserve">Hình thành từ</x:t>
        </x:is>
      </x:c>
      <x:c r="G1" s="276" t="inlineStr">
        <x:is>
          <x:t xml:space="preserve">Quy ước</x:t>
        </x:is>
      </x:c>
      <x:c r="H1" s="276" t="inlineStr">
        <x:is>
          <x:t xml:space="preserve">Nguồn mã HC</x:t>
        </x:is>
      </x:c>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2">
      <x:c r="A2" t="inlineStr">
        <x:is>
          <x:t xml:space="preserve">01</x:t>
        </x:is>
      </x:c>
      <x:c r="B2" t="inlineStr">
        <x:is>
          <x:t xml:space="preserve">79</x:t>
        </x:is>
      </x:c>
      <x:c r="C2" t="inlineStr">
        <x:is>
          <x:t xml:space="preserve">TP. Hồ Chí Minh</x:t>
        </x:is>
      </x:c>
      <x:c r="D2" t="inlineStr">
        <x:is>
          <x:t xml:space="preserve">Thành phố</x:t>
        </x:is>
      </x:c>
      <x:c r="E2" t="inlineStr">
        <x:is>
          <x:t xml:space="preserve">01_TPHCM</x:t>
        </x:is>
      </x:c>
      <x:c r="F2" t="inlineStr">
        <x:is>
          <x:t xml:space="preserve">TP.HCM + Bình Dương + Bà Rịa - Vũng Tàu</x:t>
        </x:is>
      </x:c>
      <x:c r="G2" t="inlineStr">
        <x:is>
          <x:t xml:space="preserve">Số đầu sheet là STT dự án 01–34</x:t>
        </x:is>
      </x:c>
      <x:c r="H2" t="inlineStr">
        <x:is>
          <x:t xml:space="preserve">https://xaydungchinhsach.chinhphu.vn/bang-danh-muc-va-ma-so-cua-34-tinh-thanh-moi-cac-don-vi-hanh-chinh-cap-xa-moi-11925070418263625.htm</x:t>
        </x:is>
      </x:c>
    </x:row>
    <x:row r="3">
      <x:c r="A3" t="inlineStr">
        <x:is>
          <x:t xml:space="preserve">02</x:t>
        </x:is>
      </x:c>
      <x:c r="B3" t="inlineStr">
        <x:is>
          <x:t xml:space="preserve">01</x:t>
        </x:is>
      </x:c>
      <x:c r="C3" t="inlineStr">
        <x:is>
          <x:t xml:space="preserve">Hà Nội</x:t>
        </x:is>
      </x:c>
      <x:c r="D3" t="inlineStr">
        <x:is>
          <x:t xml:space="preserve">Thành phố</x:t>
        </x:is>
      </x:c>
      <x:c r="E3" t="inlineStr">
        <x:is>
          <x:t xml:space="preserve">02_HaNoi</x:t>
        </x:is>
      </x:c>
      <x:c r="F3" t="inlineStr">
        <x:is>
          <x:t xml:space="preserve">Hà Nội</x:t>
        </x:is>
      </x:c>
      <x:c r="G3" t="inlineStr">
        <x:is>
          <x:t xml:space="preserve">Số đầu sheet là STT dự án 01–34</x:t>
        </x:is>
      </x:c>
      <x:c r="H3" t="inlineStr">
        <x:is>
          <x:t xml:space="preserve">https://xaydungchinhsach.chinhphu.vn/bang-danh-muc-va-ma-so-cua-34-tinh-thanh-moi-cac-don-vi-hanh-chinh-cap-xa-moi-11925070418263625.htm</x:t>
        </x:is>
      </x:c>
    </x:row>
    <x:row r="4">
      <x:c r="A4" t="inlineStr">
        <x:is>
          <x:t xml:space="preserve">03</x:t>
        </x:is>
      </x:c>
      <x:c r="B4" t="inlineStr">
        <x:is>
          <x:t xml:space="preserve">31</x:t>
        </x:is>
      </x:c>
      <x:c r="C4" t="inlineStr">
        <x:is>
          <x:t xml:space="preserve">Hải Phòng</x:t>
        </x:is>
      </x:c>
      <x:c r="D4" t="inlineStr">
        <x:is>
          <x:t xml:space="preserve">Thành phố</x:t>
        </x:is>
      </x:c>
      <x:c r="E4" t="inlineStr">
        <x:is>
          <x:t xml:space="preserve">03_HaiPhong</x:t>
        </x:is>
      </x:c>
      <x:c r="F4" t="inlineStr">
        <x:is>
          <x:t xml:space="preserve">Hải Phòng + Hải Dương</x:t>
        </x:is>
      </x:c>
      <x:c r="G4" t="inlineStr">
        <x:is>
          <x:t xml:space="preserve">Số đầu sheet là STT dự án 01–34</x:t>
        </x:is>
      </x:c>
      <x:c r="H4" t="inlineStr">
        <x:is>
          <x:t xml:space="preserve">https://xaydungchinhsach.chinhphu.vn/bang-danh-muc-va-ma-so-cua-34-tinh-thanh-moi-cac-don-vi-hanh-chinh-cap-xa-moi-11925070418263625.htm</x:t>
        </x:is>
      </x:c>
    </x:row>
    <x:row r="5">
      <x:c r="A5" t="inlineStr">
        <x:is>
          <x:t xml:space="preserve">04</x:t>
        </x:is>
      </x:c>
      <x:c r="B5" t="inlineStr">
        <x:is>
          <x:t xml:space="preserve">48</x:t>
        </x:is>
      </x:c>
      <x:c r="C5" t="inlineStr">
        <x:is>
          <x:t xml:space="preserve">Đà Nẵng</x:t>
        </x:is>
      </x:c>
      <x:c r="D5" t="inlineStr">
        <x:is>
          <x:t xml:space="preserve">Thành phố</x:t>
        </x:is>
      </x:c>
      <x:c r="E5" t="inlineStr">
        <x:is>
          <x:t xml:space="preserve">04_DaNang</x:t>
        </x:is>
      </x:c>
      <x:c r="F5" t="inlineStr">
        <x:is>
          <x:t xml:space="preserve">Đà Nẵng + Quảng Nam</x:t>
        </x:is>
      </x:c>
      <x:c r="G5" t="inlineStr">
        <x:is>
          <x:t xml:space="preserve">Số đầu sheet là STT dự án 01–34</x:t>
        </x:is>
      </x:c>
      <x:c r="H5" t="inlineStr">
        <x:is>
          <x:t xml:space="preserve">https://xaydungchinhsach.chinhphu.vn/bang-danh-muc-va-ma-so-cua-34-tinh-thanh-moi-cac-don-vi-hanh-chinh-cap-xa-moi-11925070418263625.htm</x:t>
        </x:is>
      </x:c>
    </x:row>
    <x:row r="6">
      <x:c r="A6" t="inlineStr">
        <x:is>
          <x:t xml:space="preserve">05</x:t>
        </x:is>
      </x:c>
      <x:c r="B6" t="inlineStr">
        <x:is>
          <x:t xml:space="preserve">92</x:t>
        </x:is>
      </x:c>
      <x:c r="C6" t="inlineStr">
        <x:is>
          <x:t xml:space="preserve">Cần Thơ</x:t>
        </x:is>
      </x:c>
      <x:c r="D6" t="inlineStr">
        <x:is>
          <x:t xml:space="preserve">Thành phố</x:t>
        </x:is>
      </x:c>
      <x:c r="E6" t="inlineStr">
        <x:is>
          <x:t xml:space="preserve">05_CanTho</x:t>
        </x:is>
      </x:c>
      <x:c r="F6" t="inlineStr">
        <x:is>
          <x:t xml:space="preserve">Cần Thơ + Sóc Trăng + Hậu Giang</x:t>
        </x:is>
      </x:c>
      <x:c r="G6" t="inlineStr">
        <x:is>
          <x:t xml:space="preserve">Số đầu sheet là STT dự án 01–34</x:t>
        </x:is>
      </x:c>
      <x:c r="H6" t="inlineStr">
        <x:is>
          <x:t xml:space="preserve">https://xaydungchinhsach.chinhphu.vn/bang-danh-muc-va-ma-so-cua-34-tinh-thanh-moi-cac-don-vi-hanh-chinh-cap-xa-moi-11925070418263625.htm</x:t>
        </x:is>
      </x:c>
    </x:row>
    <x:row r="7">
      <x:c r="A7" t="inlineStr">
        <x:is>
          <x:t xml:space="preserve">06</x:t>
        </x:is>
      </x:c>
      <x:c r="B7" t="inlineStr">
        <x:is>
          <x:t xml:space="preserve">46</x:t>
        </x:is>
      </x:c>
      <x:c r="C7" t="inlineStr">
        <x:is>
          <x:t xml:space="preserve">Huế</x:t>
        </x:is>
      </x:c>
      <x:c r="D7" t="inlineStr">
        <x:is>
          <x:t xml:space="preserve">Thành phố</x:t>
        </x:is>
      </x:c>
      <x:c r="E7" t="inlineStr">
        <x:is>
          <x:t xml:space="preserve">06_Hue</x:t>
        </x:is>
      </x:c>
      <x:c r="F7" t="inlineStr">
        <x:is>
          <x:t xml:space="preserve">Huế</x:t>
        </x:is>
      </x:c>
      <x:c r="G7" t="inlineStr">
        <x:is>
          <x:t xml:space="preserve">Số đầu sheet là STT dự án 01–34</x:t>
        </x:is>
      </x:c>
      <x:c r="H7" t="inlineStr">
        <x:is>
          <x:t xml:space="preserve">https://xaydungchinhsach.chinhphu.vn/bang-danh-muc-va-ma-so-cua-34-tinh-thanh-moi-cac-don-vi-hanh-chinh-cap-xa-moi-11925070418263625.htm</x:t>
        </x:is>
      </x:c>
    </x:row>
    <x:row r="8">
      <x:c r="A8" t="inlineStr">
        <x:is>
          <x:t xml:space="preserve">07</x:t>
        </x:is>
      </x:c>
      <x:c r="B8" t="inlineStr">
        <x:is>
          <x:t xml:space="preserve">75</x:t>
        </x:is>
      </x:c>
      <x:c r="C8" t="inlineStr">
        <x:is>
          <x:t xml:space="preserve">Đồng Nai</x:t>
        </x:is>
      </x:c>
      <x:c r="D8" t="inlineStr">
        <x:is>
          <x:t xml:space="preserve">Tỉnh</x:t>
        </x:is>
      </x:c>
      <x:c r="E8" t="inlineStr">
        <x:is>
          <x:t xml:space="preserve">07_DongNai</x:t>
        </x:is>
      </x:c>
      <x:c r="F8" t="inlineStr">
        <x:is>
          <x:t xml:space="preserve">Bình Phước + Đồng Nai</x:t>
        </x:is>
      </x:c>
      <x:c r="G8" t="inlineStr">
        <x:is>
          <x:t xml:space="preserve">Số đầu sheet là STT dự án 01–34</x:t>
        </x:is>
      </x:c>
      <x:c r="H8" t="inlineStr">
        <x:is>
          <x:t xml:space="preserve">https://xaydungchinhsach.chinhphu.vn/bang-danh-muc-va-ma-so-cua-34-tinh-thanh-moi-cac-don-vi-hanh-chinh-cap-xa-moi-11925070418263625.htm</x:t>
        </x:is>
      </x:c>
    </x:row>
    <x:row r="9">
      <x:c r="A9" t="inlineStr">
        <x:is>
          <x:t xml:space="preserve">08</x:t>
        </x:is>
      </x:c>
      <x:c r="B9" t="inlineStr">
        <x:is>
          <x:t xml:space="preserve">80</x:t>
        </x:is>
      </x:c>
      <x:c r="C9" t="inlineStr">
        <x:is>
          <x:t xml:space="preserve">Tây Ninh</x:t>
        </x:is>
      </x:c>
      <x:c r="D9" t="inlineStr">
        <x:is>
          <x:t xml:space="preserve">Tỉnh</x:t>
        </x:is>
      </x:c>
      <x:c r="E9" t="inlineStr">
        <x:is>
          <x:t xml:space="preserve">08_TayNinh</x:t>
        </x:is>
      </x:c>
      <x:c r="F9" t="inlineStr">
        <x:is>
          <x:t xml:space="preserve">Long An + Tây Ninh</x:t>
        </x:is>
      </x:c>
      <x:c r="G9" t="inlineStr">
        <x:is>
          <x:t xml:space="preserve">Số đầu sheet là STT dự án 01–34</x:t>
        </x:is>
      </x:c>
      <x:c r="H9" t="inlineStr">
        <x:is>
          <x:t xml:space="preserve">https://xaydungchinhsach.chinhphu.vn/bang-danh-muc-va-ma-so-cua-34-tinh-thanh-moi-cac-don-vi-hanh-chinh-cap-xa-moi-11925070418263625.htm</x:t>
        </x:is>
      </x:c>
    </x:row>
    <x:row r="10">
      <x:c r="A10" t="inlineStr">
        <x:is>
          <x:t xml:space="preserve">09</x:t>
        </x:is>
      </x:c>
      <x:c r="B10" t="inlineStr">
        <x:is>
          <x:t xml:space="preserve">24</x:t>
        </x:is>
      </x:c>
      <x:c r="C10" t="inlineStr">
        <x:is>
          <x:t xml:space="preserve">Bắc Ninh</x:t>
        </x:is>
      </x:c>
      <x:c r="D10" t="inlineStr">
        <x:is>
          <x:t xml:space="preserve">Tỉnh</x:t>
        </x:is>
      </x:c>
      <x:c r="E10" t="inlineStr">
        <x:is>
          <x:t xml:space="preserve">09_BacNinh</x:t>
        </x:is>
      </x:c>
      <x:c r="F10" t="inlineStr">
        <x:is>
          <x:t xml:space="preserve">Bắc Giang + Bắc Ninh</x:t>
        </x:is>
      </x:c>
      <x:c r="G10" t="inlineStr">
        <x:is>
          <x:t xml:space="preserve">Số đầu sheet là STT dự án 01–34</x:t>
        </x:is>
      </x:c>
      <x:c r="H10" t="inlineStr">
        <x:is>
          <x:t xml:space="preserve">https://xaydungchinhsach.chinhphu.vn/bang-danh-muc-va-ma-so-cua-34-tinh-thanh-moi-cac-don-vi-hanh-chinh-cap-xa-moi-11925070418263625.htm</x:t>
        </x:is>
      </x:c>
    </x:row>
    <x:row r="11">
      <x:c r="A11" t="inlineStr">
        <x:is>
          <x:t xml:space="preserve">10</x:t>
        </x:is>
      </x:c>
      <x:c r="B11" t="inlineStr">
        <x:is>
          <x:t xml:space="preserve">33</x:t>
        </x:is>
      </x:c>
      <x:c r="C11" t="inlineStr">
        <x:is>
          <x:t xml:space="preserve">Hưng Yên</x:t>
        </x:is>
      </x:c>
      <x:c r="D11" t="inlineStr">
        <x:is>
          <x:t xml:space="preserve">Tỉnh</x:t>
        </x:is>
      </x:c>
      <x:c r="E11" t="inlineStr">
        <x:is>
          <x:t xml:space="preserve">10_HungYen</x:t>
        </x:is>
      </x:c>
      <x:c r="F11" t="inlineStr">
        <x:is>
          <x:t xml:space="preserve">Thái Bình + Hưng Yên</x:t>
        </x:is>
      </x:c>
      <x:c r="G11" t="inlineStr">
        <x:is>
          <x:t xml:space="preserve">Số đầu sheet là STT dự án 01–34</x:t>
        </x:is>
      </x:c>
      <x:c r="H11" t="inlineStr">
        <x:is>
          <x:t xml:space="preserve">https://xaydungchinhsach.chinhphu.vn/bang-danh-muc-va-ma-so-cua-34-tinh-thanh-moi-cac-don-vi-hanh-chinh-cap-xa-moi-11925070418263625.htm</x:t>
        </x:is>
      </x:c>
    </x:row>
    <x:row r="12">
      <x:c r="A12" t="inlineStr">
        <x:is>
          <x:t xml:space="preserve">11</x:t>
        </x:is>
      </x:c>
      <x:c r="B12" t="inlineStr">
        <x:is>
          <x:t xml:space="preserve">19</x:t>
        </x:is>
      </x:c>
      <x:c r="C12" t="inlineStr">
        <x:is>
          <x:t xml:space="preserve">Thái Nguyên</x:t>
        </x:is>
      </x:c>
      <x:c r="D12" t="inlineStr">
        <x:is>
          <x:t xml:space="preserve">Tỉnh</x:t>
        </x:is>
      </x:c>
      <x:c r="E12" t="inlineStr">
        <x:is>
          <x:t xml:space="preserve">11_ThaiNguyen</x:t>
        </x:is>
      </x:c>
      <x:c r="F12" t="inlineStr">
        <x:is>
          <x:t xml:space="preserve">Bắc Kạn + Thái Nguyên</x:t>
        </x:is>
      </x:c>
      <x:c r="G12" t="inlineStr">
        <x:is>
          <x:t xml:space="preserve">Số đầu sheet là STT dự án 01–34</x:t>
        </x:is>
      </x:c>
      <x:c r="H12" t="inlineStr">
        <x:is>
          <x:t xml:space="preserve">https://xaydungchinhsach.chinhphu.vn/bang-danh-muc-va-ma-so-cua-34-tinh-thanh-moi-cac-don-vi-hanh-chinh-cap-xa-moi-11925070418263625.htm</x:t>
        </x:is>
      </x:c>
    </x:row>
    <x:row r="13">
      <x:c r="A13" t="inlineStr">
        <x:is>
          <x:t xml:space="preserve">12</x:t>
        </x:is>
      </x:c>
      <x:c r="B13" t="inlineStr">
        <x:is>
          <x:t xml:space="preserve">25</x:t>
        </x:is>
      </x:c>
      <x:c r="C13" t="inlineStr">
        <x:is>
          <x:t xml:space="preserve">Phú Thọ</x:t>
        </x:is>
      </x:c>
      <x:c r="D13" t="inlineStr">
        <x:is>
          <x:t xml:space="preserve">Tỉnh</x:t>
        </x:is>
      </x:c>
      <x:c r="E13" t="inlineStr">
        <x:is>
          <x:t xml:space="preserve">12_PhuTho</x:t>
        </x:is>
      </x:c>
      <x:c r="F13" t="inlineStr">
        <x:is>
          <x:t xml:space="preserve">Vĩnh Phúc + Hòa Bình + Phú Thọ</x:t>
        </x:is>
      </x:c>
      <x:c r="G13" t="inlineStr">
        <x:is>
          <x:t xml:space="preserve">Số đầu sheet là STT dự án 01–34</x:t>
        </x:is>
      </x:c>
      <x:c r="H13" t="inlineStr">
        <x:is>
          <x:t xml:space="preserve">https://xaydungchinhsach.chinhphu.vn/bang-danh-muc-va-ma-so-cua-34-tinh-thanh-moi-cac-don-vi-hanh-chinh-cap-xa-moi-11925070418263625.htm</x:t>
        </x:is>
      </x:c>
    </x:row>
    <x:row r="14">
      <x:c r="A14" t="inlineStr">
        <x:is>
          <x:t xml:space="preserve">13</x:t>
        </x:is>
      </x:c>
      <x:c r="B14" t="inlineStr">
        <x:is>
          <x:t xml:space="preserve">37</x:t>
        </x:is>
      </x:c>
      <x:c r="C14" t="inlineStr">
        <x:is>
          <x:t xml:space="preserve">Ninh Bình</x:t>
        </x:is>
      </x:c>
      <x:c r="D14" t="inlineStr">
        <x:is>
          <x:t xml:space="preserve">Tỉnh</x:t>
        </x:is>
      </x:c>
      <x:c r="E14" t="inlineStr">
        <x:is>
          <x:t xml:space="preserve">13_NinhBinh</x:t>
        </x:is>
      </x:c>
      <x:c r="F14" t="inlineStr">
        <x:is>
          <x:t xml:space="preserve">Hà Nam + Nam Định + Ninh Bình</x:t>
        </x:is>
      </x:c>
      <x:c r="G14" t="inlineStr">
        <x:is>
          <x:t xml:space="preserve">Số đầu sheet là STT dự án 01–34</x:t>
        </x:is>
      </x:c>
      <x:c r="H14" t="inlineStr">
        <x:is>
          <x:t xml:space="preserve">https://xaydungchinhsach.chinhphu.vn/bang-danh-muc-va-ma-so-cua-34-tinh-thanh-moi-cac-don-vi-hanh-chinh-cap-xa-moi-11925070418263625.htm</x:t>
        </x:is>
      </x:c>
    </x:row>
    <x:row r="15">
      <x:c r="A15" t="inlineStr">
        <x:is>
          <x:t xml:space="preserve">14</x:t>
        </x:is>
      </x:c>
      <x:c r="B15" t="inlineStr">
        <x:is>
          <x:t xml:space="preserve">22</x:t>
        </x:is>
      </x:c>
      <x:c r="C15" t="inlineStr">
        <x:is>
          <x:t xml:space="preserve">Quảng Ninh</x:t>
        </x:is>
      </x:c>
      <x:c r="D15" t="inlineStr">
        <x:is>
          <x:t xml:space="preserve">Tỉnh</x:t>
        </x:is>
      </x:c>
      <x:c r="E15" t="inlineStr">
        <x:is>
          <x:t xml:space="preserve">14_QuangNinh</x:t>
        </x:is>
      </x:c>
      <x:c r="F15" t="inlineStr">
        <x:is>
          <x:t xml:space="preserve">Quảng Ninh</x:t>
        </x:is>
      </x:c>
      <x:c r="G15" t="inlineStr">
        <x:is>
          <x:t xml:space="preserve">Số đầu sheet là STT dự án 01–34</x:t>
        </x:is>
      </x:c>
      <x:c r="H15" t="inlineStr">
        <x:is>
          <x:t xml:space="preserve">https://xaydungchinhsach.chinhphu.vn/bang-danh-muc-va-ma-so-cua-34-tinh-thanh-moi-cac-don-vi-hanh-chinh-cap-xa-moi-11925070418263625.htm</x:t>
        </x:is>
      </x:c>
    </x:row>
    <x:row r="16">
      <x:c r="A16" t="inlineStr">
        <x:is>
          <x:t xml:space="preserve">15</x:t>
        </x:is>
      </x:c>
      <x:c r="B16" t="inlineStr">
        <x:is>
          <x:t xml:space="preserve">86</x:t>
        </x:is>
      </x:c>
      <x:c r="C16" t="inlineStr">
        <x:is>
          <x:t xml:space="preserve">Vĩnh Long</x:t>
        </x:is>
      </x:c>
      <x:c r="D16" t="inlineStr">
        <x:is>
          <x:t xml:space="preserve">Tỉnh</x:t>
        </x:is>
      </x:c>
      <x:c r="E16" t="inlineStr">
        <x:is>
          <x:t xml:space="preserve">15_VinhLong</x:t>
        </x:is>
      </x:c>
      <x:c r="F16" t="inlineStr">
        <x:is>
          <x:t xml:space="preserve">Bến Tre + Trà Vinh + Vĩnh Long</x:t>
        </x:is>
      </x:c>
      <x:c r="G16" t="inlineStr">
        <x:is>
          <x:t xml:space="preserve">Số đầu sheet là STT dự án 01–34</x:t>
        </x:is>
      </x:c>
      <x:c r="H16" t="inlineStr">
        <x:is>
          <x:t xml:space="preserve">https://xaydungchinhsach.chinhphu.vn/bang-danh-muc-va-ma-so-cua-34-tinh-thanh-moi-cac-don-vi-hanh-chinh-cap-xa-moi-11925070418263625.htm</x:t>
        </x:is>
      </x:c>
    </x:row>
    <x:row r="17">
      <x:c r="A17" t="inlineStr">
        <x:is>
          <x:t xml:space="preserve">16</x:t>
        </x:is>
      </x:c>
      <x:c r="B17" t="inlineStr">
        <x:is>
          <x:t xml:space="preserve">82</x:t>
        </x:is>
      </x:c>
      <x:c r="C17" t="inlineStr">
        <x:is>
          <x:t xml:space="preserve">Đồng Tháp</x:t>
        </x:is>
      </x:c>
      <x:c r="D17" t="inlineStr">
        <x:is>
          <x:t xml:space="preserve">Tỉnh</x:t>
        </x:is>
      </x:c>
      <x:c r="E17" t="inlineStr">
        <x:is>
          <x:t xml:space="preserve">16_DongThap</x:t>
        </x:is>
      </x:c>
      <x:c r="F17" t="inlineStr">
        <x:is>
          <x:t xml:space="preserve">Tiền Giang + Đồng Tháp</x:t>
        </x:is>
      </x:c>
      <x:c r="G17" t="inlineStr">
        <x:is>
          <x:t xml:space="preserve">Số đầu sheet là STT dự án 01–34</x:t>
        </x:is>
      </x:c>
      <x:c r="H17" t="inlineStr">
        <x:is>
          <x:t xml:space="preserve">https://xaydungchinhsach.chinhphu.vn/bang-danh-muc-va-ma-so-cua-34-tinh-thanh-moi-cac-don-vi-hanh-chinh-cap-xa-moi-11925070418263625.htm</x:t>
        </x:is>
      </x:c>
    </x:row>
    <x:row r="18">
      <x:c r="A18" t="inlineStr">
        <x:is>
          <x:t xml:space="preserve">17</x:t>
        </x:is>
      </x:c>
      <x:c r="B18" t="inlineStr">
        <x:is>
          <x:t xml:space="preserve">91</x:t>
        </x:is>
      </x:c>
      <x:c r="C18" t="inlineStr">
        <x:is>
          <x:t xml:space="preserve">An Giang</x:t>
        </x:is>
      </x:c>
      <x:c r="D18" t="inlineStr">
        <x:is>
          <x:t xml:space="preserve">Tỉnh</x:t>
        </x:is>
      </x:c>
      <x:c r="E18" t="inlineStr">
        <x:is>
          <x:t xml:space="preserve">17_AnGiang</x:t>
        </x:is>
      </x:c>
      <x:c r="F18" t="inlineStr">
        <x:is>
          <x:t xml:space="preserve">Kiên Giang + An Giang</x:t>
        </x:is>
      </x:c>
      <x:c r="G18" t="inlineStr">
        <x:is>
          <x:t xml:space="preserve">Số đầu sheet là STT dự án 01–34</x:t>
        </x:is>
      </x:c>
      <x:c r="H18" t="inlineStr">
        <x:is>
          <x:t xml:space="preserve">https://xaydungchinhsach.chinhphu.vn/bang-danh-muc-va-ma-so-cua-34-tinh-thanh-moi-cac-don-vi-hanh-chinh-cap-xa-moi-11925070418263625.htm</x:t>
        </x:is>
      </x:c>
    </x:row>
    <x:row r="19">
      <x:c r="A19" t="inlineStr">
        <x:is>
          <x:t xml:space="preserve">18</x:t>
        </x:is>
      </x:c>
      <x:c r="B19" t="inlineStr">
        <x:is>
          <x:t xml:space="preserve">96</x:t>
        </x:is>
      </x:c>
      <x:c r="C19" t="inlineStr">
        <x:is>
          <x:t xml:space="preserve">Cà Mau</x:t>
        </x:is>
      </x:c>
      <x:c r="D19" t="inlineStr">
        <x:is>
          <x:t xml:space="preserve">Tỉnh</x:t>
        </x:is>
      </x:c>
      <x:c r="E19" t="inlineStr">
        <x:is>
          <x:t xml:space="preserve">18_CaMau</x:t>
        </x:is>
      </x:c>
      <x:c r="F19" t="inlineStr">
        <x:is>
          <x:t xml:space="preserve">Bạc Liêu + Cà Mau</x:t>
        </x:is>
      </x:c>
      <x:c r="G19" t="inlineStr">
        <x:is>
          <x:t xml:space="preserve">Số đầu sheet là STT dự án 01–34</x:t>
        </x:is>
      </x:c>
      <x:c r="H19" t="inlineStr">
        <x:is>
          <x:t xml:space="preserve">https://xaydungchinhsach.chinhphu.vn/bang-danh-muc-va-ma-so-cua-34-tinh-thanh-moi-cac-don-vi-hanh-chinh-cap-xa-moi-11925070418263625.htm</x:t>
        </x:is>
      </x:c>
    </x:row>
    <x:row r="20">
      <x:c r="A20" t="inlineStr">
        <x:is>
          <x:t xml:space="preserve">19</x:t>
        </x:is>
      </x:c>
      <x:c r="B20" t="inlineStr">
        <x:is>
          <x:t xml:space="preserve">44</x:t>
        </x:is>
      </x:c>
      <x:c r="C20" t="inlineStr">
        <x:is>
          <x:t xml:space="preserve">Quảng Trị</x:t>
        </x:is>
      </x:c>
      <x:c r="D20" t="inlineStr">
        <x:is>
          <x:t xml:space="preserve">Tỉnh</x:t>
        </x:is>
      </x:c>
      <x:c r="E20" t="inlineStr">
        <x:is>
          <x:t xml:space="preserve">19_QuangTri</x:t>
        </x:is>
      </x:c>
      <x:c r="F20" t="inlineStr">
        <x:is>
          <x:t xml:space="preserve">Quảng Bình + Quảng Trị</x:t>
        </x:is>
      </x:c>
      <x:c r="G20" t="inlineStr">
        <x:is>
          <x:t xml:space="preserve">Số đầu sheet là STT dự án 01–34</x:t>
        </x:is>
      </x:c>
      <x:c r="H20" t="inlineStr">
        <x:is>
          <x:t xml:space="preserve">https://xaydungchinhsach.chinhphu.vn/bang-danh-muc-va-ma-so-cua-34-tinh-thanh-moi-cac-don-vi-hanh-chinh-cap-xa-moi-11925070418263625.htm</x:t>
        </x:is>
      </x:c>
    </x:row>
    <x:row r="21">
      <x:c r="A21" t="inlineStr">
        <x:is>
          <x:t xml:space="preserve">20</x:t>
        </x:is>
      </x:c>
      <x:c r="B21" t="inlineStr">
        <x:is>
          <x:t xml:space="preserve">51</x:t>
        </x:is>
      </x:c>
      <x:c r="C21" t="inlineStr">
        <x:is>
          <x:t xml:space="preserve">Quảng Ngãi</x:t>
        </x:is>
      </x:c>
      <x:c r="D21" t="inlineStr">
        <x:is>
          <x:t xml:space="preserve">Tỉnh</x:t>
        </x:is>
      </x:c>
      <x:c r="E21" t="inlineStr">
        <x:is>
          <x:t xml:space="preserve">20_QuangNgai</x:t>
        </x:is>
      </x:c>
      <x:c r="F21" t="inlineStr">
        <x:is>
          <x:t xml:space="preserve">Kon Tum + Quảng Ngãi</x:t>
        </x:is>
      </x:c>
      <x:c r="G21" t="inlineStr">
        <x:is>
          <x:t xml:space="preserve">Số đầu sheet là STT dự án 01–34</x:t>
        </x:is>
      </x:c>
      <x:c r="H21" t="inlineStr">
        <x:is>
          <x:t xml:space="preserve">https://xaydungchinhsach.chinhphu.vn/bang-danh-muc-va-ma-so-cua-34-tinh-thanh-moi-cac-don-vi-hanh-chinh-cap-xa-moi-11925070418263625.htm</x:t>
        </x:is>
      </x:c>
    </x:row>
    <x:row r="22">
      <x:c r="A22" t="inlineStr">
        <x:is>
          <x:t xml:space="preserve">21</x:t>
        </x:is>
      </x:c>
      <x:c r="B22" t="inlineStr">
        <x:is>
          <x:t xml:space="preserve">38</x:t>
        </x:is>
      </x:c>
      <x:c r="C22" t="inlineStr">
        <x:is>
          <x:t xml:space="preserve">Thanh Hóa</x:t>
        </x:is>
      </x:c>
      <x:c r="D22" t="inlineStr">
        <x:is>
          <x:t xml:space="preserve">Tỉnh</x:t>
        </x:is>
      </x:c>
      <x:c r="E22" t="inlineStr">
        <x:is>
          <x:t xml:space="preserve">21_ThanhHoa</x:t>
        </x:is>
      </x:c>
      <x:c r="F22" t="inlineStr">
        <x:is>
          <x:t xml:space="preserve">Thanh Hóa</x:t>
        </x:is>
      </x:c>
      <x:c r="G22" t="inlineStr">
        <x:is>
          <x:t xml:space="preserve">Số đầu sheet là STT dự án 01–34</x:t>
        </x:is>
      </x:c>
      <x:c r="H22" t="inlineStr">
        <x:is>
          <x:t xml:space="preserve">https://xaydungchinhsach.chinhphu.vn/bang-danh-muc-va-ma-so-cua-34-tinh-thanh-moi-cac-don-vi-hanh-chinh-cap-xa-moi-11925070418263625.htm</x:t>
        </x:is>
      </x:c>
    </x:row>
    <x:row r="23">
      <x:c r="A23" t="inlineStr">
        <x:is>
          <x:t xml:space="preserve">22</x:t>
        </x:is>
      </x:c>
      <x:c r="B23" t="inlineStr">
        <x:is>
          <x:t xml:space="preserve">40</x:t>
        </x:is>
      </x:c>
      <x:c r="C23" t="inlineStr">
        <x:is>
          <x:t xml:space="preserve">Nghệ An</x:t>
        </x:is>
      </x:c>
      <x:c r="D23" t="inlineStr">
        <x:is>
          <x:t xml:space="preserve">Tỉnh</x:t>
        </x:is>
      </x:c>
      <x:c r="E23" t="inlineStr">
        <x:is>
          <x:t xml:space="preserve">22_NgheAn</x:t>
        </x:is>
      </x:c>
      <x:c r="F23" t="inlineStr">
        <x:is>
          <x:t xml:space="preserve">Nghệ An</x:t>
        </x:is>
      </x:c>
      <x:c r="G23" t="inlineStr">
        <x:is>
          <x:t xml:space="preserve">Số đầu sheet là STT dự án 01–34</x:t>
        </x:is>
      </x:c>
      <x:c r="H23" t="inlineStr">
        <x:is>
          <x:t xml:space="preserve">https://xaydungchinhsach.chinhphu.vn/bang-danh-muc-va-ma-so-cua-34-tinh-thanh-moi-cac-don-vi-hanh-chinh-cap-xa-moi-11925070418263625.htm</x:t>
        </x:is>
      </x:c>
    </x:row>
    <x:row r="24">
      <x:c r="A24" t="inlineStr">
        <x:is>
          <x:t xml:space="preserve">23</x:t>
        </x:is>
      </x:c>
      <x:c r="B24" t="inlineStr">
        <x:is>
          <x:t xml:space="preserve">42</x:t>
        </x:is>
      </x:c>
      <x:c r="C24" t="inlineStr">
        <x:is>
          <x:t xml:space="preserve">Hà Tĩnh</x:t>
        </x:is>
      </x:c>
      <x:c r="D24" t="inlineStr">
        <x:is>
          <x:t xml:space="preserve">Tỉnh</x:t>
        </x:is>
      </x:c>
      <x:c r="E24" t="inlineStr">
        <x:is>
          <x:t xml:space="preserve">23_HaTinh</x:t>
        </x:is>
      </x:c>
      <x:c r="F24" t="inlineStr">
        <x:is>
          <x:t xml:space="preserve">Hà Tĩnh</x:t>
        </x:is>
      </x:c>
      <x:c r="G24" t="inlineStr">
        <x:is>
          <x:t xml:space="preserve">Số đầu sheet là STT dự án 01–34</x:t>
        </x:is>
      </x:c>
      <x:c r="H24" t="inlineStr">
        <x:is>
          <x:t xml:space="preserve">https://xaydungchinhsach.chinhphu.vn/bang-danh-muc-va-ma-so-cua-34-tinh-thanh-moi-cac-don-vi-hanh-chinh-cap-xa-moi-11925070418263625.htm</x:t>
        </x:is>
      </x:c>
    </x:row>
    <x:row r="25">
      <x:c r="A25" t="inlineStr">
        <x:is>
          <x:t xml:space="preserve">24</x:t>
        </x:is>
      </x:c>
      <x:c r="B25" t="inlineStr">
        <x:is>
          <x:t xml:space="preserve">56</x:t>
        </x:is>
      </x:c>
      <x:c r="C25" t="inlineStr">
        <x:is>
          <x:t xml:space="preserve">Khánh Hòa</x:t>
        </x:is>
      </x:c>
      <x:c r="D25" t="inlineStr">
        <x:is>
          <x:t xml:space="preserve">Tỉnh</x:t>
        </x:is>
      </x:c>
      <x:c r="E25" t="inlineStr">
        <x:is>
          <x:t xml:space="preserve">24_KhanhHoa</x:t>
        </x:is>
      </x:c>
      <x:c r="F25" t="inlineStr">
        <x:is>
          <x:t xml:space="preserve">Ninh Thuận + Khánh Hòa</x:t>
        </x:is>
      </x:c>
      <x:c r="G25" t="inlineStr">
        <x:is>
          <x:t xml:space="preserve">Số đầu sheet là STT dự án 01–34</x:t>
        </x:is>
      </x:c>
      <x:c r="H25" t="inlineStr">
        <x:is>
          <x:t xml:space="preserve">https://xaydungchinhsach.chinhphu.vn/bang-danh-muc-va-ma-so-cua-34-tinh-thanh-moi-cac-don-vi-hanh-chinh-cap-xa-moi-11925070418263625.htm</x:t>
        </x:is>
      </x:c>
    </x:row>
    <x:row r="26">
      <x:c r="A26" t="inlineStr">
        <x:is>
          <x:t xml:space="preserve">25</x:t>
        </x:is>
      </x:c>
      <x:c r="B26" t="inlineStr">
        <x:is>
          <x:t xml:space="preserve">68</x:t>
        </x:is>
      </x:c>
      <x:c r="C26" t="inlineStr">
        <x:is>
          <x:t xml:space="preserve">Lâm Đồng</x:t>
        </x:is>
      </x:c>
      <x:c r="D26" t="inlineStr">
        <x:is>
          <x:t xml:space="preserve">Tỉnh</x:t>
        </x:is>
      </x:c>
      <x:c r="E26" t="inlineStr">
        <x:is>
          <x:t xml:space="preserve">25_LamDong</x:t>
        </x:is>
      </x:c>
      <x:c r="F26" t="inlineStr">
        <x:is>
          <x:t xml:space="preserve">Đắk Nông + Bình Thuận + Lâm Đồng</x:t>
        </x:is>
      </x:c>
      <x:c r="G26" t="inlineStr">
        <x:is>
          <x:t xml:space="preserve">Số đầu sheet là STT dự án 01–34</x:t>
        </x:is>
      </x:c>
      <x:c r="H26" t="inlineStr">
        <x:is>
          <x:t xml:space="preserve">https://xaydungchinhsach.chinhphu.vn/bang-danh-muc-va-ma-so-cua-34-tinh-thanh-moi-cac-don-vi-hanh-chinh-cap-xa-moi-11925070418263625.htm</x:t>
        </x:is>
      </x:c>
    </x:row>
    <x:row r="27">
      <x:c r="A27" t="inlineStr">
        <x:is>
          <x:t xml:space="preserve">26</x:t>
        </x:is>
      </x:c>
      <x:c r="B27" t="inlineStr">
        <x:is>
          <x:t xml:space="preserve">66</x:t>
        </x:is>
      </x:c>
      <x:c r="C27" t="inlineStr">
        <x:is>
          <x:t xml:space="preserve">Đắk Lắk</x:t>
        </x:is>
      </x:c>
      <x:c r="D27" t="inlineStr">
        <x:is>
          <x:t xml:space="preserve">Tỉnh</x:t>
        </x:is>
      </x:c>
      <x:c r="E27" t="inlineStr">
        <x:is>
          <x:t xml:space="preserve">26_DakLak</x:t>
        </x:is>
      </x:c>
      <x:c r="F27" t="inlineStr">
        <x:is>
          <x:t xml:space="preserve">Phú Yên + Đắk Lắk</x:t>
        </x:is>
      </x:c>
      <x:c r="G27" t="inlineStr">
        <x:is>
          <x:t xml:space="preserve">Số đầu sheet là STT dự án 01–34</x:t>
        </x:is>
      </x:c>
      <x:c r="H27" t="inlineStr">
        <x:is>
          <x:t xml:space="preserve">https://xaydungchinhsach.chinhphu.vn/bang-danh-muc-va-ma-so-cua-34-tinh-thanh-moi-cac-don-vi-hanh-chinh-cap-xa-moi-11925070418263625.htm</x:t>
        </x:is>
      </x:c>
    </x:row>
    <x:row r="28">
      <x:c r="A28" t="inlineStr">
        <x:is>
          <x:t xml:space="preserve">27</x:t>
        </x:is>
      </x:c>
      <x:c r="B28" t="inlineStr">
        <x:is>
          <x:t xml:space="preserve">52</x:t>
        </x:is>
      </x:c>
      <x:c r="C28" t="inlineStr">
        <x:is>
          <x:t xml:space="preserve">Gia Lai</x:t>
        </x:is>
      </x:c>
      <x:c r="D28" t="inlineStr">
        <x:is>
          <x:t xml:space="preserve">Tỉnh</x:t>
        </x:is>
      </x:c>
      <x:c r="E28" t="inlineStr">
        <x:is>
          <x:t xml:space="preserve">27_GiaLai</x:t>
        </x:is>
      </x:c>
      <x:c r="F28" t="inlineStr">
        <x:is>
          <x:t xml:space="preserve">Bình Định + Gia Lai</x:t>
        </x:is>
      </x:c>
      <x:c r="G28" t="inlineStr">
        <x:is>
          <x:t xml:space="preserve">Số đầu sheet là STT dự án 01–34</x:t>
        </x:is>
      </x:c>
      <x:c r="H28" t="inlineStr">
        <x:is>
          <x:t xml:space="preserve">https://xaydungchinhsach.chinhphu.vn/bang-danh-muc-va-ma-so-cua-34-tinh-thanh-moi-cac-don-vi-hanh-chinh-cap-xa-moi-11925070418263625.htm</x:t>
        </x:is>
      </x:c>
    </x:row>
    <x:row r="29">
      <x:c r="A29" t="inlineStr">
        <x:is>
          <x:t xml:space="preserve">28</x:t>
        </x:is>
      </x:c>
      <x:c r="B29" t="inlineStr">
        <x:is>
          <x:t xml:space="preserve">08</x:t>
        </x:is>
      </x:c>
      <x:c r="C29" t="inlineStr">
        <x:is>
          <x:t xml:space="preserve">Tuyên Quang</x:t>
        </x:is>
      </x:c>
      <x:c r="D29" t="inlineStr">
        <x:is>
          <x:t xml:space="preserve">Tỉnh</x:t>
        </x:is>
      </x:c>
      <x:c r="E29" t="inlineStr">
        <x:is>
          <x:t xml:space="preserve">28_TuyenQuang</x:t>
        </x:is>
      </x:c>
      <x:c r="F29" t="inlineStr">
        <x:is>
          <x:t xml:space="preserve">Hà Giang + Tuyên Quang</x:t>
        </x:is>
      </x:c>
      <x:c r="G29" t="inlineStr">
        <x:is>
          <x:t xml:space="preserve">Số đầu sheet là STT dự án 01–34</x:t>
        </x:is>
      </x:c>
      <x:c r="H29" t="inlineStr">
        <x:is>
          <x:t xml:space="preserve">https://xaydungchinhsach.chinhphu.vn/bang-danh-muc-va-ma-so-cua-34-tinh-thanh-moi-cac-don-vi-hanh-chinh-cap-xa-moi-11925070418263625.htm</x:t>
        </x:is>
      </x:c>
    </x:row>
    <x:row r="30">
      <x:c r="A30" t="inlineStr">
        <x:is>
          <x:t xml:space="preserve">29</x:t>
        </x:is>
      </x:c>
      <x:c r="B30" t="inlineStr">
        <x:is>
          <x:t xml:space="preserve">20</x:t>
        </x:is>
      </x:c>
      <x:c r="C30" t="inlineStr">
        <x:is>
          <x:t xml:space="preserve">Lạng Sơn</x:t>
        </x:is>
      </x:c>
      <x:c r="D30" t="inlineStr">
        <x:is>
          <x:t xml:space="preserve">Tỉnh</x:t>
        </x:is>
      </x:c>
      <x:c r="E30" t="inlineStr">
        <x:is>
          <x:t xml:space="preserve">29_LangSon</x:t>
        </x:is>
      </x:c>
      <x:c r="F30" t="inlineStr">
        <x:is>
          <x:t xml:space="preserve">Lạng Sơn</x:t>
        </x:is>
      </x:c>
      <x:c r="G30" t="inlineStr">
        <x:is>
          <x:t xml:space="preserve">Số đầu sheet là STT dự án 01–34</x:t>
        </x:is>
      </x:c>
      <x:c r="H30" t="inlineStr">
        <x:is>
          <x:t xml:space="preserve">https://xaydungchinhsach.chinhphu.vn/bang-danh-muc-va-ma-so-cua-34-tinh-thanh-moi-cac-don-vi-hanh-chinh-cap-xa-moi-11925070418263625.htm</x:t>
        </x:is>
      </x:c>
    </x:row>
    <x:row r="31">
      <x:c r="A31" t="inlineStr">
        <x:is>
          <x:t xml:space="preserve">30</x:t>
        </x:is>
      </x:c>
      <x:c r="B31" t="inlineStr">
        <x:is>
          <x:t xml:space="preserve">04</x:t>
        </x:is>
      </x:c>
      <x:c r="C31" t="inlineStr">
        <x:is>
          <x:t xml:space="preserve">Cao Bằng</x:t>
        </x:is>
      </x:c>
      <x:c r="D31" t="inlineStr">
        <x:is>
          <x:t xml:space="preserve">Tỉnh</x:t>
        </x:is>
      </x:c>
      <x:c r="E31" t="inlineStr">
        <x:is>
          <x:t xml:space="preserve">30_CaoBang</x:t>
        </x:is>
      </x:c>
      <x:c r="F31" t="inlineStr">
        <x:is>
          <x:t xml:space="preserve">Cao Bằng</x:t>
        </x:is>
      </x:c>
      <x:c r="G31" t="inlineStr">
        <x:is>
          <x:t xml:space="preserve">Số đầu sheet là STT dự án 01–34</x:t>
        </x:is>
      </x:c>
      <x:c r="H31" t="inlineStr">
        <x:is>
          <x:t xml:space="preserve">https://xaydungchinhsach.chinhphu.vn/bang-danh-muc-va-ma-so-cua-34-tinh-thanh-moi-cac-don-vi-hanh-chinh-cap-xa-moi-11925070418263625.htm</x:t>
        </x:is>
      </x:c>
    </x:row>
    <x:row r="32">
      <x:c r="A32" t="inlineStr">
        <x:is>
          <x:t xml:space="preserve">31</x:t>
        </x:is>
      </x:c>
      <x:c r="B32" t="inlineStr">
        <x:is>
          <x:t xml:space="preserve">15</x:t>
        </x:is>
      </x:c>
      <x:c r="C32" t="inlineStr">
        <x:is>
          <x:t xml:space="preserve">Lào Cai</x:t>
        </x:is>
      </x:c>
      <x:c r="D32" t="inlineStr">
        <x:is>
          <x:t xml:space="preserve">Tỉnh</x:t>
        </x:is>
      </x:c>
      <x:c r="E32" t="inlineStr">
        <x:is>
          <x:t xml:space="preserve">31_LaoCai</x:t>
        </x:is>
      </x:c>
      <x:c r="F32" t="inlineStr">
        <x:is>
          <x:t xml:space="preserve">Yên Bái + Lào Cai</x:t>
        </x:is>
      </x:c>
      <x:c r="G32" t="inlineStr">
        <x:is>
          <x:t xml:space="preserve">Số đầu sheet là STT dự án 01–34</x:t>
        </x:is>
      </x:c>
      <x:c r="H32" t="inlineStr">
        <x:is>
          <x:t xml:space="preserve">https://xaydungchinhsach.chinhphu.vn/bang-danh-muc-va-ma-so-cua-34-tinh-thanh-moi-cac-don-vi-hanh-chinh-cap-xa-moi-11925070418263625.htm</x:t>
        </x:is>
      </x:c>
    </x:row>
    <x:row r="33">
      <x:c r="A33" t="inlineStr">
        <x:is>
          <x:t xml:space="preserve">32</x:t>
        </x:is>
      </x:c>
      <x:c r="B33" t="inlineStr">
        <x:is>
          <x:t xml:space="preserve">14</x:t>
        </x:is>
      </x:c>
      <x:c r="C33" t="inlineStr">
        <x:is>
          <x:t xml:space="preserve">Sơn La</x:t>
        </x:is>
      </x:c>
      <x:c r="D33" t="inlineStr">
        <x:is>
          <x:t xml:space="preserve">Tỉnh</x:t>
        </x:is>
      </x:c>
      <x:c r="E33" t="inlineStr">
        <x:is>
          <x:t xml:space="preserve">32_SonLa</x:t>
        </x:is>
      </x:c>
      <x:c r="F33" t="inlineStr">
        <x:is>
          <x:t xml:space="preserve">Sơn La</x:t>
        </x:is>
      </x:c>
      <x:c r="G33" t="inlineStr">
        <x:is>
          <x:t xml:space="preserve">Số đầu sheet là STT dự án 01–34</x:t>
        </x:is>
      </x:c>
      <x:c r="H33" t="inlineStr">
        <x:is>
          <x:t xml:space="preserve">https://xaydungchinhsach.chinhphu.vn/bang-danh-muc-va-ma-so-cua-34-tinh-thanh-moi-cac-don-vi-hanh-chinh-cap-xa-moi-11925070418263625.htm</x:t>
        </x:is>
      </x:c>
    </x:row>
    <x:row r="34">
      <x:c r="A34" t="inlineStr">
        <x:is>
          <x:t xml:space="preserve">33</x:t>
        </x:is>
      </x:c>
      <x:c r="B34" t="inlineStr">
        <x:is>
          <x:t xml:space="preserve">11</x:t>
        </x:is>
      </x:c>
      <x:c r="C34" t="inlineStr">
        <x:is>
          <x:t xml:space="preserve">Điện Biên</x:t>
        </x:is>
      </x:c>
      <x:c r="D34" t="inlineStr">
        <x:is>
          <x:t xml:space="preserve">Tỉnh</x:t>
        </x:is>
      </x:c>
      <x:c r="E34" t="inlineStr">
        <x:is>
          <x:t xml:space="preserve">33_DienBien</x:t>
        </x:is>
      </x:c>
      <x:c r="F34" t="inlineStr">
        <x:is>
          <x:t xml:space="preserve">Điện Biên</x:t>
        </x:is>
      </x:c>
      <x:c r="G34" t="inlineStr">
        <x:is>
          <x:t xml:space="preserve">Số đầu sheet là STT dự án 01–34</x:t>
        </x:is>
      </x:c>
      <x:c r="H34" t="inlineStr">
        <x:is>
          <x:t xml:space="preserve">https://xaydungchinhsach.chinhphu.vn/bang-danh-muc-va-ma-so-cua-34-tinh-thanh-moi-cac-don-vi-hanh-chinh-cap-xa-moi-11925070418263625.htm</x:t>
        </x:is>
      </x:c>
    </x:row>
    <x:row r="35">
      <x:c r="A35" t="inlineStr">
        <x:is>
          <x:t xml:space="preserve">34</x:t>
        </x:is>
      </x:c>
      <x:c r="B35" t="inlineStr">
        <x:is>
          <x:t xml:space="preserve">12</x:t>
        </x:is>
      </x:c>
      <x:c r="C35" t="inlineStr">
        <x:is>
          <x:t xml:space="preserve">Lai Châu</x:t>
        </x:is>
      </x:c>
      <x:c r="D35" t="inlineStr">
        <x:is>
          <x:t xml:space="preserve">Tỉnh</x:t>
        </x:is>
      </x:c>
      <x:c r="E35" t="inlineStr">
        <x:is>
          <x:t xml:space="preserve">34_LaiChau</x:t>
        </x:is>
      </x:c>
      <x:c r="F35" t="inlineStr">
        <x:is>
          <x:t xml:space="preserve">Lai Châu</x:t>
        </x:is>
      </x:c>
      <x:c r="G35" t="inlineStr">
        <x:is>
          <x:t xml:space="preserve">Số đầu sheet là STT dự án 01–34</x:t>
        </x:is>
      </x:c>
      <x:c r="H35" t="inlineStr">
        <x:is>
          <x:t xml:space="preserve">https://xaydungchinhsach.chinhphu.vn/bang-danh-muc-va-ma-so-cua-34-tinh-thanh-moi-cac-don-vi-hanh-chinh-cap-xa-moi-11925070418263625.htm</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3" max="3" width="70" style="91" customWidth="1"/>
  </x:cols>
  <x:sheetData>
    <x:row r="1" s="91" customFormat="1" ht="48" customHeight="1">
      <x:c r="A1" s="277" t="inlineStr">
        <x:is>
          <x:t xml:space="preserve">Ngày</x:t>
        </x:is>
      </x:c>
      <x:c r="B1" s="277" t="inlineStr">
        <x:is>
          <x:t xml:space="preserve">Phiên bản</x:t>
        </x:is>
      </x:c>
      <x:c r="C1" s="277" t="inlineStr">
        <x:is>
          <x:t xml:space="preserve">Thay đổi</x:t>
        </x:is>
      </x:c>
      <x:c r="D1" s="277" t="inlineStr">
        <x:is>
          <x:t xml:space="preserve">Record master</x:t>
        </x:is>
      </x:c>
      <x:c r="E1" s="277" t="inlineStr">
        <x:is>
          <x:t xml:space="preserve">Sheet tỉnh</x:t>
        </x:is>
      </x:c>
      <x:c r="F1" s="277" t="inlineStr">
        <x:is>
          <x:t xml:space="preserve">Trạng thái</x:t>
        </x:is>
      </x:c>
      <x:c r="G1" s="272" t="n"/>
      <x:c r="H1" s="272" t="n"/>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2">
      <x:c r="A2" s="99" t="n">
        <x:v>46247</x:v>
      </x:c>
      <x:c r="B2" t="inlineStr">
        <x:is>
          <x:t xml:space="preserve">v0.4</x:t>
        </x:is>
      </x:c>
      <x:c r="C2" t="inlineStr">
        <x:is>
          <x:t xml:space="preserve">Chốt 34 sheet liên tục 01–34; tách mã hành chính; giữ 19 record TP.HCM.</x:t>
        </x:is>
      </x:c>
      <x:c r="D2" t="n">
        <x:v>19</x:v>
      </x:c>
      <x:c r="E2" t="n">
        <x:v>34</x:v>
      </x:c>
      <x:c r="F2" t="inlineStr">
        <x:is>
          <x:t xml:space="preserve">Đã xuất checkpoint</x:t>
        </x:is>
      </x:c>
    </x:row>
    <x:row r="3">
      <x:c r="A3" s="99" t="n">
        <x:v>46247</x:v>
      </x:c>
      <x:c r="B3" t="inlineStr">
        <x:is>
          <x:t xml:space="preserve">v0.5</x:t>
        </x:is>
      </x:c>
      <x:c r="C3" t="inlineStr">
        <x:is>
          <x:t xml:space="preserve">Nạp 28/409 dòng đầu từ XLSX chính thức Hải Phòng; đồng bộ 03_HaiPhong và MASTER_ALL.</x:t>
        </x:is>
      </x:c>
      <x:c r="D3" t="n">
        <x:v>47</x:v>
      </x:c>
      <x:c r="E3" t="n">
        <x:v>34</x:v>
      </x:c>
      <x:c r="F3" t="inlineStr">
        <x:is>
          <x:t xml:space="preserve">Checkpoint đã xuất</x:t>
        </x:is>
      </x:c>
    </x:row>
    <x:row r="4">
      <x:c r="A4" s="99" t="n">
        <x:v>46247</x:v>
      </x:c>
      <x:c r="B4" t="inlineStr">
        <x:is>
          <x:t xml:space="preserve">v0.6</x:t>
        </x:is>
      </x:c>
      <x:c r="C4" t="inlineStr">
        <x:is>
          <x:t xml:space="preserve">Nạp 3 record pháp lý Hà Nội có số CBMP-HN và trạng thái thu hồi; đồng bộ 02_HaNoi + MASTER_ALL.</x:t>
        </x:is>
      </x:c>
      <x:c r="D4" t="n">
        <x:v>50</x:v>
      </x:c>
      <x:c r="E4" t="n">
        <x:v>34</x:v>
      </x:c>
      <x:c r="F4" t="inlineStr">
        <x:is>
          <x:t xml:space="preserve">Checkpoint đã xuất</x:t>
        </x:is>
      </x:c>
    </x:row>
    <x:row r="5">
      <x:c r="A5" s="99" t="n">
        <x:v>46247</x:v>
      </x:c>
      <x:c r="B5" t="inlineStr">
        <x:is>
          <x:t xml:space="preserve">v0.7</x:t>
        </x:is>
      </x:c>
      <x:c r="C5" t="inlineStr">
        <x:is>
          <x:t xml:space="preserve">Sửa mô hình dữ liệu: tách 3 thu hồi Hà Nội khỏi MASTER_ALL sang LEGAL_EVENTS; thêm SOURCE_COVERAGE; MASTER_ALL còn 47 record công bố đã nạp.</x:t>
        </x:is>
      </x:c>
      <x:c r="D5" t="n">
        <x:v>47</x:v>
      </x:c>
      <x:c r="E5" t="n">
        <x:v>34</x:v>
      </x:c>
      <x:c r="F5" t="inlineStr">
        <x:is>
          <x:t xml:space="preserve">Checkpoint đã xuất – chưa dùng để kết luận thị trường</x:t>
        </x:is>
      </x:c>
    </x:row>
    <x:row r="6">
      <x:c r="A6" s="99" t="n">
        <x:v>46247</x:v>
      </x:c>
      <x:c r="B6" t="inlineStr">
        <x:is>
          <x:t xml:space="preserve">v0.8</x:t>
        </x:is>
      </x:c>
      <x:c r="C6" t="inlineStr">
        <x:is>
          <x:t xml:space="preserve">Deep audit Hải Phòng: thêm 14 hồ sơ có số/ngày cấp từ phụ lục thu hồi; tách 409 legacy Hải Dương khỏi CBMP-HP hiện hành; thêm 03_HP_AUDIT.</x:t>
        </x:is>
      </x:c>
      <x:c r="D6" t="n">
        <x:v>61</x:v>
      </x:c>
      <x:c r="E6" t="n">
        <x:v>34</x:v>
      </x:c>
      <x:c r="F6" t="inlineStr">
        <x:is>
          <x:t xml:space="preserve">Checkpoint Hải Phòng để người dùng kiểm tra</x:t>
        </x:is>
      </x:c>
    </x:row>
    <x:row r="7">
      <x:c r="A7" t="inlineStr">
        <x:is>
          <x:t xml:space="preserve">2026-08-13</x:t>
        </x:is>
      </x:c>
      <x:c r="B7" t="inlineStr">
        <x:is>
          <x:t xml:space="preserve">v0.9</x:t>
        </x:is>
      </x:c>
      <x:c r="C7" t="inlineStr">
        <x:is>
          <x:t xml:space="preserve">Chuẩn hóa + bức tranh</x:t>
        </x:is>
      </x:c>
      <x:c r="D7" t="inlineStr">
        <x:is>
          <x:t xml:space="preserve">Gộp 41 dòng Hải Phòng về 1 tên; thêm sheet THI_TRUONG tự tính.</x:t>
        </x:is>
      </x:c>
    </x:row>
    <x:row r="8">
      <x:c r="A8" s="99" t="n">
        <x:v>46247</x:v>
      </x:c>
      <x:c r="B8" t="inlineStr">
        <x:is>
          <x:t xml:space="preserve">v0.10</x:t>
        </x:is>
      </x:c>
      <x:c r="C8" t="inlineStr">
        <x:is>
          <x:t xml:space="preserve">Giữ thiết kế THI_TRUONG của người dùng; chuyển KPI sang công thức động; khôi phục coverage/audit; sửa tỷ trọng Hải Phòng; thêm nguồn factory phía Tây Hải Phòng.</x:t>
        </x:is>
      </x:c>
      <x:c r="D8" t="n">
        <x:v>61</x:v>
      </x:c>
      <x:c r="E8" t="n">
        <x:v>34</x:v>
      </x:c>
      <x:c r="F8" t="inlineStr">
        <x:is>
          <x:t xml:space="preserve">Checkpoint đã xuất</x:t>
        </x:is>
      </x:c>
    </x:row>
    <x:row r="9">
      <x:c r="A9" s="99" t="n">
        <x:v>46247</x:v>
      </x:c>
      <x:c r="B9" t="inlineStr">
        <x:is>
          <x:t xml:space="preserve">v0.11</x:t>
        </x:is>
      </x:c>
      <x:c r="C9" t="inlineStr">
        <x:is>
          <x:t xml:space="preserve">Deep dive TP.HCM mới: thêm 46 số công bố chính thức từ quảng cáo/CFS SYT TP.HCM; gồm 24 CBMP-HCM + 22 CBMP-BD; thêm 01_HCM_AUDIT và BIG_CITY_SOURCE_MAP.</x:t>
        </x:is>
      </x:c>
      <x:c r="D9" t="n">
        <x:v>107</x:v>
      </x:c>
      <x:c r="E9" t="n">
        <x:v>34</x:v>
      </x:c>
      <x:c r="F9" t="inlineStr">
        <x:is>
          <x:t xml:space="preserve">Checkpoint đã xuất</x:t>
        </x:is>
      </x:c>
    </x:row>
    <x:row r="10">
      <x:c r="A10" s="99" t="n">
        <x:v>46247</x:v>
      </x:c>
      <x:c r="B10" t="inlineStr">
        <x:is>
          <x:t xml:space="preserve">v0.12</x:t>
        </x:is>
      </x:c>
      <x:c r="C10" t="inlineStr">
        <x:is>
          <x:t xml:space="preserve">Đào sâu Đà Nẵng: thêm 4 CBMP-ĐN 2024, thêm 1 CBMP-HCM GAMMA; thêm 5 legal events; xác nhận bulk RAR Đà Nẵng 2018; thêm 04_DN_AUDIT.</x:t>
        </x:is>
      </x:c>
      <x:c r="D10" t="n">
        <x:v>112</x:v>
      </x:c>
      <x:c r="E10" t="n">
        <x:v>34</x:v>
      </x:c>
      <x:c r="F10" t="inlineStr">
        <x:is>
          <x:t xml:space="preserve">Checkpoint đã xuất</x:t>
        </x:is>
      </x:c>
    </x:row>
    <x:row r="11">
      <x:c r="A11" s="99" t="n">
        <x:v>46247</x:v>
      </x:c>
      <x:c r="B11" t="inlineStr">
        <x:is>
          <x:t xml:space="preserve">v0.13</x:t>
        </x:is>
      </x:c>
      <x:c r="C11" t="inlineStr">
        <x:is>
          <x:t xml:space="preserve">Phát hiện kho lõi SYT TP.HCM 39.614 phiếu công bố + 250 cơ sở SX; nạp 20 declaration trực tiếp và tạo FACTORY_REGISTRY với 12 cơ sở mẫu.</x:t>
        </x:is>
      </x:c>
      <x:c r="D11" t="n">
        <x:v>132</x:v>
      </x:c>
      <x:c r="E11" t="n">
        <x:v>34</x:v>
      </x:c>
      <x:c r="F11" t="inlineStr">
        <x:is>
          <x:t xml:space="preserve">Checkpoint đã xuất</x:t>
        </x:is>
      </x:c>
    </x:row>
    <x:row r="12">
      <x:c r="A12" s="99" t="n">
        <x:v>46247</x:v>
      </x:c>
      <x:c r="B12" t="inlineStr">
        <x:is>
          <x:t xml:space="preserve">v0.14</x:t>
        </x:is>
      </x:c>
      <x:c r="C12" t="inlineStr">
        <x:is>
          <x:t xml:space="preserve">Thêm lớp RETAIL_ECOM_SIGNAL, LEGAL_ROUTE_MAP, IMPORT_DECLARATIONS; map Guardian/Watsons/Circle K/MM/MINISTOP/TikTok và quy tắc tách nhập khẩu vs nội địa.</x:t>
        </x:is>
      </x:c>
      <x:c r="D12" t="n">
        <x:v>132</x:v>
      </x:c>
      <x:c r="E12" t="n">
        <x:v>34</x:v>
      </x:c>
      <x:c r="F12" t="inlineStr">
        <x:is>
          <x:t xml:space="preserve">Checkpoint chiến lược nguồn liên đới</x:t>
        </x:is>
      </x:c>
    </x:row>
    <x:row r="13">
      <x:c r="A13" s="99" t="n">
        <x:v>46247</x:v>
      </x:c>
      <x:c r="B13" t="inlineStr">
        <x:is>
          <x:t xml:space="preserve">v0.15</x:t>
        </x:is>
      </x:c>
      <x:c r="C13" t="inlineStr">
        <x:is>
          <x:t xml:space="preserve">Khóa phạm vi ngành: Mẹ &amp; Bé nếu là hóa mỹ phẩm vẫn tính trong mỹ phẩm; thêm CATEGORY_MAP và sheet riêng DUOC_PHAM_TPCN cho TPCN/dược phẩm.</x:t>
        </x:is>
      </x:c>
      <x:c r="D13" t="n">
        <x:v>132</x:v>
      </x:c>
      <x:c r="E13" t="n">
        <x:v>34</x:v>
      </x:c>
      <x:c r="F13" t="inlineStr">
        <x:is>
          <x:t xml:space="preserve">Checkpoint taxonomy/phạm vi ngành</x:t>
        </x:is>
      </x:c>
    </x:row>
    <x:row r="14">
      <x:c r="A14" s="99" t="n">
        <x:v>46247</x:v>
      </x:c>
      <x:c r="B14" t="inlineStr">
        <x:is>
          <x:t xml:space="preserve">v0.16</x:t>
        </x:is>
      </x:c>
      <x:c r="C14" t="inlineStr">
        <x:is>
          <x:t xml:space="preserve">Đào sâu Mẹ &amp; Bé + nhập khẩu: nạp 10 CBMP-QLD cross-check (2 M.O.I Baby, 4 Bioderma, 4 Nuxe); tạo MOTHER_BABY_QUEUE 15 dòng; thêm Guardian/Watsons/GS25/WinMart signals.</x:t>
        </x:is>
      </x:c>
      <x:c r="D14" t="n">
        <x:v>132</x:v>
      </x:c>
      <x:c r="E14" t="n">
        <x:v>34</x:v>
      </x:c>
      <x:c r="F14" t="inlineStr">
        <x:is>
          <x:t xml:space="preserve">Checkpoint Mẹ&amp;Bé/import/retail</x:t>
        </x:is>
      </x:c>
    </x:row>
    <x:row r="15">
      <x:c r="A15" s="99" t="n">
        <x:v>46247</x:v>
      </x:c>
      <x:c r="B15" t="inlineStr">
        <x:is>
          <x:t xml:space="preserve">v0.17</x:t>
        </x:is>
      </x:c>
      <x:c r="C15" t="inlineStr">
        <x:is>
          <x:t xml:space="preserve">Khóa kiến trúc chống trùng: thêm DEDUPE_RULES, ENTITY_INDEX, OFFLINE_CHANNEL, ONLINE_CHANNEL, MISSING_DECLARATION_QUEUE, FACTORY_BRAND_MAP, PRODUCT_VARIANTS. Audit hiện tại: 116 local CBMP unique, 16 local rows chưa CBMP, 0 duplicate exact.</x:t>
        </x:is>
      </x:c>
      <x:c r="D15" t="n">
        <x:v>132</x:v>
      </x:c>
      <x:c r="E15" t="n">
        <x:v>34</x:v>
      </x:c>
      <x:c r="F15" t="inlineStr">
        <x:is>
          <x:t xml:space="preserve">Checkpoint anti-duplicate/channel architecture</x:t>
        </x:is>
      </x:c>
    </x:row>
    <x:row r="16">
      <x:c r="A16" s="99" t="n">
        <x:v>46247</x:v>
      </x:c>
      <x:c r="B16" t="inlineStr">
        <x:is>
          <x:t xml:space="preserve">v0.17-QA</x:t>
        </x:is>
      </x:c>
      <x:c r="C16" t="inlineStr">
        <x:is>
          <x:t xml:space="preserve">QA chống trùng factory alias: phát hiện 3 normalized factory key có nhiều raw names; thêm ENTITY_ALIAS_REVIEW và sửa Top Factory theo normalized entity.</x:t>
        </x:is>
      </x:c>
      <x:c r="D16" t="n">
        <x:v>132</x:v>
      </x:c>
      <x:c r="E16" t="n">
        <x:v>34</x:v>
      </x:c>
      <x:c r="F16" t="inlineStr">
        <x:is>
          <x:t xml:space="preserve">QA alias/dedupe</x:t>
        </x:is>
      </x:c>
    </x:row>
    <x:row r="17">
      <x:c r="A17" s="99" t="n">
        <x:v>46247</x:v>
      </x:c>
      <x:c r="B17" t="inlineStr">
        <x:is>
          <x:t xml:space="preserve">v0.18</x:t>
        </x:is>
      </x:c>
      <x:c r="C17" t="inlineStr">
        <x:is>
          <x:t xml:space="preserve">Thêm banner tiêu đề tiếng Việt ở đầu toàn bộ 63 sheet, giữ nguyên tên sheet kỹ thuật và không chèn/xóa dòng để bảo toàn công thức; tối ưu nhận diện khi dùng trên điện thoại.</x:t>
        </x:is>
      </x:c>
      <x:c r="D17" t="n">
        <x:v>132</x:v>
      </x:c>
      <x:c r="E17" t="n">
        <x:v>34</x:v>
      </x:c>
      <x:c r="F17" t="inlineStr">
        <x:is>
          <x:t xml:space="preserve">Checkpoint UI/mobile navigation</x:t>
        </x:is>
      </x:c>
    </x:row>
    <x:row r="18">
      <x:c r="A18" s="99" t="n">
        <x:v>46247</x:v>
      </x:c>
      <x:c r="B18" t="inlineStr">
        <x:is>
          <x:t xml:space="preserve">v0.19</x:t>
        </x:is>
      </x:c>
      <x:c r="C18" t="inlineStr">
        <x:is>
          <x:t xml:space="preserve">Mở rộng FACTORY_REGISTRY từ 12 lên 20/250 cơ sở chính thức TP.HCM; thêm HCM_FACTORY_CLUSTER để ưu tiên truy theo Tân Tạo, Củ Chi, VSIP, Q12, Thủ Đức, Gò Vấp.</x:t>
        </x:is>
      </x:c>
      <x:c r="D18" t="n">
        <x:v>132</x:v>
      </x:c>
      <x:c r="E18" t="n">
        <x:v>34</x:v>
      </x:c>
      <x:c r="F18" t="inlineStr">
        <x:is>
          <x:t xml:space="preserve">Checkpoint factory cluster HCM</x:t>
        </x:is>
      </x:c>
    </x:row>
    <x:row r="19">
      <x:c r="A19" s="99" t="n">
        <x:v>46247</x:v>
      </x:c>
      <x:c r="B19" t="inlineStr">
        <x:is>
          <x:t xml:space="preserve">v0.20</x:t>
        </x:is>
      </x:c>
      <x:c r="C19" t="inlineStr">
        <x:is>
          <x:t xml:space="preserve">Khóa bộ lọc 5 năm: tạo ACTIVE_2022_PLUS với 138 hồ sơ ưu tiên từ 2022+, gồm 129 nội địa và 9 nhập khẩu; tính hết hạn theo ngày cấp +5 năm khi có ngày.</x:t>
        </x:is>
      </x:c>
      <x:c r="D19" t="n">
        <x:v>132</x:v>
      </x:c>
      <x:c r="E19" t="n">
        <x:v>34</x:v>
      </x:c>
      <x:c r="F19" t="inlineStr">
        <x:is>
          <x:t xml:space="preserve">Checkpoint 5-year active scope</x:t>
        </x:is>
      </x:c>
    </x:row>
    <x:row r="20">
      <x:c r="A20" s="330" t="n">
        <x:v>46247</x:v>
      </x:c>
      <x:c r="B20" t="str">
        <x:v>v0.22</x:v>
      </x:c>
      <x:c r="C20" t="str">
        <x:v>Nâng Dashboard thành radar xu hướng: thêm MARKET_DIRECTION, so sánh 2022–24 vs 2025–26, Δ điểm %, macro Hair/Skin/Body, top tăng/giảm và brand dầu gội monitor.</x:v>
      </x:c>
      <x:c r="D20" t="n">
        <x:v>132</x:v>
      </x:c>
      <x:c r="E20" t="n">
        <x:v>34</x:v>
      </x:c>
      <x:c r="F20" t="str">
        <x:v>Checkpoint market direction</x:v>
      </x:c>
    </x:row>
    <x:row r="21">
      <x:c r="A21" s="330" t="n">
        <x:v>46247</x:v>
      </x:c>
      <x:c r="B21" t="str">
        <x:v>v0.23</x:v>
      </x:c>
      <x:c r="C21" t="str">
        <x:v>Đào sâu nguồn legal HCM: nạp 41 CBMP-HCM 2022–2024 từ các quyết định thu hồi chính thức (38 Tạ Minh Quang, 2 Đức Anh, 1 Hoàng Dũng); MASTER 173, HCM 127, legal events 63; rebuild dedupe/entity/factory/active analytics.</x:v>
      </x:c>
      <x:c r="D21" t="n">
        <x:v>173</x:v>
      </x:c>
      <x:c r="E21" t="n">
        <x:v>34</x:v>
      </x:c>
      <x:c r="F21" t="str">
        <x:v>Checkpoint HCM legal recovery</x:v>
      </x:c>
    </x:row>
    <x:row r="22">
      <x:c r="A22" s="330" t="n">
        <x:v>46247</x:v>
      </x:c>
      <x:c r="B22" t="str">
        <x:v>v0.24</x:v>
      </x:c>
      <x:c r="C22" t="str">
        <x:v>Khóa chiến lược quét tuần tự CBMP-HCM: thêm 2 seed ảnh gốc 005915/26 (GRATY, 07/07/2026) và 006016/26 (LUSTAC, 10/07/2026); tạo CBMP_SEQUENCE_SWEEP với block truy lùi/tiến, zero-pad và rule chống hiểu sai sequence.</x:v>
      </x:c>
      <x:c r="D22" t="n">
        <x:v>175</x:v>
      </x:c>
      <x:c r="E22" t="n">
        <x:v>34</x:v>
      </x:c>
      <x:c r="F22" t="str">
        <x:v>Checkpoint sequence sweep</x:v>
      </x:c>
    </x:row>
    <x:row r="23">
      <x:c r="A23" s="330" t="n">
        <x:v>46247</x:v>
      </x:c>
      <x:c r="B23" t="str">
        <x:v>v0.25</x:v>
      </x:c>
      <x:c r="C23" t="str">
        <x:v>CLEAN DATA GATE: loại 23 dòng thiếu/không chắc khỏi MASTER sang CHO_XAC_MINH; chuẩn hóa tiền tố 'Số ' CBMP-HD; MASTER sạch còn 152 declaration, TP.HCM 106; sequence sheet chỉ giữ 2 mốc thật, xoá dải giả định.</x:v>
      </x:c>
      <x:c r="D23" t="n">
        <x:v>152</x:v>
      </x:c>
      <x:c r="E23" t="n">
        <x:v>34</x:v>
      </x:c>
      <x:c r="F23" t="str">
        <x:v>Checkpoint strict verified data</x:v>
      </x:c>
    </x:row>
    <x:row r="24">
      <x:c r="A24" s="330" t="n">
        <x:v>46247</x:v>
      </x:c>
      <x:c r="B24" t="str">
        <x:v>v0.26</x:v>
      </x:c>
      <x:c r="C24" t="str">
        <x:v>Tiếp tục dữ liệu công khai: nạp 8 CBMP-HCM sạch 2022–2025 từ nguồn nhà nước/cơ quan kiểm nghiệm; MASTER 160, TP.HCM 114, legal events 71. Chốt PIF out of scope và sửa active logic: batch recall != thu hồi số tiếp nhận.</x:v>
      </x:c>
      <x:c r="D24" t="n">
        <x:v>160</x:v>
      </x:c>
      <x:c r="E24" t="n">
        <x:v>34</x:v>
      </x:c>
      <x:c r="F24" t="str">
        <x:v>Checkpoint public notification data</x:v>
      </x:c>
    </x:row>
    <x:row r="25">
      <x:c r="A25" s="330" t="n">
        <x:v>46247</x:v>
      </x:c>
      <x:c r="B25" t="str">
        <x:v>v0.27</x:v>
      </x:c>
      <x:c r="C25" t="str">
        <x:v>Nạp 11 CBMP-HCM sạch mới: 5 Đăng Dương + LYNSHAO + Y lang + Young One + Intasilk + Lesgo + Lucci. MASTER 171, TP.HCM 125, legal events 82.</x:v>
      </x:c>
      <x:c r="D25" t="n">
        <x:v>171</x:v>
      </x:c>
      <x:c r="E25" t="n">
        <x:v>34</x:v>
      </x:c>
      <x:c r="F25" t="str">
        <x:v>Checkpoint main data batch</x:v>
      </x:c>
    </x:row>
    <x:row r="26">
      <x:c r="A26" s="330" t="n">
        <x:v>46247</x:v>
      </x:c>
      <x:c r="B26" t="str">
        <x:v>v0.28</x:v>
      </x:c>
      <x:c r="C26" t="str">
        <x:v>Đào sâu Medinet legacy: xác định chuỗi snapshot công bố 09/12/2020 → 17/05/2021 → 25/06/2021, tạo MEDINET_LEGACY_ARCHIVE; chưa ingest record vì trang/file host đang anti-bot và chưa lấy được attachment thật.</x:v>
      </x:c>
      <x:c r="D26" t="n">
        <x:v>171</x:v>
      </x:c>
      <x:c r="E26" t="n">
        <x:v>34</x:v>
      </x:c>
      <x:c r="F26" t="str">
        <x:v>Checkpoint legacy source discovery</x:v>
      </x:c>
    </x:row>
    <x:row r="27">
      <x:c r="A27" s="330" t="n">
        <x:v>46247</x:v>
      </x:c>
      <x:c r="B27" t="str">
        <x:v>v0.29</x:v>
      </x:c>
      <x:c r="C27" t="str">
        <x:v>Quay lại source discovery từ trên xuống: tạo GOV_SOURCE_HIERARCHY và BD_LEGACY_SOURCE_MAP. Map Bộ Y tế, Cục QLD, DVCQG/VNSW, Sở TP.HCM, Sở/DVC/Open Data Bình Dương cũ và các lớp HCM ads/CFS/factory đang giữ CBMP-BD. Không thêm declaration khi chưa có record thật.</x:v>
      </x:c>
      <x:c r="D27" t="n">
        <x:v>171</x:v>
      </x:c>
      <x:c r="E27" t="n">
        <x:v>34</x:v>
      </x:c>
      <x:c r="F27" t="str">
        <x:v>Checkpoint government source hierarchy</x:v>
      </x:c>
    </x:row>
    <x:row r="28">
      <x:c r="A28" s="330" t="n">
        <x:v>46247</x:v>
      </x:c>
      <x:c r="B28" t="str">
        <x:v>v0.30</x:v>
      </x:c>
      <x:c r="C28" t="str">
        <x:v>Bắt đầu khôi phục Bình Dương cũ: nạp 2 CBMP-BD Marico mới (695/24 Botanika; 295/25 Xmen For Boss Intense), đều có bằng chứng thu hồi số tiếp nhận; MASTER 173, TP.HCM 127, CBMP-BD tổng 24.</x:v>
      </x:c>
      <x:c r="D28" t="n">
        <x:v>173</x:v>
      </x:c>
      <x:c r="E28" t="n">
        <x:v>34</x:v>
      </x:c>
      <x:c r="F28" t="str">
        <x:v>Checkpoint Bình Dương recovery – Marico</x:v>
      </x:c>
    </x:row>
    <x:row r="29">
      <x:c r="A29" s="330" t="n">
        <x:v>46248</x:v>
      </x:c>
      <x:c r="B29" t="str">
        <x:v>v0.31</x:v>
      </x:c>
      <x:c r="C29" t="str">
        <x:v>Hà Nội deep batch: nạp 8 CBMP-HN sạch; mở bulk 3748/SYT-NVD có 3 PDF; tạo 02_HN_AUDIT. MASTER 181, Hà Nội 8.</x:v>
      </x:c>
      <x:c r="D29" t="n">
        <x:v>181</x:v>
      </x:c>
      <x:c r="E29" t="n">
        <x:v>34</x:v>
      </x:c>
      <x:c r="F29" t="str">
        <x:v>Checkpoint Hà Nội first deep batch</x:v>
      </x:c>
    </x:row>
    <x:row r="30">
      <x:c r="A30" s="330" t="n">
        <x:v>46249</x:v>
      </x:c>
      <x:c r="B30" t="str">
        <x:v>MASTER-20260815</x:v>
      </x:c>
      <x:c r="C30" t="str">
        <x:v>Rebuilt from v0.32 + recovered branch + QĐ126 + CV1772/QLD-MP. Added 692 strict records; MASTER 873; exact duplicate 0.</x:v>
      </x:c>
      <x:c r="D30" t="n">
        <x:v>873</x:v>
      </x:c>
      <x:c r="E30" t="n">
        <x:v>34</x:v>
      </x:c>
      <x:c r="F30" t="str">
        <x:v>Single MASTER checkpoint</x:v>
      </x:c>
    </x:row>
    <x:row r="31">
      <x:c r="A31" s="330" t="n">
        <x:v>46250</x:v>
      </x:c>
      <x:c r="B31" t="str">
        <x:v>QĐ97-block1</x:v>
      </x:c>
      <x:c r="C31" t="str">
        <x:v>IMPORT bulk: nạp 56/252 CBMP-QLD QĐ97/2026, Công ty TNHH Y Dược Quốc Tế Đông Nam; 56/56 mới so với IMPORT hiện hữu. MASTER local giữ 873.</x:v>
      </x:c>
      <x:c r="D31" t="n">
        <x:v>873</x:v>
      </x:c>
      <x:c r="E31" t="n">
        <x:v>34</x:v>
      </x:c>
      <x:c r="F31" t="str">
        <x:v>Tiếp tục block 57–252</x:v>
      </x:c>
    </x:row>
    <x:row r="32">
      <x:c r="A32" s="330" t="n">
        <x:v>46250</x:v>
      </x:c>
      <x:c r="B32" t="str">
        <x:v>QĐ97-complete</x:v>
      </x:c>
      <x:c r="C32" t="str">
        <x:v>Hoàn tất QĐ97: nạp thêm 166 CBMP-QLD 2022+ (STT 57–182 và 213–252). Tổng QĐ97 2022+ = 222/252; loại 30 hồ sơ 2021. IMPORT=232.</x:v>
      </x:c>
      <x:c r="D32" t="n">
        <x:v>873</x:v>
      </x:c>
      <x:c r="E32" t="n">
        <x:v>34</x:v>
      </x:c>
      <x:c r="F32" t="str">
        <x:v>BULK QĐ97 COMPLETE</x:v>
      </x:c>
    </x:row>
    <x:row r="33">
      <x:c r="A33" t="n">
        <x:v>46255</x:v>
      </x:c>
      <x:c r="B33" t="str">
        <x:v>CONSOLIDATE-ALL-FILES</x:v>
      </x:c>
      <x:c r="C33" t="str">
        <x:v>Hợp nhất 8 workbook hiện có: local 873→901 (+28), import 232→316 (+84), conflict=0; exact CBMP unique.</x:v>
      </x:c>
      <x:c r="D33" t="n">
        <x:v>901</x:v>
      </x:c>
      <x:c r="E33" t="n">
        <x:v>34</x:v>
      </x:c>
      <x:c r="F33" t="str">
        <x:v>Không bỏ dữ liệu file rời; base=QD97_COMPLETE</x:v>
      </x:c>
    </x:row>
    <x:row r="34">
      <x:c r="A34" s="330" t="n">
        <x:v>46256</x:v>
      </x:c>
      <x:c r="B34" t="str">
        <x:v>HN-37481-STT521-541</x:v>
      </x:c>
      <x:c r="C34" t="str">
        <x:v>37481.pdf: clean=21; overlap=0; nhập +21. MASTER=922; import=316; verified=1238; dup=0.</x:v>
      </x:c>
      <x:c r="D34" t="n">
        <x:v>922</x:v>
      </x:c>
      <x:c r="E34" t="n">
        <x:v>34</x:v>
      </x:c>
      <x:c r="F34" t="str">
        <x:v>BULK-FIRST; official Hanoi source; no filler; PIF out of scope</x:v>
      </x:c>
    </x:row>
    <x:row r="35">
      <x:c r="A35" s="330" t="n">
        <x:v>46256</x:v>
      </x:c>
      <x:c r="B35" t="str">
        <x:v>HN-37481-STT542-551</x:v>
      </x:c>
      <x:c r="C35" t="str">
        <x:v>37481.pdf: clean=10; overlap=0; nhập +10. MASTER=932; import=316; verified=1248; dup=0.</x:v>
      </x:c>
      <x:c r="D35" t="n">
        <x:v>932</x:v>
      </x:c>
      <x:c r="E35" t="n">
        <x:v>34</x:v>
      </x:c>
      <x:c r="F35" t="str">
        <x:v>BULK-FIRST; official Hanoi source; no filler; PIF out of scope</x:v>
      </x:c>
    </x:row>
    <x:row r="36">
      <x:c r="A36" s="330" t="n">
        <x:v>46256</x:v>
      </x:c>
      <x:c r="B36" t="str">
        <x:v>HN-QD940-BLOCK1051-1066</x:v>
      </x:c>
      <x:c r="C36" t="str">
        <x:v>QĐ940 Hà Nội: clean=16; overlap=0; nhập +16. MASTER=948; import=316; verified=1264; dup=0.</x:v>
      </x:c>
      <x:c r="D36" t="n">
        <x:v>948</x:v>
      </x:c>
      <x:c r="E36" t="n">
        <x:v>34</x:v>
      </x:c>
      <x:c r="F36" t="str">
        <x:v>BULK-FIRST; official government mirror; no filler; PIF out of scope</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6" style="91" customWidth="1"/>
    <x:col min="2" max="2" width="88" style="91" customWidth="1"/>
  </x:cols>
  <x:sheetData>
    <x:row r="1" s="91" customFormat="1" ht="48" customHeight="1">
      <x:c r="A1" s="276" t="inlineStr">
        <x:is>
          <x:t xml:space="preserve">Quy tắc</x:t>
        </x:is>
      </x:c>
      <x:c r="B1" s="276" t="inlineStr">
        <x:is>
          <x:t xml:space="preserve">Nội dung</x:t>
        </x:is>
      </x:c>
      <x:c r="C1" s="272" t="n"/>
      <x:c r="D1" s="272" t="n"/>
      <x:c r="E1" s="272" t="n"/>
      <x:c r="F1" s="272" t="n"/>
      <x:c r="G1" s="272" t="n"/>
      <x:c r="H1" s="272" t="n"/>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2">
      <x:c r="A2" t="inlineStr">
        <x:is>
          <x:t xml:space="preserve">Checkpoint</x:t>
        </x:is>
      </x:c>
      <x:c r="B2" t="inlineStr">
        <x:is>
          <x:t xml:space="preserve">Làm tới đâu phải xuất file tới đó rồi mới đi tiếp.</x:t>
        </x:is>
      </x:c>
    </x:row>
    <x:row r="3">
      <x:c r="A3" t="inlineStr">
        <x:is>
          <x:t xml:space="preserve">Số đầu sheet</x:t>
        </x:is>
      </x:c>
      <x:c r="B3" t="inlineStr">
        <x:is>
          <x:t xml:space="preserve">01–34 là STT dự án, không phải mã hành chính.</x:t>
        </x:is>
      </x:c>
    </x:row>
    <x:row r="4">
      <x:c r="A4" t="inlineStr">
        <x:is>
          <x:t xml:space="preserve">Mã hành chính</x:t>
        </x:is>
      </x:c>
      <x:c r="B4" t="inlineStr">
        <x:is>
          <x:t xml:space="preserve">Giữ ở cột riêng để đối chiếu pháp lý.</x:t>
        </x:is>
      </x:c>
    </x:row>
    <x:row r="5">
      <x:c r="A5" t="inlineStr">
        <x:is>
          <x:t xml:space="preserve">Dữ liệu được tính</x:t>
        </x:is>
      </x:c>
      <x:c r="B5" t="inlineStr">
        <x:is>
          <x:t xml:space="preserve">Chỉ tính record đã thực sự ghi vào file và kiểm tra được.</x:t>
        </x:is>
      </x:c>
    </x:row>
    <x:row r="6">
      <x:c r="A6" t="inlineStr">
        <x:is>
          <x:t xml:space="preserve">Hải Phòng</x:t>
        </x:is>
      </x:c>
      <x:c r="B6" t="inlineStr">
        <x:is>
          <x:t xml:space="preserve">Đã có nguồn XLSX nhưng v0.4 chưa nạp dữ liệu, nên record = 0.</x:t>
        </x:is>
      </x:c>
    </x:row>
    <x:row r="7">
      <x:c r="A7" t="inlineStr">
        <x:is>
          <x:t xml:space="preserve">Bước kế tiếp</x:t>
        </x:is>
      </x:c>
      <x:c r="B7" t="inlineStr">
        <x:is>
          <x:t xml:space="preserve">Nạp dữ liệu Hải Phòng/Hà Nội trên chính checkpoint này và xuất phiên bản tiếp.</x:t>
        </x:is>
      </x:c>
    </x:row>
    <x:row r="8">
      <x:c r="A8" s="108" t="inlineStr">
        <x:is>
          <x:t xml:space="preserve">Checkpoint v0.5</x:t>
        </x:is>
      </x:c>
      <x:c r="B8" s="109" t="inlineStr">
        <x:is>
          <x:t xml:space="preserve">Hải Phòng đã nạp 28/409 dòng đã đọc trực tiếp từ XLSX chính thức; chưa đánh dấu hoàn tất.</x:t>
        </x:is>
      </x:c>
    </x:row>
    <x:row r="9">
      <x:c r="A9" s="108" t="inlineStr">
        <x:is>
          <x:t xml:space="preserve">Quy tắc tiếp tục</x:t>
        </x:is>
      </x:c>
      <x:c r="B9" s="109" t="inlineStr">
        <x:is>
          <x:t xml:space="preserve">Chỉ nạp dòng lấy được từ nguồn; không suy đoán phần còn thiếu.</x:t>
        </x:is>
      </x:c>
    </x:row>
    <x:row r="10">
      <x:c r="A10" s="40" t="inlineStr">
        <x:is>
          <x:t xml:space="preserve">Checkpoint v0.6</x:t>
        </x:is>
      </x:c>
      <x:c r="B10" s="109" t="inlineStr">
        <x:is>
          <x:t xml:space="preserve">Hà Nội đã nạp 3 record pháp lý có số CBMP-HN; nguồn 3748/SYT-NVD đã xác nhận nhưng chưa lấy hết 3 file đính kèm.</x:t>
        </x:is>
      </x:c>
    </x:row>
    <x:row r="11">
      <x:c r="A11" s="40" t="inlineStr">
        <x:is>
          <x:t xml:space="preserve">Nguyên tắc</x:t>
        </x:is>
      </x:c>
      <x:c r="B11" s="109" t="inlineStr">
        <x:is>
          <x:t xml:space="preserve">Record thu hồi vẫn giữ trong lịch sử database và gắn trạng thái pháp lý, không xóa.</x:t>
        </x:is>
      </x:c>
    </x:row>
    <x:row r="12">
      <x:c r="A12" s="54" t="inlineStr">
        <x:is>
          <x:t xml:space="preserve">MASTER_ALL</x:t>
        </x:is>
      </x:c>
      <x:c r="B12" s="109" t="inlineStr">
        <x:is>
          <x:t xml:space="preserve">Chỉ chứa record công bố/cấp số tiếp nhận dùng để phân tích cơ cấu sản phẩm.</x:t>
        </x:is>
      </x:c>
    </x:row>
    <x:row r="13">
      <x:c r="A13" s="54" t="inlineStr">
        <x:is>
          <x:t xml:space="preserve">LEGAL_EVENTS</x:t>
        </x:is>
      </x:c>
      <x:c r="B13" s="109" t="inlineStr">
        <x:is>
          <x:t xml:space="preserve">Chứa thu hồi, đình chỉ, thay đổi pháp lý. Không cộng như công bố mới.</x:t>
        </x:is>
      </x:c>
    </x:row>
    <x:row r="14">
      <x:c r="A14" s="54" t="inlineStr">
        <x:is>
          <x:t xml:space="preserve">SOURCE_COVERAGE</x:t>
        </x:is>
      </x:c>
      <x:c r="B14" s="109" t="inlineStr">
        <x:is>
          <x:t xml:space="preserve">Luôn nhìn sheet này trước khi đọc Dashboard: tổng nguồn đã biết vs đã nhập.</x:t>
        </x:is>
      </x:c>
    </x:row>
    <x:row r="15">
      <x:c r="A15" s="54" t="inlineStr">
        <x:is>
          <x:t xml:space="preserve">Điều kiện phân tích</x:t>
        </x:is>
      </x:c>
      <x:c r="B15" s="109" t="inlineStr">
        <x:is>
          <x:t xml:space="preserve">Chỉ tính tỷ trọng thị trường khi dữ liệu nguồn của địa phương đạt độ phủ đủ cao và nhất quán theo kỳ.</x:t>
        </x:is>
      </x:c>
    </x:row>
    <x:row r="16">
      <x:c r="A16" s="54" t="inlineStr">
        <x:is>
          <x:t xml:space="preserve">Sai lệch đã sửa</x:t>
        </x:is>
      </x:c>
      <x:c r="B16" s="109" t="inlineStr">
        <x:is>
          <x:t xml:space="preserve">v0.6 từng trộn 3 thu hồi Hà Nội vào MASTER_ALL; v0.7 đã tách ra.</x:t>
        </x:is>
      </x:c>
    </x:row>
    <x:row r="17">
      <x:c r="A17" s="80" t="inlineStr">
        <x:is>
          <x:t xml:space="preserve">Mẫu chuẩn Hải Phòng</x:t>
        </x:is>
      </x:c>
      <x:c r="B17" s="109" t="inlineStr">
        <x:is>
          <x:t xml:space="preserve">Có sheet 03_HP_AUDIT: tách phạm vi nguồn, lỗi dữ liệu, coverage, cross-check và legal events.</x:t>
        </x:is>
      </x:c>
    </x:row>
    <x:row r="18">
      <x:c r="A18" s="80" t="inlineStr">
        <x:is>
          <x:t xml:space="preserve">Legacy vs hiện hành</x:t>
        </x:is>
      </x:c>
      <x:c r="B18" s="109" t="inlineStr">
        <x:is>
          <x:t xml:space="preserve">CBMP-HD = Hải Dương lịch sử; CBMP-HP = Hải Phòng. Không trộn và không giả định thay thế nhau.</x:t>
        </x:is>
      </x:c>
    </x:row>
    <x:row r="19">
      <x:c r="A19" s="80" t="inlineStr">
        <x:is>
          <x:t xml:space="preserve">Điểm nhà máy</x:t>
        </x:is>
      </x:c>
      <x:c r="B19" s="109" t="inlineStr">
        <x:is>
          <x:t xml:space="preserve">Không dùng 3 cột nhà máy/MST từ file legacy vì nguồn xuất giá trị '20' cho toàn bộ 409 dòng.</x:t>
        </x:is>
      </x:c>
    </x:row>
    <x:row r="20">
      <x:c r="A20" s="80" t="inlineStr">
        <x:is>
          <x:t xml:space="preserve">Gate hoàn tất tỉnh</x:t>
        </x:is>
      </x:c>
      <x:c r="B20" s="109" t="inlineStr">
        <x:is>
          <x:t xml:space="preserve">Chỉ đánh dấu hoàn tất khi nguồn nền + nguồn trước sáp nhập + nguồn hiện hành đã được xác định và QA.</x:t>
        </x:is>
      </x:c>
    </x:row>
    <x:row r="21">
      <x:c r="A21" s="147" t="inlineStr">
        <x:is>
          <x:t xml:space="preserve">THI_TRUONG</x:t>
        </x:is>
      </x:c>
      <x:c r="B21" s="109" t="inlineStr">
        <x:is>
          <x:t xml:space="preserve">Lớp nhìn nhanh; số lượng/tỷ trọng lấy bằng công thức từ MASTER_ALL; có dòng kiểm tra tổng.</x:t>
        </x:is>
      </x:c>
    </x:row>
    <x:row r="22">
      <x:c r="A22" s="147" t="inlineStr">
        <x:is>
          <x:t xml:space="preserve">Top công ty</x:t>
        </x:is>
      </x:c>
      <x:c r="B22" s="109" t="inlineStr">
        <x:is>
          <x:t xml:space="preserve">Số lượng tự động theo MASTER_ALL; thứ hạng Top 12 rà lại mỗi checkpoint.</x:t>
        </x:is>
      </x:c>
    </x:row>
    <x:row r="23">
      <x:c r="A23" s="147" t="inlineStr">
        <x:is>
          <x:t xml:space="preserve">Coverage Hải Phòng</x:t>
        </x:is>
      </x:c>
      <x:c r="B23" s="109" t="inlineStr">
        <x:is>
          <x:t xml:space="preserve">Tách 03-A legacy Hải Dương, 03-B CBMP-HP hiện hành, 03-C nguồn factory.</x:t>
        </x:is>
      </x:c>
    </x:row>
    <x:row r="24">
      <x:c r="A24" s="147" t="inlineStr">
        <x:is>
          <x:t xml:space="preserve">Audit tỷ trọng</x:t>
        </x:is>
      </x:c>
      <x:c r="B24" s="109" t="inlineStr">
        <x:is>
          <x:t xml:space="preserve">Tỷ trọng nhóm trong 03_HP_AUDIT chia cho tổng declaration G8, không chia cho legal events.</x:t>
        </x:is>
      </x:c>
    </x:row>
    <x:row r="25">
      <x:c r="A25" s="147" t="inlineStr">
        <x:is>
          <x:t xml:space="preserve">Factory source</x:t>
        </x:is>
      </x:c>
      <x:c r="B25" s="109" t="inlineStr">
        <x:is>
          <x:t xml:space="preserve">Nguồn cơ sở sản xuất mỹ phẩm phía Tây Hải Phòng là lớp FACTORY, không cộng vào số công bố.</x:t>
        </x:is>
      </x:c>
    </x:row>
    <x:row r="26">
      <x:c r="A26" s="164" t="inlineStr">
        <x:is>
          <x:t xml:space="preserve">TP.HCM mới</x:t>
        </x:is>
      </x:c>
      <x:c r="B26" s="109" t="inlineStr">
        <x:is>
          <x:t xml:space="preserve">Hợp nhất 3 kho lịch sử: TP.HCM cũ + Bình Dương cũ + Bà Rịa–Vũng Tàu cũ.</x:t>
        </x:is>
      </x:c>
    </x:row>
    <x:row r="27">
      <x:c r="A27" s="164" t="inlineStr">
        <x:is>
          <x:t xml:space="preserve">Đơn vị hành chính</x:t>
        </x:is>
      </x:c>
      <x:c r="B27" s="109" t="inlineStr">
        <x:is>
          <x:t xml:space="preserve">TP.HCM hiện có 168 đơn vị cấp xã: 113 phường, 54 xã, 1 đặc khu; không dùng 24 quận/phường làm khung dữ liệu.</x:t>
        </x:is>
      </x:c>
    </x:row>
    <x:row r="28">
      <x:c r="A28" s="164" t="inlineStr">
        <x:is>
          <x:t xml:space="preserve">Reverse lookup</x:t>
        </x:is>
      </x:c>
      <x:c r="B28" s="109" t="inlineStr">
        <x:is>
          <x:t xml:space="preserve">Quảng cáo/CFS dùng truy sản phẩm ↔ số công bố ↔ doanh nghiệp; tổng quảng cáo không phải tổng declaration.</x:t>
        </x:is>
      </x:c>
    </x:row>
    <x:row r="29">
      <x:c r="A29" s="164" t="inlineStr">
        <x:is>
          <x:t xml:space="preserve">Khu công nghiệp</x:t>
        </x:is>
      </x:c>
      <x:c r="B29" s="109" t="inlineStr">
        <x:is>
          <x:t xml:space="preserve">Ưu tiên VSIP/Bình Hòa, Dĩ An, Thuận An, Sóng Thần, Bến Cát, Tân Uyên, Củ Chi, Phú Mỹ/Vũng Tàu.</x:t>
        </x:is>
      </x:c>
    </x:row>
    <x:row r="30">
      <x:c r="A30" s="164" t="inlineStr">
        <x:is>
          <x:t xml:space="preserve">Gate HCM</x:t>
        </x:is>
      </x:c>
      <x:c r="B30" s="109" t="inlineStr">
        <x:is>
          <x:t xml:space="preserve">Chỉ chốt coverage khi bulk HCM + Bình Dương + BRVT + hiện hành đủ và QA.</x:t>
        </x:is>
      </x:c>
    </x:row>
    <x:row r="31">
      <x:c r="A31" s="183" t="inlineStr">
        <x:is>
          <x:t xml:space="preserve">Đà Nẵng</x:t>
        </x:is>
      </x:c>
      <x:c r="B31" s="109" t="inlineStr">
        <x:is>
          <x:t xml:space="preserve">Tách 3 luồng: Đà Nẵng cũ, Quảng Nam cũ, Đà Nẵng hiện hành.</x:t>
        </x:is>
      </x:c>
    </x:row>
    <x:row r="32">
      <x:c r="A32" s="183" t="inlineStr">
        <x:is>
          <x:t xml:space="preserve">Bulk Đà Nẵng</x:t>
        </x:is>
      </x:c>
      <x:c r="B32" s="109" t="inlineStr">
        <x:is>
          <x:t xml:space="preserve">Ưu tiên file danh sách tổng của Sở Y tế; legal pages chỉ dùng cross-check/bổ sung trạng thái.</x:t>
        </x:is>
      </x:c>
    </x:row>
    <x:row r="33">
      <x:c r="A33" s="183" t="inlineStr">
        <x:is>
          <x:t xml:space="preserve">Legal cross-check</x:t>
        </x:is>
      </x:c>
      <x:c r="B33" s="109" t="inlineStr">
        <x:is>
          <x:t xml:space="preserve">Record có số CBMP-ĐN được phép vào MASTER_ALL nhưng phải ghi rõ mức xác minh và trạng thái pháp lý.</x:t>
        </x:is>
      </x:c>
    </x:row>
    <x:row r="34">
      <x:c r="A34" s="183" t="inlineStr">
        <x:is>
          <x:t xml:space="preserve">Gate thành phố lớn</x:t>
        </x:is>
      </x:c>
      <x:c r="B34" s="109" t="inlineStr">
        <x:is>
          <x:t xml:space="preserve">Không suy rộng cơ cấu thị trường cho tới khi coverage nguồn nền đủ cao.</x:t>
        </x:is>
      </x:c>
    </x:row>
    <x:row r="35">
      <x:c r="A35" s="203" t="inlineStr">
        <x:is>
          <x:t xml:space="preserve">Kho lõi TP.HCM</x:t>
        </x:is>
      </x:c>
      <x:c r="B35" s="109" t="inlineStr">
        <x:is>
          <x:t xml:space="preserve">Ưu tiên https://tracuu.medinet.org.vn/.../congbo-mypham vì hiện có 39.614 kết quả Phiếu tiếp nhận Công bố mỹ phẩm.</x:t>
        </x:is>
      </x:c>
    </x:row>
    <x:row r="36">
      <x:c r="A36" s="203" t="inlineStr">
        <x:is>
          <x:t xml:space="preserve">Dedupe TP.HCM</x:t>
        </x:is>
      </x:c>
      <x:c r="B36" s="109" t="inlineStr">
        <x:is>
          <x:t xml:space="preserve">Mọi nguồn MEDINET, QC, CFS, CBMP-BD phải dedupe bằng Số CBMP trước khi cộng vào MASTER_ALL.</x:t>
        </x:is>
      </x:c>
    </x:row>
    <x:row r="37">
      <x:c r="A37" s="203" t="inlineStr">
        <x:is>
          <x:t xml:space="preserve">Factory registry</x:t>
        </x:is>
      </x:c>
      <x:c r="B37" s="109" t="inlineStr">
        <x:is>
          <x:t xml:space="preserve">Kho 250 cơ sở đủ điều kiện sản xuất là lớp FACTORY; dùng nối sản phẩm ↔ nhà máy, không cộng vào declaration.</x:t>
        </x:is>
      </x:c>
    </x:row>
    <x:row r="38">
      <x:c r="A38" s="203" t="inlineStr">
        <x:is>
          <x:t xml:space="preserve">Số nguồn bất thường</x:t>
        </x:is>
      </x:c>
      <x:c r="B38" s="109" t="inlineStr">
        <x:is>
          <x:t xml:space="preserve">Nếu số CBMP trên portal có định dạng lạ, giữ nguyên văn và gắn cờ cần đối chiếu hồ sơ gốc.</x:t>
        </x:is>
      </x:c>
    </x:row>
    <x:row r="39">
      <x:c r="A39" s="203" t="inlineStr">
        <x:is>
          <x:t xml:space="preserve">Thị trường</x:t>
        </x:is>
      </x:c>
      <x:c r="B39" s="109" t="inlineStr">
        <x:is>
          <x:t xml:space="preserve">Chỉ `MASTER_ALL` sau dedupe mới được dùng tính cơ cấu; SOURCE_COVERAGE là độ phủ theo từng luồng nguồn.</x:t>
        </x:is>
      </x:c>
    </x:row>
    <x:row r="40">
      <x:c r="A40" s="212" t="inlineStr">
        <x:is>
          <x:t xml:space="preserve">Retail signal</x:t>
        </x:is>
      </x:c>
      <x:c r="B40" s="109" t="inlineStr">
        <x:is>
          <x:t xml:space="preserve">Có mặt tại Guardian/Watsons/siêu thị/cửa hàng 24/7 = dấu vết lưu hành; đưa vào RETAIL_ECOM_SIGNAL để truy ngược pháp lý.</x:t>
        </x:is>
      </x:c>
    </x:row>
    <x:row r="41">
      <x:c r="A41" s="212" t="inlineStr">
        <x:is>
          <x:t xml:space="preserve">Không mặc nhiên hợp pháp</x:t>
        </x:is>
      </x:c>
      <x:c r="B41" s="109" t="inlineStr">
        <x:is>
          <x:t xml:space="preserve">Có bán không đồng nghĩa đã xác minh số công bố/hiệu lực; chỉ khi tìm được số và nguồn pháp lý mới đưa declaration vào MASTER_ALL.</x:t>
        </x:is>
      </x:c>
    </x:row>
    <x:row r="42">
      <x:c r="A42" s="212" t="inlineStr">
        <x:is>
          <x:t xml:space="preserve">Hàng nhập khẩu</x:t>
        </x:is>
      </x:c>
      <x:c r="B42" s="109" t="inlineStr">
        <x:is>
          <x:t xml:space="preserve">Tách sang IMPORT_DECLARATIONS; cơ quan tiếp nhận là Cục Quản lý Dược qua Cổng một cửa quốc gia.</x:t>
        </x:is>
      </x:c>
    </x:row>
    <x:row r="43">
      <x:c r="A43" s="212" t="inlineStr">
        <x:is>
          <x:t xml:space="preserve">Hàng sản xuất trong nước</x:t>
        </x:is>
      </x:c>
      <x:c r="B43" s="109" t="inlineStr">
        <x:is>
          <x:t xml:space="preserve">Công bố tại Sở Y tế nơi đặt nhà máy sản xuất.</x:t>
        </x:is>
      </x:c>
    </x:row>
    <x:row r="44">
      <x:c r="A44" s="212" t="inlineStr">
        <x:is>
          <x:t xml:space="preserve">Bán thành phẩm nhập khẩu</x:t>
        </x:is>
      </x:c>
      <x:c r="B44" s="109" t="inlineStr">
        <x:is>
          <x:t xml:space="preserve">Nếu sản xuất/đóng gói tại Việt Nam thì theo thủ tục hiện hành được coi là sản xuất trong nước.</x:t>
        </x:is>
      </x:c>
    </x:row>
    <x:row r="45">
      <x:c r="A45" s="212" t="inlineStr">
        <x:is>
          <x:t xml:space="preserve">Sàn TMĐT</x:t>
        </x:is>
      </x:c>
      <x:c r="B45" s="109" t="inlineStr">
        <x:is>
          <x:t xml:space="preserve">Dùng như platform-enforced signal. TikTok Shop từ 20/03/2026 yêu cầu trường giấy phép cho mỹ phẩm.</x:t>
        </x:is>
      </x:c>
    </x:row>
    <x:row r="46">
      <x:c r="A46" s="212" t="inlineStr">
        <x:is>
          <x:t xml:space="preserve">Giấy tờ sàn</x:t>
        </x:is>
      </x:c>
      <x:c r="B46" s="109" t="inlineStr">
        <x:is>
          <x:t xml:space="preserve">Không mặc nhiên kết luận mọi sàn đều có cùng chính sách hoặc chỉ chấp nhận 'giấy mới'; phải xác minh riêng từng nền tảng và hiệu lực hồ sơ.</x:t>
        </x:is>
      </x:c>
    </x:row>
    <x:row r="47">
      <x:c r="A47" s="212" t="inlineStr">
        <x:is>
          <x:t xml:space="preserve">Ưu tiên reverse lookup</x:t>
        </x:is>
      </x:c>
      <x:c r="B47" s="109" t="inlineStr">
        <x:is>
          <x:t xml:space="preserve">1) SKU bán nhiều/chuỗi lớn 2) SKU nhiều đánh giá/breadth cao 3) hàng nhập khẩu 4) sản phẩm ở nhiều chuỗi cùng lúc.</x:t>
        </x:is>
      </x:c>
    </x:row>
    <x:row r="48">
      <x:c r="A48" s="222" t="inlineStr">
        <x:is>
          <x:t xml:space="preserve">Mẹ &amp; Bé</x:t>
        </x:is>
      </x:c>
      <x:c r="B48" s="109" t="inlineStr">
        <x:is>
          <x:t xml:space="preserve">Nếu sản phẩm mẹ &amp; bé có bản chất là mỹ phẩm/hóa mỹ phẩm thì vẫn thuộc phạm vi dự án mỹ phẩm.</x:t>
        </x:is>
      </x:c>
    </x:row>
    <x:row r="49">
      <x:c r="A49" s="222" t="inlineStr">
        <x:is>
          <x:t xml:space="preserve">Cách phân loại Mẹ &amp; Bé</x:t>
        </x:is>
      </x:c>
      <x:c r="B49" s="109" t="inlineStr">
        <x:is>
          <x:t xml:space="preserve">Giữ Nhóm chuẩn theo công dụng (Dầu gội, Sữa tắm, Kem dưỡng...) và dùng Nhóm phụ để tag 'Mẹ &amp; Bé'.</x:t>
        </x:is>
      </x:c>
    </x:row>
    <x:row r="50">
      <x:c r="A50" s="222" t="inlineStr">
        <x:is>
          <x:t xml:space="preserve">Không gom tất cả Mẹ &amp; Bé</x:t>
        </x:is>
      </x:c>
      <x:c r="B50" s="109" t="inlineStr">
        <x:is>
          <x:t xml:space="preserve">Tã/bỉm/bình sữa/đồ dùng không phải hóa mỹ phẩm thì không đưa vào MASTER_ALL.</x:t>
        </x:is>
      </x:c>
    </x:row>
    <x:row r="51">
      <x:c r="A51" s="222" t="inlineStr">
        <x:is>
          <x:t xml:space="preserve">TPCN + Dược phẩm</x:t>
        </x:is>
      </x:c>
      <x:c r="B51" s="109" t="inlineStr">
        <x:is>
          <x:t xml:space="preserve">Tách sang sheet DUOC_PHAM_TPCN, không trộn với MASTER_ALL mỹ phẩm.</x:t>
        </x:is>
      </x:c>
    </x:row>
    <x:row r="52">
      <x:c r="A52" s="222" t="inlineStr">
        <x:is>
          <x:t xml:space="preserve">Giữ phân biệt</x:t>
        </x:is>
      </x:c>
      <x:c r="B52" s="109" t="inlineStr">
        <x:is>
          <x:t xml:space="preserve">Trong DUOC_PHAM_TPCN luôn giữ cột Loại dữ liệu để phân biệt 'TPCN' và 'Dược phẩm' dù cùng lớp pharma.</x:t>
        </x:is>
      </x:c>
    </x:row>
    <x:row r="53">
      <x:c r="A53" s="222" t="inlineStr">
        <x:is>
          <x:t xml:space="preserve">Mỹ phẩm nhập khẩu</x:t>
        </x:is>
      </x:c>
      <x:c r="B53" s="109" t="inlineStr">
        <x:is>
          <x:t xml:space="preserve">Tiếp tục để riêng IMPORT_DECLARATIONS; sau này có thể hợp nhất ở lớp phân tích thị trường nhưng không trộn pháp lý.</x:t>
        </x:is>
      </x:c>
    </x:row>
    <x:row r="54">
      <x:c r="A54" s="222" t="inlineStr">
        <x:is>
          <x:t xml:space="preserve">CATEGORY_MAP</x:t>
        </x:is>
      </x:c>
      <x:c r="B54" s="109" t="inlineStr">
        <x:is>
          <x:t xml:space="preserve">Là bảng quy tắc phạm vi chuẩn; mọi agent/phiên sau phải tham chiếu trước khi phân loại.</x:t>
        </x:is>
      </x:c>
    </x:row>
    <x:row r="55">
      <x:c r="A55" s="233" t="inlineStr">
        <x:is>
          <x:t xml:space="preserve">MOTHER_BABY_QUEUE</x:t>
        </x:is>
      </x:c>
      <x:c r="B55" s="109" t="inlineStr">
        <x:is>
          <x:t xml:space="preserve">Queue riêng cho SKU Mẹ &amp; Bé hóa mỹ phẩm thấy bán thật; dùng reverse lookup chứ không coi là declaration.</x:t>
        </x:is>
      </x:c>
    </x:row>
    <x:row r="56">
      <x:c r="A56" s="233" t="inlineStr">
        <x:is>
          <x:t xml:space="preserve">Mẹ &amp; Bé imported</x:t>
        </x:is>
      </x:c>
      <x:c r="B56" s="109" t="inlineStr">
        <x:is>
          <x:t xml:space="preserve">Nếu có CBMP-QLD thì đưa IMPORT_DECLARATIONS; vẫn có thể được tính vào bức tranh thị trường mỹ phẩm sau này.</x:t>
        </x:is>
      </x:c>
    </x:row>
    <x:row r="57">
      <x:c r="A57" s="233" t="inlineStr">
        <x:is>
          <x:t xml:space="preserve">Mẹ &amp; Bé nội địa</x:t>
        </x:is>
      </x:c>
      <x:c r="B57" s="109" t="inlineStr">
        <x:is>
          <x:t xml:space="preserve">Nếu có CBMP tỉnh/thành thì đưa MASTER_ALL theo tỉnh nơi nhà máy đặt.</x:t>
        </x:is>
      </x:c>
    </x:row>
    <x:row r="58">
      <x:c r="A58" s="233" t="inlineStr">
        <x:is>
          <x:t xml:space="preserve">Dedupe SKU</x:t>
        </x:is>
      </x:c>
      <x:c r="B58" s="109" t="inlineStr">
        <x:is>
          <x:t xml:space="preserve">Nhiều dung tích/mùi có thể cùng hoặc khác số CBMP; dedupe theo số công bố, không chỉ theo tên SKU.</x:t>
        </x:is>
      </x:c>
    </x:row>
    <x:row r="59">
      <x:c r="A59" s="233" t="inlineStr">
        <x:is>
          <x:t xml:space="preserve">Convenience/Supermarket</x:t>
        </x:is>
      </x:c>
      <x:c r="B59" s="109" t="inlineStr">
        <x:is>
          <x:t xml:space="preserve">GS25/WinMart/Circle K/MINISTOP là signal kênh; chỉ tạo record pháp lý khi truy được số công bố.</x:t>
        </x:is>
      </x:c>
    </x:row>
    <x:row r="60">
      <x:c r="A60" s="267" t="inlineStr">
        <x:is>
          <x:t xml:space="preserve">DEDUPE_RULES</x:t>
        </x:is>
      </x:c>
      <x:c r="B60" s="109" t="inlineStr">
        <x:is>
          <x:t xml:space="preserve">Bộ quy tắc chống trùng bắt buộc. Ưu tiên Số CBMP/CBMP-QLD; không dedupe bằng tên sản phẩm đơn thuần.</x:t>
        </x:is>
      </x:c>
    </x:row>
    <x:row r="61">
      <x:c r="A61" s="267" t="inlineStr">
        <x:is>
          <x:t xml:space="preserve">ENTITY_INDEX</x:t>
        </x:is>
      </x:c>
      <x:c r="B61" s="109" t="inlineStr">
        <x:is>
          <x:t xml:space="preserve">Chỉ mục nối legal entity, product entity, variant, brand, company và factory. Dùng để kiểm soát trùng xuyên sheet.</x:t>
        </x:is>
      </x:c>
    </x:row>
    <x:row r="62">
      <x:c r="A62" s="267" t="inlineStr">
        <x:is>
          <x:t xml:space="preserve">PRODUCT_VARIANTS</x:t>
        </x:is>
      </x:c>
      <x:c r="B62" s="109" t="inlineStr">
        <x:is>
          <x:t xml:space="preserve">Tách dung tích, mùi, màu, pack, barcode, seller SKU khỏi sản phẩm pháp lý. Nhiều variant có thể dùng cùng một CBMP.</x:t>
        </x:is>
      </x:c>
    </x:row>
    <x:row r="63">
      <x:c r="A63" s="267" t="inlineStr">
        <x:is>
          <x:t xml:space="preserve">FACTORY_BRAND_MAP</x:t>
        </x:is>
      </x:c>
      <x:c r="B63" s="109" t="inlineStr">
        <x:is>
          <x:t xml:space="preserve">Quan hệ nhiều-nhiều Factory ↔ Brand ↔ Legal Product. Một nhà máy làm hàng trăm brand/sản phẩm là dữ liệu hợp lệ, không phải duplicate.</x:t>
        </x:is>
      </x:c>
    </x:row>
    <x:row r="64">
      <x:c r="A64" s="267" t="inlineStr">
        <x:is>
          <x:t xml:space="preserve">OFFLINE_CHANNEL</x:t>
        </x:is>
      </x:c>
      <x:c r="B64" s="109" t="inlineStr">
        <x:is>
          <x:t xml:space="preserve">Kênh cửa hàng/chuỗi/siêu thị. Một SKU xuất hiện nhiều điểm bán là nhiều channel relations, không phải nhiều legal products.</x:t>
        </x:is>
      </x:c>
    </x:row>
    <x:row r="65">
      <x:c r="A65" s="267" t="inlineStr">
        <x:is>
          <x:t xml:space="preserve">ONLINE_CHANNEL</x:t>
        </x:is>
      </x:c>
      <x:c r="B65" s="109" t="inlineStr">
        <x:is>
          <x:t xml:space="preserve">Sàn/web/listing online. Dùng CHANNEL_LISTING_ID riêng; cùng SKU ở nhiều sàn không được cộng thành nhiều sản phẩm.</x:t>
        </x:is>
      </x:c>
    </x:row>
    <x:row r="66">
      <x:c r="A66" s="267" t="inlineStr">
        <x:is>
          <x:t xml:space="preserve">RETAIL_ECOM_SIGNAL</x:t>
        </x:is>
      </x:c>
      <x:c r="B66" s="109" t="inlineStr">
        <x:is>
          <x:t xml:space="preserve">Giữ làm catalog/staging nguồn tín hiệu; phân tích vận hành dùng OFFLINE_CHANNEL và ONLINE_CHANNEL.</x:t>
        </x:is>
      </x:c>
    </x:row>
    <x:row r="67">
      <x:c r="A67" s="267" t="inlineStr">
        <x:is>
          <x:t xml:space="preserve">MISSING_DECLARATION_QUEUE</x:t>
        </x:is>
      </x:c>
      <x:c r="B67" s="109" t="inlineStr">
        <x:is>
          <x:t xml:space="preserve">Sản phẩm thấy bán nhưng chưa tìm được công bố vẫn phải giữ để tạo góc nhìn và truy bù.</x:t>
        </x:is>
      </x:c>
    </x:row>
    <x:row r="68">
      <x:c r="A68" s="267" t="inlineStr">
        <x:is>
          <x:t xml:space="preserve">Câu kết luận chuẩn</x:t>
        </x:is>
      </x:c>
      <x:c r="B68" s="109" t="inlineStr">
        <x:is>
          <x:t xml:space="preserve">Ghi 'CHƯA TÌM THẤY CÔNG BỐ tại thời điểm kiểm tra' – không ghi 'không có công bố' hoặc 'vi phạm' nếu chưa đủ bằng chứng.</x:t>
        </x:is>
      </x:c>
    </x:row>
    <x:row r="69">
      <x:c r="A69" s="267" t="inlineStr">
        <x:is>
          <x:t xml:space="preserve">Khóa dự phòng</x:t>
        </x:is>
      </x:c>
      <x:c r="B69" s="109" t="inlineStr">
        <x:is>
          <x:t xml:space="preserve">Nếu chưa có CBMP: dùng tên chuẩn hóa + brand + công ty chịu trách nhiệm + nhà SX chỉ để phát hiện candidate, không auto-merge.</x:t>
        </x:is>
      </x:c>
    </x:row>
    <x:row r="70">
      <x:c r="A70" s="267" t="inlineStr">
        <x:is>
          <x:t xml:space="preserve">Dedupe xuyên kênh</x:t>
        </x:is>
      </x:c>
      <x:c r="B70" s="109" t="inlineStr">
        <x:is>
          <x:t xml:space="preserve">Một Product Entity có thể có nhiều Variant và nhiều Offline/Online Listings; chỉ legal entity mới dùng để đếm hồ sơ công bố.</x:t>
        </x:is>
      </x:c>
    </x:row>
    <x:row r="71">
      <x:c r="A71" s="291" t="inlineStr">
        <x:is>
          <x:t xml:space="preserve">Tiêu đề tiếng Việt</x:t>
        </x:is>
      </x:c>
      <x:c r="B71" s="109" t="inlineStr">
        <x:is>
          <x:t xml:space="preserve">Mỗi sheet giữ nguyên tên kỹ thuật nhưng có banner tiếng Việt ở đầu để người dùng biết ngay đang ở khu vực nào.</x:t>
        </x:is>
      </x:c>
    </x:row>
    <x:row r="72">
      <x:c r="A72" s="291" t="inlineStr">
        <x:is>
          <x:t xml:space="preserve">Dùng trên điện thoại</x:t>
        </x:is>
      </x:c>
      <x:c r="B72" s="109" t="inlineStr">
        <x:is>
          <x:t xml:space="preserve">Banner nằm góc trên bên trái, không chèn/xóa dòng nên không làm lệch công thức hoặc khóa dữ liệu.</x:t>
        </x:is>
      </x:c>
    </x:row>
    <x:row r="73">
      <x:c r="A73" s="291" t="inlineStr">
        <x:is>
          <x:t xml:space="preserve">Ví dụ</x:t>
        </x:is>
      </x:c>
      <x:c r="B73" s="109" t="inlineStr">
        <x:is>
          <x:t xml:space="preserve">OFFLINE_CHANNEL = KÊNH CỬA HÀNG / SHOP OFFLINE; ONLINE_CHANNEL = KÊNH ONLINE / SÀN THƯƠNG MẠI ĐIỆN TỬ.</x:t>
        </x:is>
      </x:c>
    </x:row>
    <x:row r="74">
      <x:c r="A74" s="298" t="inlineStr">
        <x:is>
          <x:t xml:space="preserve">HCM_FACTORY_CLUSTER</x:t>
        </x:is>
      </x:c>
      <x:c r="B74" s="109" t="inlineStr">
        <x:is>
          <x:t xml:space="preserve">Bản đồ cụm nhà máy TP.HCM để ưu tiên truy sản phẩm/OEM theo KCN và khu vực.</x:t>
        </x:is>
      </x:c>
    </x:row>
    <x:row r="75">
      <x:c r="A75" s="298" t="inlineStr">
        <x:is>
          <x:t xml:space="preserve">Ưu tiên cụm</x:t>
        </x:is>
      </x:c>
      <x:c r="B75" s="109" t="inlineStr">
        <x:is>
          <x:t xml:space="preserve">Tân Tạo/Bình Tân, Củ Chi/KCN Đông Nam, VSIP/Bình Dương cũ, Quận 12, Thủ Đức, Gò Vấp.</x:t>
        </x:is>
      </x:c>
    </x:row>
    <x:row r="76">
      <x:c r="A76" s="298" t="inlineStr">
        <x:is>
          <x:t xml:space="preserve">Cách dùng</x:t>
        </x:is>
      </x:c>
      <x:c r="B76" s="109" t="inlineStr">
        <x:is>
          <x:t xml:space="preserve">Nhà máy là node quan hệ; dùng FACTORY_ID/ĐKSXMP để nối nhiều brand và nhiều legal products, không dedupe sản phẩm theo nhà máy.</x:t>
        </x:is>
      </x:c>
    </x:row>
    <x:row r="77">
      <x:c r="A77" s="311" t="inlineStr">
        <x:is>
          <x:t xml:space="preserve">ACTIVE_2022_PLUS</x:t>
        </x:is>
      </x:c>
      <x:c r="B77" s="109" t="inlineStr">
        <x:is>
          <x:t xml:space="preserve">Sheet vận hành ưu tiên tên công ty + số công bố từ năm 2022 trở đi.</x:t>
        </x:is>
      </x:c>
    </x:row>
    <x:row r="78">
      <x:c r="A78" s="311" t="inlineStr">
        <x:is>
          <x:t xml:space="preserve">Lý do 2022+</x:t>
        </x:is>
      </x:c>
      <x:c r="B78" s="109" t="inlineStr">
        <x:is>
          <x:t xml:space="preserve">Số tiếp nhận Phiếu công bố mỹ phẩm có giá trị 05 năm kể từ ngày cấp.</x:t>
        </x:is>
      </x:c>
    </x:row>
    <x:row r="79">
      <x:c r="A79" s="311" t="inlineStr">
        <x:is>
          <x:t xml:space="preserve">Không hiểu sai 5 năm</x:t>
        </x:is>
      </x:c>
      <x:c r="B79" s="109" t="inlineStr">
        <x:is>
          <x:t xml:space="preserve">Hiệu lực phải tính theo ngày cấp cụ thể + 5 năm, không chỉ nhìn 2 số năm trên mã CBMP.</x:t>
        </x:is>
      </x:c>
    </x:row>
    <x:row r="80">
      <x:c r="A80" s="311" t="inlineStr">
        <x:is>
          <x:t xml:space="preserve">Hồ sơ 2021</x:t>
        </x:is>
      </x:c>
      <x:c r="B80" s="109" t="inlineStr">
        <x:is>
          <x:t xml:space="preserve">Không xóa khỏi lịch sử; cuối năm 2021 vẫn có thể còn hiệu lực trong một phần năm 2026 nếu chưa qua đúng ngày hết hạn.</x:t>
        </x:is>
      </x:c>
    </x:row>
    <x:row r="81">
      <x:c r="A81" s="311" t="inlineStr">
        <x:is>
          <x:t xml:space="preserve">Thu hồi/thay đổi</x:t>
        </x:is>
      </x:c>
      <x:c r="B81" s="109" t="inlineStr">
        <x:is>
          <x:t xml:space="preserve">Dù còn trong 5 năm vẫn phải đối chiếu LEGAL_EVENTS và các quyết định thu hồi/thay đổi.</x:t>
        </x:is>
      </x:c>
    </x:row>
    <x:row r="82">
      <x:c r="A82" s="311" t="inlineStr">
        <x:is>
          <x:t xml:space="preserve">Ưu tiên thu thập</x:t>
        </x:is>
      </x:c>
      <x:c r="B82" s="109" t="inlineStr">
        <x:is>
          <x:t xml:space="preserve">Từ nay khi đào nguồn: lấy ít nhất Năm cấp + Số CBMP + Công ty chịu trách nhiệm + Tên sản phẩm; cố lấy Ngày cấp chính xác.</x:t>
        </x:is>
      </x:c>
    </x:row>
    <x:row r="83">
      <x:c r="A83" s="439" t="str">
        <x:v>MARKET_DIRECTION</x:v>
      </x:c>
      <x:c r="B83" s="340" t="str">
        <x:v>Radar xu hướng dùng 2022–2024 làm nền và 2025–2026 làm giai đoạn gần đây.</x:v>
      </x:c>
    </x:row>
    <x:row r="84">
      <x:c r="A84" s="439" t="str">
        <x:v>Δ điểm %</x:v>
      </x:c>
      <x:c r="B84" s="340" t="str">
        <x:v>So sánh tỷ trọng hồ sơ công bố giữa hai giai đoạn; không phải tăng trưởng doanh số.</x:v>
      </x:c>
    </x:row>
    <x:row r="85">
      <x:c r="A85" s="439" t="str">
        <x:v>Macro</x:v>
      </x:c>
      <x:c r="B85" s="340" t="str">
        <x:v>Haircare / Skincare / Body-Personal giúp nhìn thị trường dịch chuyển về cụm nhu cầu nào.</x:v>
      </x:c>
    </x:row>
    <x:row r="86">
      <x:c r="A86" s="439" t="str">
        <x:v>Brand Dầu gội</x:v>
      </x:c>
      <x:c r="B86" s="340" t="str">
        <x:v>Hiển thị % trong riêng nhóm Dầu gội và % trên toàn bộ hồ sơ 2022+.</x:v>
      </x:c>
    </x:row>
    <x:row r="87">
      <x:c r="A87" s="439" t="str">
        <x:v>Độ tin cậy</x:v>
      </x:c>
      <x:c r="B87" s="340" t="str">
        <x:v>Đánh giá theo cỡ mẫu hiện tại; sẽ nâng thêm khi coverage nguồn tăng.</x:v>
      </x:c>
    </x:row>
    <x:row r="88">
      <x:c r="A88" s="451" t="str">
        <x:v>Legal-history source</x:v>
      </x:c>
      <x:c r="B88" s="340" t="str">
        <x:v>Quyết định thu hồi là nguồn rất mạnh để khôi phục số CBMP + ngày cấp + công ty + nhà máy lịch sử.</x:v>
      </x:c>
    </x:row>
    <x:row r="89">
      <x:c r="A89" s="451" t="str">
        <x:v>MASTER_ALL</x:v>
      </x:c>
      <x:c r="B89" s="340" t="str">
        <x:v>Vẫn lưu declaration đã thu hồi để bảo toàn lịch sử pháp lý, nhưng ghi trạng thái Thu hồi.</x:v>
      </x:c>
    </x:row>
    <x:row r="90">
      <x:c r="A90" s="451" t="str">
        <x:v>Active analysis</x:v>
      </x:c>
      <x:c r="B90" s="340" t="str">
        <x:v>MARKET_DIRECTION và trạng thái ACTIVE_2022_PLUS loại hồ sơ Thu hồi/Đình chỉ khỏi base hiện hành.</x:v>
      </x:c>
    </x:row>
    <x:row r="91">
      <x:c r="A91" s="451" t="str">
        <x:v>Dedupe</x:v>
      </x:c>
      <x:c r="B91" s="340" t="str">
        <x:v>Hai số CBMP khác nhau cho cùng tên sản phẩm vẫn là hai legal records; không gộp chỉ vì tên giống nhau.</x:v>
      </x:c>
    </x:row>
    <x:row r="92">
      <x:c r="A92" s="459" t="str">
        <x:v>CBMP_SEQUENCE_SWEEP</x:v>
      </x:c>
      <x:c r="B92" t="str">
        <x:v>Khi nguồn bulk bị bí, dùng sequence trước dấu /YY/CBMP-HCM để quét lùi/tiến theo số.</x:v>
      </x:c>
    </x:row>
    <x:row r="93">
      <x:c r="A93" s="459" t="str">
        <x:v>Zero-pad</x:v>
      </x:c>
      <x:c r="B93" t="str">
        <x:v>Chuẩn hóa phần số thành 6 chữ số: 5915 → 005915; vẫn giữ source literal.</x:v>
      </x:c>
    </x:row>
    <x:row r="94">
      <x:c r="A94" s="459" t="str">
        <x:v>Không hiểu sai</x:v>
      </x:c>
      <x:c r="B94" t="str">
        <x:v>006016 không đồng nghĩa chính xác 6.016 sản phẩm đang lưu hành hay 6.016 SKU thị trường.</x:v>
      </x:c>
    </x:row>
    <x:row r="95">
      <x:c r="A95" s="459" t="str">
        <x:v>Lý do</x:v>
      </x:c>
      <x:c r="B95" t="str">
        <x:v>Có thể có số thu hồi, số trùng tên sản phẩm khác hồ sơ, khoảng trống, render portal lỗi, hoặc hồ sơ không còn active.</x:v>
      </x:c>
    </x:row>
    <x:row r="96">
      <x:c r="A96" s="459" t="str">
        <x:v>Cách quét</x:v>
      </x:c>
      <x:c r="B96" t="str">
        <x:v>Ưu tiên vùng gần mốc đã biết; chia block 100/500; lấy Số CBMP + ngày + company + product + brand + factory.</x:v>
      </x:c>
    </x:row>
    <x:row r="97">
      <x:c r="A97" s="459" t="str">
        <x:v>Portal anomaly</x:v>
      </x:c>
      <x:c r="B97" t="str">
        <x:v>Portal hiện có một số record hiển thị leading-zero không nhất quán; search cả dạng chuẩn và dạng rút gọn.</x:v>
      </x:c>
    </x:row>
    <x:row r="98">
      <x:c r="A98" s="459" t="str">
        <x:v>Stop rule</x:v>
      </x:c>
      <x:c r="B98" t="str">
        <x:v>Không dừng chỉ vì vài số trống; phải tìm được mốc latest official gần ngày hiện tại.</x:v>
      </x:c>
    </x:row>
    <x:row r="99">
      <x:c r="A99" s="471" t="str">
        <x:v>CLEAN DATA GATE</x:v>
      </x:c>
      <x:c r="B99" s="340" t="str">
        <x:v>Từ v0.25, MASTER_ALL chỉ nhận record có số CBMP + tên sản phẩm + công ty chịu trách nhiệm + nguồn chính thống.</x:v>
      </x:c>
    </x:row>
    <x:row r="100">
      <x:c r="A100" s="471" t="str">
        <x:v>CHO_XAC_MINH</x:v>
      </x:c>
      <x:c r="B100" s="340" t="str">
        <x:v>Mọi dòng thiếu số, thiếu công ty hoặc số portal bất thường chuyển sang đây; KHÔNG tính Dashboard/thị trường.</x:v>
      </x:c>
    </x:row>
    <x:row r="101">
      <x:c r="A101" s="471" t="str">
        <x:v>Không filler</x:v>
      </x:c>
      <x:c r="B101" s="340" t="str">
        <x:v>Không tạo trước dải số, không điền record giả để lấp khoảng trống.</x:v>
      </x:c>
    </x:row>
    <x:row r="102">
      <x:c r="A102" s="471" t="str">
        <x:v>Sequence</x:v>
      </x:c>
      <x:c r="B102" s="340" t="str">
        <x:v>Chỉ là phương pháp TÌM: thử số liền kề rồi xác minh từng kết quả thật.</x:v>
      </x:c>
    </x:row>
    <x:row r="103">
      <x:c r="A103" s="471" t="str">
        <x:v>Portal lỗi</x:v>
      </x:c>
      <x:c r="B103" s="340" t="str">
        <x:v>Nếu số hiển thị bất thường như chuỗi 2026 quá lớn, không dùng cho tới khi có ảnh phiếu gốc/cross-check độc lập.</x:v>
      </x:c>
    </x:row>
    <x:row r="104">
      <x:c r="A104" s="471" t="str">
        <x:v>Source literal</x:v>
      </x:c>
      <x:c r="B104" s="340" t="str">
        <x:v>Có thể sửa tiền tố trình bày như 'Số 01/24/CBMP-HD' → '01/24/CBMP-HD'; ghi chú nguồn vẫn giữ provenance.</x:v>
      </x:c>
    </x:row>
    <x:row r="105">
      <x:c r="A105" s="471" t="str">
        <x:v>Historical revoked</x:v>
      </x:c>
      <x:c r="B105" s="340" t="str">
        <x:v>Hồ sơ thu hồi vẫn là legal history thật và có thể giữ MASTER, nhưng bị loại khỏi ACTIVE/MARKET_DIRECTION.</x:v>
      </x:c>
    </x:row>
    <x:row r="106">
      <x:c r="A106" s="471" t="str">
        <x:v>Dashboard</x:v>
      </x:c>
      <x:c r="B106" s="340" t="str">
        <x:v>Chỉ phản ánh MASTER sạch; pending không tham gia tỷ trọng.</x:v>
      </x:c>
    </x:row>
    <x:row r="107">
      <x:c r="A107" s="476" t="str">
        <x:v>PHẠM VI CHÍNH</x:v>
      </x:c>
      <x:c r="B107" s="340" t="str">
        <x:v>Chỉ thu thập thông tin công khai liên quan Phiếu công bố mỹ phẩm: số CBMP, sản phẩm/nhãn, công ty chịu trách nhiệm, nhà sản xuất, ngày cấp/hết hạn khi công khai, trạng thái pháp lý.</x:v>
      </x:c>
    </x:row>
    <x:row r="108">
      <x:c r="A108" s="476" t="str">
        <x:v>PIF</x:v>
      </x:c>
      <x:c r="B108" s="340" t="str">
        <x:v>Không thu thập. PIF thuộc hồ sơ doanh nghiệp/cơ quan quản lý và không cần cho mục tiêu market intelligence này.</x:v>
      </x:c>
    </x:row>
    <x:row r="109">
      <x:c r="A109" s="476" t="str">
        <x:v>Ngày cấp</x:v>
      </x:c>
      <x:c r="B109" s="340" t="str">
        <x:v>Không thấy từ nguồn chính thức thì để trống; không suy từ số sequence.</x:v>
      </x:c>
    </x:row>
    <x:row r="110">
      <x:c r="A110" s="476" t="str">
        <x:v>Batch recall</x:v>
      </x:c>
      <x:c r="B110" s="340" t="str">
        <x:v>Thu hồi một lô không tự động đồng nghĩa số tiếp nhận Phiếu công bố đã bị thu hồi.</x:v>
      </x:c>
    </x:row>
    <x:row r="111">
      <x:c r="A111" s="476" t="str">
        <x:v>Active logic</x:v>
      </x:c>
      <x:c r="B111" s="340" t="str">
        <x:v>Chỉ loại khỏi active khi có bằng chứng thu hồi số tiếp nhận/đề nghị thu hồi số tiếp nhận đủ mạnh; batch recall vẫn giữ trạng thái riêng.</x:v>
      </x:c>
    </x:row>
    <x:row r="112">
      <x:c r="A112" s="476" t="str">
        <x:v>Nguồn dùng</x:v>
      </x:c>
      <x:c r="B112" s="340" t="str">
        <x:v>Ưu tiên Cục QLD, Sở Y tế, Trung tâm Kiểm nghiệm, cổng chính quyền/QLTT có dẫn văn bản chính thức.</x:v>
      </x:c>
    </x:row>
    <x:row r="113">
      <x:c r="A113" s="482" t="str">
        <x:v>MEDINET_LEGACY_ARCHIVE</x:v>
      </x:c>
      <x:c r="B113" s="340" t="str">
        <x:v>Theo dõi hệ thống Medinet cũ và các snapshot công bố trước cổng tra cứu structured hiện hành.</x:v>
      </x:c>
    </x:row>
    <x:row r="114">
      <x:c r="A114" s="482" t="str">
        <x:v>Archive không = MASTER</x:v>
      </x:c>
      <x:c r="B114" s="340" t="str">
        <x:v>Phát hiện trang/URL chưa đủ để nhập declaration. Phải mở danh sách/attachment hoặc cross-check record cụ thể.</x:v>
      </x:c>
    </x:row>
    <x:row r="115">
      <x:c r="A115" s="482" t="str">
        <x:v>Anti-bot</x:v>
      </x:c>
      <x:c r="B115" s="340" t="str">
        <x:v>medinet.gov.vn và file.medinet.gov.vn hiện có CAPTCHA/Request Rejected; không bypass.</x:v>
      </x:c>
    </x:row>
    <x:row r="116">
      <x:c r="A116" s="482" t="str">
        <x:v>Vai trò archive</x:v>
      </x:c>
      <x:c r="B116" s="340" t="str">
        <x:v>Dùng tìm bulk list, alias công ty/nhà máy, lịch sử migration và bù record cũ nếu current portal thiếu.</x:v>
      </x:c>
    </x:row>
    <x:row r="117">
      <x:c r="A117" s="482" t="str">
        <x:v>Ưu tiên 2022+</x:v>
      </x:c>
      <x:c r="B117" s="340" t="str">
        <x:v>Snapshot 2020–2021 là nguồn phụ; việc chính vẫn là public CBMP 2022–2026.</x:v>
      </x:c>
    </x:row>
    <x:row r="118">
      <x:c r="A118" s="491" t="str">
        <x:v>GOV_SOURCE_HIERARCHY</x:v>
      </x:c>
      <x:c r="B118" s="340" t="str">
        <x:v>Bản đồ nguồn nhà nước theo thứ tự Bộ Y tế → Cục QLD → DVC/Một cửa → Sở Y tế → archive tỉnh.</x:v>
      </x:c>
    </x:row>
    <x:row r="119">
      <x:c r="A119" s="491" t="str">
        <x:v>BD_LEGACY_SOURCE_MAP</x:v>
      </x:c>
      <x:c r="B119" s="340" t="str">
        <x:v>Nhánh riêng khôi phục Bình Dương cũ; không trộn source discovery với declaration count.</x:v>
      </x:c>
    </x:row>
    <x:row r="120">
      <x:c r="A120" s="491" t="str">
        <x:v>Thứ tự tìm</x:v>
      </x:c>
      <x:c r="B120" s="340" t="str">
        <x:v>1 Bộ/Cục 2 DVC quốc gia 3 Sở/DVC tỉnh 4 Open Data 5 quảng cáo/CFS/factory để cross-reference.</x:v>
      </x:c>
    </x:row>
    <x:row r="121">
      <x:c r="A121" s="491" t="str">
        <x:v>Bình Dương cũ</x:v>
      </x:c>
      <x:c r="B121" s="340" t="str">
        <x:v>Sở Y tế tỉnh có thẩm quyền cấp/thu hồi số công bố; vì vậy output lịch sử phải tồn tại ở một hoặc nhiều kho hành chính.</x:v>
      </x:c>
    </x:row>
    <x:row r="122">
      <x:c r="A122" s="491" t="str">
        <x:v>Migration</x:v>
      </x:c>
      <x:c r="B122" s="340" t="str">
        <x:v>CBMP-BD xuất hiện trong cổng TP.HCM mới là bằng chứng mạnh để dùng hệ thống hợp nhất làm đường truy ngược.</x:v>
      </x:c>
    </x:row>
    <x:row r="123">
      <x:c r="A123" s="491" t="str">
        <x:v>Clean Gate</x:v>
      </x:c>
      <x:c r="B123" s="340" t="str">
        <x:v>Nguồn archive chỉ được vào MASTER khi có record/file thật đủ số CBMP + tên SP + company + nguồn chính thống.</x:v>
      </x:c>
    </x:row>
    <x:row r="124">
      <x:c r="A124" s="491" t="str">
        <x:v>Không brute-force</x:v>
      </x:c>
      <x:c r="B124" s="340" t="str">
        <x:v>Không đoán SharePoint List name/filename hàng loạt. Chỉ đi theo index/cache/link/metadata có dấu vết thật.</x:v>
      </x:c>
    </x:row>
    <x:row r="125">
      <x:c r="A125" s="491" t="str">
        <x:v>Mục tiêu</x:v>
      </x:c>
      <x:c r="B125" s="340" t="str">
        <x:v>Khôi phục càng đầy đủ 2022–2025 Bình Dương cũ càng tốt trước khi mở rộng tỉnh tiếp theo.</x:v>
      </x:c>
    </x:row>
    <x:row r="126">
      <x:c r="A126" s="496" t="str">
        <x:v>BD recovery – rule</x:v>
      </x:c>
      <x:c r="B126" s="340" t="str">
        <x:v>Retail/search chỉ dùng tạo lead; MASTER chỉ nhận khi có public-government/authoritative cross-check đủ trường.</x:v>
      </x:c>
    </x:row>
    <x:row r="127">
      <x:c r="A127" s="496" t="str">
        <x:v>Marico v0.30</x:v>
      </x:c>
      <x:c r="B127" s="340" t="str">
        <x:v>Đã thêm 695/24/CBMP-BD và 295/25/CBMP-BD vì nguồn dẫn văn bản Cục QLD xác nhận số, sản phẩm, company, manufacturer và thu hồi số tiếp nhận.</x:v>
      </x:c>
    </x:row>
    <x:row r="128">
      <x:c r="A128" s="496" t="str">
        <x:v>Ngày cấp</x:v>
      </x:c>
      <x:c r="B128" s="340" t="str">
        <x:v>Không thấy thì để trống; không suy từ số CBMP.</x:v>
      </x:c>
    </x:row>
    <x:row r="129">
      <x:c r="A129" s="496" t="str">
        <x:v>Tiếp theo</x:v>
      </x:c>
      <x:c r="B129" s="340" t="str">
        <x:v>Truy exact 053/25, 011/24, 507/24, 011/25, 052/25, 465/24 ở nguồn nhà nước.</x:v>
      </x:c>
    </x:row>
  </x:sheetData>
  <x:pageMargins left="0.7" right="0.7" top="0.75" bottom="0.75" header="0.3" footer="0.3"/>
</x:worksheet>
</file>

<file path=xl/worksheets/sheet8.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row r="2">
      <x:c r="A2" t="n">
        <x:v>1</x:v>
      </x:c>
      <x:c r="B2" s="330"/>
      <x:c r="C2" s="330" t="n">
        <x:v>44898</x:v>
      </x:c>
      <x:c r="D2" t="n">
        <x:v>2022</x:v>
      </x:c>
      <x:c r="E2"/>
      <x:c r="F2" t="str">
        <x:v>2908/22/CBMP-HCM</x:v>
      </x:c>
      <x:c r="G2" t="str">
        <x:v>122201268</x:v>
      </x:c>
      <x:c r="H2" t="str">
        <x:v>Hà Mộc Anh - Kem Body sữa</x:v>
      </x:c>
      <x:c r="I2" t="str">
        <x:v>Hà Mộc Anh</x:v>
      </x:c>
      <x:c r="J2" t="str">
        <x:v>Kem body</x:v>
      </x:c>
      <x:c r="K2" t="str">
        <x:v>Kem dưỡng thể</x:v>
      </x:c>
      <x:c r="L2" t="str">
        <x:v>Công ty TNHH Lady White</x:v>
      </x:c>
      <x:c r="M2" t="str">
        <x:v>E5/4D ấp 5, Xã Lê Minh Xuân, Huyện Bình Chánh, TP.HCM</x:v>
      </x:c>
      <x:c r="N2"/>
      <x:c r="O2" t="str">
        <x:v>Chưa đối chiếu</x:v>
      </x:c>
      <x:c r="P2" t="str">
        <x:v>Đã xác minh từ chỉ mục MEDINET</x:v>
      </x:c>
      <x:c r="Q2" t="str">
        <x:v>Nguồn cập nhật 03/12/2022</x:v>
      </x:c>
      <x:c r="R2" t="str">
        <x:v>https://qldichvuyte.medinet.gov.vn/my-pham/phieu-cong-bo-san-pham-my-pham-ngay-cap-nhat-ngay-03122022-cmobile4606-67040.aspx</x:v>
      </x:c>
      <x:c r="S2" t="str">
        <x:v>TP. Hồ Chí Minh</x:v>
      </x:c>
      <x:c r="T2" t="str">
        <x:v>79</x:v>
      </x:c>
    </x:row>
    <x:row r="3">
      <x:c r="A3" t="n">
        <x:v>2</x:v>
      </x:c>
      <x:c r="B3" s="330"/>
      <x:c r="C3" s="330" t="n">
        <x:v>44898</x:v>
      </x:c>
      <x:c r="D3" t="n">
        <x:v>2022</x:v>
      </x:c>
      <x:c r="E3"/>
      <x:c r="F3" t="str">
        <x:v>2936/22/CBMP-HCM</x:v>
      </x:c>
      <x:c r="G3" t="str">
        <x:v>122200953</x:v>
      </x:c>
      <x:c r="H3" t="str">
        <x:v>Akzona - Dầu gội Collagen Keratin</x:v>
      </x:c>
      <x:c r="I3" t="str">
        <x:v>Akzona</x:v>
      </x:c>
      <x:c r="J3" t="str">
        <x:v>Dầu gội</x:v>
      </x:c>
      <x:c r="K3" t="str">
        <x:v>Dầu gội Collagen/Keratin</x:v>
      </x:c>
      <x:c r="L3" t="str">
        <x:v>Công ty TNHH Thương mại Dịch vụ Sản xuất Mỹ phẩm Azona</x:v>
      </x:c>
      <x:c r="M3" t="str">
        <x:v>7/3/9C Đường 17, KP1, Phường Long Bình, TP.Thủ Đức, TP.HCM</x:v>
      </x:c>
      <x:c r="N3"/>
      <x:c r="O3" t="str">
        <x:v>Chưa đối chiếu</x:v>
      </x:c>
      <x:c r="P3" t="str">
        <x:v>Đã xác minh từ chỉ mục MEDINET</x:v>
      </x:c>
      <x:c r="Q3" t="str">
        <x:v>Nguồn cập nhật 03/12/2022</x:v>
      </x:c>
      <x:c r="R3" t="str">
        <x:v>https://qldichvuyte.medinet.gov.vn/my-pham/phieu-cong-bo-san-pham-my-pham-ngay-cap-nhat-ngay-03122022-cmobile4606-67040.aspx</x:v>
      </x:c>
      <x:c r="S3" t="str">
        <x:v>TP. Hồ Chí Minh</x:v>
      </x:c>
      <x:c r="T3" t="str">
        <x:v>79</x:v>
      </x:c>
    </x:row>
    <x:row r="4">
      <x:c r="A4" t="n">
        <x:v>3</x:v>
      </x:c>
      <x:c r="B4" s="330"/>
      <x:c r="C4" s="330" t="n">
        <x:v>46085</x:v>
      </x:c>
      <x:c r="D4" t="n">
        <x:v>2025</x:v>
      </x:c>
      <x:c r="E4"/>
      <x:c r="F4" t="str">
        <x:v>007064/25/CBMP-HCM</x:v>
      </x:c>
      <x:c r="G4"/>
      <x:c r="H4" t="str">
        <x:v>LIPSTICIAN LIP SERUM - YOUTH BOOSTER</x:v>
      </x:c>
      <x:c r="I4" t="str">
        <x:v>LIPSTICIAN</x:v>
      </x:c>
      <x:c r="J4" t="str">
        <x:v>Sản phẩm môi</x:v>
      </x:c>
      <x:c r="K4" t="str">
        <x:v>Quảng cáo mỹ phẩm</x:v>
      </x:c>
      <x:c r="L4" t="str">
        <x:v>CÔNG TY TNHH ROHTO-MENTHOLATUM (VIỆT NAM)</x:v>
      </x:c>
      <x:c r="M4" t="str">
        <x:v>Số 16 VSIP Đường số 5, Khu Công nghiệp Việt Nam - Singapore, Phường Bình Hòa, Thành phố Hồ Chí Minh</x:v>
      </x:c>
      <x:c r="N4"/>
      <x:c r="O4" t="str">
        <x:v>Chưa đối chiếu thu hồi</x:v>
      </x:c>
      <x:c r="P4" t="str">
        <x:v>Nguồn chính thức Sở Y tế TP.HCM – cross-check số công bố</x:v>
      </x:c>
      <x:c r="Q4" t="str">
        <x:v>Khu vực cấp số lịch sử: TP.HCM. Nguồn Quảng cáo mỹ phẩm.</x:v>
      </x:c>
      <x:c r="R4" t="str">
        <x:v>https://tracuu.medinet.org.vn/category/cosodulieukhac/quangcao-mypham</x:v>
      </x:c>
      <x:c r="S4" t="str">
        <x:v>TP. Hồ Chí Minh</x:v>
      </x:c>
      <x:c r="T4" t="str">
        <x:v>79</x:v>
      </x:c>
    </x:row>
    <x:row r="5">
      <x:c r="A5" t="n">
        <x:v>4</x:v>
      </x:c>
      <x:c r="B5" s="330"/>
      <x:c r="C5" s="330" t="n">
        <x:v>46085</x:v>
      </x:c>
      <x:c r="D5" t="n">
        <x:v>2026</x:v>
      </x:c>
      <x:c r="E5"/>
      <x:c r="F5" t="str">
        <x:v>000872/26/CBMP-HCM</x:v>
      </x:c>
      <x:c r="G5"/>
      <x:c r="H5" t="str">
        <x:v>LIPSTICIAN LIP SERUM - RESCUER</x:v>
      </x:c>
      <x:c r="I5" t="str">
        <x:v>LIPSTICIAN</x:v>
      </x:c>
      <x:c r="J5" t="str">
        <x:v>Sản phẩm môi</x:v>
      </x:c>
      <x:c r="K5" t="str">
        <x:v>Quảng cáo mỹ phẩm</x:v>
      </x:c>
      <x:c r="L5" t="str">
        <x:v>CÔNG TY TNHH ROHTO-MENTHOLATUM (VIỆT NAM)</x:v>
      </x:c>
      <x:c r="M5" t="str">
        <x:v>Số 16 VSIP Đường số 5, Khu Công nghiệp Việt Nam - Singapore, Phường Bình Hòa, Thành phố Hồ Chí Minh</x:v>
      </x:c>
      <x:c r="N5"/>
      <x:c r="O5" t="str">
        <x:v>Chưa đối chiếu thu hồi</x:v>
      </x:c>
      <x:c r="P5" t="str">
        <x:v>Nguồn chính thức Sở Y tế TP.HCM – cross-check số công bố</x:v>
      </x:c>
      <x:c r="Q5" t="str">
        <x:v>Khu vực cấp số lịch sử: TP.HCM. Nguồn Quảng cáo mỹ phẩm.</x:v>
      </x:c>
      <x:c r="R5" t="str">
        <x:v>https://tracuu.medinet.org.vn/category/cosodulieukhac/quangcao-mypham</x:v>
      </x:c>
      <x:c r="S5" t="str">
        <x:v>TP. Hồ Chí Minh</x:v>
      </x:c>
      <x:c r="T5" t="str">
        <x:v>79</x:v>
      </x:c>
    </x:row>
    <x:row r="6">
      <x:c r="A6" t="n">
        <x:v>5</x:v>
      </x:c>
      <x:c r="B6" s="330"/>
      <x:c r="C6" s="330" t="n">
        <x:v>46085</x:v>
      </x:c>
      <x:c r="D6" t="n">
        <x:v>2025</x:v>
      </x:c>
      <x:c r="E6"/>
      <x:c r="F6" t="str">
        <x:v>006789/25/CBMP-HCM</x:v>
      </x:c>
      <x:c r="G6"/>
      <x:c r="H6" t="str">
        <x:v>LIPSTICIAN LIP SERUM - PROTECTOR</x:v>
      </x:c>
      <x:c r="I6" t="str">
        <x:v>LIPSTICIAN</x:v>
      </x:c>
      <x:c r="J6" t="str">
        <x:v>Sản phẩm môi</x:v>
      </x:c>
      <x:c r="K6" t="str">
        <x:v>Quảng cáo mỹ phẩm</x:v>
      </x:c>
      <x:c r="L6" t="str">
        <x:v>CÔNG TY TNHH ROHTO-MENTHOLATUM (VIỆT NAM)</x:v>
      </x:c>
      <x:c r="M6" t="str">
        <x:v>Số 16 VSIP Đường số 5, Khu Công nghiệp Việt Nam - Singapore, Phường Bình Hòa, Thành phố Hồ Chí Minh</x:v>
      </x:c>
      <x:c r="N6"/>
      <x:c r="O6" t="str">
        <x:v>Chưa đối chiếu thu hồi</x:v>
      </x:c>
      <x:c r="P6" t="str">
        <x:v>Nguồn chính thức Sở Y tế TP.HCM – cross-check số công bố</x:v>
      </x:c>
      <x:c r="Q6" t="str">
        <x:v>Khu vực cấp số lịch sử: TP.HCM. Nguồn Quảng cáo mỹ phẩm.</x:v>
      </x:c>
      <x:c r="R6" t="str">
        <x:v>https://tracuu.medinet.org.vn/category/cosodulieukhac/quangcao-mypham</x:v>
      </x:c>
      <x:c r="S6" t="str">
        <x:v>TP. Hồ Chí Minh</x:v>
      </x:c>
      <x:c r="T6" t="str">
        <x:v>79</x:v>
      </x:c>
    </x:row>
    <x:row r="7">
      <x:c r="A7" t="n">
        <x:v>6</x:v>
      </x:c>
      <x:c r="B7" s="330"/>
      <x:c r="C7" s="330" t="n">
        <x:v>46085</x:v>
      </x:c>
      <x:c r="D7" t="n">
        <x:v>2024</x:v>
      </x:c>
      <x:c r="E7"/>
      <x:c r="F7" t="str">
        <x:v>737/24/CBMP-BD</x:v>
      </x:c>
      <x:c r="G7"/>
      <x:c r="H7" t="str">
        <x:v>REFRE WHITENING PERFUME</x:v>
      </x:c>
      <x:c r="I7" t="str">
        <x:v>REFRE</x:v>
      </x:c>
      <x:c r="J7" t="str">
        <x:v>Khử mùi</x:v>
      </x:c>
      <x:c r="K7" t="str">
        <x:v>Quảng cáo mỹ phẩm</x:v>
      </x:c>
      <x:c r="L7" t="str">
        <x:v>CÔNG TY TNHH ROHTO-MENTHOLATUM (VIỆT NAM)</x:v>
      </x:c>
      <x:c r="M7" t="str">
        <x:v>Số 16 VSIP Đường số 5, Khu Công nghiệp Việt Nam - Singapore, Phường Bình Hòa, Thành phố Hồ Chí Minh</x:v>
      </x:c>
      <x:c r="N7"/>
      <x:c r="O7" t="str">
        <x:v>Chưa đối chiếu thu hồi</x:v>
      </x:c>
      <x:c r="P7" t="str">
        <x:v>Nguồn chính thức Sở Y tế TP.HCM – cross-check số công bố</x:v>
      </x:c>
      <x:c r="Q7" t="str">
        <x:v>Khu vực cấp số lịch sử: Bình Dương cũ. Nguồn Quảng cáo mỹ phẩm.</x:v>
      </x:c>
      <x:c r="R7" t="str">
        <x:v>https://tracuu.medinet.org.vn/category/cosodulieukhac/quangcao-mypham</x:v>
      </x:c>
      <x:c r="S7" t="str">
        <x:v>TP. Hồ Chí Minh</x:v>
      </x:c>
      <x:c r="T7" t="str">
        <x:v>79</x:v>
      </x:c>
    </x:row>
    <x:row r="8">
      <x:c r="A8" t="n">
        <x:v>7</x:v>
      </x:c>
      <x:c r="B8" s="330"/>
      <x:c r="C8" s="330" t="n">
        <x:v>46085</x:v>
      </x:c>
      <x:c r="D8" t="n">
        <x:v>2024</x:v>
      </x:c>
      <x:c r="E8"/>
      <x:c r="F8" t="str">
        <x:v>740/24/CBMP-BD</x:v>
      </x:c>
      <x:c r="G8"/>
      <x:c r="H8" t="str">
        <x:v>REFRE NATURAL</x:v>
      </x:c>
      <x:c r="I8" t="str">
        <x:v>REFRE</x:v>
      </x:c>
      <x:c r="J8" t="str">
        <x:v>Khử mùi</x:v>
      </x:c>
      <x:c r="K8" t="str">
        <x:v>Quảng cáo mỹ phẩm</x:v>
      </x:c>
      <x:c r="L8" t="str">
        <x:v>CÔNG TY TNHH ROHTO-MENTHOLATUM (VIỆT NAM)</x:v>
      </x:c>
      <x:c r="M8" t="str">
        <x:v>Số 16 VSIP Đường số 5, Khu Công nghiệp Việt Nam - Singapore, Phường Bình Hòa, Thành phố Hồ Chí Minh</x:v>
      </x:c>
      <x:c r="N8"/>
      <x:c r="O8" t="str">
        <x:v>Chưa đối chiếu thu hồi</x:v>
      </x:c>
      <x:c r="P8" t="str">
        <x:v>Nguồn chính thức Sở Y tế TP.HCM – cross-check số công bố</x:v>
      </x:c>
      <x:c r="Q8" t="str">
        <x:v>Khu vực cấp số lịch sử: Bình Dương cũ. Nguồn Quảng cáo mỹ phẩm.</x:v>
      </x:c>
      <x:c r="R8" t="str">
        <x:v>https://tracuu.medinet.org.vn/category/cosodulieukhac/quangcao-mypham</x:v>
      </x:c>
      <x:c r="S8" t="str">
        <x:v>TP. Hồ Chí Minh</x:v>
      </x:c>
      <x:c r="T8" t="str">
        <x:v>79</x:v>
      </x:c>
    </x:row>
    <x:row r="9">
      <x:c r="A9" t="n">
        <x:v>8</x:v>
      </x:c>
      <x:c r="B9" s="330"/>
      <x:c r="C9" s="330" t="n">
        <x:v>46085</x:v>
      </x:c>
      <x:c r="D9" t="n">
        <x:v>2024</x:v>
      </x:c>
      <x:c r="E9"/>
      <x:c r="F9" t="str">
        <x:v>557/24/CBMP-BD</x:v>
      </x:c>
      <x:c r="G9"/>
      <x:c r="H9" t="str">
        <x:v>HADA LABO ACNE CARE CALMING SERUM</x:v>
      </x:c>
      <x:c r="I9" t="str">
        <x:v>HADA LABO</x:v>
      </x:c>
      <x:c r="J9" t="str">
        <x:v>Serum/Essence da</x:v>
      </x:c>
      <x:c r="K9" t="str">
        <x:v>Quảng cáo mỹ phẩm</x:v>
      </x:c>
      <x:c r="L9" t="str">
        <x:v>CÔNG TY TNHH ROHTO-MENTHOLATUM (VIỆT NAM)</x:v>
      </x:c>
      <x:c r="M9" t="str">
        <x:v>Số 16 VSIP Đường số 5, Khu Công nghiệp Việt Nam - Singapore, Phường Bình Hòa, Thành phố Hồ Chí Minh</x:v>
      </x:c>
      <x:c r="N9"/>
      <x:c r="O9" t="str">
        <x:v>Chưa đối chiếu thu hồi</x:v>
      </x:c>
      <x:c r="P9" t="str">
        <x:v>Nguồn chính thức Sở Y tế TP.HCM – cross-check số công bố</x:v>
      </x:c>
      <x:c r="Q9" t="str">
        <x:v>Khu vực cấp số lịch sử: Bình Dương cũ. Nguồn Quảng cáo mỹ phẩm.</x:v>
      </x:c>
      <x:c r="R9" t="str">
        <x:v>https://tracuu.medinet.org.vn/category/cosodulieukhac/quangcao-mypham</x:v>
      </x:c>
      <x:c r="S9" t="str">
        <x:v>TP. Hồ Chí Minh</x:v>
      </x:c>
      <x:c r="T9" t="str">
        <x:v>79</x:v>
      </x:c>
    </x:row>
    <x:row r="10">
      <x:c r="A10" t="n">
        <x:v>9</x:v>
      </x:c>
      <x:c r="B10" s="330"/>
      <x:c r="C10" s="330" t="n">
        <x:v>46247</x:v>
      </x:c>
      <x:c r="D10" t="n">
        <x:v>2023</x:v>
      </x:c>
      <x:c r="E10"/>
      <x:c r="F10" t="str">
        <x:v>015/23/CBMP-BD</x:v>
      </x:c>
      <x:c r="G10"/>
      <x:c r="H10" t="str">
        <x:v>ACNES CREAMY WASH</x:v>
      </x:c>
      <x:c r="I10" t="str">
        <x:v>ACNES</x:v>
      </x:c>
      <x:c r="J10" t="str">
        <x:v>Sữa rửa mặt</x:v>
      </x:c>
      <x:c r="K10" t="str">
        <x:v>Quảng cáo mỹ phẩm</x:v>
      </x:c>
      <x:c r="L10" t="str">
        <x:v>CÔNG TY TNHH ROHTO-MENTHOLATUM (VIỆT NAM)</x:v>
      </x:c>
      <x:c r="M10" t="str">
        <x:v>Số 16 VSIP Đường số 5, Khu Công nghiệp Việt Nam - Singapore, Phường Bình Hòa, Thành phố Hồ Chí Minh</x:v>
      </x:c>
      <x:c r="N10"/>
      <x:c r="O10" t="str">
        <x:v>Chưa đối chiếu thu hồi</x:v>
      </x:c>
      <x:c r="P10" t="str">
        <x:v>Nguồn chính thức Sở Y tế TP.HCM – cross-check số công bố</x:v>
      </x:c>
      <x:c r="Q10" t="str">
        <x:v>Khu vực cấp số lịch sử: Bình Dương cũ. Nguồn Quảng cáo mỹ phẩm.</x:v>
      </x:c>
      <x:c r="R10" t="str">
        <x:v>https://tracuu.medinet.org.vn/category/cosodulieukhac/quangcao-mypham</x:v>
      </x:c>
      <x:c r="S10" t="str">
        <x:v>TP. Hồ Chí Minh</x:v>
      </x:c>
      <x:c r="T10" t="str">
        <x:v>79</x:v>
      </x:c>
    </x:row>
    <x:row r="11">
      <x:c r="A11" t="n">
        <x:v>10</x:v>
      </x:c>
      <x:c r="B11" s="330"/>
      <x:c r="C11" s="330" t="n">
        <x:v>46247</x:v>
      </x:c>
      <x:c r="D11" t="n">
        <x:v>2026</x:v>
      </x:c>
      <x:c r="E11"/>
      <x:c r="F11" t="str">
        <x:v>000483/26/CBMP-HCM</x:v>
      </x:c>
      <x:c r="G11"/>
      <x:c r="H11" t="str">
        <x:v>MENTHOLATUM ACNES GENTLE WASH</x:v>
      </x:c>
      <x:c r="I11" t="str">
        <x:v>ACNES</x:v>
      </x:c>
      <x:c r="J11" t="str">
        <x:v>Sữa rửa mặt</x:v>
      </x:c>
      <x:c r="K11" t="str">
        <x:v>Quảng cáo mỹ phẩm</x:v>
      </x:c>
      <x:c r="L11" t="str">
        <x:v>CÔNG TY TNHH ROHTO-MENTHOLATUM (VIỆT NAM)</x:v>
      </x:c>
      <x:c r="M11" t="str">
        <x:v>Số 16 VSIP Đường số 5, Khu Công nghiệp Việt Nam - Singapore, Phường Bình Hòa, Thành phố Hồ Chí Minh</x:v>
      </x:c>
      <x:c r="N11"/>
      <x:c r="O11" t="str">
        <x:v>Chưa đối chiếu thu hồi</x:v>
      </x:c>
      <x:c r="P11" t="str">
        <x:v>Nguồn chính thức Sở Y tế TP.HCM – cross-check số công bố</x:v>
      </x:c>
      <x:c r="Q11" t="str">
        <x:v>Khu vực cấp số lịch sử: TP.HCM. Nguồn Quảng cáo mỹ phẩm.</x:v>
      </x:c>
      <x:c r="R11" t="str">
        <x:v>https://tracuu.medinet.org.vn/category/cosodulieukhac/quangcao-mypham</x:v>
      </x:c>
      <x:c r="S11" t="str">
        <x:v>TP. Hồ Chí Minh</x:v>
      </x:c>
      <x:c r="T11" t="str">
        <x:v>79</x:v>
      </x:c>
    </x:row>
    <x:row r="12">
      <x:c r="A12" t="n">
        <x:v>11</x:v>
      </x:c>
      <x:c r="B12" s="330"/>
      <x:c r="C12" s="330" t="n">
        <x:v>46247</x:v>
      </x:c>
      <x:c r="D12" t="n">
        <x:v>2022</x:v>
      </x:c>
      <x:c r="E12"/>
      <x:c r="F12" t="str">
        <x:v>063/22/CBMP-BD</x:v>
      </x:c>
      <x:c r="G12"/>
      <x:c r="H12" t="str">
        <x:v>ACNES OIL CONTROL CLEANSER</x:v>
      </x:c>
      <x:c r="I12" t="str">
        <x:v>ACNES</x:v>
      </x:c>
      <x:c r="J12" t="str">
        <x:v>Sữa rửa mặt</x:v>
      </x:c>
      <x:c r="K12" t="str">
        <x:v>Quảng cáo mỹ phẩm</x:v>
      </x:c>
      <x:c r="L12" t="str">
        <x:v>CÔNG TY TNHH ROHTO-MENTHOLATUM (VIỆT NAM)</x:v>
      </x:c>
      <x:c r="M12" t="str">
        <x:v>Số 16 VSIP Đường số 5, Khu Công nghiệp Việt Nam - Singapore, Phường Bình Hòa, Thành phố Hồ Chí Minh</x:v>
      </x:c>
      <x:c r="N12"/>
      <x:c r="O12" t="str">
        <x:v>Chưa đối chiếu thu hồi</x:v>
      </x:c>
      <x:c r="P12" t="str">
        <x:v>Nguồn chính thức Sở Y tế TP.HCM – cross-check số công bố</x:v>
      </x:c>
      <x:c r="Q12" t="str">
        <x:v>Khu vực cấp số lịch sử: Bình Dương cũ. Nguồn Quảng cáo mỹ phẩm.</x:v>
      </x:c>
      <x:c r="R12" t="str">
        <x:v>https://tracuu.medinet.org.vn/category/cosodulieukhac/quangcao-mypham</x:v>
      </x:c>
      <x:c r="S12" t="str">
        <x:v>TP. Hồ Chí Minh</x:v>
      </x:c>
      <x:c r="T12" t="str">
        <x:v>79</x:v>
      </x:c>
    </x:row>
    <x:row r="13">
      <x:c r="A13" t="n">
        <x:v>12</x:v>
      </x:c>
      <x:c r="B13" s="330"/>
      <x:c r="C13" s="330" t="n">
        <x:v>46247</x:v>
      </x:c>
      <x:c r="D13" t="n">
        <x:v>2016</x:v>
      </x:c>
      <x:c r="E13"/>
      <x:c r="F13" t="str">
        <x:v>00405/16/CBMP-HCM</x:v>
      </x:c>
      <x:c r="G13"/>
      <x:c r="H13" t="str">
        <x:v>MENTHOLATUM ACNES VITAMIN CLEANSER</x:v>
      </x:c>
      <x:c r="I13" t="str">
        <x:v>ACNES</x:v>
      </x:c>
      <x:c r="J13" t="str">
        <x:v>Sữa rửa mặt</x:v>
      </x:c>
      <x:c r="K13" t="str">
        <x:v>Quảng cáo mỹ phẩm</x:v>
      </x:c>
      <x:c r="L13" t="str">
        <x:v>CÔNG TY TNHH ROHTO-MENTHOLATUM (VIỆT NAM)</x:v>
      </x:c>
      <x:c r="M13" t="str">
        <x:v>Số 16 VSIP Đường số 5, Khu Công nghiệp Việt Nam - Singapore, Phường Bình Hòa, Thành phố Hồ Chí Minh</x:v>
      </x:c>
      <x:c r="N13"/>
      <x:c r="O13" t="str">
        <x:v>Chưa đối chiếu thu hồi</x:v>
      </x:c>
      <x:c r="P13" t="str">
        <x:v>Nguồn chính thức Sở Y tế TP.HCM – cross-check số công bố</x:v>
      </x:c>
      <x:c r="Q13" t="str">
        <x:v>Khu vực cấp số lịch sử: TP.HCM. Nguồn Quảng cáo mỹ phẩm.</x:v>
      </x:c>
      <x:c r="R13" t="str">
        <x:v>https://tracuu.medinet.org.vn/category/cosodulieukhac/quangcao-mypham</x:v>
      </x:c>
      <x:c r="S13" t="str">
        <x:v>TP. Hồ Chí Minh</x:v>
      </x:c>
      <x:c r="T13" t="str">
        <x:v>79</x:v>
      </x:c>
    </x:row>
    <x:row r="14">
      <x:c r="A14" t="n">
        <x:v>13</x:v>
      </x:c>
      <x:c r="B14" s="330"/>
      <x:c r="C14" s="330" t="n">
        <x:v>46247</x:v>
      </x:c>
      <x:c r="D14" t="n">
        <x:v>2022</x:v>
      </x:c>
      <x:c r="E14"/>
      <x:c r="F14" t="str">
        <x:v>475/22/CBMP-BD</x:v>
      </x:c>
      <x:c r="G14"/>
      <x:c r="H14" t="str">
        <x:v>ACNES MICELLAR WATER</x:v>
      </x:c>
      <x:c r="I14" t="str">
        <x:v>ACNES</x:v>
      </x:c>
      <x:c r="J14" t="str">
        <x:v>Tẩy trang</x:v>
      </x:c>
      <x:c r="K14" t="str">
        <x:v>Quảng cáo mỹ phẩm</x:v>
      </x:c>
      <x:c r="L14" t="str">
        <x:v>CÔNG TY TNHH ROHTO-MENTHOLATUM (VIỆT NAM)</x:v>
      </x:c>
      <x:c r="M14" t="str">
        <x:v>Số 16 VSIP Đường số 5, Khu Công nghiệp Việt Nam - Singapore, Phường Bình Hòa, Thành phố Hồ Chí Minh</x:v>
      </x:c>
      <x:c r="N14"/>
      <x:c r="O14" t="str">
        <x:v>Chưa đối chiếu thu hồi</x:v>
      </x:c>
      <x:c r="P14" t="str">
        <x:v>Nguồn chính thức Sở Y tế TP.HCM – cross-check số công bố</x:v>
      </x:c>
      <x:c r="Q14" t="str">
        <x:v>Khu vực cấp số lịch sử: Bình Dương cũ. Nguồn Quảng cáo mỹ phẩm.</x:v>
      </x:c>
      <x:c r="R14" t="str">
        <x:v>https://tracuu.medinet.org.vn/category/cosodulieukhac/quangcao-mypham</x:v>
      </x:c>
      <x:c r="S14" t="str">
        <x:v>TP. Hồ Chí Minh</x:v>
      </x:c>
      <x:c r="T14" t="str">
        <x:v>79</x:v>
      </x:c>
    </x:row>
    <x:row r="15">
      <x:c r="A15" t="n">
        <x:v>14</x:v>
      </x:c>
      <x:c r="B15" s="330"/>
      <x:c r="C15" s="330" t="n">
        <x:v>46247</x:v>
      </x:c>
      <x:c r="D15" t="n">
        <x:v>2022</x:v>
      </x:c>
      <x:c r="E15"/>
      <x:c r="F15" t="str">
        <x:v>566/22/CBMP-BD</x:v>
      </x:c>
      <x:c r="G15"/>
      <x:c r="H15" t="str">
        <x:v>ACNES BLEMISH CONTROL SUNSCREEN</x:v>
      </x:c>
      <x:c r="I15" t="str">
        <x:v>ACNES</x:v>
      </x:c>
      <x:c r="J15" t="str">
        <x:v>Kem chống nắng</x:v>
      </x:c>
      <x:c r="K15" t="str">
        <x:v>Quảng cáo mỹ phẩm</x:v>
      </x:c>
      <x:c r="L15" t="str">
        <x:v>CÔNG TY TNHH ROHTO-MENTHOLATUM (VIỆT NAM)</x:v>
      </x:c>
      <x:c r="M15" t="str">
        <x:v>Số 16 VSIP Đường số 5, Khu Công nghiệp Việt Nam - Singapore, Phường Bình Hòa, Thành phố Hồ Chí Minh</x:v>
      </x:c>
      <x:c r="N15"/>
      <x:c r="O15" t="str">
        <x:v>Chưa đối chiếu thu hồi</x:v>
      </x:c>
      <x:c r="P15" t="str">
        <x:v>Nguồn chính thức Sở Y tế TP.HCM – cross-check số công bố</x:v>
      </x:c>
      <x:c r="Q15" t="str">
        <x:v>Khu vực cấp số lịch sử: Bình Dương cũ. Nguồn Quảng cáo mỹ phẩm.</x:v>
      </x:c>
      <x:c r="R15" t="str">
        <x:v>https://tracuu.medinet.org.vn/category/cosodulieukhac/quangcao-mypham</x:v>
      </x:c>
      <x:c r="S15" t="str">
        <x:v>TP. Hồ Chí Minh</x:v>
      </x:c>
      <x:c r="T15" t="str">
        <x:v>79</x:v>
      </x:c>
    </x:row>
    <x:row r="16">
      <x:c r="A16" t="n">
        <x:v>15</x:v>
      </x:c>
      <x:c r="B16" s="330"/>
      <x:c r="C16" s="330" t="n">
        <x:v>46247</x:v>
      </x:c>
      <x:c r="D16" t="n">
        <x:v>2022</x:v>
      </x:c>
      <x:c r="E16"/>
      <x:c r="F16" t="str">
        <x:v>417/22/CBMP-BD</x:v>
      </x:c>
      <x:c r="G16"/>
      <x:c r="H16" t="str">
        <x:v>ACNES SCAR CARE</x:v>
      </x:c>
      <x:c r="I16" t="str">
        <x:v>ACNES</x:v>
      </x:c>
      <x:c r="J16" t="str">
        <x:v>Kem dưỡng da</x:v>
      </x:c>
      <x:c r="K16" t="str">
        <x:v>Quảng cáo mỹ phẩm</x:v>
      </x:c>
      <x:c r="L16" t="str">
        <x:v>CÔNG TY TNHH ROHTO-MENTHOLATUM (VIỆT NAM)</x:v>
      </x:c>
      <x:c r="M16" t="str">
        <x:v>Số 16 VSIP Đường số 5, Khu Công nghiệp Việt Nam - Singapore, Phường Bình Hòa, Thành phố Hồ Chí Minh</x:v>
      </x:c>
      <x:c r="N16"/>
      <x:c r="O16" t="str">
        <x:v>Chưa đối chiếu thu hồi</x:v>
      </x:c>
      <x:c r="P16" t="str">
        <x:v>Nguồn chính thức Sở Y tế TP.HCM – cross-check số công bố</x:v>
      </x:c>
      <x:c r="Q16" t="str">
        <x:v>Khu vực cấp số lịch sử: Bình Dương cũ. Nguồn Quảng cáo mỹ phẩm.</x:v>
      </x:c>
      <x:c r="R16" t="str">
        <x:v>https://tracuu.medinet.org.vn/category/cosodulieukhac/quangcao-mypham</x:v>
      </x:c>
      <x:c r="S16" t="str">
        <x:v>TP. Hồ Chí Minh</x:v>
      </x:c>
      <x:c r="T16" t="str">
        <x:v>79</x:v>
      </x:c>
    </x:row>
    <x:row r="17">
      <x:c r="A17" t="n">
        <x:v>16</x:v>
      </x:c>
      <x:c r="B17" s="330"/>
      <x:c r="C17" s="330" t="n">
        <x:v>46247</x:v>
      </x:c>
      <x:c r="D17" t="n">
        <x:v>2022</x:v>
      </x:c>
      <x:c r="E17"/>
      <x:c r="F17" t="str">
        <x:v>039/22/CBMP-BD</x:v>
      </x:c>
      <x:c r="G17"/>
      <x:c r="H17" t="str">
        <x:v>ACNES SEALING JELL</x:v>
      </x:c>
      <x:c r="I17" t="str">
        <x:v>ACNES</x:v>
      </x:c>
      <x:c r="J17" t="str">
        <x:v>Kem dưỡng da</x:v>
      </x:c>
      <x:c r="K17" t="str">
        <x:v>Quảng cáo mỹ phẩm</x:v>
      </x:c>
      <x:c r="L17" t="str">
        <x:v>CÔNG TY TNHH ROHTO-MENTHOLATUM (VIỆT NAM)</x:v>
      </x:c>
      <x:c r="M17" t="str">
        <x:v>Số 16 VSIP Đường số 5, Khu Công nghiệp Việt Nam - Singapore, Phường Bình Hòa, Thành phố Hồ Chí Minh</x:v>
      </x:c>
      <x:c r="N17"/>
      <x:c r="O17" t="str">
        <x:v>Chưa đối chiếu thu hồi</x:v>
      </x:c>
      <x:c r="P17" t="str">
        <x:v>Nguồn chính thức Sở Y tế TP.HCM – cross-check số công bố</x:v>
      </x:c>
      <x:c r="Q17" t="str">
        <x:v>Khu vực cấp số lịch sử: Bình Dương cũ. Nguồn Quảng cáo mỹ phẩm.</x:v>
      </x:c>
      <x:c r="R17" t="str">
        <x:v>https://tracuu.medinet.org.vn/category/cosodulieukhac/quangcao-mypham</x:v>
      </x:c>
      <x:c r="S17" t="str">
        <x:v>TP. Hồ Chí Minh</x:v>
      </x:c>
      <x:c r="T17" t="str">
        <x:v>79</x:v>
      </x:c>
    </x:row>
    <x:row r="18">
      <x:c r="A18" t="n">
        <x:v>17</x:v>
      </x:c>
      <x:c r="B18" s="330"/>
      <x:c r="C18" s="330" t="n">
        <x:v>46247</x:v>
      </x:c>
      <x:c r="D18" t="n">
        <x:v>2022</x:v>
      </x:c>
      <x:c r="E18"/>
      <x:c r="F18" t="str">
        <x:v>004/22/CBMP-BD</x:v>
      </x:c>
      <x:c r="G18"/>
      <x:c r="H18" t="str">
        <x:v>ACNES BLEMISH CLEAR CREAM</x:v>
      </x:c>
      <x:c r="I18" t="str">
        <x:v>ACNES</x:v>
      </x:c>
      <x:c r="J18" t="str">
        <x:v>Kem dưỡng da</x:v>
      </x:c>
      <x:c r="K18" t="str">
        <x:v>Quảng cáo mỹ phẩm</x:v>
      </x:c>
      <x:c r="L18" t="str">
        <x:v>CÔNG TY TNHH ROHTO-MENTHOLATUM (VIỆT NAM)</x:v>
      </x:c>
      <x:c r="M18" t="str">
        <x:v>Số 16 VSIP Đường số 5, Khu Công nghiệp Việt Nam - Singapore, Phường Bình Hòa, Thành phố Hồ Chí Minh</x:v>
      </x:c>
      <x:c r="N18"/>
      <x:c r="O18" t="str">
        <x:v>Chưa đối chiếu thu hồi</x:v>
      </x:c>
      <x:c r="P18" t="str">
        <x:v>Nguồn chính thức Sở Y tế TP.HCM – cross-check số công bố</x:v>
      </x:c>
      <x:c r="Q18" t="str">
        <x:v>Khu vực cấp số lịch sử: Bình Dương cũ. Nguồn Quảng cáo mỹ phẩm.</x:v>
      </x:c>
      <x:c r="R18" t="str">
        <x:v>https://tracuu.medinet.org.vn/category/cosodulieukhac/quangcao-mypham</x:v>
      </x:c>
      <x:c r="S18" t="str">
        <x:v>TP. Hồ Chí Minh</x:v>
      </x:c>
      <x:c r="T18" t="str">
        <x:v>79</x:v>
      </x:c>
    </x:row>
    <x:row r="19">
      <x:c r="A19" t="n">
        <x:v>18</x:v>
      </x:c>
      <x:c r="B19" s="330"/>
      <x:c r="C19" s="330" t="n">
        <x:v>46247</x:v>
      </x:c>
      <x:c r="D19" t="n">
        <x:v>2023</x:v>
      </x:c>
      <x:c r="E19"/>
      <x:c r="F19" t="str">
        <x:v>334/23/CBMP-BD</x:v>
      </x:c>
      <x:c r="G19"/>
      <x:c r="H19" t="str">
        <x:v>ACNES CLEAR PATCH</x:v>
      </x:c>
      <x:c r="I19" t="str">
        <x:v>ACNES</x:v>
      </x:c>
      <x:c r="J19" t="str">
        <x:v>Khác</x:v>
      </x:c>
      <x:c r="K19" t="str">
        <x:v>Quảng cáo mỹ phẩm</x:v>
      </x:c>
      <x:c r="L19" t="str">
        <x:v>CÔNG TY TNHH ROHTO-MENTHOLATUM (VIỆT NAM)</x:v>
      </x:c>
      <x:c r="M19" t="str">
        <x:v>Số 16 VSIP Đường số 5, Khu Công nghiệp Việt Nam - Singapore, Phường Bình Hòa, Thành phố Hồ Chí Minh</x:v>
      </x:c>
      <x:c r="N19"/>
      <x:c r="O19" t="str">
        <x:v>Chưa đối chiếu thu hồi</x:v>
      </x:c>
      <x:c r="P19" t="str">
        <x:v>Nguồn chính thức Sở Y tế TP.HCM – cross-check số công bố</x:v>
      </x:c>
      <x:c r="Q19" t="str">
        <x:v>Khu vực cấp số lịch sử: Bình Dương cũ. Nguồn Quảng cáo mỹ phẩm.</x:v>
      </x:c>
      <x:c r="R19" t="str">
        <x:v>https://tracuu.medinet.org.vn/category/cosodulieukhac/quangcao-mypham</x:v>
      </x:c>
      <x:c r="S19" t="str">
        <x:v>TP. Hồ Chí Minh</x:v>
      </x:c>
      <x:c r="T19" t="str">
        <x:v>79</x:v>
      </x:c>
    </x:row>
    <x:row r="20">
      <x:c r="A20" t="n">
        <x:v>19</x:v>
      </x:c>
      <x:c r="B20" s="330"/>
      <x:c r="C20" s="330" t="n">
        <x:v>46247</x:v>
      </x:c>
      <x:c r="D20" t="n">
        <x:v>2024</x:v>
      </x:c>
      <x:c r="E20"/>
      <x:c r="F20" t="str">
        <x:v>015/24/CBMP-BD</x:v>
      </x:c>
      <x:c r="G20"/>
      <x:c r="H20" t="str">
        <x:v>ACNES LAB B5 RECOVERY SERUM</x:v>
      </x:c>
      <x:c r="I20" t="str">
        <x:v>ACNES</x:v>
      </x:c>
      <x:c r="J20" t="str">
        <x:v>Serum/Essence da</x:v>
      </x:c>
      <x:c r="K20" t="str">
        <x:v>Quảng cáo mỹ phẩm</x:v>
      </x:c>
      <x:c r="L20" t="str">
        <x:v>CÔNG TY TNHH ROHTO-MENTHOLATUM (VIỆT NAM)</x:v>
      </x:c>
      <x:c r="M20" t="str">
        <x:v>Số 16 VSIP Đường số 5, Khu Công nghiệp Việt Nam - Singapore, Phường Bình Hòa, Thành phố Hồ Chí Minh</x:v>
      </x:c>
      <x:c r="N20"/>
      <x:c r="O20" t="str">
        <x:v>Chưa đối chiếu thu hồi</x:v>
      </x:c>
      <x:c r="P20" t="str">
        <x:v>Nguồn chính thức Sở Y tế TP.HCM – cross-check số công bố</x:v>
      </x:c>
      <x:c r="Q20" t="str">
        <x:v>Khu vực cấp số lịch sử: Bình Dương cũ. Nguồn Quảng cáo mỹ phẩm.</x:v>
      </x:c>
      <x:c r="R20" t="str">
        <x:v>https://tracuu.medinet.org.vn/category/cosodulieukhac/quangcao-mypham</x:v>
      </x:c>
      <x:c r="S20" t="str">
        <x:v>TP. Hồ Chí Minh</x:v>
      </x:c>
      <x:c r="T20" t="str">
        <x:v>79</x:v>
      </x:c>
    </x:row>
    <x:row r="21">
      <x:c r="A21" t="n">
        <x:v>20</x:v>
      </x:c>
      <x:c r="B21" s="330"/>
      <x:c r="C21" s="330" t="n">
        <x:v>46247</x:v>
      </x:c>
      <x:c r="D21" t="n">
        <x:v>2023</x:v>
      </x:c>
      <x:c r="E21"/>
      <x:c r="F21" t="str">
        <x:v>610/23/CBMP-BD</x:v>
      </x:c>
      <x:c r="G21"/>
      <x:c r="H21" t="str">
        <x:v>ACNES LAB ACNE REPAIR CREAM</x:v>
      </x:c>
      <x:c r="I21" t="str">
        <x:v>ACNES</x:v>
      </x:c>
      <x:c r="J21" t="str">
        <x:v>Kem dưỡng da</x:v>
      </x:c>
      <x:c r="K21" t="str">
        <x:v>Quảng cáo mỹ phẩm</x:v>
      </x:c>
      <x:c r="L21" t="str">
        <x:v>CÔNG TY TNHH ROHTO-MENTHOLATUM (VIỆT NAM)</x:v>
      </x:c>
      <x:c r="M21" t="str">
        <x:v>Số 16 VSIP Đường số 5, Khu Công nghiệp Việt Nam - Singapore, Phường Bình Hòa, Thành phố Hồ Chí Minh</x:v>
      </x:c>
      <x:c r="N21"/>
      <x:c r="O21" t="str">
        <x:v>Chưa đối chiếu thu hồi</x:v>
      </x:c>
      <x:c r="P21" t="str">
        <x:v>Nguồn chính thức Sở Y tế TP.HCM – cross-check số công bố</x:v>
      </x:c>
      <x:c r="Q21" t="str">
        <x:v>Khu vực cấp số lịch sử: Bình Dương cũ. Nguồn Quảng cáo mỹ phẩm.</x:v>
      </x:c>
      <x:c r="R21" t="str">
        <x:v>https://tracuu.medinet.org.vn/category/cosodulieukhac/quangcao-mypham</x:v>
      </x:c>
      <x:c r="S21" t="str">
        <x:v>TP. Hồ Chí Minh</x:v>
      </x:c>
      <x:c r="T21" t="str">
        <x:v>79</x:v>
      </x:c>
    </x:row>
    <x:row r="22">
      <x:c r="A22" t="n">
        <x:v>21</x:v>
      </x:c>
      <x:c r="B22" s="330"/>
      <x:c r="C22" s="330" t="n">
        <x:v>46247</x:v>
      </x:c>
      <x:c r="D22" t="n">
        <x:v>2024</x:v>
      </x:c>
      <x:c r="E22"/>
      <x:c r="F22" t="str">
        <x:v>579/24/CBMP-BD</x:v>
      </x:c>
      <x:c r="G22"/>
      <x:c r="H22" t="str">
        <x:v>ACNES LAB C10 SERUM</x:v>
      </x:c>
      <x:c r="I22" t="str">
        <x:v>ACNES</x:v>
      </x:c>
      <x:c r="J22" t="str">
        <x:v>Serum/Essence da</x:v>
      </x:c>
      <x:c r="K22" t="str">
        <x:v>Quảng cáo mỹ phẩm</x:v>
      </x:c>
      <x:c r="L22" t="str">
        <x:v>CÔNG TY TNHH ROHTO-MENTHOLATUM (VIỆT NAM)</x:v>
      </x:c>
      <x:c r="M22" t="str">
        <x:v>Số 16 VSIP Đường số 5, Khu Công nghiệp Việt Nam - Singapore, Phường Bình Hòa, Thành phố Hồ Chí Minh</x:v>
      </x:c>
      <x:c r="N22"/>
      <x:c r="O22" t="str">
        <x:v>Chưa đối chiếu thu hồi</x:v>
      </x:c>
      <x:c r="P22" t="str">
        <x:v>Nguồn chính thức Sở Y tế TP.HCM – cross-check số công bố</x:v>
      </x:c>
      <x:c r="Q22" t="str">
        <x:v>Khu vực cấp số lịch sử: Bình Dương cũ. Nguồn Quảng cáo mỹ phẩm.</x:v>
      </x:c>
      <x:c r="R22" t="str">
        <x:v>https://tracuu.medinet.org.vn/category/cosodulieukhac/quangcao-mypham</x:v>
      </x:c>
      <x:c r="S22" t="str">
        <x:v>TP. Hồ Chí Minh</x:v>
      </x:c>
      <x:c r="T22" t="str">
        <x:v>79</x:v>
      </x:c>
    </x:row>
    <x:row r="23">
      <x:c r="A23" t="n">
        <x:v>22</x:v>
      </x:c>
      <x:c r="B23" s="330"/>
      <x:c r="C23" s="330" t="n">
        <x:v>46247</x:v>
      </x:c>
      <x:c r="D23" t="n">
        <x:v>2024</x:v>
      </x:c>
      <x:c r="E23"/>
      <x:c r="F23" t="str">
        <x:v>128/24/CBMP-BD</x:v>
      </x:c>
      <x:c r="G23"/>
      <x:c r="H23" t="str">
        <x:v>ACNES LAB C15 SERUM</x:v>
      </x:c>
      <x:c r="I23" t="str">
        <x:v>ACNES</x:v>
      </x:c>
      <x:c r="J23" t="str">
        <x:v>Serum/Essence da</x:v>
      </x:c>
      <x:c r="K23" t="str">
        <x:v>Quảng cáo mỹ phẩm</x:v>
      </x:c>
      <x:c r="L23" t="str">
        <x:v>CÔNG TY TNHH ROHTO-MENTHOLATUM (VIỆT NAM)</x:v>
      </x:c>
      <x:c r="M23" t="str">
        <x:v>Số 16 VSIP Đường số 5, Khu Công nghiệp Việt Nam - Singapore, Phường Bình Hòa, Thành phố Hồ Chí Minh</x:v>
      </x:c>
      <x:c r="N23"/>
      <x:c r="O23" t="str">
        <x:v>Chưa đối chiếu thu hồi</x:v>
      </x:c>
      <x:c r="P23" t="str">
        <x:v>Nguồn chính thức Sở Y tế TP.HCM – cross-check số công bố</x:v>
      </x:c>
      <x:c r="Q23" t="str">
        <x:v>Khu vực cấp số lịch sử: Bình Dương cũ. Nguồn Quảng cáo mỹ phẩm.</x:v>
      </x:c>
      <x:c r="R23" t="str">
        <x:v>https://tracuu.medinet.org.vn/category/cosodulieukhac/quangcao-mypham</x:v>
      </x:c>
      <x:c r="S23" t="str">
        <x:v>TP. Hồ Chí Minh</x:v>
      </x:c>
      <x:c r="T23" t="str">
        <x:v>79</x:v>
      </x:c>
    </x:row>
    <x:row r="24">
      <x:c r="A24" t="n">
        <x:v>23</x:v>
      </x:c>
      <x:c r="B24" s="330"/>
      <x:c r="C24" s="330" t="n">
        <x:v>46085</x:v>
      </x:c>
      <x:c r="D24" t="n">
        <x:v>2023</x:v>
      </x:c>
      <x:c r="E24"/>
      <x:c r="F24" t="str">
        <x:v>099/23/CBMP-BD</x:v>
      </x:c>
      <x:c r="G24"/>
      <x:c r="H24" t="str">
        <x:v>50 MEGUMI HAIR FALL CONTROL CONDITIONER</x:v>
      </x:c>
      <x:c r="I24" t="str">
        <x:v>50 MEGUMI</x:v>
      </x:c>
      <x:c r="J24" t="str">
        <x:v>Dầu xả</x:v>
      </x:c>
      <x:c r="K24" t="str">
        <x:v>Quảng cáo mỹ phẩm</x:v>
      </x:c>
      <x:c r="L24" t="str">
        <x:v>CÔNG TY TNHH ROHTO-MENTHOLATUM (VIỆT NAM)</x:v>
      </x:c>
      <x:c r="M24" t="str">
        <x:v>Số 16 VSIP Đường số 5, Khu Công nghiệp Việt Nam - Singapore, Phường Bình Hòa, Thành phố Hồ Chí Minh</x:v>
      </x:c>
      <x:c r="N24"/>
      <x:c r="O24" t="str">
        <x:v>Chưa đối chiếu thu hồi</x:v>
      </x:c>
      <x:c r="P24" t="str">
        <x:v>Nguồn chính thức Sở Y tế TP.HCM – cross-check số công bố</x:v>
      </x:c>
      <x:c r="Q24" t="str">
        <x:v>Khu vực cấp số lịch sử: Bình Dương cũ. Nguồn Quảng cáo mỹ phẩm.</x:v>
      </x:c>
      <x:c r="R24" t="str">
        <x:v>https://tracuu.medinet.org.vn/category/cosodulieukhac/quangcao-mypham</x:v>
      </x:c>
      <x:c r="S24" t="str">
        <x:v>TP. Hồ Chí Minh</x:v>
      </x:c>
      <x:c r="T24" t="str">
        <x:v>79</x:v>
      </x:c>
    </x:row>
    <x:row r="25">
      <x:c r="A25" t="n">
        <x:v>24</x:v>
      </x:c>
      <x:c r="B25" s="330"/>
      <x:c r="C25" s="330" t="n">
        <x:v>46085</x:v>
      </x:c>
      <x:c r="D25" t="n">
        <x:v>2023</x:v>
      </x:c>
      <x:c r="E25"/>
      <x:c r="F25" t="str">
        <x:v>098/23/CBMP-BD</x:v>
      </x:c>
      <x:c r="G25"/>
      <x:c r="H25" t="str">
        <x:v>50 MEGUMI HAIR FALL CONTROL SHAMPOO</x:v>
      </x:c>
      <x:c r="I25" t="str">
        <x:v>50 MEGUMI</x:v>
      </x:c>
      <x:c r="J25" t="str">
        <x:v>Dầu gội</x:v>
      </x:c>
      <x:c r="K25" t="str">
        <x:v>Quảng cáo mỹ phẩm</x:v>
      </x:c>
      <x:c r="L25" t="str">
        <x:v>CÔNG TY TNHH ROHTO-MENTHOLATUM (VIỆT NAM)</x:v>
      </x:c>
      <x:c r="M25" t="str">
        <x:v>Số 16 VSIP Đường số 5, Khu Công nghiệp Việt Nam - Singapore, Phường Bình Hòa, Thành phố Hồ Chí Minh</x:v>
      </x:c>
      <x:c r="N25"/>
      <x:c r="O25" t="str">
        <x:v>Chưa đối chiếu thu hồi</x:v>
      </x:c>
      <x:c r="P25" t="str">
        <x:v>Nguồn chính thức Sở Y tế TP.HCM – cross-check số công bố</x:v>
      </x:c>
      <x:c r="Q25" t="str">
        <x:v>Khu vực cấp số lịch sử: Bình Dương cũ. Nguồn Quảng cáo mỹ phẩm.</x:v>
      </x:c>
      <x:c r="R25" t="str">
        <x:v>https://tracuu.medinet.org.vn/category/cosodulieukhac/quangcao-mypham</x:v>
      </x:c>
      <x:c r="S25" t="str">
        <x:v>TP. Hồ Chí Minh</x:v>
      </x:c>
      <x:c r="T25" t="str">
        <x:v>79</x:v>
      </x:c>
    </x:row>
    <x:row r="26">
      <x:c r="A26" t="n">
        <x:v>25</x:v>
      </x:c>
      <x:c r="B26" s="330"/>
      <x:c r="C26" s="330" t="n">
        <x:v>46085</x:v>
      </x:c>
      <x:c r="D26" t="n">
        <x:v>2025</x:v>
      </x:c>
      <x:c r="E26"/>
      <x:c r="F26" t="str">
        <x:v>003379/25/CBMP-HCM</x:v>
      </x:c>
      <x:c r="G26"/>
      <x:c r="H26" t="str">
        <x:v>50 MEGUMI HAIR ESSENCE</x:v>
      </x:c>
      <x:c r="I26" t="str">
        <x:v>50 MEGUMI</x:v>
      </x:c>
      <x:c r="J26" t="str">
        <x:v>Dưỡng tóc/Serum tóc</x:v>
      </x:c>
      <x:c r="K26" t="str">
        <x:v>Quảng cáo mỹ phẩm</x:v>
      </x:c>
      <x:c r="L26" t="str">
        <x:v>CÔNG TY TNHH ROHTO-MENTHOLATUM (VIỆT NAM)</x:v>
      </x:c>
      <x:c r="M26" t="str">
        <x:v>Số 16 VSIP Đường số 5, Khu Công nghiệp Việt Nam - Singapore, Phường Bình Hòa, Thành phố Hồ Chí Minh</x:v>
      </x:c>
      <x:c r="N26"/>
      <x:c r="O26" t="str">
        <x:v>Chưa đối chiếu thu hồi</x:v>
      </x:c>
      <x:c r="P26" t="str">
        <x:v>Nguồn chính thức Sở Y tế TP.HCM – cross-check số công bố</x:v>
      </x:c>
      <x:c r="Q26" t="str">
        <x:v>Khu vực cấp số lịch sử: TP.HCM. Nguồn Quảng cáo mỹ phẩm.</x:v>
      </x:c>
      <x:c r="R26" t="str">
        <x:v>https://tracuu.medinet.org.vn/category/cosodulieukhac/quangcao-mypham</x:v>
      </x:c>
      <x:c r="S26" t="str">
        <x:v>TP. Hồ Chí Minh</x:v>
      </x:c>
      <x:c r="T26" t="str">
        <x:v>79</x:v>
      </x:c>
    </x:row>
    <x:row r="27">
      <x:c r="A27" t="n">
        <x:v>26</x:v>
      </x:c>
      <x:c r="B27" s="330"/>
      <x:c r="C27" s="330" t="n">
        <x:v>46085</x:v>
      </x:c>
      <x:c r="D27" t="n">
        <x:v>2023</x:v>
      </x:c>
      <x:c r="E27"/>
      <x:c r="F27" t="str">
        <x:v>020/23/CBMP-BD</x:v>
      </x:c>
      <x:c r="G27"/>
      <x:c r="H27" t="str">
        <x:v>SUNPLAY SKIN AQUA CLEAR WHITE</x:v>
      </x:c>
      <x:c r="I27" t="str">
        <x:v>SUNPLAY</x:v>
      </x:c>
      <x:c r="J27" t="str">
        <x:v>Kem chống nắng</x:v>
      </x:c>
      <x:c r="K27" t="str">
        <x:v>Quảng cáo mỹ phẩm</x:v>
      </x:c>
      <x:c r="L27" t="str">
        <x:v>CÔNG TY TNHH ROHTO-MENTHOLATUM (VIỆT NAM)</x:v>
      </x:c>
      <x:c r="M27" t="str">
        <x:v>Số 16 VSIP Đường số 5, Khu Công nghiệp Việt Nam - Singapore, Phường Bình Hòa, Thành phố Hồ Chí Minh</x:v>
      </x:c>
      <x:c r="N27"/>
      <x:c r="O27" t="str">
        <x:v>Chưa đối chiếu thu hồi</x:v>
      </x:c>
      <x:c r="P27" t="str">
        <x:v>Nguồn chính thức Sở Y tế TP.HCM – cross-check số công bố</x:v>
      </x:c>
      <x:c r="Q27" t="str">
        <x:v>Khu vực cấp số lịch sử: Bình Dương cũ. Nguồn Quảng cáo mỹ phẩm.</x:v>
      </x:c>
      <x:c r="R27" t="str">
        <x:v>https://tracuu.medinet.org.vn/category/cosodulieukhac/quangcao-mypham</x:v>
      </x:c>
      <x:c r="S27" t="str">
        <x:v>TP. Hồ Chí Minh</x:v>
      </x:c>
      <x:c r="T27" t="str">
        <x:v>79</x:v>
      </x:c>
    </x:row>
    <x:row r="28">
      <x:c r="A28" t="n">
        <x:v>27</x:v>
      </x:c>
      <x:c r="B28" s="330"/>
      <x:c r="C28" s="330" t="n">
        <x:v>46085</x:v>
      </x:c>
      <x:c r="D28" t="n">
        <x:v>2023</x:v>
      </x:c>
      <x:c r="E28"/>
      <x:c r="F28" t="str">
        <x:v>017/23/CBMP-BD</x:v>
      </x:c>
      <x:c r="G28"/>
      <x:c r="H28" t="str">
        <x:v>SELSUN ANTI-DANDRUFF SHAMPOO WITH SELENIUM SULFIDE</x:v>
      </x:c>
      <x:c r="I28" t="str">
        <x:v>SELSUN</x:v>
      </x:c>
      <x:c r="J28" t="str">
        <x:v>Dầu gội</x:v>
      </x:c>
      <x:c r="K28" t="str">
        <x:v>Quảng cáo mỹ phẩm</x:v>
      </x:c>
      <x:c r="L28" t="str">
        <x:v>CÔNG TY TNHH ROHTO-MENTHOLATUM (VIỆT NAM)</x:v>
      </x:c>
      <x:c r="M28" t="str">
        <x:v>Số 16 VSIP Đường số 5, Khu Công nghiệp Việt Nam - Singapore, Phường Bình Hòa, Thành phố Hồ Chí Minh</x:v>
      </x:c>
      <x:c r="N28"/>
      <x:c r="O28" t="str">
        <x:v>Chưa đối chiếu thu hồi</x:v>
      </x:c>
      <x:c r="P28" t="str">
        <x:v>Nguồn chính thức Sở Y tế TP.HCM – cross-check số công bố</x:v>
      </x:c>
      <x:c r="Q28" t="str">
        <x:v>Khu vực cấp số lịch sử: Bình Dương cũ. Nguồn Quảng cáo mỹ phẩm.</x:v>
      </x:c>
      <x:c r="R28" t="str">
        <x:v>https://tracuu.medinet.org.vn/category/cosodulieukhac/quangcao-mypham</x:v>
      </x:c>
      <x:c r="S28" t="str">
        <x:v>TP. Hồ Chí Minh</x:v>
      </x:c>
      <x:c r="T28" t="str">
        <x:v>79</x:v>
      </x:c>
    </x:row>
    <x:row r="29">
      <x:c r="A29" t="n">
        <x:v>28</x:v>
      </x:c>
      <x:c r="B29" s="330"/>
      <x:c r="C29" s="330" t="n">
        <x:v>45950</x:v>
      </x:c>
      <x:c r="D29" t="n">
        <x:v>2025</x:v>
      </x:c>
      <x:c r="E29"/>
      <x:c r="F29" t="str">
        <x:v>006/25/CBMP-BD</x:v>
      </x:c>
      <x:c r="G29"/>
      <x:c r="H29" t="str">
        <x:v>silk-n shine. HAIR TREATMENT ALOE VERA</x:v>
      </x:c>
      <x:c r="I29" t="str">
        <x:v>silk-n shine</x:v>
      </x:c>
      <x:c r="J29" t="str">
        <x:v>Dưỡng tóc/Serum tóc</x:v>
      </x:c>
      <x:c r="K29" t="str">
        <x:v>CFS</x:v>
      </x:c>
      <x:c r="L29" t="str">
        <x:v>CÔNG TY CỔ PHẦN MARICO SOUTH EAST ASIA</x:v>
      </x:c>
      <x:c r="M29"/>
      <x:c r="N29" t="str">
        <x:v>CÔNG TY CỔ PHẦN MARICO SOUTH EAST ASIA</x:v>
      </x:c>
      <x:c r="O29" t="str">
        <x:v>Chưa đối chiếu thu hồi</x:v>
      </x:c>
      <x:c r="P29" t="str">
        <x:v>Nguồn chính thức Sở Y tế TP.HCM – cross-check số công bố</x:v>
      </x:c>
      <x:c r="Q29" t="str">
        <x:v>Khu vực cấp số lịch sử: Bình Dương cũ. Nguồn CFS.</x:v>
      </x:c>
      <x:c r="R29" t="str">
        <x:v>https://tracuu.medinet.org.vn/category/cosodulieukhac/gxn-cfs</x:v>
      </x:c>
      <x:c r="S29" t="str">
        <x:v>TP. Hồ Chí Minh</x:v>
      </x:c>
      <x:c r="T29" t="str">
        <x:v>79</x:v>
      </x:c>
    </x:row>
    <x:row r="30">
      <x:c r="A30" t="n">
        <x:v>29</x:v>
      </x:c>
      <x:c r="B30" s="330"/>
      <x:c r="C30" s="330" t="n">
        <x:v>45950</x:v>
      </x:c>
      <x:c r="D30" t="n">
        <x:v>2025</x:v>
      </x:c>
      <x:c r="E30"/>
      <x:c r="F30" t="str">
        <x:v>007/25/CBMP-BD</x:v>
      </x:c>
      <x:c r="G30"/>
      <x:c r="H30" t="str">
        <x:v>silk-n shine. HAIR TREATMENT GREEN TEA</x:v>
      </x:c>
      <x:c r="I30" t="str">
        <x:v>silk-n shine</x:v>
      </x:c>
      <x:c r="J30" t="str">
        <x:v>Dưỡng tóc/Serum tóc</x:v>
      </x:c>
      <x:c r="K30" t="str">
        <x:v>CFS</x:v>
      </x:c>
      <x:c r="L30" t="str">
        <x:v>CÔNG TY CỔ PHẦN MARICO SOUTH EAST ASIA</x:v>
      </x:c>
      <x:c r="M30"/>
      <x:c r="N30" t="str">
        <x:v>CÔNG TY CỔ PHẦN MARICO SOUTH EAST ASIA</x:v>
      </x:c>
      <x:c r="O30" t="str">
        <x:v>Chưa đối chiếu thu hồi</x:v>
      </x:c>
      <x:c r="P30" t="str">
        <x:v>Nguồn chính thức Sở Y tế TP.HCM – cross-check số công bố</x:v>
      </x:c>
      <x:c r="Q30" t="str">
        <x:v>Khu vực cấp số lịch sử: Bình Dương cũ. Nguồn CFS.</x:v>
      </x:c>
      <x:c r="R30" t="str">
        <x:v>https://tracuu.medinet.org.vn/category/cosodulieukhac/gxn-cfs</x:v>
      </x:c>
      <x:c r="S30" t="str">
        <x:v>TP. Hồ Chí Minh</x:v>
      </x:c>
      <x:c r="T30" t="str">
        <x:v>79</x:v>
      </x:c>
    </x:row>
    <x:row r="31">
      <x:c r="A31" t="n">
        <x:v>30</x:v>
      </x:c>
      <x:c r="B31" s="330"/>
      <x:c r="C31" s="330" t="n">
        <x:v>45926</x:v>
      </x:c>
      <x:c r="D31" t="n">
        <x:v>2025</x:v>
      </x:c>
      <x:c r="E31"/>
      <x:c r="F31" t="str">
        <x:v>001555/25/CBMP-HCM</x:v>
      </x:c>
      <x:c r="G31"/>
      <x:c r="H31" t="str">
        <x:v>BLACK SHEEP – VITAMIN WHITE</x:v>
      </x:c>
      <x:c r="I31" t="str">
        <x:v>BLACK SHEEP</x:v>
      </x:c>
      <x:c r="J31" t="str">
        <x:v>Kem body</x:v>
      </x:c>
      <x:c r="K31" t="str">
        <x:v>CFS</x:v>
      </x:c>
      <x:c r="L31" t="str">
        <x:v>CÔNG TY TNHH HENCOSVN</x:v>
      </x:c>
      <x:c r="M31"/>
      <x:c r="N31" t="str">
        <x:v>CÔNG TY TNHH HENCOSVN</x:v>
      </x:c>
      <x:c r="O31" t="str">
        <x:v>Chưa đối chiếu thu hồi</x:v>
      </x:c>
      <x:c r="P31" t="str">
        <x:v>Nguồn chính thức Sở Y tế TP.HCM – cross-check số công bố</x:v>
      </x:c>
      <x:c r="Q31" t="str">
        <x:v>Khu vực cấp số lịch sử: TP.HCM. Nguồn CFS.</x:v>
      </x:c>
      <x:c r="R31" t="str">
        <x:v>https://tracuu.medinet.org.vn/category/cosodulieukhac/gxn-cfs</x:v>
      </x:c>
      <x:c r="S31" t="str">
        <x:v>TP. Hồ Chí Minh</x:v>
      </x:c>
      <x:c r="T31" t="str">
        <x:v>79</x:v>
      </x:c>
    </x:row>
    <x:row r="32">
      <x:c r="A32" t="n">
        <x:v>31</x:v>
      </x:c>
      <x:c r="B32" s="330"/>
      <x:c r="C32" s="330" t="n">
        <x:v>45926</x:v>
      </x:c>
      <x:c r="D32" t="n">
        <x:v>2025</x:v>
      </x:c>
      <x:c r="E32"/>
      <x:c r="F32" t="str">
        <x:v>001556/25/CBMP-HCM</x:v>
      </x:c>
      <x:c r="G32"/>
      <x:c r="H32" t="str">
        <x:v>BLACK SHEEP – WHITE MILKY SPA</x:v>
      </x:c>
      <x:c r="I32" t="str">
        <x:v>BLACK SHEEP</x:v>
      </x:c>
      <x:c r="J32" t="str">
        <x:v>Kem body</x:v>
      </x:c>
      <x:c r="K32" t="str">
        <x:v>CFS</x:v>
      </x:c>
      <x:c r="L32" t="str">
        <x:v>CÔNG TY TNHH HENCOSVN</x:v>
      </x:c>
      <x:c r="M32"/>
      <x:c r="N32" t="str">
        <x:v>CÔNG TY TNHH HENCOSVN</x:v>
      </x:c>
      <x:c r="O32" t="str">
        <x:v>Chưa đối chiếu thu hồi</x:v>
      </x:c>
      <x:c r="P32" t="str">
        <x:v>Nguồn chính thức Sở Y tế TP.HCM – cross-check số công bố</x:v>
      </x:c>
      <x:c r="Q32" t="str">
        <x:v>Khu vực cấp số lịch sử: TP.HCM. Nguồn CFS.</x:v>
      </x:c>
      <x:c r="R32" t="str">
        <x:v>https://tracuu.medinet.org.vn/category/cosodulieukhac/gxn-cfs</x:v>
      </x:c>
      <x:c r="S32" t="str">
        <x:v>TP. Hồ Chí Minh</x:v>
      </x:c>
      <x:c r="T32" t="str">
        <x:v>79</x:v>
      </x:c>
    </x:row>
    <x:row r="33">
      <x:c r="A33" t="n">
        <x:v>32</x:v>
      </x:c>
      <x:c r="B33" s="330"/>
      <x:c r="C33" s="330" t="n">
        <x:v>45924</x:v>
      </x:c>
      <x:c r="D33" t="n">
        <x:v>2025</x:v>
      </x:c>
      <x:c r="E33"/>
      <x:c r="F33" t="str">
        <x:v>387/25/CBMP-BD</x:v>
      </x:c>
      <x:c r="G33"/>
      <x:c r="H33" t="str">
        <x:v>Enchanteur Sensation Radiant White Anti Perspirant Roll On Soft Smooth</x:v>
      </x:c>
      <x:c r="I33" t="str">
        <x:v>Enchanteur</x:v>
      </x:c>
      <x:c r="J33" t="str">
        <x:v>Khử mùi</x:v>
      </x:c>
      <x:c r="K33" t="str">
        <x:v>CFS</x:v>
      </x:c>
      <x:c r="L33" t="str">
        <x:v>CÔNG TY TRÁCH NHIỆM HỮU HẠN WIPRO CONSUMER CARE VIỆT NAM</x:v>
      </x:c>
      <x:c r="M33"/>
      <x:c r="N33" t="str">
        <x:v>CÔNG TY TRÁCH NHIỆM HỮU HẠN WIPRO CONSUMER CARE VIỆT NAM</x:v>
      </x:c>
      <x:c r="O33" t="str">
        <x:v>Chưa đối chiếu thu hồi</x:v>
      </x:c>
      <x:c r="P33" t="str">
        <x:v>Nguồn chính thức Sở Y tế TP.HCM – cross-check số công bố</x:v>
      </x:c>
      <x:c r="Q33" t="str">
        <x:v>Khu vực cấp số lịch sử: Bình Dương cũ. Nguồn CFS.</x:v>
      </x:c>
      <x:c r="R33" t="str">
        <x:v>https://tracuu.medinet.org.vn/category/cosodulieukhac/gxn-cfs</x:v>
      </x:c>
      <x:c r="S33" t="str">
        <x:v>TP. Hồ Chí Minh</x:v>
      </x:c>
      <x:c r="T33" t="str">
        <x:v>79</x:v>
      </x:c>
    </x:row>
    <x:row r="34">
      <x:c r="A34" t="n">
        <x:v>33</x:v>
      </x:c>
      <x:c r="B34" s="330"/>
      <x:c r="C34" s="330" t="n">
        <x:v>45882</x:v>
      </x:c>
      <x:c r="D34" t="n">
        <x:v>2025</x:v>
      </x:c>
      <x:c r="E34"/>
      <x:c r="F34" t="str">
        <x:v>000259/25/CBMP-HCM</x:v>
      </x:c>
      <x:c r="G34"/>
      <x:c r="H34" t="str">
        <x:v>d’Annam - NƯỚC HOA MOONCAKE</x:v>
      </x:c>
      <x:c r="I34" t="str">
        <x:v>d’Annam</x:v>
      </x:c>
      <x:c r="J34" t="str">
        <x:v>Nước hoa</x:v>
      </x:c>
      <x:c r="K34" t="str">
        <x:v>CFS</x:v>
      </x:c>
      <x:c r="L34" t="str">
        <x:v>CÔNG TY TNHH TOP 100</x:v>
      </x:c>
      <x:c r="M34"/>
      <x:c r="N34" t="str">
        <x:v>CÔNG TY TNHH TOP 100</x:v>
      </x:c>
      <x:c r="O34" t="str">
        <x:v>Chưa đối chiếu thu hồi</x:v>
      </x:c>
      <x:c r="P34" t="str">
        <x:v>Nguồn chính thức Sở Y tế TP.HCM – cross-check số công bố</x:v>
      </x:c>
      <x:c r="Q34" t="str">
        <x:v>Khu vực cấp số lịch sử: TP.HCM. Nguồn CFS.</x:v>
      </x:c>
      <x:c r="R34" t="str">
        <x:v>https://tracuu.medinet.org.vn/category/cosodulieukhac/gxn-cfs</x:v>
      </x:c>
      <x:c r="S34" t="str">
        <x:v>TP. Hồ Chí Minh</x:v>
      </x:c>
      <x:c r="T34" t="str">
        <x:v>79</x:v>
      </x:c>
    </x:row>
    <x:row r="35">
      <x:c r="A35" t="n">
        <x:v>34</x:v>
      </x:c>
      <x:c r="B35" s="330"/>
      <x:c r="C35" s="330" t="n">
        <x:v>45882</x:v>
      </x:c>
      <x:c r="D35" t="n">
        <x:v>2025</x:v>
      </x:c>
      <x:c r="E35"/>
      <x:c r="F35" t="str">
        <x:v>000258/25/CBMP-HCM</x:v>
      </x:c>
      <x:c r="G35"/>
      <x:c r="H35" t="str">
        <x:v>d’Annam - NƯỚC HOA POMELO OOLONG</x:v>
      </x:c>
      <x:c r="I35" t="str">
        <x:v>d’Annam</x:v>
      </x:c>
      <x:c r="J35" t="str">
        <x:v>Nước hoa</x:v>
      </x:c>
      <x:c r="K35" t="str">
        <x:v>CFS</x:v>
      </x:c>
      <x:c r="L35" t="str">
        <x:v>CÔNG TY TNHH TOP 100</x:v>
      </x:c>
      <x:c r="M35"/>
      <x:c r="N35" t="str">
        <x:v>CÔNG TY TNHH TOP 100</x:v>
      </x:c>
      <x:c r="O35" t="str">
        <x:v>Chưa đối chiếu thu hồi</x:v>
      </x:c>
      <x:c r="P35" t="str">
        <x:v>Nguồn chính thức Sở Y tế TP.HCM – cross-check số công bố</x:v>
      </x:c>
      <x:c r="Q35" t="str">
        <x:v>Khu vực cấp số lịch sử: TP.HCM. Nguồn CFS.</x:v>
      </x:c>
      <x:c r="R35" t="str">
        <x:v>https://tracuu.medinet.org.vn/category/cosodulieukhac/gxn-cfs</x:v>
      </x:c>
      <x:c r="S35" t="str">
        <x:v>TP. Hồ Chí Minh</x:v>
      </x:c>
      <x:c r="T35" t="str">
        <x:v>79</x:v>
      </x:c>
    </x:row>
    <x:row r="36">
      <x:c r="A36" t="n">
        <x:v>35</x:v>
      </x:c>
      <x:c r="B36" s="330"/>
      <x:c r="C36" s="330" t="n">
        <x:v>45882</x:v>
      </x:c>
      <x:c r="D36" t="n">
        <x:v>2025</x:v>
      </x:c>
      <x:c r="E36"/>
      <x:c r="F36" t="str">
        <x:v>000257/25/CBMP-HCM</x:v>
      </x:c>
      <x:c r="G36"/>
      <x:c r="H36" t="str">
        <x:v>d’Annam - NƯỚC HOA PRINCESS OF CHINA</x:v>
      </x:c>
      <x:c r="I36" t="str">
        <x:v>d’Annam</x:v>
      </x:c>
      <x:c r="J36" t="str">
        <x:v>Nước hoa</x:v>
      </x:c>
      <x:c r="K36" t="str">
        <x:v>CFS</x:v>
      </x:c>
      <x:c r="L36" t="str">
        <x:v>CÔNG TY TNHH TOP 100</x:v>
      </x:c>
      <x:c r="M36"/>
      <x:c r="N36" t="str">
        <x:v>CÔNG TY TNHH TOP 100</x:v>
      </x:c>
      <x:c r="O36" t="str">
        <x:v>Chưa đối chiếu thu hồi</x:v>
      </x:c>
      <x:c r="P36" t="str">
        <x:v>Nguồn chính thức Sở Y tế TP.HCM – cross-check số công bố</x:v>
      </x:c>
      <x:c r="Q36" t="str">
        <x:v>Khu vực cấp số lịch sử: TP.HCM. Nguồn CFS.</x:v>
      </x:c>
      <x:c r="R36" t="str">
        <x:v>https://tracuu.medinet.org.vn/category/cosodulieukhac/gxn-cfs</x:v>
      </x:c>
      <x:c r="S36" t="str">
        <x:v>TP. Hồ Chí Minh</x:v>
      </x:c>
      <x:c r="T36" t="str">
        <x:v>79</x:v>
      </x:c>
    </x:row>
    <x:row r="37">
      <x:c r="A37" t="n">
        <x:v>36</x:v>
      </x:c>
      <x:c r="B37" s="330"/>
      <x:c r="C37" s="330" t="n">
        <x:v>45882</x:v>
      </x:c>
      <x:c r="D37" t="n">
        <x:v>2025</x:v>
      </x:c>
      <x:c r="E37"/>
      <x:c r="F37" t="str">
        <x:v>000224/25/CBMP-HCM</x:v>
      </x:c>
      <x:c r="G37"/>
      <x:c r="H37" t="str">
        <x:v>d’Annam - NƯỚC HOA SPRING FESTIVAL</x:v>
      </x:c>
      <x:c r="I37" t="str">
        <x:v>d’Annam</x:v>
      </x:c>
      <x:c r="J37" t="str">
        <x:v>Nước hoa</x:v>
      </x:c>
      <x:c r="K37" t="str">
        <x:v>CFS</x:v>
      </x:c>
      <x:c r="L37" t="str">
        <x:v>CÔNG TY TNHH TOP 100</x:v>
      </x:c>
      <x:c r="M37"/>
      <x:c r="N37" t="str">
        <x:v>CÔNG TY TNHH TOP 100</x:v>
      </x:c>
      <x:c r="O37" t="str">
        <x:v>Chưa đối chiếu thu hồi</x:v>
      </x:c>
      <x:c r="P37" t="str">
        <x:v>Nguồn chính thức Sở Y tế TP.HCM – cross-check số công bố</x:v>
      </x:c>
      <x:c r="Q37" t="str">
        <x:v>Khu vực cấp số lịch sử: TP.HCM. Nguồn CFS.</x:v>
      </x:c>
      <x:c r="R37" t="str">
        <x:v>https://tracuu.medinet.org.vn/category/cosodulieukhac/gxn-cfs</x:v>
      </x:c>
      <x:c r="S37" t="str">
        <x:v>TP. Hồ Chí Minh</x:v>
      </x:c>
      <x:c r="T37" t="str">
        <x:v>79</x:v>
      </x:c>
    </x:row>
    <x:row r="38">
      <x:c r="A38" t="n">
        <x:v>37</x:v>
      </x:c>
      <x:c r="B38" s="330"/>
      <x:c r="C38" s="330" t="n">
        <x:v>45882</x:v>
      </x:c>
      <x:c r="D38" t="n">
        <x:v>2025</x:v>
      </x:c>
      <x:c r="E38"/>
      <x:c r="F38" t="str">
        <x:v>000223/25/CBMP-HCM</x:v>
      </x:c>
      <x:c r="G38"/>
      <x:c r="H38" t="str">
        <x:v>d’Annam - NƯỚC HOA THE SILK ROAD</x:v>
      </x:c>
      <x:c r="I38" t="str">
        <x:v>d’Annam</x:v>
      </x:c>
      <x:c r="J38" t="str">
        <x:v>Nước hoa</x:v>
      </x:c>
      <x:c r="K38" t="str">
        <x:v>CFS</x:v>
      </x:c>
      <x:c r="L38" t="str">
        <x:v>CÔNG TY TNHH TOP 100</x:v>
      </x:c>
      <x:c r="M38"/>
      <x:c r="N38" t="str">
        <x:v>CÔNG TY TNHH TOP 100</x:v>
      </x:c>
      <x:c r="O38" t="str">
        <x:v>Chưa đối chiếu thu hồi</x:v>
      </x:c>
      <x:c r="P38" t="str">
        <x:v>Nguồn chính thức Sở Y tế TP.HCM – cross-check số công bố</x:v>
      </x:c>
      <x:c r="Q38" t="str">
        <x:v>Khu vực cấp số lịch sử: TP.HCM. Nguồn CFS.</x:v>
      </x:c>
      <x:c r="R38" t="str">
        <x:v>https://tracuu.medinet.org.vn/category/cosodulieukhac/gxn-cfs</x:v>
      </x:c>
      <x:c r="S38" t="str">
        <x:v>TP. Hồ Chí Minh</x:v>
      </x:c>
      <x:c r="T38" t="str">
        <x:v>79</x:v>
      </x:c>
    </x:row>
    <x:row r="39">
      <x:c r="A39" t="n">
        <x:v>38</x:v>
      </x:c>
      <x:c r="B39" s="330"/>
      <x:c r="C39" s="330" t="n">
        <x:v>45882</x:v>
      </x:c>
      <x:c r="D39" t="n">
        <x:v>2025</x:v>
      </x:c>
      <x:c r="E39"/>
      <x:c r="F39" t="str">
        <x:v>000222/25/CBMP-HCM</x:v>
      </x:c>
      <x:c r="G39"/>
      <x:c r="H39" t="str">
        <x:v>d’Annam - NƯỚC HOA CHINESE CALLIGRAPHY</x:v>
      </x:c>
      <x:c r="I39" t="str">
        <x:v>d’Annam</x:v>
      </x:c>
      <x:c r="J39" t="str">
        <x:v>Nước hoa</x:v>
      </x:c>
      <x:c r="K39" t="str">
        <x:v>CFS</x:v>
      </x:c>
      <x:c r="L39" t="str">
        <x:v>CÔNG TY TNHH TOP 100</x:v>
      </x:c>
      <x:c r="M39"/>
      <x:c r="N39" t="str">
        <x:v>CÔNG TY TNHH TOP 100</x:v>
      </x:c>
      <x:c r="O39" t="str">
        <x:v>Chưa đối chiếu thu hồi</x:v>
      </x:c>
      <x:c r="P39" t="str">
        <x:v>Nguồn chính thức Sở Y tế TP.HCM – cross-check số công bố</x:v>
      </x:c>
      <x:c r="Q39" t="str">
        <x:v>Khu vực cấp số lịch sử: TP.HCM. Nguồn CFS.</x:v>
      </x:c>
      <x:c r="R39" t="str">
        <x:v>https://tracuu.medinet.org.vn/category/cosodulieukhac/gxn-cfs</x:v>
      </x:c>
      <x:c r="S39" t="str">
        <x:v>TP. Hồ Chí Minh</x:v>
      </x:c>
      <x:c r="T39" t="str">
        <x:v>79</x:v>
      </x:c>
    </x:row>
    <x:row r="40">
      <x:c r="A40" t="n">
        <x:v>39</x:v>
      </x:c>
      <x:c r="B40" s="330" t="n">
        <x:v>45817</x:v>
      </x:c>
      <x:c r="C40" s="330" t="n">
        <x:v>45873</x:v>
      </x:c>
      <x:c r="D40" t="n">
        <x:v>2025</x:v>
      </x:c>
      <x:c r="E40" t="n">
        <x:v>6</x:v>
      </x:c>
      <x:c r="F40" t="str">
        <x:v>002970/25/CBMP-HCM</x:v>
      </x:c>
      <x:c r="G40"/>
      <x:c r="H40" t="str">
        <x:v>CITRA SHOWER CREAM AVOCADO &amp; VIT-E</x:v>
      </x:c>
      <x:c r="I40" t="str">
        <x:v>CITRA</x:v>
      </x:c>
      <x:c r="J40" t="str">
        <x:v>Sữa tắm/Gel tắm</x:v>
      </x:c>
      <x:c r="K40" t="str">
        <x:v>CFS</x:v>
      </x:c>
      <x:c r="L40" t="str">
        <x:v>CÔNG TY TNHH QUỐC TẾ UNILEVER VIỆT NAM</x:v>
      </x:c>
      <x:c r="M40" t="str">
        <x:v>Lô A2-3 KCN Tây Bắc Củ Chi, Xã Tân An Hội, Thành phố Hồ Chí Minh</x:v>
      </x:c>
      <x:c r="N40" t="str">
        <x:v>CÔNG TY TNHH QUỐC TẾ UNILEVER VIỆT NAM</x:v>
      </x:c>
      <x:c r="O40" t="str">
        <x:v>Chưa đối chiếu thu hồi</x:v>
      </x:c>
      <x:c r="P40" t="str">
        <x:v>Nguồn chính thức Sở Y tế TP.HCM – cross-check số công bố</x:v>
      </x:c>
      <x:c r="Q40" t="str">
        <x:v>Khu vực cấp số lịch sử: TP.HCM. Nguồn CFS.</x:v>
      </x:c>
      <x:c r="R40" t="str">
        <x:v>https://tracuu.medinet.org.vn/category/cosodulieukhac/gxn-cfs</x:v>
      </x:c>
      <x:c r="S40" t="str">
        <x:v>TP. Hồ Chí Minh</x:v>
      </x:c>
      <x:c r="T40" t="str">
        <x:v>79</x:v>
      </x:c>
    </x:row>
    <x:row r="41">
      <x:c r="A41" t="n">
        <x:v>40</x:v>
      </x:c>
      <x:c r="B41" s="330" t="n">
        <x:v>45817</x:v>
      </x:c>
      <x:c r="C41" s="330" t="n">
        <x:v>45873</x:v>
      </x:c>
      <x:c r="D41" t="n">
        <x:v>2025</x:v>
      </x:c>
      <x:c r="E41" t="n">
        <x:v>6</x:v>
      </x:c>
      <x:c r="F41" t="str">
        <x:v>002969/25/CBMP-HCM</x:v>
      </x:c>
      <x:c r="G41"/>
      <x:c r="H41" t="str">
        <x:v>CITRA SHOWER CREAM GOAT MILK &amp; VIT-E</x:v>
      </x:c>
      <x:c r="I41" t="str">
        <x:v>CITRA</x:v>
      </x:c>
      <x:c r="J41" t="str">
        <x:v>Sữa tắm/Gel tắm</x:v>
      </x:c>
      <x:c r="K41" t="str">
        <x:v>CFS</x:v>
      </x:c>
      <x:c r="L41" t="str">
        <x:v>CÔNG TY TNHH QUỐC TẾ UNILEVER VIỆT NAM</x:v>
      </x:c>
      <x:c r="M41" t="str">
        <x:v>Lô A2-3 KCN Tây Bắc Củ Chi, Xã Tân An Hội, Thành phố Hồ Chí Minh</x:v>
      </x:c>
      <x:c r="N41" t="str">
        <x:v>CÔNG TY TNHH QUỐC TẾ UNILEVER VIỆT NAM</x:v>
      </x:c>
      <x:c r="O41" t="str">
        <x:v>Chưa đối chiếu thu hồi</x:v>
      </x:c>
      <x:c r="P41" t="str">
        <x:v>Nguồn chính thức Sở Y tế TP.HCM – cross-check số công bố</x:v>
      </x:c>
      <x:c r="Q41" t="str">
        <x:v>Khu vực cấp số lịch sử: TP.HCM. Nguồn CFS.</x:v>
      </x:c>
      <x:c r="R41" t="str">
        <x:v>https://tracuu.medinet.org.vn/category/cosodulieukhac/gxn-cfs</x:v>
      </x:c>
      <x:c r="S41" t="str">
        <x:v>TP. Hồ Chí Minh</x:v>
      </x:c>
      <x:c r="T41" t="str">
        <x:v>79</x:v>
      </x:c>
    </x:row>
    <x:row r="42">
      <x:c r="A42" t="n">
        <x:v>41</x:v>
      </x:c>
      <x:c r="B42" s="330" t="n">
        <x:v>45817</x:v>
      </x:c>
      <x:c r="C42" s="330" t="n">
        <x:v>45873</x:v>
      </x:c>
      <x:c r="D42" t="n">
        <x:v>2025</x:v>
      </x:c>
      <x:c r="E42" t="n">
        <x:v>6</x:v>
      </x:c>
      <x:c r="F42" t="str">
        <x:v>002968/25/CBMP-HCM</x:v>
      </x:c>
      <x:c r="G42"/>
      <x:c r="H42" t="str">
        <x:v>CITRA SHOWER CREAM MULBERRY WITH GOAT MILK &amp; VIT-E</x:v>
      </x:c>
      <x:c r="I42" t="str">
        <x:v>CITRA</x:v>
      </x:c>
      <x:c r="J42" t="str">
        <x:v>Sữa tắm/Gel tắm</x:v>
      </x:c>
      <x:c r="K42" t="str">
        <x:v>CFS</x:v>
      </x:c>
      <x:c r="L42" t="str">
        <x:v>CÔNG TY TNHH QUỐC TẾ UNILEVER VIỆT NAM</x:v>
      </x:c>
      <x:c r="M42" t="str">
        <x:v>Lô A2-3 KCN Tây Bắc Củ Chi, Xã Tân An Hội, Thành phố Hồ Chí Minh</x:v>
      </x:c>
      <x:c r="N42" t="str">
        <x:v>CÔNG TY TNHH QUỐC TẾ UNILEVER VIỆT NAM</x:v>
      </x:c>
      <x:c r="O42" t="str">
        <x:v>Chưa đối chiếu thu hồi</x:v>
      </x:c>
      <x:c r="P42" t="str">
        <x:v>Nguồn chính thức Sở Y tế TP.HCM – cross-check số công bố</x:v>
      </x:c>
      <x:c r="Q42" t="str">
        <x:v>Khu vực cấp số lịch sử: TP.HCM. Nguồn CFS.</x:v>
      </x:c>
      <x:c r="R42" t="str">
        <x:v>https://tracuu.medinet.org.vn/category/cosodulieukhac/gxn-cfs</x:v>
      </x:c>
      <x:c r="S42" t="str">
        <x:v>TP. Hồ Chí Minh</x:v>
      </x:c>
      <x:c r="T42" t="str">
        <x:v>79</x:v>
      </x:c>
    </x:row>
    <x:row r="43">
      <x:c r="A43" t="n">
        <x:v>42</x:v>
      </x:c>
      <x:c r="B43" s="330"/>
      <x:c r="C43" s="330" t="n">
        <x:v>45814</x:v>
      </x:c>
      <x:c r="D43" t="n">
        <x:v>2025</x:v>
      </x:c>
      <x:c r="E43"/>
      <x:c r="F43" t="str">
        <x:v>002005/25/CBMP-HCM</x:v>
      </x:c>
      <x:c r="G43"/>
      <x:c r="H43" t="str">
        <x:v>DOVE BODY WASH ACNE CONTROL</x:v>
      </x:c>
      <x:c r="I43" t="str">
        <x:v>DOVE</x:v>
      </x:c>
      <x:c r="J43" t="str">
        <x:v>Sữa tắm/Gel tắm</x:v>
      </x:c>
      <x:c r="K43" t="str">
        <x:v>CFS</x:v>
      </x:c>
      <x:c r="L43" t="str">
        <x:v>CÔNG TY TNHH QUỐC TẾ UNILEVER VIỆT NAM</x:v>
      </x:c>
      <x:c r="M43" t="str">
        <x:v>Lô A2-3 KCN Tây Bắc Củ Chi, Xã Tân An Hội, Thành phố Hồ Chí Minh</x:v>
      </x:c>
      <x:c r="N43" t="str">
        <x:v>CÔNG TY TNHH QUỐC TẾ UNILEVER VIỆT NAM</x:v>
      </x:c>
      <x:c r="O43" t="str">
        <x:v>Chưa đối chiếu thu hồi</x:v>
      </x:c>
      <x:c r="P43" t="str">
        <x:v>Nguồn chính thức Sở Y tế TP.HCM – cross-check số công bố</x:v>
      </x:c>
      <x:c r="Q43" t="str">
        <x:v>Khu vực cấp số lịch sử: TP.HCM. Nguồn CFS.</x:v>
      </x:c>
      <x:c r="R43" t="str">
        <x:v>https://tracuu.medinet.org.vn/category/cosodulieukhac/gxn-cfs</x:v>
      </x:c>
      <x:c r="S43" t="str">
        <x:v>TP. Hồ Chí Minh</x:v>
      </x:c>
      <x:c r="T43" t="str">
        <x:v>79</x:v>
      </x:c>
    </x:row>
    <x:row r="44">
      <x:c r="A44" t="n">
        <x:v>43</x:v>
      </x:c>
      <x:c r="B44" s="330"/>
      <x:c r="C44" s="330" t="n">
        <x:v>45814</x:v>
      </x:c>
      <x:c r="D44" t="n">
        <x:v>2025</x:v>
      </x:c>
      <x:c r="E44"/>
      <x:c r="F44" t="str">
        <x:v>002004/25/CBMP-HCM</x:v>
      </x:c>
      <x:c r="G44"/>
      <x:c r="H44" t="str">
        <x:v>DOVE BODY WASH EVEN TONE RADIANCE</x:v>
      </x:c>
      <x:c r="I44" t="str">
        <x:v>DOVE</x:v>
      </x:c>
      <x:c r="J44" t="str">
        <x:v>Sữa tắm/Gel tắm</x:v>
      </x:c>
      <x:c r="K44" t="str">
        <x:v>CFS</x:v>
      </x:c>
      <x:c r="L44" t="str">
        <x:v>CÔNG TY TNHH QUỐC TẾ UNILEVER VIỆT NAM</x:v>
      </x:c>
      <x:c r="M44" t="str">
        <x:v>Lô A2-3 KCN Tây Bắc Củ Chi, Xã Tân An Hội, Thành phố Hồ Chí Minh</x:v>
      </x:c>
      <x:c r="N44" t="str">
        <x:v>CÔNG TY TNHH QUỐC TẾ UNILEVER VIỆT NAM</x:v>
      </x:c>
      <x:c r="O44" t="str">
        <x:v>Chưa đối chiếu thu hồi</x:v>
      </x:c>
      <x:c r="P44" t="str">
        <x:v>Nguồn chính thức Sở Y tế TP.HCM – cross-check số công bố</x:v>
      </x:c>
      <x:c r="Q44" t="str">
        <x:v>Khu vực cấp số lịch sử: TP.HCM. Nguồn CFS.</x:v>
      </x:c>
      <x:c r="R44" t="str">
        <x:v>https://tracuu.medinet.org.vn/category/cosodulieukhac/gxn-cfs</x:v>
      </x:c>
      <x:c r="S44" t="str">
        <x:v>TP. Hồ Chí Minh</x:v>
      </x:c>
      <x:c r="T44" t="str">
        <x:v>79</x:v>
      </x:c>
    </x:row>
    <x:row r="45">
      <x:c r="A45" t="n">
        <x:v>44</x:v>
      </x:c>
      <x:c r="B45" s="330"/>
      <x:c r="C45" s="330" t="n">
        <x:v>45814</x:v>
      </x:c>
      <x:c r="D45" t="n">
        <x:v>2025</x:v>
      </x:c>
      <x:c r="E45"/>
      <x:c r="F45" t="str">
        <x:v>002002/25/CBMP-HCM</x:v>
      </x:c>
      <x:c r="G45"/>
      <x:c r="H45" t="str">
        <x:v>DOVE BODY WASH SKIN RENEWAL</x:v>
      </x:c>
      <x:c r="I45" t="str">
        <x:v>DOVE</x:v>
      </x:c>
      <x:c r="J45" t="str">
        <x:v>Sữa tắm/Gel tắm</x:v>
      </x:c>
      <x:c r="K45" t="str">
        <x:v>CFS</x:v>
      </x:c>
      <x:c r="L45" t="str">
        <x:v>CÔNG TY TNHH QUỐC TẾ UNILEVER VIỆT NAM</x:v>
      </x:c>
      <x:c r="M45" t="str">
        <x:v>Lô A2-3 KCN Tây Bắc Củ Chi, Xã Tân An Hội, Thành phố Hồ Chí Minh</x:v>
      </x:c>
      <x:c r="N45" t="str">
        <x:v>CÔNG TY TNHH QUỐC TẾ UNILEVER VIỆT NAM</x:v>
      </x:c>
      <x:c r="O45" t="str">
        <x:v>Chưa đối chiếu thu hồi</x:v>
      </x:c>
      <x:c r="P45" t="str">
        <x:v>Nguồn chính thức Sở Y tế TP.HCM – cross-check số công bố</x:v>
      </x:c>
      <x:c r="Q45" t="str">
        <x:v>Khu vực cấp số lịch sử: TP.HCM. Nguồn CFS.</x:v>
      </x:c>
      <x:c r="R45" t="str">
        <x:v>https://tracuu.medinet.org.vn/category/cosodulieukhac/gxn-cfs</x:v>
      </x:c>
      <x:c r="S45" t="str">
        <x:v>TP. Hồ Chí Minh</x:v>
      </x:c>
      <x:c r="T45" t="str">
        <x:v>79</x:v>
      </x:c>
    </x:row>
    <x:row r="46">
      <x:c r="A46" t="n">
        <x:v>45</x:v>
      </x:c>
      <x:c r="B46" s="330"/>
      <x:c r="C46" s="330" t="n">
        <x:v>45786</x:v>
      </x:c>
      <x:c r="D46" t="n">
        <x:v>2025</x:v>
      </x:c>
      <x:c r="E46"/>
      <x:c r="F46" t="str">
        <x:v>001199/25/CBMP-HCM</x:v>
      </x:c>
      <x:c r="G46"/>
      <x:c r="H46" t="str">
        <x:v>SIGNAL TOOTHPASTE GUM EXPERT FRESH</x:v>
      </x:c>
      <x:c r="I46" t="str">
        <x:v>SIGNAL</x:v>
      </x:c>
      <x:c r="J46" t="str">
        <x:v>Chăm sóc răng miệng</x:v>
      </x:c>
      <x:c r="K46" t="str">
        <x:v>CFS</x:v>
      </x:c>
      <x:c r="L46" t="str">
        <x:v>CÔNG TY TNHH QUỐC TẾ UNILEVER VIỆT NAM</x:v>
      </x:c>
      <x:c r="M46" t="str">
        <x:v>Lô A2-3 KCN Tây Bắc Củ Chi, Xã Tân An Hội, Thành phố Hồ Chí Minh</x:v>
      </x:c>
      <x:c r="N46" t="str">
        <x:v>CÔNG TY TNHH QUỐC TẾ UNILEVER VIỆT NAM</x:v>
      </x:c>
      <x:c r="O46" t="str">
        <x:v>Chưa đối chiếu thu hồi</x:v>
      </x:c>
      <x:c r="P46" t="str">
        <x:v>Nguồn chính thức Sở Y tế TP.HCM – cross-check số công bố</x:v>
      </x:c>
      <x:c r="Q46" t="str">
        <x:v>Khu vực cấp số lịch sử: TP.HCM. Nguồn CFS.</x:v>
      </x:c>
      <x:c r="R46" t="str">
        <x:v>https://tracuu.medinet.org.vn/category/cosodulieukhac/gxn-cfs</x:v>
      </x:c>
      <x:c r="S46" t="str">
        <x:v>TP. Hồ Chí Minh</x:v>
      </x:c>
      <x:c r="T46" t="str">
        <x:v>79</x:v>
      </x:c>
    </x:row>
    <x:row r="47">
      <x:c r="A47" t="n">
        <x:v>46</x:v>
      </x:c>
      <x:c r="B47" s="330"/>
      <x:c r="C47" s="330" t="n">
        <x:v>45786</x:v>
      </x:c>
      <x:c r="D47" t="n">
        <x:v>2025</x:v>
      </x:c>
      <x:c r="E47"/>
      <x:c r="F47" t="str">
        <x:v>001200/25/CBMP-HCM</x:v>
      </x:c>
      <x:c r="G47"/>
      <x:c r="H47" t="str">
        <x:v>SIGNAL TOOTHPASTE GUM EXPERT WHITENING</x:v>
      </x:c>
      <x:c r="I47" t="str">
        <x:v>SIGNAL</x:v>
      </x:c>
      <x:c r="J47" t="str">
        <x:v>Chăm sóc răng miệng</x:v>
      </x:c>
      <x:c r="K47" t="str">
        <x:v>CFS</x:v>
      </x:c>
      <x:c r="L47" t="str">
        <x:v>CÔNG TY TNHH QUỐC TẾ UNILEVER VIỆT NAM</x:v>
      </x:c>
      <x:c r="M47" t="str">
        <x:v>Lô A2-3 KCN Tây Bắc Củ Chi, Xã Tân An Hội, Thành phố Hồ Chí Minh</x:v>
      </x:c>
      <x:c r="N47" t="str">
        <x:v>CÔNG TY TNHH QUỐC TẾ UNILEVER VIỆT NAM</x:v>
      </x:c>
      <x:c r="O47" t="str">
        <x:v>Chưa đối chiếu thu hồi</x:v>
      </x:c>
      <x:c r="P47" t="str">
        <x:v>Nguồn chính thức Sở Y tế TP.HCM – cross-check số công bố</x:v>
      </x:c>
      <x:c r="Q47" t="str">
        <x:v>Khu vực cấp số lịch sử: TP.HCM. Nguồn CFS.</x:v>
      </x:c>
      <x:c r="R47" t="str">
        <x:v>https://tracuu.medinet.org.vn/category/cosodulieukhac/gxn-cfs</x:v>
      </x:c>
      <x:c r="S47" t="str">
        <x:v>TP. Hồ Chí Minh</x:v>
      </x:c>
      <x:c r="T47" t="str">
        <x:v>79</x:v>
      </x:c>
    </x:row>
    <x:row r="48">
      <x:c r="A48" t="n">
        <x:v>47</x:v>
      </x:c>
      <x:c r="B48" s="330"/>
      <x:c r="C48" s="330" t="n">
        <x:v>45786</x:v>
      </x:c>
      <x:c r="D48" t="n">
        <x:v>2025</x:v>
      </x:c>
      <x:c r="E48"/>
      <x:c r="F48" t="str">
        <x:v>001201/25/CBMP-HCM</x:v>
      </x:c>
      <x:c r="G48"/>
      <x:c r="H48" t="str">
        <x:v>SIGNAL TOOTHPASTE SENSITIVE EXPERT FRESH</x:v>
      </x:c>
      <x:c r="I48" t="str">
        <x:v>SIGNAL</x:v>
      </x:c>
      <x:c r="J48" t="str">
        <x:v>Chăm sóc răng miệng</x:v>
      </x:c>
      <x:c r="K48" t="str">
        <x:v>CFS</x:v>
      </x:c>
      <x:c r="L48" t="str">
        <x:v>CÔNG TY TNHH QUỐC TẾ UNILEVER VIỆT NAM</x:v>
      </x:c>
      <x:c r="M48" t="str">
        <x:v>Lô A2-3 KCN Tây Bắc Củ Chi, Xã Tân An Hội, Thành phố Hồ Chí Minh</x:v>
      </x:c>
      <x:c r="N48" t="str">
        <x:v>CÔNG TY TNHH QUỐC TẾ UNILEVER VIỆT NAM</x:v>
      </x:c>
      <x:c r="O48" t="str">
        <x:v>Chưa đối chiếu thu hồi</x:v>
      </x:c>
      <x:c r="P48" t="str">
        <x:v>Nguồn chính thức Sở Y tế TP.HCM – cross-check số công bố</x:v>
      </x:c>
      <x:c r="Q48" t="str">
        <x:v>Khu vực cấp số lịch sử: TP.HCM. Nguồn CFS.</x:v>
      </x:c>
      <x:c r="R48" t="str">
        <x:v>https://tracuu.medinet.org.vn/category/cosodulieukhac/gxn-cfs</x:v>
      </x:c>
      <x:c r="S48" t="str">
        <x:v>TP. Hồ Chí Minh</x:v>
      </x:c>
      <x:c r="T48" t="str">
        <x:v>79</x:v>
      </x:c>
    </x:row>
    <x:row r="49">
      <x:c r="A49" t="n">
        <x:v>48</x:v>
      </x:c>
      <x:c r="B49" s="330"/>
      <x:c r="C49" s="330" t="n">
        <x:v>45786</x:v>
      </x:c>
      <x:c r="D49" t="n">
        <x:v>2025</x:v>
      </x:c>
      <x:c r="E49"/>
      <x:c r="F49" t="str">
        <x:v>001202/25/CBMP-HCM</x:v>
      </x:c>
      <x:c r="G49"/>
      <x:c r="H49" t="str">
        <x:v>SIGNAL TOOTHPASTE SENSITIVE EXPERT WHITENING</x:v>
      </x:c>
      <x:c r="I49" t="str">
        <x:v>SIGNAL</x:v>
      </x:c>
      <x:c r="J49" t="str">
        <x:v>Chăm sóc răng miệng</x:v>
      </x:c>
      <x:c r="K49" t="str">
        <x:v>CFS</x:v>
      </x:c>
      <x:c r="L49" t="str">
        <x:v>CÔNG TY TNHH QUỐC TẾ UNILEVER VIỆT NAM</x:v>
      </x:c>
      <x:c r="M49" t="str">
        <x:v>Lô A2-3 KCN Tây Bắc Củ Chi, Xã Tân An Hội, Thành phố Hồ Chí Minh</x:v>
      </x:c>
      <x:c r="N49" t="str">
        <x:v>CÔNG TY TNHH QUỐC TẾ UNILEVER VIỆT NAM</x:v>
      </x:c>
      <x:c r="O49" t="str">
        <x:v>Chưa đối chiếu thu hồi</x:v>
      </x:c>
      <x:c r="P49" t="str">
        <x:v>Nguồn chính thức Sở Y tế TP.HCM – cross-check số công bố</x:v>
      </x:c>
      <x:c r="Q49" t="str">
        <x:v>Khu vực cấp số lịch sử: TP.HCM. Nguồn CFS.</x:v>
      </x:c>
      <x:c r="R49" t="str">
        <x:v>https://tracuu.medinet.org.vn/category/cosodulieukhac/gxn-cfs</x:v>
      </x:c>
      <x:c r="S49" t="str">
        <x:v>TP. Hồ Chí Minh</x:v>
      </x:c>
      <x:c r="T49" t="str">
        <x:v>79</x:v>
      </x:c>
    </x:row>
    <x:row r="50">
      <x:c r="A50" t="n">
        <x:v>49</x:v>
      </x:c>
      <x:c r="B50" s="330"/>
      <x:c r="C50" s="330" t="n">
        <x:v>46020</x:v>
      </x:c>
      <x:c r="D50" t="n">
        <x:v>2023</x:v>
      </x:c>
      <x:c r="E50"/>
      <x:c r="F50" t="str">
        <x:v>001454/23/CBMP-HCM</x:v>
      </x:c>
      <x:c r="G50"/>
      <x:c r="H50" t="str">
        <x:v>Adaphil Gentle Skin Cleanser</x:v>
      </x:c>
      <x:c r="I50" t="str">
        <x:v>Adaphil</x:v>
      </x:c>
      <x:c r="J50" t="str">
        <x:v>Sữa rửa mặt</x:v>
      </x:c>
      <x:c r="K50" t="str">
        <x:v>Cross-check pháp lý</x:v>
      </x:c>
      <x:c r="L50" t="str">
        <x:v>Công ty TNHH MTV sản xuất dược - mỹ phẩm GAMMA</x:v>
      </x:c>
      <x:c r="M50" t="str">
        <x:v>18 Nguyễn Hậu, phường Tân Thành, quận Tân Phú, TP.HCM</x:v>
      </x:c>
      <x:c r="N50" t="str">
        <x:v>Công ty TNHH MTV sản xuất dược - mỹ phẩm GAMMA</x:v>
      </x:c>
      <x:c r="O50" t="str">
        <x:v>Đình chỉ lưu hành, thu hồi</x:v>
      </x:c>
      <x:c r="P50" t="str">
        <x:v>Nguồn chính thức – Sở Y tế Bà Rịa–Vũng Tàu</x:v>
      </x:c>
      <x:c r="Q50" t="str">
        <x:v>Địa chỉ sản xuất: 201/21 Nguyễn Thị Nê, ấp Phú Hiệp, xã Phú Hòa Đông, huyện Củ Chi; thu hồi do có Methylparaben và Propylparaben không có trong công thức đã công bố.</x:v>
      </x:c>
      <x:c r="R50" t="str">
        <x:v>https://soyte.baria-vungtau.gov.vn/Dinh-chi-luu-hanh-thu-hoi-nhieu-my-pham-khong-dat-tieu-chuan-chat-luong-2-3-4-123.html</x:v>
      </x:c>
      <x:c r="S50" t="str">
        <x:v>TP. Hồ Chí Minh</x:v>
      </x:c>
      <x:c r="T50" t="str">
        <x:v>79</x:v>
      </x:c>
    </x:row>
    <x:row r="51">
      <x:c r="A51" t="n">
        <x:v>50</x:v>
      </x:c>
      <x:c r="B51" s="330" t="n">
        <x:v>46167</x:v>
      </x:c>
      <x:c r="C51" s="330" t="n">
        <x:v>46247</x:v>
      </x:c>
      <x:c r="D51" t="n">
        <x:v>2026</x:v>
      </x:c>
      <x:c r="E51" t="n">
        <x:v>5</x:v>
      </x:c>
      <x:c r="F51" t="str">
        <x:v>4604/26/CBMP-HCM</x:v>
      </x:c>
      <x:c r="G51" t="str">
        <x:v>H29.19-260512-0001</x:v>
      </x:c>
      <x:c r="H51" t="str">
        <x:v>CODE 10 VIBE ROLL-ON DEO IARCTIC COOL</x:v>
      </x:c>
      <x:c r="I51" t="str">
        <x:v>CODE 10 VIBE</x:v>
      </x:c>
      <x:c r="J51" t="str">
        <x:v>Khử mùi</x:v>
      </x:c>
      <x:c r="K51" t="str">
        <x:v>Phiếu công bố trực tiếp</x:v>
      </x:c>
      <x:c r="L51" t="str">
        <x:v>CÔNG TY CỔ PHẦN MARICO SOUTH EAST ASIA</x:v>
      </x:c>
      <x:c r="M51"/>
      <x:c r="N51" t="str">
        <x:v>CÔNG TY CỔ PHẦN MARICO SOUTH EAST ASIA</x:v>
      </x:c>
      <x:c r="O51" t="str">
        <x:v>Chưa đối chiếu thu hồi</x:v>
      </x:c>
      <x:c r="P51" t="str">
        <x:v>Tra cứu trực tiếp Phiếu tiếp nhận Công bố mỹ phẩm – Sở Y tế TP.HCM</x:v>
      </x:c>
      <x:c r="Q51" t="str">
        <x:v>Tra cứu trực tiếp tại kho Phiếu tiếp nhận Công bố mỹ phẩm của Sở Y tế TP.HCM.</x:v>
      </x:c>
      <x:c r="R51" t="str">
        <x:v>https://tracuu.medinet.org.vn/category/cosodulieukhac/congbo-mypham</x:v>
      </x:c>
      <x:c r="S51" t="str">
        <x:v>TP. Hồ Chí Minh</x:v>
      </x:c>
      <x:c r="T51" t="str">
        <x:v>79</x:v>
      </x:c>
    </x:row>
    <x:row r="52">
      <x:c r="A52" t="n">
        <x:v>51</x:v>
      </x:c>
      <x:c r="B52" s="330" t="n">
        <x:v>46155</x:v>
      </x:c>
      <x:c r="C52" s="330" t="n">
        <x:v>46247</x:v>
      </x:c>
      <x:c r="D52" t="n">
        <x:v>2026</x:v>
      </x:c>
      <x:c r="E52" t="n">
        <x:v>5</x:v>
      </x:c>
      <x:c r="F52" t="str">
        <x:v>4149/26/CBMP-HCM</x:v>
      </x:c>
      <x:c r="G52" t="str">
        <x:v>H29.19-260429-0007</x:v>
      </x:c>
      <x:c r="H52" t="str">
        <x:v>DẦU GỘI PHỤC HỒI HƯ TỔN</x:v>
      </x:c>
      <x:c r="I52" t="str">
        <x:v>ÔLIV NATURAL NOURISH</x:v>
      </x:c>
      <x:c r="J52" t="str">
        <x:v>Dầu gội</x:v>
      </x:c>
      <x:c r="K52" t="str">
        <x:v>Phiếu công bố trực tiếp</x:v>
      </x:c>
      <x:c r="L52" t="str">
        <x:v>CÔNG TY CỔ PHẦN MARICO SOUTH EAST ASIA</x:v>
      </x:c>
      <x:c r="M52"/>
      <x:c r="N52" t="str">
        <x:v>CÔNG TY CỔ PHẦN MARICO SOUTH EAST ASIA</x:v>
      </x:c>
      <x:c r="O52" t="str">
        <x:v>Chưa đối chiếu thu hồi</x:v>
      </x:c>
      <x:c r="P52" t="str">
        <x:v>Tra cứu trực tiếp Phiếu tiếp nhận Công bố mỹ phẩm – Sở Y tế TP.HCM</x:v>
      </x:c>
      <x:c r="Q52" t="str">
        <x:v>Tra cứu trực tiếp tại kho Phiếu tiếp nhận Công bố mỹ phẩm của Sở Y tế TP.HCM.</x:v>
      </x:c>
      <x:c r="R52" t="str">
        <x:v>https://tracuu.medinet.org.vn/category/cosodulieukhac/congbo-mypham</x:v>
      </x:c>
      <x:c r="S52" t="str">
        <x:v>TP. Hồ Chí Minh</x:v>
      </x:c>
      <x:c r="T52" t="str">
        <x:v>79</x:v>
      </x:c>
    </x:row>
    <x:row r="53">
      <x:c r="A53" t="n">
        <x:v>52</x:v>
      </x:c>
      <x:c r="B53" s="330" t="n">
        <x:v>46119</x:v>
      </x:c>
      <x:c r="C53" s="330" t="n">
        <x:v>46247</x:v>
      </x:c>
      <x:c r="D53" t="n">
        <x:v>2026</x:v>
      </x:c>
      <x:c r="E53" t="n">
        <x:v>4</x:v>
      </x:c>
      <x:c r="F53" t="str">
        <x:v>2859/26/CBMP-HCM</x:v>
      </x:c>
      <x:c r="G53" t="str">
        <x:v>H29.19-260328-0006</x:v>
      </x:c>
      <x:c r="H53" t="str">
        <x:v>BODY DAYLISSE</x:v>
      </x:c>
      <x:c r="I53" t="str">
        <x:v>NANOVA COSMETIC</x:v>
      </x:c>
      <x:c r="J53" t="str">
        <x:v>Kem body</x:v>
      </x:c>
      <x:c r="K53" t="str">
        <x:v>Phiếu công bố trực tiếp</x:v>
      </x:c>
      <x:c r="L53" t="str">
        <x:v>CÔNG TY TNHH THƯƠNG MẠI LONG KHANG</x:v>
      </x:c>
      <x:c r="M53"/>
      <x:c r="N53" t="str">
        <x:v>CÔNG TY TNHH HANACOS VIETNAM – CHI NHÁNH TÂN TẠO</x:v>
      </x:c>
      <x:c r="O53" t="str">
        <x:v>Chưa đối chiếu thu hồi</x:v>
      </x:c>
      <x:c r="P53" t="str">
        <x:v>Tra cứu trực tiếp Phiếu tiếp nhận Công bố mỹ phẩm – Sở Y tế TP.HCM</x:v>
      </x:c>
      <x:c r="Q53" t="str">
        <x:v>Tra cứu trực tiếp tại kho Phiếu tiếp nhận Công bố mỹ phẩm của Sở Y tế TP.HCM.</x:v>
      </x:c>
      <x:c r="R53" t="str">
        <x:v>https://tracuu.medinet.org.vn/category/cosodulieukhac/congbo-mypham</x:v>
      </x:c>
      <x:c r="S53" t="str">
        <x:v>TP. Hồ Chí Minh</x:v>
      </x:c>
      <x:c r="T53" t="str">
        <x:v>79</x:v>
      </x:c>
    </x:row>
    <x:row r="54">
      <x:c r="A54" t="n">
        <x:v>53</x:v>
      </x:c>
      <x:c r="B54" s="330" t="n">
        <x:v>46055</x:v>
      </x:c>
      <x:c r="C54" s="330" t="n">
        <x:v>46247</x:v>
      </x:c>
      <x:c r="D54" t="n">
        <x:v>2026</x:v>
      </x:c>
      <x:c r="E54" t="n">
        <x:v>2</x:v>
      </x:c>
      <x:c r="F54" t="str">
        <x:v>000793/26/CBMP-HCM</x:v>
      </x:c>
      <x:c r="G54" t="str">
        <x:v>260123-180030</x:v>
      </x:c>
      <x:c r="H54" t="str">
        <x:v>ALPHA FRESH COOLING CLEANSER</x:v>
      </x:c>
      <x:c r="I54" t="str">
        <x:v>ALPHA MAN THE FORMULA OF CHARISMA</x:v>
      </x:c>
      <x:c r="J54" t="str">
        <x:v>Sữa rửa mặt</x:v>
      </x:c>
      <x:c r="K54" t="str">
        <x:v>Phiếu công bố trực tiếp</x:v>
      </x:c>
      <x:c r="L54" t="str">
        <x:v>CÔNG TY TNHH SẢN XUẤT VÀ THƯƠNG MẠI TM&amp;TD VIỆT NAM</x:v>
      </x:c>
      <x:c r="M54" t="str">
        <x:v>Số 28 đường Thượng Thụy thôn Nội, Xã Hoài Đức, Thành phố Hà Nội, Việt Nam</x:v>
      </x:c>
      <x:c r="N54" t="str">
        <x:v>Chi nhánh Công ty TNHH Đầu tư sản xuất và Xuất nhập khẩu Kanna Cosmetics</x:v>
      </x:c>
      <x:c r="O54" t="str">
        <x:v>Chưa đối chiếu thu hồi</x:v>
      </x:c>
      <x:c r="P54" t="str">
        <x:v>Tra cứu trực tiếp Phiếu tiếp nhận Công bố mỹ phẩm – Sở Y tế TP.HCM</x:v>
      </x:c>
      <x:c r="Q54" t="str">
        <x:v>Tra cứu trực tiếp tại kho Phiếu tiếp nhận Công bố mỹ phẩm của Sở Y tế TP.HCM.</x:v>
      </x:c>
      <x:c r="R54" t="str">
        <x:v>https://tracuu.medinet.org.vn/category/cosodulieukhac/congbo-mypham</x:v>
      </x:c>
      <x:c r="S54" t="str">
        <x:v>TP. Hồ Chí Minh</x:v>
      </x:c>
      <x:c r="T54" t="str">
        <x:v>79</x:v>
      </x:c>
    </x:row>
    <x:row r="55">
      <x:c r="A55" t="n">
        <x:v>54</x:v>
      </x:c>
      <x:c r="B55" s="330" t="n">
        <x:v>46055</x:v>
      </x:c>
      <x:c r="C55" s="330" t="n">
        <x:v>46247</x:v>
      </x:c>
      <x:c r="D55" t="n">
        <x:v>2026</x:v>
      </x:c>
      <x:c r="E55" t="n">
        <x:v>2</x:v>
      </x:c>
      <x:c r="F55" t="str">
        <x:v>000820/26/CBMP-HCM</x:v>
      </x:c>
      <x:c r="G55" t="str">
        <x:v>260123-180056</x:v>
      </x:c>
      <x:c r="H55" t="str">
        <x:v>BIOESSENCE MASK O GLB</x:v>
      </x:c>
      <x:c r="I55" t="str">
        <x:v>Keyshu</x:v>
      </x:c>
      <x:c r="J55" t="str">
        <x:v>Mặt nạ</x:v>
      </x:c>
      <x:c r="K55" t="str">
        <x:v>Phiếu công bố trực tiếp</x:v>
      </x:c>
      <x:c r="L55" t="str">
        <x:v>CÔNG TY TNHH SINH DƯỢC BIO</x:v>
      </x:c>
      <x:c r="M55" t="str">
        <x:v>Lô D10-1, Cụm công nghiệp làng nghề Tân Triều, Thôn Triều Khúc, Phường Thanh Liệt, Thành phố Hà Nội, Việt Nam</x:v>
      </x:c>
      <x:c r="N55" t="str">
        <x:v>CHI NHÁNH CÔNG TY TNHH ĐẦU TƯ SẢN XUẤT VÀ XUẤT NHẬP KHẨU KANNA COSMETICS</x:v>
      </x:c>
      <x:c r="O55" t="str">
        <x:v>Chưa đối chiếu thu hồi</x:v>
      </x:c>
      <x:c r="P55" t="str">
        <x:v>Tra cứu trực tiếp Phiếu tiếp nhận Công bố mỹ phẩm – Sở Y tế TP.HCM</x:v>
      </x:c>
      <x:c r="Q55" t="str">
        <x:v>Tra cứu trực tiếp tại kho Phiếu tiếp nhận Công bố mỹ phẩm của Sở Y tế TP.HCM.</x:v>
      </x:c>
      <x:c r="R55" t="str">
        <x:v>https://tracuu.medinet.org.vn/category/cosodulieukhac/congbo-mypham</x:v>
      </x:c>
      <x:c r="S55" t="str">
        <x:v>TP. Hồ Chí Minh</x:v>
      </x:c>
      <x:c r="T55" t="str">
        <x:v>79</x:v>
      </x:c>
    </x:row>
    <x:row r="56">
      <x:c r="A56" t="n">
        <x:v>55</x:v>
      </x:c>
      <x:c r="B56" s="330" t="n">
        <x:v>46055</x:v>
      </x:c>
      <x:c r="C56" s="330" t="n">
        <x:v>46247</x:v>
      </x:c>
      <x:c r="D56" t="n">
        <x:v>2026</x:v>
      </x:c>
      <x:c r="E56" t="n">
        <x:v>2</x:v>
      </x:c>
      <x:c r="F56" t="str">
        <x:v>000832/26/CBMP-HCM</x:v>
      </x:c>
      <x:c r="G56" t="str">
        <x:v>260123-180058</x:v>
      </x:c>
      <x:c r="H56" t="str">
        <x:v>BIOESSENCE MASK PRE</x:v>
      </x:c>
      <x:c r="I56" t="str">
        <x:v>Keyshu</x:v>
      </x:c>
      <x:c r="J56" t="str">
        <x:v>Mặt nạ</x:v>
      </x:c>
      <x:c r="K56" t="str">
        <x:v>Phiếu công bố trực tiếp</x:v>
      </x:c>
      <x:c r="L56" t="str">
        <x:v>CÔNG TY TNHH SINH DƯỢC BIO</x:v>
      </x:c>
      <x:c r="M56" t="str">
        <x:v>Lô D10-1, Cụm công nghiệp làng nghề Tân Triều, Thôn Triều Khúc, Phường Thanh Liệt, Thành phố Hà Nội, Việt Nam</x:v>
      </x:c>
      <x:c r="N56" t="str">
        <x:v>CHI NHÁNH CÔNG TY TNHH ĐẦU TƯ SẢN XUẤT VÀ XUẤT NHẬP KHẨU KANNA COSMETICS</x:v>
      </x:c>
      <x:c r="O56" t="str">
        <x:v>Chưa đối chiếu thu hồi</x:v>
      </x:c>
      <x:c r="P56" t="str">
        <x:v>Tra cứu trực tiếp Phiếu tiếp nhận Công bố mỹ phẩm – Sở Y tế TP.HCM</x:v>
      </x:c>
      <x:c r="Q56" t="str">
        <x:v>Tra cứu trực tiếp tại kho Phiếu tiếp nhận Công bố mỹ phẩm của Sở Y tế TP.HCM.</x:v>
      </x:c>
      <x:c r="R56" t="str">
        <x:v>https://tracuu.medinet.org.vn/category/cosodulieukhac/congbo-mypham</x:v>
      </x:c>
      <x:c r="S56" t="str">
        <x:v>TP. Hồ Chí Minh</x:v>
      </x:c>
      <x:c r="T56" t="str">
        <x:v>79</x:v>
      </x:c>
    </x:row>
    <x:row r="57">
      <x:c r="A57" t="n">
        <x:v>56</x:v>
      </x:c>
      <x:c r="B57" s="330" t="n">
        <x:v>46055</x:v>
      </x:c>
      <x:c r="C57" s="330" t="n">
        <x:v>46247</x:v>
      </x:c>
      <x:c r="D57" t="n">
        <x:v>2026</x:v>
      </x:c>
      <x:c r="E57" t="n">
        <x:v>2</x:v>
      </x:c>
      <x:c r="F57" t="str">
        <x:v>000823/26/CBMP-HCM</x:v>
      </x:c>
      <x:c r="G57" t="str">
        <x:v>260126-180154</x:v>
      </x:c>
      <x:c r="H57" t="str">
        <x:v>BKLUXURY LUXURY GIRL</x:v>
      </x:c>
      <x:c r="I57" t="str">
        <x:v>BKLUXURY</x:v>
      </x:c>
      <x:c r="J57" t="str">
        <x:v>Nước hoa</x:v>
      </x:c>
      <x:c r="K57" t="str">
        <x:v>Phiếu công bố trực tiếp</x:v>
      </x:c>
      <x:c r="L57" t="str">
        <x:v>CÔNG TY CÔ PHẦN CHARME PERFUME</x:v>
      </x:c>
      <x:c r="M57" t="str">
        <x:v>314 Hoàng Văn Thụ, phường Tân Sơn Hòa, TP.HCM</x:v>
      </x:c>
      <x:c r="N57" t="str">
        <x:v>NHÀ MÁY CÔNG TY CÔNG TY CỔ PHẦN CHARME PERFUME – ĐỊA ĐIỂM KINH DOANH</x:v>
      </x:c>
      <x:c r="O57" t="str">
        <x:v>Chưa đối chiếu thu hồi</x:v>
      </x:c>
      <x:c r="P57" t="str">
        <x:v>Tra cứu trực tiếp Phiếu tiếp nhận Công bố mỹ phẩm – Sở Y tế TP.HCM</x:v>
      </x:c>
      <x:c r="Q57" t="str">
        <x:v>Tra cứu trực tiếp tại kho Phiếu tiếp nhận Công bố mỹ phẩm của Sở Y tế TP.HCM.</x:v>
      </x:c>
      <x:c r="R57" t="str">
        <x:v>https://tracuu.medinet.org.vn/category/cosodulieukhac/congbo-mypham</x:v>
      </x:c>
      <x:c r="S57" t="str">
        <x:v>TP. Hồ Chí Minh</x:v>
      </x:c>
      <x:c r="T57" t="str">
        <x:v>79</x:v>
      </x:c>
    </x:row>
    <x:row r="58">
      <x:c r="A58" t="n">
        <x:v>57</x:v>
      </x:c>
      <x:c r="B58" s="330" t="n">
        <x:v>46055</x:v>
      </x:c>
      <x:c r="C58" s="330" t="n">
        <x:v>46247</x:v>
      </x:c>
      <x:c r="D58" t="n">
        <x:v>2026</x:v>
      </x:c>
      <x:c r="E58" t="n">
        <x:v>2</x:v>
      </x:c>
      <x:c r="F58" t="str">
        <x:v>000856/26/CBMP-HCM</x:v>
      </x:c>
      <x:c r="G58" t="str">
        <x:v>260126-0007</x:v>
      </x:c>
      <x:c r="H58" t="str">
        <x:v>BODY DƯỠNG TRẮNG, MỊN DA, GIỮ ẨM DA</x:v>
      </x:c>
      <x:c r="I58" t="str">
        <x:v>TOP-GEL</x:v>
      </x:c>
      <x:c r="J58" t="str">
        <x:v>Kem body</x:v>
      </x:c>
      <x:c r="K58" t="str">
        <x:v>Phiếu công bố trực tiếp</x:v>
      </x:c>
      <x:c r="L58" t="str">
        <x:v>CÔNG TY TNHH DƯỢC MỸ PHẨM GIA PHÚC</x:v>
      </x:c>
      <x:c r="M58" t="str">
        <x:v>19 Khu B, Đường số 2, Khu TĐC Cảng Phú Định, Phường Phú Định, Thành Phố Hồ Chí Minh, Việt Nam.</x:v>
      </x:c>
      <x:c r="N58" t="str">
        <x:v>CHI NHÁNH TÂN TẠO - CÔNG TY CỔ PHẦN DƯỢC &amp; MỸ PHẨM GIA PHÚ</x:v>
      </x:c>
      <x:c r="O58" t="str">
        <x:v>Chưa đối chiếu thu hồi</x:v>
      </x:c>
      <x:c r="P58" t="str">
        <x:v>Tra cứu trực tiếp Phiếu tiếp nhận Công bố mỹ phẩm – Sở Y tế TP.HCM</x:v>
      </x:c>
      <x:c r="Q58" t="str">
        <x:v>Tra cứu trực tiếp tại kho Phiếu tiếp nhận Công bố mỹ phẩm của Sở Y tế TP.HCM.</x:v>
      </x:c>
      <x:c r="R58" t="str">
        <x:v>https://tracuu.medinet.org.vn/category/cosodulieukhac/congbo-mypham</x:v>
      </x:c>
      <x:c r="S58" t="str">
        <x:v>TP. Hồ Chí Minh</x:v>
      </x:c>
      <x:c r="T58" t="str">
        <x:v>79</x:v>
      </x:c>
    </x:row>
    <x:row r="59">
      <x:c r="A59" t="n">
        <x:v>58</x:v>
      </x:c>
      <x:c r="B59" s="330" t="n">
        <x:v>46055</x:v>
      </x:c>
      <x:c r="C59" s="330" t="n">
        <x:v>46247</x:v>
      </x:c>
      <x:c r="D59" t="n">
        <x:v>2026</x:v>
      </x:c>
      <x:c r="E59" t="n">
        <x:v>2</x:v>
      </x:c>
      <x:c r="F59" t="str">
        <x:v>000807/26/CBMP-HCM</x:v>
      </x:c>
      <x:c r="G59" t="str">
        <x:v>260127-180077</x:v>
      </x:c>
      <x:c r="H59" t="str">
        <x:v>BODY MIST NO1</x:v>
      </x:c>
      <x:c r="I59" t="str">
        <x:v>DC COS</x:v>
      </x:c>
      <x:c r="J59" t="str">
        <x:v>Nước hoa</x:v>
      </x:c>
      <x:c r="K59" t="str">
        <x:v>Phiếu công bố trực tiếp</x:v>
      </x:c>
      <x:c r="L59" t="str">
        <x:v>CÔNG TY TNHH DƯỢC MỸ PHẨM DC COS</x:v>
      </x:c>
      <x:c r="M59" t="str">
        <x:v>366/20H Đường Lê Văn Quới, Phường Bình Hưng Hòa, TP.HCM</x:v>
      </x:c>
      <x:c r="N59" t="str">
        <x:v>Công ty TNHH Dược Mỹ Phẩm DC COS</x:v>
      </x:c>
      <x:c r="O59" t="str">
        <x:v>Chưa đối chiếu thu hồi</x:v>
      </x:c>
      <x:c r="P59" t="str">
        <x:v>Tra cứu trực tiếp Phiếu tiếp nhận Công bố mỹ phẩm – Sở Y tế TP.HCM</x:v>
      </x:c>
      <x:c r="Q59" t="str">
        <x:v>Tra cứu trực tiếp tại kho Phiếu tiếp nhận Công bố mỹ phẩm của Sở Y tế TP.HCM.</x:v>
      </x:c>
      <x:c r="R59" t="str">
        <x:v>https://tracuu.medinet.org.vn/category/cosodulieukhac/congbo-mypham</x:v>
      </x:c>
      <x:c r="S59" t="str">
        <x:v>TP. Hồ Chí Minh</x:v>
      </x:c>
      <x:c r="T59" t="str">
        <x:v>79</x:v>
      </x:c>
    </x:row>
    <x:row r="60">
      <x:c r="A60" t="n">
        <x:v>59</x:v>
      </x:c>
      <x:c r="B60" s="330" t="n">
        <x:v>46055</x:v>
      </x:c>
      <x:c r="C60" s="330" t="n">
        <x:v>46247</x:v>
      </x:c>
      <x:c r="D60" t="n">
        <x:v>2026</x:v>
      </x:c>
      <x:c r="E60" t="n">
        <x:v>2</x:v>
      </x:c>
      <x:c r="F60" t="str">
        <x:v>000815/26/CBMP-HCM</x:v>
      </x:c>
      <x:c r="G60" t="str">
        <x:v>260127-180091</x:v>
      </x:c>
      <x:c r="H60" t="str">
        <x:v>BRIGHTENING NIACINAMIDE MASK</x:v>
      </x:c>
      <x:c r="I60" t="str">
        <x:v>DITISKIN</x:v>
      </x:c>
      <x:c r="J60" t="str">
        <x:v>Mặt nạ</x:v>
      </x:c>
      <x:c r="K60" t="str">
        <x:v>Phiếu công bố trực tiếp</x:v>
      </x:c>
      <x:c r="L60" t="str">
        <x:v>CÔNG TY TNHH MTV DITASKIN</x:v>
      </x:c>
      <x:c r="M60" t="str">
        <x:v>251/19 đường Lê Văn Thọ, Phường Thông Tây Hội Thành phố Hồ Chí Minh, Việt Nam</x:v>
      </x:c>
      <x:c r="N60" t="str">
        <x:v>Công ty Cổ phần Dược Mỹ phẩm Greencos</x:v>
      </x:c>
      <x:c r="O60" t="str">
        <x:v>Chưa đối chiếu thu hồi</x:v>
      </x:c>
      <x:c r="P60" t="str">
        <x:v>Tra cứu trực tiếp Phiếu tiếp nhận Công bố mỹ phẩm – Sở Y tế TP.HCM</x:v>
      </x:c>
      <x:c r="Q60" t="str">
        <x:v>Tra cứu trực tiếp tại kho Phiếu tiếp nhận Công bố mỹ phẩm của Sở Y tế TP.HCM.</x:v>
      </x:c>
      <x:c r="R60" t="str">
        <x:v>https://tracuu.medinet.org.vn/category/cosodulieukhac/congbo-mypham</x:v>
      </x:c>
      <x:c r="S60" t="str">
        <x:v>TP. Hồ Chí Minh</x:v>
      </x:c>
      <x:c r="T60" t="str">
        <x:v>79</x:v>
      </x:c>
    </x:row>
    <x:row r="61">
      <x:c r="A61" t="n">
        <x:v>60</x:v>
      </x:c>
      <x:c r="B61" s="330" t="n">
        <x:v>46055</x:v>
      </x:c>
      <x:c r="C61" s="330" t="n">
        <x:v>46247</x:v>
      </x:c>
      <x:c r="D61" t="n">
        <x:v>2026</x:v>
      </x:c>
      <x:c r="E61" t="n">
        <x:v>2</x:v>
      </x:c>
      <x:c r="F61" t="str">
        <x:v>000887/26/CBMP-HCM</x:v>
      </x:c>
      <x:c r="G61" t="str">
        <x:v>260117-0007</x:v>
      </x:c>
      <x:c r="H61" t="str">
        <x:v>CALM &amp; ACNE SERUM</x:v>
      </x:c>
      <x:c r="I61" t="str">
        <x:v>MLYNN</x:v>
      </x:c>
      <x:c r="J61" t="str">
        <x:v>Serum/Essence da</x:v>
      </x:c>
      <x:c r="K61" t="str">
        <x:v>Phiếu công bố trực tiếp</x:v>
      </x:c>
      <x:c r="L61" t="str">
        <x:v>CÔNG TY TNHH GREEN LIFE MAI LINH</x:v>
      </x:c>
      <x:c r="M61" t="str">
        <x:v>Số 20 Trần Thị Sớm ( khu tập thể Z753), tổ 1 Hòa Tây, Phường Bắc Nha Trang, tỉnh Khánh Hòa, Việt Nam</x:v>
      </x:c>
      <x:c r="N61" t="str">
        <x:v>CÔNG TY TNHH HANACOS VIETNAM - CHI NHÁNH TÂN TẠO</x:v>
      </x:c>
      <x:c r="O61" t="str">
        <x:v>Chưa đối chiếu thu hồi</x:v>
      </x:c>
      <x:c r="P61" t="str">
        <x:v>Tra cứu trực tiếp Phiếu tiếp nhận Công bố mỹ phẩm – Sở Y tế TP.HCM</x:v>
      </x:c>
      <x:c r="Q61" t="str">
        <x:v>Tra cứu trực tiếp tại kho Phiếu tiếp nhận Công bố mỹ phẩm của Sở Y tế TP.HCM.</x:v>
      </x:c>
      <x:c r="R61" t="str">
        <x:v>https://tracuu.medinet.org.vn/category/cosodulieukhac/congbo-mypham</x:v>
      </x:c>
      <x:c r="S61" t="str">
        <x:v>TP. Hồ Chí Minh</x:v>
      </x:c>
      <x:c r="T61" t="str">
        <x:v>79</x:v>
      </x:c>
    </x:row>
    <x:row r="62">
      <x:c r="A62" t="n">
        <x:v>61</x:v>
      </x:c>
      <x:c r="B62" s="330" t="n">
        <x:v>46055</x:v>
      </x:c>
      <x:c r="C62" s="330" t="n">
        <x:v>46247</x:v>
      </x:c>
      <x:c r="D62" t="n">
        <x:v>2026</x:v>
      </x:c>
      <x:c r="E62" t="n">
        <x:v>2</x:v>
      </x:c>
      <x:c r="F62" t="str">
        <x:v>000875/26/CBMP-HCM</x:v>
      </x:c>
      <x:c r="G62" t="str">
        <x:v>260117-0003</x:v>
      </x:c>
      <x:c r="H62" t="str">
        <x:v>CALMING MULTIACTION ANTI-ACNE GEL</x:v>
      </x:c>
      <x:c r="I62" t="str">
        <x:v>EMMIÉ BY HAPPYSKIN</x:v>
      </x:c>
      <x:c r="J62" t="str">
        <x:v>Kem dưỡng da</x:v>
      </x:c>
      <x:c r="K62" t="str">
        <x:v>Phiếu công bố trực tiếp</x:v>
      </x:c>
      <x:c r="L62" t="str">
        <x:v>CÔNG TY CỔ PHẦN IBP HOLDINGS</x:v>
      </x:c>
      <x:c r="M62" t="str">
        <x:v>Tầng 5, Tòa nhà Fimexco, số 231-233 Lê Thánh Tôn, Phường Bến Thành, Thành phố Hồ Chí Minh, Việt Nam</x:v>
      </x:c>
      <x:c r="N62" t="str">
        <x:v>CÔNG TY TNHH HANACOS VIETNAM - CHI NHÁNH TÂN TẠO</x:v>
      </x:c>
      <x:c r="O62" t="str">
        <x:v>Chưa đối chiếu thu hồi</x:v>
      </x:c>
      <x:c r="P62" t="str">
        <x:v>Tra cứu trực tiếp Phiếu tiếp nhận Công bố mỹ phẩm – Sở Y tế TP.HCM</x:v>
      </x:c>
      <x:c r="Q62" t="str">
        <x:v>Tra cứu trực tiếp tại kho Phiếu tiếp nhận Công bố mỹ phẩm của Sở Y tế TP.HCM.</x:v>
      </x:c>
      <x:c r="R62" t="str">
        <x:v>https://tracuu.medinet.org.vn/category/cosodulieukhac/congbo-mypham</x:v>
      </x:c>
      <x:c r="S62" t="str">
        <x:v>TP. Hồ Chí Minh</x:v>
      </x:c>
      <x:c r="T62" t="str">
        <x:v>79</x:v>
      </x:c>
    </x:row>
    <x:row r="63">
      <x:c r="A63" t="n">
        <x:v>62</x:v>
      </x:c>
      <x:c r="B63" s="330" t="n">
        <x:v>46055</x:v>
      </x:c>
      <x:c r="C63" s="330" t="n">
        <x:v>46247</x:v>
      </x:c>
      <x:c r="D63" t="n">
        <x:v>2026</x:v>
      </x:c>
      <x:c r="E63" t="n">
        <x:v>2</x:v>
      </x:c>
      <x:c r="F63" t="str">
        <x:v>000809/26/CBMP-HCM</x:v>
      </x:c>
      <x:c r="G63" t="str">
        <x:v>260127-180077</x:v>
      </x:c>
      <x:c r="H63" t="str">
        <x:v>CELESTIA FLAME</x:v>
      </x:c>
      <x:c r="I63" t="str">
        <x:v>THALORA</x:v>
      </x:c>
      <x:c r="J63" t="str">
        <x:v>Nước hoa</x:v>
      </x:c>
      <x:c r="K63" t="str">
        <x:v>Phiếu công bố trực tiếp</x:v>
      </x:c>
      <x:c r="L63" t="str">
        <x:v>CÔNG TY TNHH DƯỢC MỸ PHẨM DC COS</x:v>
      </x:c>
      <x:c r="M63" t="str">
        <x:v>366/20H Đường Lê Văn Quới, Phường Bình Hưng Hòa, TP.HCM</x:v>
      </x:c>
      <x:c r="N63" t="str">
        <x:v>Công ty TNHH Dược Mỹ Phẩm DC COS</x:v>
      </x:c>
      <x:c r="O63" t="str">
        <x:v>Chưa đối chiếu thu hồi</x:v>
      </x:c>
      <x:c r="P63" t="str">
        <x:v>Tra cứu trực tiếp Phiếu tiếp nhận Công bố mỹ phẩm – Sở Y tế TP.HCM</x:v>
      </x:c>
      <x:c r="Q63" t="str">
        <x:v>Tra cứu trực tiếp tại kho Phiếu tiếp nhận Công bố mỹ phẩm của Sở Y tế TP.HCM.</x:v>
      </x:c>
      <x:c r="R63" t="str">
        <x:v>https://tracuu.medinet.org.vn/category/cosodulieukhac/congbo-mypham</x:v>
      </x:c>
      <x:c r="S63" t="str">
        <x:v>TP. Hồ Chí Minh</x:v>
      </x:c>
      <x:c r="T63" t="str">
        <x:v>79</x:v>
      </x:c>
    </x:row>
    <x:row r="64">
      <x:c r="A64" t="n">
        <x:v>63</x:v>
      </x:c>
      <x:c r="B64" s="330" t="n">
        <x:v>46055</x:v>
      </x:c>
      <x:c r="C64" s="330" t="n">
        <x:v>46247</x:v>
      </x:c>
      <x:c r="D64" t="n">
        <x:v>2026</x:v>
      </x:c>
      <x:c r="E64" t="n">
        <x:v>2</x:v>
      </x:c>
      <x:c r="F64" t="str">
        <x:v>000894/26/CBMP-HCM</x:v>
      </x:c>
      <x:c r="G64" t="str">
        <x:v>260125-0004</x:v>
      </x:c>
      <x:c r="H64" t="str">
        <x:v>CHARCOAL AND HEARTLEAF CLARIFYING MASK</x:v>
      </x:c>
      <x:c r="I64" t="str">
        <x:v>Lazy Bee</x:v>
      </x:c>
      <x:c r="J64" t="str">
        <x:v>Mặt nạ</x:v>
      </x:c>
      <x:c r="K64" t="str">
        <x:v>Phiếu công bố trực tiếp</x:v>
      </x:c>
      <x:c r="L64" t="str">
        <x:v>CÔNG TY TNHH ENABLER PLUS</x:v>
      </x:c>
      <x:c r="M64" t="str">
        <x:v>68 Nguyễn Huệ, Phường Sài Gòn, Thành phố Hồ Chí Minh, Việt Nam</x:v>
      </x:c>
      <x:c r="N64" t="str">
        <x:v>CÔNG TY TNHH HANACOS VIETNAM - CHI NHÁNH TÂN TẠO</x:v>
      </x:c>
      <x:c r="O64" t="str">
        <x:v>Chưa đối chiếu thu hồi</x:v>
      </x:c>
      <x:c r="P64" t="str">
        <x:v>Tra cứu trực tiếp Phiếu tiếp nhận Công bố mỹ phẩm – Sở Y tế TP.HCM</x:v>
      </x:c>
      <x:c r="Q64" t="str">
        <x:v>Tra cứu trực tiếp tại kho Phiếu tiếp nhận Công bố mỹ phẩm của Sở Y tế TP.HCM.</x:v>
      </x:c>
      <x:c r="R64" t="str">
        <x:v>https://tracuu.medinet.org.vn/category/cosodulieukhac/congbo-mypham</x:v>
      </x:c>
      <x:c r="S64" t="str">
        <x:v>TP. Hồ Chí Minh</x:v>
      </x:c>
      <x:c r="T64" t="str">
        <x:v>79</x:v>
      </x:c>
    </x:row>
    <x:row r="65">
      <x:c r="A65" t="n">
        <x:v>64</x:v>
      </x:c>
      <x:c r="B65" s="330" t="n">
        <x:v>46055</x:v>
      </x:c>
      <x:c r="C65" s="330" t="n">
        <x:v>46247</x:v>
      </x:c>
      <x:c r="D65" t="n">
        <x:v>2026</x:v>
      </x:c>
      <x:c r="E65" t="n">
        <x:v>2</x:v>
      </x:c>
      <x:c r="F65" t="str">
        <x:v>000792/26/CBMP-HCM</x:v>
      </x:c>
      <x:c r="G65" t="str">
        <x:v>260126-180151</x:v>
      </x:c>
      <x:c r="H65" t="str">
        <x:v>CHARME GOOD MEN</x:v>
      </x:c>
      <x:c r="I65" t="str">
        <x:v>CHARME</x:v>
      </x:c>
      <x:c r="J65" t="str">
        <x:v>Nước hoa</x:v>
      </x:c>
      <x:c r="K65" t="str">
        <x:v>Phiếu công bố trực tiếp</x:v>
      </x:c>
      <x:c r="L65" t="str">
        <x:v>CÔNG TY CỔ PHẦN CHARME PERFUME</x:v>
      </x:c>
      <x:c r="M65" t="str">
        <x:v>313 Hoàng Văn Thụ, phường Tân Sơn Hòa, TP.HCM</x:v>
      </x:c>
      <x:c r="N65" t="str">
        <x:v>NHÀ MÁY CÔNG TY CỔ PHẦN CHARME PERFUME – ĐỊA ĐIỂM KINH DOANH</x:v>
      </x:c>
      <x:c r="O65" t="str">
        <x:v>Chưa đối chiếu thu hồi</x:v>
      </x:c>
      <x:c r="P65" t="str">
        <x:v>Tra cứu trực tiếp Phiếu tiếp nhận Công bố mỹ phẩm – Sở Y tế TP.HCM</x:v>
      </x:c>
      <x:c r="Q65" t="str">
        <x:v>Tra cứu trực tiếp tại kho Phiếu tiếp nhận Công bố mỹ phẩm của Sở Y tế TP.HCM.</x:v>
      </x:c>
      <x:c r="R65" t="str">
        <x:v>https://tracuu.medinet.org.vn/category/cosodulieukhac/congbo-mypham</x:v>
      </x:c>
      <x:c r="S65" t="str">
        <x:v>TP. Hồ Chí Minh</x:v>
      </x:c>
      <x:c r="T65" t="str">
        <x:v>79</x:v>
      </x:c>
    </x:row>
    <x:row r="66">
      <x:c r="A66" t="n">
        <x:v>65</x:v>
      </x:c>
      <x:c r="B66" s="330" t="n">
        <x:v>46055</x:v>
      </x:c>
      <x:c r="C66" s="330" t="n">
        <x:v>46247</x:v>
      </x:c>
      <x:c r="D66" t="n">
        <x:v>2026</x:v>
      </x:c>
      <x:c r="E66" t="n">
        <x:v>2</x:v>
      </x:c>
      <x:c r="F66" t="str">
        <x:v>000789/26/CBMP-HCM</x:v>
      </x:c>
      <x:c r="G66" t="str">
        <x:v>260126-180151</x:v>
      </x:c>
      <x:c r="H66" t="str">
        <x:v>CHARME GOOD MEN</x:v>
      </x:c>
      <x:c r="I66" t="str">
        <x:v>CHARME</x:v>
      </x:c>
      <x:c r="J66" t="str">
        <x:v>Nước hoa</x:v>
      </x:c>
      <x:c r="K66" t="str">
        <x:v>Phiếu công bố trực tiếp</x:v>
      </x:c>
      <x:c r="L66" t="str">
        <x:v>CÔNG TY CỔ PHẦN CHARME PERFUME</x:v>
      </x:c>
      <x:c r="M66" t="str">
        <x:v>313 Hoàng Văn Thụ, phường Tân Sơn Hòa, TP.HCM</x:v>
      </x:c>
      <x:c r="N66" t="str">
        <x:v>NHÀ MÁY CÔNG TY CỔ PHẦN CHARME PERFUME – ĐỊA ĐIỂM KINH DOANH</x:v>
      </x:c>
      <x:c r="O66" t="str">
        <x:v>Chưa đối chiếu thu hồi</x:v>
      </x:c>
      <x:c r="P66" t="str">
        <x:v>Tra cứu trực tiếp Phiếu tiếp nhận Công bố mỹ phẩm – Sở Y tế TP.HCM</x:v>
      </x:c>
      <x:c r="Q66" t="str">
        <x:v>Tra cứu trực tiếp tại kho Phiếu tiếp nhận Công bố mỹ phẩm của Sở Y tế TP.HCM.</x:v>
      </x:c>
      <x:c r="R66" t="str">
        <x:v>https://tracuu.medinet.org.vn/category/cosodulieukhac/congbo-mypham</x:v>
      </x:c>
      <x:c r="S66" t="str">
        <x:v>TP. Hồ Chí Minh</x:v>
      </x:c>
      <x:c r="T66" t="str">
        <x:v>79</x:v>
      </x:c>
    </x:row>
    <x:row r="67">
      <x:c r="A67" t="n">
        <x:v>66</x:v>
      </x:c>
      <x:c r="B67" s="330" t="n">
        <x:v>44966</x:v>
      </x:c>
      <x:c r="C67" s="330" t="n">
        <x:v>45709</x:v>
      </x:c>
      <x:c r="D67" t="n">
        <x:v>2023</x:v>
      </x:c>
      <x:c r="E67" t="n">
        <x:v>2</x:v>
      </x:c>
      <x:c r="F67" t="str">
        <x:v>000270/23/CBMP-HCM</x:v>
      </x:c>
      <x:c r="G67"/>
      <x:c r="H67" t="str">
        <x:v>ALYNA mặt nạ bơ dưỡng da</x:v>
      </x:c>
      <x:c r="I67" t="str">
        <x:v>ALYNA</x:v>
      </x:c>
      <x:c r="J67" t="str">
        <x:v>Mặt nạ</x:v>
      </x:c>
      <x:c r="K67" t="str">
        <x:v>Mặt nạ dưỡng da</x:v>
      </x:c>
      <x:c r="L67" t="str">
        <x:v>Công ty TNHH Sản xuất Thương mại Xuất Nhập khẩu Tạ Minh Quang</x:v>
      </x:c>
      <x:c r="M67" t="str">
        <x:v>15 Đường 3C, Phường An Lạc A, Quận Bình Tân, TP.HCM</x:v>
      </x:c>
      <x:c r="N67" t="str">
        <x:v>Chi nhánh Công ty TNHH Sản xuất Thương mại Xuất Nhập khẩu Tạ Minh Quang – Nhà máy Mỹ phẩm Tạ Minh Quang</x:v>
      </x:c>
      <x:c r="O67" t="str">
        <x:v>Thu hồi số tiếp nhận (2025)</x:v>
      </x:c>
      <x:c r="P67" t="str">
        <x:v>Xác minh chính thức qua Quyết định Sở Y tế TP.HCM; nguồn đăng lại Sở Y tế Quảng Ninh</x:v>
      </x:c>
      <x:c r="Q67" t="str">
        <x:v>Số công bố và ngày cấp nằm trong danh sách 38 số bị thu hồi; lý do công ty tự đề nghị thu hồi.</x:v>
      </x:c>
      <x:c r="R67" t="str">
        <x:v>https://soytequangninh.gov.vn/trang-chu/huong-dan-nghiep-vu/linh-vuc-duoc/thong-bao-ve-viec-thu-hoi-so-tiep-nhan-phieu-cong-bo-san-pha3.html</x:v>
      </x:c>
      <x:c r="S67" t="str">
        <x:v>TP. Hồ Chí Minh</x:v>
      </x:c>
      <x:c r="T67" t="str">
        <x:v>79</x:v>
      </x:c>
    </x:row>
    <x:row r="68">
      <x:c r="A68" t="n">
        <x:v>67</x:v>
      </x:c>
      <x:c r="B68" s="330" t="n">
        <x:v>45069</x:v>
      </x:c>
      <x:c r="C68" s="330" t="n">
        <x:v>45709</x:v>
      </x:c>
      <x:c r="D68" t="n">
        <x:v>2023</x:v>
      </x:c>
      <x:c r="E68" t="n">
        <x:v>5</x:v>
      </x:c>
      <x:c r="F68" t="str">
        <x:v>002123/23/CBMP-HCM</x:v>
      </x:c>
      <x:c r="G68"/>
      <x:c r="H68" t="str">
        <x:v>ALYNA mặt nạ bơ dưỡng da</x:v>
      </x:c>
      <x:c r="I68" t="str">
        <x:v>ALYNA</x:v>
      </x:c>
      <x:c r="J68" t="str">
        <x:v>Mặt nạ</x:v>
      </x:c>
      <x:c r="K68" t="str">
        <x:v>Mặt nạ dưỡng da</x:v>
      </x:c>
      <x:c r="L68" t="str">
        <x:v>Công ty TNHH Sản xuất Thương mại Xuất Nhập khẩu Tạ Minh Quang</x:v>
      </x:c>
      <x:c r="M68" t="str">
        <x:v>15 Đường 3C, Phường An Lạc A, Quận Bình Tân, TP.HCM</x:v>
      </x:c>
      <x:c r="N68" t="str">
        <x:v>Chi nhánh Công ty TNHH Sản xuất Thương mại Xuất Nhập khẩu Tạ Minh Quang – Nhà máy Mỹ phẩm Tạ Minh Quang</x:v>
      </x:c>
      <x:c r="O68" t="str">
        <x:v>Thu hồi số tiếp nhận (2025)</x:v>
      </x:c>
      <x:c r="P68" t="str">
        <x:v>Xác minh chính thức qua Quyết định Sở Y tế TP.HCM; nguồn đăng lại Sở Y tế Quảng Ninh</x:v>
      </x:c>
      <x:c r="Q68" t="str">
        <x:v>Số công bố và ngày cấp nằm trong danh sách 38 số bị thu hồi; lý do công ty tự đề nghị thu hồi.</x:v>
      </x:c>
      <x:c r="R68" t="str">
        <x:v>https://soytequangninh.gov.vn/trang-chu/huong-dan-nghiep-vu/linh-vuc-duoc/thong-bao-ve-viec-thu-hoi-so-tiep-nhan-phieu-cong-bo-san-pha3.html</x:v>
      </x:c>
      <x:c r="S68" t="str">
        <x:v>TP. Hồ Chí Minh</x:v>
      </x:c>
      <x:c r="T68" t="str">
        <x:v>79</x:v>
      </x:c>
    </x:row>
    <x:row r="69">
      <x:c r="A69" t="n">
        <x:v>68</x:v>
      </x:c>
      <x:c r="B69" s="330" t="n">
        <x:v>44966</x:v>
      </x:c>
      <x:c r="C69" s="330" t="n">
        <x:v>45709</x:v>
      </x:c>
      <x:c r="D69" t="n">
        <x:v>2023</x:v>
      </x:c>
      <x:c r="E69" t="n">
        <x:v>2</x:v>
      </x:c>
      <x:c r="F69" t="str">
        <x:v>000271/23/CBMP-HCM</x:v>
      </x:c>
      <x:c r="G69"/>
      <x:c r="H69" t="str">
        <x:v>ALYNA mặt nạ cà chua dưỡng da</x:v>
      </x:c>
      <x:c r="I69" t="str">
        <x:v>ALYNA</x:v>
      </x:c>
      <x:c r="J69" t="str">
        <x:v>Mặt nạ</x:v>
      </x:c>
      <x:c r="K69" t="str">
        <x:v>Mặt nạ dưỡng da</x:v>
      </x:c>
      <x:c r="L69" t="str">
        <x:v>Công ty TNHH Sản xuất Thương mại Xuất Nhập khẩu Tạ Minh Quang</x:v>
      </x:c>
      <x:c r="M69" t="str">
        <x:v>15 Đường 3C, Phường An Lạc A, Quận Bình Tân, TP.HCM</x:v>
      </x:c>
      <x:c r="N69" t="str">
        <x:v>Chi nhánh Công ty TNHH Sản xuất Thương mại Xuất Nhập khẩu Tạ Minh Quang – Nhà máy Mỹ phẩm Tạ Minh Quang</x:v>
      </x:c>
      <x:c r="O69" t="str">
        <x:v>Thu hồi số tiếp nhận (2025)</x:v>
      </x:c>
      <x:c r="P69" t="str">
        <x:v>Xác minh chính thức qua Quyết định Sở Y tế TP.HCM; nguồn đăng lại Sở Y tế Quảng Ninh</x:v>
      </x:c>
      <x:c r="Q69" t="str">
        <x:v>Số công bố và ngày cấp nằm trong danh sách 38 số bị thu hồi; lý do công ty tự đề nghị thu hồi.</x:v>
      </x:c>
      <x:c r="R69" t="str">
        <x:v>https://soytequangninh.gov.vn/trang-chu/huong-dan-nghiep-vu/linh-vuc-duoc/thong-bao-ve-viec-thu-hoi-so-tiep-nhan-phieu-cong-bo-san-pha3.html</x:v>
      </x:c>
      <x:c r="S69" t="str">
        <x:v>TP. Hồ Chí Minh</x:v>
      </x:c>
      <x:c r="T69" t="str">
        <x:v>79</x:v>
      </x:c>
    </x:row>
    <x:row r="70">
      <x:c r="A70" t="n">
        <x:v>69</x:v>
      </x:c>
      <x:c r="B70" s="330" t="n">
        <x:v>45069</x:v>
      </x:c>
      <x:c r="C70" s="330" t="n">
        <x:v>45709</x:v>
      </x:c>
      <x:c r="D70" t="n">
        <x:v>2023</x:v>
      </x:c>
      <x:c r="E70" t="n">
        <x:v>5</x:v>
      </x:c>
      <x:c r="F70" t="str">
        <x:v>002118/23/CBMP-HCM</x:v>
      </x:c>
      <x:c r="G70"/>
      <x:c r="H70" t="str">
        <x:v>ALYNA mặt nạ cà chua dưỡng da</x:v>
      </x:c>
      <x:c r="I70" t="str">
        <x:v>ALYNA</x:v>
      </x:c>
      <x:c r="J70" t="str">
        <x:v>Mặt nạ</x:v>
      </x:c>
      <x:c r="K70" t="str">
        <x:v>Mặt nạ dưỡng da</x:v>
      </x:c>
      <x:c r="L70" t="str">
        <x:v>Công ty TNHH Sản xuất Thương mại Xuất Nhập khẩu Tạ Minh Quang</x:v>
      </x:c>
      <x:c r="M70" t="str">
        <x:v>15 Đường 3C, Phường An Lạc A, Quận Bình Tân, TP.HCM</x:v>
      </x:c>
      <x:c r="N70" t="str">
        <x:v>Chi nhánh Công ty TNHH Sản xuất Thương mại Xuất Nhập khẩu Tạ Minh Quang – Nhà máy Mỹ phẩm Tạ Minh Quang</x:v>
      </x:c>
      <x:c r="O70" t="str">
        <x:v>Thu hồi số tiếp nhận (2025)</x:v>
      </x:c>
      <x:c r="P70" t="str">
        <x:v>Xác minh chính thức qua Quyết định Sở Y tế TP.HCM; nguồn đăng lại Sở Y tế Quảng Ninh</x:v>
      </x:c>
      <x:c r="Q70" t="str">
        <x:v>Số công bố và ngày cấp nằm trong danh sách 38 số bị thu hồi; lý do công ty tự đề nghị thu hồi.</x:v>
      </x:c>
      <x:c r="R70" t="str">
        <x:v>https://soytequangninh.gov.vn/trang-chu/huong-dan-nghiep-vu/linh-vuc-duoc/thong-bao-ve-viec-thu-hoi-so-tiep-nhan-phieu-cong-bo-san-pha3.html</x:v>
      </x:c>
      <x:c r="S70" t="str">
        <x:v>TP. Hồ Chí Minh</x:v>
      </x:c>
      <x:c r="T70" t="str">
        <x:v>79</x:v>
      </x:c>
    </x:row>
    <x:row r="71">
      <x:c r="A71" t="n">
        <x:v>70</x:v>
      </x:c>
      <x:c r="B71" s="330" t="n">
        <x:v>44966</x:v>
      </x:c>
      <x:c r="C71" s="330" t="n">
        <x:v>45709</x:v>
      </x:c>
      <x:c r="D71" t="n">
        <x:v>2023</x:v>
      </x:c>
      <x:c r="E71" t="n">
        <x:v>2</x:v>
      </x:c>
      <x:c r="F71" t="str">
        <x:v>000272/23/CBMP-HCM</x:v>
      </x:c>
      <x:c r="G71"/>
      <x:c r="H71" t="str">
        <x:v>ALYNA mặt nạ dâu dưỡng da</x:v>
      </x:c>
      <x:c r="I71" t="str">
        <x:v>ALYNA</x:v>
      </x:c>
      <x:c r="J71" t="str">
        <x:v>Mặt nạ</x:v>
      </x:c>
      <x:c r="K71" t="str">
        <x:v>Mặt nạ dưỡng da</x:v>
      </x:c>
      <x:c r="L71" t="str">
        <x:v>Công ty TNHH Sản xuất Thương mại Xuất Nhập khẩu Tạ Minh Quang</x:v>
      </x:c>
      <x:c r="M71" t="str">
        <x:v>15 Đường 3C, Phường An Lạc A, Quận Bình Tân, TP.HCM</x:v>
      </x:c>
      <x:c r="N71" t="str">
        <x:v>Chi nhánh Công ty TNHH Sản xuất Thương mại Xuất Nhập khẩu Tạ Minh Quang – Nhà máy Mỹ phẩm Tạ Minh Quang</x:v>
      </x:c>
      <x:c r="O71" t="str">
        <x:v>Thu hồi số tiếp nhận (2025)</x:v>
      </x:c>
      <x:c r="P71" t="str">
        <x:v>Xác minh chính thức qua Quyết định Sở Y tế TP.HCM; nguồn đăng lại Sở Y tế Quảng Ninh</x:v>
      </x:c>
      <x:c r="Q71" t="str">
        <x:v>Số công bố và ngày cấp nằm trong danh sách 38 số bị thu hồi; lý do công ty tự đề nghị thu hồi.</x:v>
      </x:c>
      <x:c r="R71" t="str">
        <x:v>https://soytequangninh.gov.vn/trang-chu/huong-dan-nghiep-vu/linh-vuc-duoc/thong-bao-ve-viec-thu-hoi-so-tiep-nhan-phieu-cong-bo-san-pha3.html</x:v>
      </x:c>
      <x:c r="S71" t="str">
        <x:v>TP. Hồ Chí Minh</x:v>
      </x:c>
      <x:c r="T71" t="str">
        <x:v>79</x:v>
      </x:c>
    </x:row>
    <x:row r="72">
      <x:c r="A72" t="n">
        <x:v>71</x:v>
      </x:c>
      <x:c r="B72" s="330" t="n">
        <x:v>45069</x:v>
      </x:c>
      <x:c r="C72" s="330" t="n">
        <x:v>45709</x:v>
      </x:c>
      <x:c r="D72" t="n">
        <x:v>2023</x:v>
      </x:c>
      <x:c r="E72" t="n">
        <x:v>5</x:v>
      </x:c>
      <x:c r="F72" t="str">
        <x:v>002119/23/CBMP-HCM</x:v>
      </x:c>
      <x:c r="G72"/>
      <x:c r="H72" t="str">
        <x:v>ALYNA mặt nạ dâu dưỡng da</x:v>
      </x:c>
      <x:c r="I72" t="str">
        <x:v>ALYNA</x:v>
      </x:c>
      <x:c r="J72" t="str">
        <x:v>Mặt nạ</x:v>
      </x:c>
      <x:c r="K72" t="str">
        <x:v>Mặt nạ dưỡng da</x:v>
      </x:c>
      <x:c r="L72" t="str">
        <x:v>Công ty TNHH Sản xuất Thương mại Xuất Nhập khẩu Tạ Minh Quang</x:v>
      </x:c>
      <x:c r="M72" t="str">
        <x:v>15 Đường 3C, Phường An Lạc A, Quận Bình Tân, TP.HCM</x:v>
      </x:c>
      <x:c r="N72" t="str">
        <x:v>Chi nhánh Công ty TNHH Sản xuất Thương mại Xuất Nhập khẩu Tạ Minh Quang – Nhà máy Mỹ phẩm Tạ Minh Quang</x:v>
      </x:c>
      <x:c r="O72" t="str">
        <x:v>Thu hồi số tiếp nhận (2025)</x:v>
      </x:c>
      <x:c r="P72" t="str">
        <x:v>Xác minh chính thức qua Quyết định Sở Y tế TP.HCM; nguồn đăng lại Sở Y tế Quảng Ninh</x:v>
      </x:c>
      <x:c r="Q72" t="str">
        <x:v>Số công bố và ngày cấp nằm trong danh sách 38 số bị thu hồi; lý do công ty tự đề nghị thu hồi.</x:v>
      </x:c>
      <x:c r="R72" t="str">
        <x:v>https://soytequangninh.gov.vn/trang-chu/huong-dan-nghiep-vu/linh-vuc-duoc/thong-bao-ve-viec-thu-hoi-so-tiep-nhan-phieu-cong-bo-san-pha3.html</x:v>
      </x:c>
      <x:c r="S72" t="str">
        <x:v>TP. Hồ Chí Minh</x:v>
      </x:c>
      <x:c r="T72" t="str">
        <x:v>79</x:v>
      </x:c>
    </x:row>
    <x:row r="73">
      <x:c r="A73" t="n">
        <x:v>72</x:v>
      </x:c>
      <x:c r="B73" s="330" t="n">
        <x:v>44966</x:v>
      </x:c>
      <x:c r="C73" s="330" t="n">
        <x:v>45709</x:v>
      </x:c>
      <x:c r="D73" t="n">
        <x:v>2023</x:v>
      </x:c>
      <x:c r="E73" t="n">
        <x:v>2</x:v>
      </x:c>
      <x:c r="F73" t="str">
        <x:v>000269/23/CBMP-HCM</x:v>
      </x:c>
      <x:c r="G73"/>
      <x:c r="H73" t="str">
        <x:v>ALYNA mặt nạ dưa leo dưỡng da</x:v>
      </x:c>
      <x:c r="I73" t="str">
        <x:v>ALYNA</x:v>
      </x:c>
      <x:c r="J73" t="str">
        <x:v>Mặt nạ</x:v>
      </x:c>
      <x:c r="K73" t="str">
        <x:v>Mặt nạ dưỡng da</x:v>
      </x:c>
      <x:c r="L73" t="str">
        <x:v>Công ty TNHH Sản xuất Thương mại Xuất Nhập khẩu Tạ Minh Quang</x:v>
      </x:c>
      <x:c r="M73" t="str">
        <x:v>15 Đường 3C, Phường An Lạc A, Quận Bình Tân, TP.HCM</x:v>
      </x:c>
      <x:c r="N73" t="str">
        <x:v>Chi nhánh Công ty TNHH Sản xuất Thương mại Xuất Nhập khẩu Tạ Minh Quang – Nhà máy Mỹ phẩm Tạ Minh Quang</x:v>
      </x:c>
      <x:c r="O73" t="str">
        <x:v>Thu hồi số tiếp nhận (2025)</x:v>
      </x:c>
      <x:c r="P73" t="str">
        <x:v>Xác minh chính thức qua Quyết định Sở Y tế TP.HCM; nguồn đăng lại Sở Y tế Quảng Ninh</x:v>
      </x:c>
      <x:c r="Q73" t="str">
        <x:v>Số công bố và ngày cấp nằm trong danh sách 38 số bị thu hồi; lý do công ty tự đề nghị thu hồi.</x:v>
      </x:c>
      <x:c r="R73" t="str">
        <x:v>https://soytequangninh.gov.vn/trang-chu/huong-dan-nghiep-vu/linh-vuc-duoc/thong-bao-ve-viec-thu-hoi-so-tiep-nhan-phieu-cong-bo-san-pha3.html</x:v>
      </x:c>
      <x:c r="S73" t="str">
        <x:v>TP. Hồ Chí Minh</x:v>
      </x:c>
      <x:c r="T73" t="str">
        <x:v>79</x:v>
      </x:c>
    </x:row>
    <x:row r="74">
      <x:c r="A74" t="n">
        <x:v>73</x:v>
      </x:c>
      <x:c r="B74" s="330" t="n">
        <x:v>45069</x:v>
      </x:c>
      <x:c r="C74" s="330" t="n">
        <x:v>45709</x:v>
      </x:c>
      <x:c r="D74" t="n">
        <x:v>2023</x:v>
      </x:c>
      <x:c r="E74" t="n">
        <x:v>5</x:v>
      </x:c>
      <x:c r="F74" t="str">
        <x:v>002121/23/CBMP-HCM</x:v>
      </x:c>
      <x:c r="G74"/>
      <x:c r="H74" t="str">
        <x:v>ALYNA mặt nạ dưa leo dưỡng da</x:v>
      </x:c>
      <x:c r="I74" t="str">
        <x:v>ALYNA</x:v>
      </x:c>
      <x:c r="J74" t="str">
        <x:v>Mặt nạ</x:v>
      </x:c>
      <x:c r="K74" t="str">
        <x:v>Mặt nạ dưỡng da</x:v>
      </x:c>
      <x:c r="L74" t="str">
        <x:v>Công ty TNHH Sản xuất Thương mại Xuất Nhập khẩu Tạ Minh Quang</x:v>
      </x:c>
      <x:c r="M74" t="str">
        <x:v>15 Đường 3C, Phường An Lạc A, Quận Bình Tân, TP.HCM</x:v>
      </x:c>
      <x:c r="N74" t="str">
        <x:v>Chi nhánh Công ty TNHH Sản xuất Thương mại Xuất Nhập khẩu Tạ Minh Quang – Nhà máy Mỹ phẩm Tạ Minh Quang</x:v>
      </x:c>
      <x:c r="O74" t="str">
        <x:v>Thu hồi số tiếp nhận (2025)</x:v>
      </x:c>
      <x:c r="P74" t="str">
        <x:v>Xác minh chính thức qua Quyết định Sở Y tế TP.HCM; nguồn đăng lại Sở Y tế Quảng Ninh</x:v>
      </x:c>
      <x:c r="Q74" t="str">
        <x:v>Số công bố và ngày cấp nằm trong danh sách 38 số bị thu hồi; lý do công ty tự đề nghị thu hồi.</x:v>
      </x:c>
      <x:c r="R74" t="str">
        <x:v>https://soytequangninh.gov.vn/trang-chu/huong-dan-nghiep-vu/linh-vuc-duoc/thong-bao-ve-viec-thu-hoi-so-tiep-nhan-phieu-cong-bo-san-pha3.html</x:v>
      </x:c>
      <x:c r="S74" t="str">
        <x:v>TP. Hồ Chí Minh</x:v>
      </x:c>
      <x:c r="T74" t="str">
        <x:v>79</x:v>
      </x:c>
    </x:row>
    <x:row r="75">
      <x:c r="A75" t="n">
        <x:v>74</x:v>
      </x:c>
      <x:c r="B75" s="330" t="n">
        <x:v>45019</x:v>
      </x:c>
      <x:c r="C75" s="330" t="n">
        <x:v>45709</x:v>
      </x:c>
      <x:c r="D75" t="n">
        <x:v>2023</x:v>
      </x:c>
      <x:c r="E75" t="n">
        <x:v>4</x:v>
      </x:c>
      <x:c r="F75" t="str">
        <x:v>001122/23/CBMP-HCM</x:v>
      </x:c>
      <x:c r="G75"/>
      <x:c r="H75" t="str">
        <x:v>ALYNA mặt nạ hoa quả dưỡng da</x:v>
      </x:c>
      <x:c r="I75" t="str">
        <x:v>ALYNA</x:v>
      </x:c>
      <x:c r="J75" t="str">
        <x:v>Mặt nạ</x:v>
      </x:c>
      <x:c r="K75" t="str">
        <x:v>Mặt nạ dưỡng da</x:v>
      </x:c>
      <x:c r="L75" t="str">
        <x:v>Công ty TNHH Sản xuất Thương mại Xuất Nhập khẩu Tạ Minh Quang</x:v>
      </x:c>
      <x:c r="M75" t="str">
        <x:v>15 Đường 3C, Phường An Lạc A, Quận Bình Tân, TP.HCM</x:v>
      </x:c>
      <x:c r="N75" t="str">
        <x:v>Chi nhánh Công ty TNHH Sản xuất Thương mại Xuất Nhập khẩu Tạ Minh Quang – Nhà máy Mỹ phẩm Tạ Minh Quang</x:v>
      </x:c>
      <x:c r="O75" t="str">
        <x:v>Thu hồi số tiếp nhận (2025)</x:v>
      </x:c>
      <x:c r="P75" t="str">
        <x:v>Xác minh chính thức qua Quyết định Sở Y tế TP.HCM; nguồn đăng lại Sở Y tế Quảng Ninh</x:v>
      </x:c>
      <x:c r="Q75" t="str">
        <x:v>Số công bố và ngày cấp nằm trong danh sách 38 số bị thu hồi; lý do công ty tự đề nghị thu hồi.</x:v>
      </x:c>
      <x:c r="R75" t="str">
        <x:v>https://soytequangninh.gov.vn/trang-chu/huong-dan-nghiep-vu/linh-vuc-duoc/thong-bao-ve-viec-thu-hoi-so-tiep-nhan-phieu-cong-bo-san-pha3.html</x:v>
      </x:c>
      <x:c r="S75" t="str">
        <x:v>TP. Hồ Chí Minh</x:v>
      </x:c>
      <x:c r="T75" t="str">
        <x:v>79</x:v>
      </x:c>
    </x:row>
    <x:row r="76">
      <x:c r="A76" t="n">
        <x:v>75</x:v>
      </x:c>
      <x:c r="B76" s="330" t="n">
        <x:v>45069</x:v>
      </x:c>
      <x:c r="C76" s="330" t="n">
        <x:v>45709</x:v>
      </x:c>
      <x:c r="D76" t="n">
        <x:v>2023</x:v>
      </x:c>
      <x:c r="E76" t="n">
        <x:v>5</x:v>
      </x:c>
      <x:c r="F76" t="str">
        <x:v>002122/23/CBMP-HCM</x:v>
      </x:c>
      <x:c r="G76"/>
      <x:c r="H76" t="str">
        <x:v>ALYNA mặt nạ hoa quả dưỡng da</x:v>
      </x:c>
      <x:c r="I76" t="str">
        <x:v>ALYNA</x:v>
      </x:c>
      <x:c r="J76" t="str">
        <x:v>Mặt nạ</x:v>
      </x:c>
      <x:c r="K76" t="str">
        <x:v>Mặt nạ dưỡng da</x:v>
      </x:c>
      <x:c r="L76" t="str">
        <x:v>Công ty TNHH Sản xuất Thương mại Xuất Nhập khẩu Tạ Minh Quang</x:v>
      </x:c>
      <x:c r="M76" t="str">
        <x:v>15 Đường 3C, Phường An Lạc A, Quận Bình Tân, TP.HCM</x:v>
      </x:c>
      <x:c r="N76" t="str">
        <x:v>Chi nhánh Công ty TNHH Sản xuất Thương mại Xuất Nhập khẩu Tạ Minh Quang – Nhà máy Mỹ phẩm Tạ Minh Quang</x:v>
      </x:c>
      <x:c r="O76" t="str">
        <x:v>Thu hồi số tiếp nhận (2025)</x:v>
      </x:c>
      <x:c r="P76" t="str">
        <x:v>Xác minh chính thức qua Quyết định Sở Y tế TP.HCM; nguồn đăng lại Sở Y tế Quảng Ninh</x:v>
      </x:c>
      <x:c r="Q76" t="str">
        <x:v>Số công bố và ngày cấp nằm trong danh sách 38 số bị thu hồi; lý do công ty tự đề nghị thu hồi.</x:v>
      </x:c>
      <x:c r="R76" t="str">
        <x:v>https://soytequangninh.gov.vn/trang-chu/huong-dan-nghiep-vu/linh-vuc-duoc/thong-bao-ve-viec-thu-hoi-so-tiep-nhan-phieu-cong-bo-san-pha3.html</x:v>
      </x:c>
      <x:c r="S76" t="str">
        <x:v>TP. Hồ Chí Minh</x:v>
      </x:c>
      <x:c r="T76" t="str">
        <x:v>79</x:v>
      </x:c>
    </x:row>
    <x:row r="77">
      <x:c r="A77" t="n">
        <x:v>76</x:v>
      </x:c>
      <x:c r="B77" s="330" t="n">
        <x:v>45069</x:v>
      </x:c>
      <x:c r="C77" s="330" t="n">
        <x:v>45709</x:v>
      </x:c>
      <x:c r="D77" t="n">
        <x:v>2023</x:v>
      </x:c>
      <x:c r="E77" t="n">
        <x:v>5</x:v>
      </x:c>
      <x:c r="F77" t="str">
        <x:v>002120/23/CBMP-HCM</x:v>
      </x:c>
      <x:c r="G77"/>
      <x:c r="H77" t="str">
        <x:v>ALYNA mặt nạ ngọc trai dưỡng da</x:v>
      </x:c>
      <x:c r="I77" t="str">
        <x:v>ALYNA</x:v>
      </x:c>
      <x:c r="J77" t="str">
        <x:v>Mặt nạ</x:v>
      </x:c>
      <x:c r="K77" t="str">
        <x:v>Mặt nạ dưỡng da</x:v>
      </x:c>
      <x:c r="L77" t="str">
        <x:v>Công ty TNHH Sản xuất Thương mại Xuất Nhập khẩu Tạ Minh Quang</x:v>
      </x:c>
      <x:c r="M77" t="str">
        <x:v>15 Đường 3C, Phường An Lạc A, Quận Bình Tân, TP.HCM</x:v>
      </x:c>
      <x:c r="N77" t="str">
        <x:v>Chi nhánh Công ty TNHH Sản xuất Thương mại Xuất Nhập khẩu Tạ Minh Quang – Nhà máy Mỹ phẩm Tạ Minh Quang</x:v>
      </x:c>
      <x:c r="O77" t="str">
        <x:v>Thu hồi số tiếp nhận (2025)</x:v>
      </x:c>
      <x:c r="P77" t="str">
        <x:v>Xác minh chính thức qua Quyết định Sở Y tế TP.HCM; nguồn đăng lại Sở Y tế Quảng Ninh</x:v>
      </x:c>
      <x:c r="Q77" t="str">
        <x:v>Số công bố và ngày cấp nằm trong danh sách 38 số bị thu hồi; lý do công ty tự đề nghị thu hồi.</x:v>
      </x:c>
      <x:c r="R77" t="str">
        <x:v>https://soytequangninh.gov.vn/trang-chu/huong-dan-nghiep-vu/linh-vuc-duoc/thong-bao-ve-viec-thu-hoi-so-tiep-nhan-phieu-cong-bo-san-pha3.html</x:v>
      </x:c>
      <x:c r="S77" t="str">
        <x:v>TP. Hồ Chí Minh</x:v>
      </x:c>
      <x:c r="T77" t="str">
        <x:v>79</x:v>
      </x:c>
    </x:row>
    <x:row r="78">
      <x:c r="A78" t="n">
        <x:v>77</x:v>
      </x:c>
      <x:c r="B78" s="330" t="n">
        <x:v>45069</x:v>
      </x:c>
      <x:c r="C78" s="330" t="n">
        <x:v>45709</x:v>
      </x:c>
      <x:c r="D78" t="n">
        <x:v>2023</x:v>
      </x:c>
      <x:c r="E78" t="n">
        <x:v>5</x:v>
      </x:c>
      <x:c r="F78" t="str">
        <x:v>002124/23/CBMP-HCM</x:v>
      </x:c>
      <x:c r="G78"/>
      <x:c r="H78" t="str">
        <x:v>ALYNA mặt nạ rong biển dưỡng da</x:v>
      </x:c>
      <x:c r="I78" t="str">
        <x:v>ALYNA</x:v>
      </x:c>
      <x:c r="J78" t="str">
        <x:v>Mặt nạ</x:v>
      </x:c>
      <x:c r="K78" t="str">
        <x:v>Mặt nạ dưỡng da</x:v>
      </x:c>
      <x:c r="L78" t="str">
        <x:v>Công ty TNHH Sản xuất Thương mại Xuất Nhập khẩu Tạ Minh Quang</x:v>
      </x:c>
      <x:c r="M78" t="str">
        <x:v>15 Đường 3C, Phường An Lạc A, Quận Bình Tân, TP.HCM</x:v>
      </x:c>
      <x:c r="N78" t="str">
        <x:v>Chi nhánh Công ty TNHH Sản xuất Thương mại Xuất Nhập khẩu Tạ Minh Quang – Nhà máy Mỹ phẩm Tạ Minh Quang</x:v>
      </x:c>
      <x:c r="O78" t="str">
        <x:v>Thu hồi số tiếp nhận (2025)</x:v>
      </x:c>
      <x:c r="P78" t="str">
        <x:v>Xác minh chính thức qua Quyết định Sở Y tế TP.HCM; nguồn đăng lại Sở Y tế Quảng Ninh</x:v>
      </x:c>
      <x:c r="Q78" t="str">
        <x:v>Số công bố và ngày cấp nằm trong danh sách 38 số bị thu hồi; lý do công ty tự đề nghị thu hồi.</x:v>
      </x:c>
      <x:c r="R78" t="str">
        <x:v>https://soytequangninh.gov.vn/trang-chu/huong-dan-nghiep-vu/linh-vuc-duoc/thong-bao-ve-viec-thu-hoi-so-tiep-nhan-phieu-cong-bo-san-pha3.html</x:v>
      </x:c>
      <x:c r="S78" t="str">
        <x:v>TP. Hồ Chí Minh</x:v>
      </x:c>
      <x:c r="T78" t="str">
        <x:v>79</x:v>
      </x:c>
    </x:row>
    <x:row r="79">
      <x:c r="A79" t="n">
        <x:v>78</x:v>
      </x:c>
      <x:c r="B79" s="330" t="n">
        <x:v>45127</x:v>
      </x:c>
      <x:c r="C79" s="330" t="n">
        <x:v>45709</x:v>
      </x:c>
      <x:c r="D79" t="n">
        <x:v>2023</x:v>
      </x:c>
      <x:c r="E79" t="n">
        <x:v>7</x:v>
      </x:c>
      <x:c r="F79" t="str">
        <x:v>003061/23/CBMP-HCM</x:v>
      </x:c>
      <x:c r="G79"/>
      <x:c r="H79" t="str">
        <x:v>BOOD kem dưỡng trắng da chống nắng</x:v>
      </x:c>
      <x:c r="I79" t="str">
        <x:v>BOOD</x:v>
      </x:c>
      <x:c r="J79" t="str">
        <x:v>Kem dưỡng da</x:v>
      </x:c>
      <x:c r="K79" t="str">
        <x:v>Kem dưỡng/chăm sóc da</x:v>
      </x:c>
      <x:c r="L79" t="str">
        <x:v>Công ty TNHH Sản xuất Thương mại Xuất Nhập khẩu Tạ Minh Quang</x:v>
      </x:c>
      <x:c r="M79" t="str">
        <x:v>15 Đường 3C, Phường An Lạc A, Quận Bình Tân, TP.HCM</x:v>
      </x:c>
      <x:c r="N79" t="str">
        <x:v>Chi nhánh Công ty TNHH Sản xuất Thương mại Xuất Nhập khẩu Tạ Minh Quang – Nhà máy Mỹ phẩm Tạ Minh Quang</x:v>
      </x:c>
      <x:c r="O79" t="str">
        <x:v>Thu hồi số tiếp nhận (2025)</x:v>
      </x:c>
      <x:c r="P79" t="str">
        <x:v>Xác minh chính thức qua Quyết định Sở Y tế TP.HCM; nguồn đăng lại Sở Y tế Quảng Ninh</x:v>
      </x:c>
      <x:c r="Q79" t="str">
        <x:v>Số công bố và ngày cấp nằm trong danh sách 38 số bị thu hồi; lý do công ty tự đề nghị thu hồi.</x:v>
      </x:c>
      <x:c r="R79" t="str">
        <x:v>https://soytequangninh.gov.vn/trang-chu/huong-dan-nghiep-vu/linh-vuc-duoc/thong-bao-ve-viec-thu-hoi-so-tiep-nhan-phieu-cong-bo-san-pha3.html</x:v>
      </x:c>
      <x:c r="S79" t="str">
        <x:v>TP. Hồ Chí Minh</x:v>
      </x:c>
      <x:c r="T79" t="str">
        <x:v>79</x:v>
      </x:c>
    </x:row>
    <x:row r="80">
      <x:c r="A80" t="n">
        <x:v>79</x:v>
      </x:c>
      <x:c r="B80" s="330" t="n">
        <x:v>45127</x:v>
      </x:c>
      <x:c r="C80" s="330" t="n">
        <x:v>45709</x:v>
      </x:c>
      <x:c r="D80" t="n">
        <x:v>2023</x:v>
      </x:c>
      <x:c r="E80" t="n">
        <x:v>7</x:v>
      </x:c>
      <x:c r="F80" t="str">
        <x:v>003057/23/CBMP-HCM</x:v>
      </x:c>
      <x:c r="G80"/>
      <x:c r="H80" t="str">
        <x:v>BOOD kem trắng da mụn chống nắng</x:v>
      </x:c>
      <x:c r="I80" t="str">
        <x:v>BOOD</x:v>
      </x:c>
      <x:c r="J80" t="str">
        <x:v>Kem dưỡng da</x:v>
      </x:c>
      <x:c r="K80" t="str">
        <x:v>Kem dưỡng/chăm sóc da</x:v>
      </x:c>
      <x:c r="L80" t="str">
        <x:v>Công ty TNHH Sản xuất Thương mại Xuất Nhập khẩu Tạ Minh Quang</x:v>
      </x:c>
      <x:c r="M80" t="str">
        <x:v>15 Đường 3C, Phường An Lạc A, Quận Bình Tân, TP.HCM</x:v>
      </x:c>
      <x:c r="N80" t="str">
        <x:v>Chi nhánh Công ty TNHH Sản xuất Thương mại Xuất Nhập khẩu Tạ Minh Quang – Nhà máy Mỹ phẩm Tạ Minh Quang</x:v>
      </x:c>
      <x:c r="O80" t="str">
        <x:v>Thu hồi số tiếp nhận (2025)</x:v>
      </x:c>
      <x:c r="P80" t="str">
        <x:v>Xác minh chính thức qua Quyết định Sở Y tế TP.HCM; nguồn đăng lại Sở Y tế Quảng Ninh</x:v>
      </x:c>
      <x:c r="Q80" t="str">
        <x:v>Số công bố và ngày cấp nằm trong danh sách 38 số bị thu hồi; lý do công ty tự đề nghị thu hồi.</x:v>
      </x:c>
      <x:c r="R80" t="str">
        <x:v>https://soytequangninh.gov.vn/trang-chu/huong-dan-nghiep-vu/linh-vuc-duoc/thong-bao-ve-viec-thu-hoi-so-tiep-nhan-phieu-cong-bo-san-pha3.html</x:v>
      </x:c>
      <x:c r="S80" t="str">
        <x:v>TP. Hồ Chí Minh</x:v>
      </x:c>
      <x:c r="T80" t="str">
        <x:v>79</x:v>
      </x:c>
    </x:row>
    <x:row r="81">
      <x:c r="A81" t="n">
        <x:v>80</x:v>
      </x:c>
      <x:c r="B81" s="330" t="n">
        <x:v>45127</x:v>
      </x:c>
      <x:c r="C81" s="330" t="n">
        <x:v>45709</x:v>
      </x:c>
      <x:c r="D81" t="n">
        <x:v>2023</x:v>
      </x:c>
      <x:c r="E81" t="n">
        <x:v>7</x:v>
      </x:c>
      <x:c r="F81" t="str">
        <x:v>003060/23/CBMP-HCM</x:v>
      </x:c>
      <x:c r="G81"/>
      <x:c r="H81" t="str">
        <x:v>BOOD kem dưỡng trắng da mụn chống nắng giúp ngừa lão hóa da</x:v>
      </x:c>
      <x:c r="I81" t="str">
        <x:v>BOOD</x:v>
      </x:c>
      <x:c r="J81" t="str">
        <x:v>Kem dưỡng da</x:v>
      </x:c>
      <x:c r="K81" t="str">
        <x:v>Kem dưỡng/chăm sóc da</x:v>
      </x:c>
      <x:c r="L81" t="str">
        <x:v>Công ty TNHH Sản xuất Thương mại Xuất Nhập khẩu Tạ Minh Quang</x:v>
      </x:c>
      <x:c r="M81" t="str">
        <x:v>15 Đường 3C, Phường An Lạc A, Quận Bình Tân, TP.HCM</x:v>
      </x:c>
      <x:c r="N81" t="str">
        <x:v>Chi nhánh Công ty TNHH Sản xuất Thương mại Xuất Nhập khẩu Tạ Minh Quang – Nhà máy Mỹ phẩm Tạ Minh Quang</x:v>
      </x:c>
      <x:c r="O81" t="str">
        <x:v>Thu hồi số tiếp nhận (2025)</x:v>
      </x:c>
      <x:c r="P81" t="str">
        <x:v>Xác minh chính thức qua Quyết định Sở Y tế TP.HCM; nguồn đăng lại Sở Y tế Quảng Ninh</x:v>
      </x:c>
      <x:c r="Q81" t="str">
        <x:v>Số công bố và ngày cấp nằm trong danh sách 38 số bị thu hồi; lý do công ty tự đề nghị thu hồi.</x:v>
      </x:c>
      <x:c r="R81" t="str">
        <x:v>https://soytequangninh.gov.vn/trang-chu/huong-dan-nghiep-vu/linh-vuc-duoc/thong-bao-ve-viec-thu-hoi-so-tiep-nhan-phieu-cong-bo-san-pha3.html</x:v>
      </x:c>
      <x:c r="S81" t="str">
        <x:v>TP. Hồ Chí Minh</x:v>
      </x:c>
      <x:c r="T81" t="str">
        <x:v>79</x:v>
      </x:c>
    </x:row>
    <x:row r="82">
      <x:c r="A82" t="n">
        <x:v>81</x:v>
      </x:c>
      <x:c r="B82" s="330" t="n">
        <x:v>45127</x:v>
      </x:c>
      <x:c r="C82" s="330" t="n">
        <x:v>45709</x:v>
      </x:c>
      <x:c r="D82" t="n">
        <x:v>2023</x:v>
      </x:c>
      <x:c r="E82" t="n">
        <x:v>7</x:v>
      </x:c>
      <x:c r="F82" t="str">
        <x:v>003059/23/CBMP-HCM</x:v>
      </x:c>
      <x:c r="G82"/>
      <x:c r="H82" t="str">
        <x:v>BOOD kem dưỡng trắng da nám tàn nhang</x:v>
      </x:c>
      <x:c r="I82" t="str">
        <x:v>BOOD</x:v>
      </x:c>
      <x:c r="J82" t="str">
        <x:v>Kem dưỡng da</x:v>
      </x:c>
      <x:c r="K82" t="str">
        <x:v>Kem dưỡng/chăm sóc da</x:v>
      </x:c>
      <x:c r="L82" t="str">
        <x:v>Công ty TNHH Sản xuất Thương mại Xuất Nhập khẩu Tạ Minh Quang</x:v>
      </x:c>
      <x:c r="M82" t="str">
        <x:v>15 Đường 3C, Phường An Lạc A, Quận Bình Tân, TP.HCM</x:v>
      </x:c>
      <x:c r="N82" t="str">
        <x:v>Chi nhánh Công ty TNHH Sản xuất Thương mại Xuất Nhập khẩu Tạ Minh Quang – Nhà máy Mỹ phẩm Tạ Minh Quang</x:v>
      </x:c>
      <x:c r="O82" t="str">
        <x:v>Thu hồi số tiếp nhận (2025)</x:v>
      </x:c>
      <x:c r="P82" t="str">
        <x:v>Xác minh chính thức qua Quyết định Sở Y tế TP.HCM; nguồn đăng lại Sở Y tế Quảng Ninh</x:v>
      </x:c>
      <x:c r="Q82" t="str">
        <x:v>Số công bố và ngày cấp nằm trong danh sách 38 số bị thu hồi; lý do công ty tự đề nghị thu hồi.</x:v>
      </x:c>
      <x:c r="R82" t="str">
        <x:v>https://soytequangninh.gov.vn/trang-chu/huong-dan-nghiep-vu/linh-vuc-duoc/thong-bao-ve-viec-thu-hoi-so-tiep-nhan-phieu-cong-bo-san-pha3.html</x:v>
      </x:c>
      <x:c r="S82" t="str">
        <x:v>TP. Hồ Chí Minh</x:v>
      </x:c>
      <x:c r="T82" t="str">
        <x:v>79</x:v>
      </x:c>
    </x:row>
    <x:row r="83">
      <x:c r="A83" t="n">
        <x:v>82</x:v>
      </x:c>
      <x:c r="B83" s="330" t="n">
        <x:v>45127</x:v>
      </x:c>
      <x:c r="C83" s="330" t="n">
        <x:v>45709</x:v>
      </x:c>
      <x:c r="D83" t="n">
        <x:v>2023</x:v>
      </x:c>
      <x:c r="E83" t="n">
        <x:v>7</x:v>
      </x:c>
      <x:c r="F83" t="str">
        <x:v>003058/23/CBMP-HCM</x:v>
      </x:c>
      <x:c r="G83"/>
      <x:c r="H83" t="str">
        <x:v>BOOD kem nám tàn nhang đồi mồi</x:v>
      </x:c>
      <x:c r="I83" t="str">
        <x:v>BOOD</x:v>
      </x:c>
      <x:c r="J83" t="str">
        <x:v>Kem dưỡng da</x:v>
      </x:c>
      <x:c r="K83" t="str">
        <x:v>Kem dưỡng/chăm sóc da</x:v>
      </x:c>
      <x:c r="L83" t="str">
        <x:v>Công ty TNHH Sản xuất Thương mại Xuất Nhập khẩu Tạ Minh Quang</x:v>
      </x:c>
      <x:c r="M83" t="str">
        <x:v>15 Đường 3C, Phường An Lạc A, Quận Bình Tân, TP.HCM</x:v>
      </x:c>
      <x:c r="N83" t="str">
        <x:v>Chi nhánh Công ty TNHH Sản xuất Thương mại Xuất Nhập khẩu Tạ Minh Quang – Nhà máy Mỹ phẩm Tạ Minh Quang</x:v>
      </x:c>
      <x:c r="O83" t="str">
        <x:v>Thu hồi số tiếp nhận (2025)</x:v>
      </x:c>
      <x:c r="P83" t="str">
        <x:v>Xác minh chính thức qua Quyết định Sở Y tế TP.HCM; nguồn đăng lại Sở Y tế Quảng Ninh</x:v>
      </x:c>
      <x:c r="Q83" t="str">
        <x:v>Số công bố và ngày cấp nằm trong danh sách 38 số bị thu hồi; lý do công ty tự đề nghị thu hồi.</x:v>
      </x:c>
      <x:c r="R83" t="str">
        <x:v>https://soytequangninh.gov.vn/trang-chu/huong-dan-nghiep-vu/linh-vuc-duoc/thong-bao-ve-viec-thu-hoi-so-tiep-nhan-phieu-cong-bo-san-pha3.html</x:v>
      </x:c>
      <x:c r="S83" t="str">
        <x:v>TP. Hồ Chí Minh</x:v>
      </x:c>
      <x:c r="T83" t="str">
        <x:v>79</x:v>
      </x:c>
    </x:row>
    <x:row r="84">
      <x:c r="A84" t="n">
        <x:v>83</x:v>
      </x:c>
      <x:c r="B84" s="330" t="n">
        <x:v>45127</x:v>
      </x:c>
      <x:c r="C84" s="330" t="n">
        <x:v>45709</x:v>
      </x:c>
      <x:c r="D84" t="n">
        <x:v>2023</x:v>
      </x:c>
      <x:c r="E84" t="n">
        <x:v>7</x:v>
      </x:c>
      <x:c r="F84" t="str">
        <x:v>003037/23/CBMP-HCM</x:v>
      </x:c>
      <x:c r="G84"/>
      <x:c r="H84" t="str">
        <x:v>ELISE kem dưỡng trắng da chống nắng</x:v>
      </x:c>
      <x:c r="I84" t="str">
        <x:v>ELISE</x:v>
      </x:c>
      <x:c r="J84" t="str">
        <x:v>Kem dưỡng da</x:v>
      </x:c>
      <x:c r="K84" t="str">
        <x:v>Kem dưỡng/chăm sóc da</x:v>
      </x:c>
      <x:c r="L84" t="str">
        <x:v>Công ty TNHH Sản xuất Thương mại Xuất Nhập khẩu Tạ Minh Quang</x:v>
      </x:c>
      <x:c r="M84" t="str">
        <x:v>15 Đường 3C, Phường An Lạc A, Quận Bình Tân, TP.HCM</x:v>
      </x:c>
      <x:c r="N84" t="str">
        <x:v>Chi nhánh Công ty TNHH Sản xuất Thương mại Xuất Nhập khẩu Tạ Minh Quang – Nhà máy Mỹ phẩm Tạ Minh Quang</x:v>
      </x:c>
      <x:c r="O84" t="str">
        <x:v>Thu hồi số tiếp nhận (2025)</x:v>
      </x:c>
      <x:c r="P84" t="str">
        <x:v>Xác minh chính thức qua Quyết định Sở Y tế TP.HCM; nguồn đăng lại Sở Y tế Quảng Ninh</x:v>
      </x:c>
      <x:c r="Q84" t="str">
        <x:v>Số công bố và ngày cấp nằm trong danh sách 38 số bị thu hồi; lý do công ty tự đề nghị thu hồi.</x:v>
      </x:c>
      <x:c r="R84" t="str">
        <x:v>https://soytequangninh.gov.vn/trang-chu/huong-dan-nghiep-vu/linh-vuc-duoc/thong-bao-ve-viec-thu-hoi-so-tiep-nhan-phieu-cong-bo-san-pha3.html</x:v>
      </x:c>
      <x:c r="S84" t="str">
        <x:v>TP. Hồ Chí Minh</x:v>
      </x:c>
      <x:c r="T84" t="str">
        <x:v>79</x:v>
      </x:c>
    </x:row>
    <x:row r="85">
      <x:c r="A85" t="n">
        <x:v>84</x:v>
      </x:c>
      <x:c r="B85" s="330" t="n">
        <x:v>45127</x:v>
      </x:c>
      <x:c r="C85" s="330" t="n">
        <x:v>45709</x:v>
      </x:c>
      <x:c r="D85" t="n">
        <x:v>2023</x:v>
      </x:c>
      <x:c r="E85" t="n">
        <x:v>7</x:v>
      </x:c>
      <x:c r="F85" t="str">
        <x:v>003038/23/CBMP-HCM</x:v>
      </x:c>
      <x:c r="G85"/>
      <x:c r="H85" t="str">
        <x:v>ELISE kem trắng da mụn chống nắng</x:v>
      </x:c>
      <x:c r="I85" t="str">
        <x:v>ELISE</x:v>
      </x:c>
      <x:c r="J85" t="str">
        <x:v>Kem dưỡng da</x:v>
      </x:c>
      <x:c r="K85" t="str">
        <x:v>Kem dưỡng/chăm sóc da</x:v>
      </x:c>
      <x:c r="L85" t="str">
        <x:v>Công ty TNHH Sản xuất Thương mại Xuất Nhập khẩu Tạ Minh Quang</x:v>
      </x:c>
      <x:c r="M85" t="str">
        <x:v>15 Đường 3C, Phường An Lạc A, Quận Bình Tân, TP.HCM</x:v>
      </x:c>
      <x:c r="N85" t="str">
        <x:v>Chi nhánh Công ty TNHH Sản xuất Thương mại Xuất Nhập khẩu Tạ Minh Quang – Nhà máy Mỹ phẩm Tạ Minh Quang</x:v>
      </x:c>
      <x:c r="O85" t="str">
        <x:v>Thu hồi số tiếp nhận (2025)</x:v>
      </x:c>
      <x:c r="P85" t="str">
        <x:v>Xác minh chính thức qua Quyết định Sở Y tế TP.HCM; nguồn đăng lại Sở Y tế Quảng Ninh</x:v>
      </x:c>
      <x:c r="Q85" t="str">
        <x:v>Số công bố và ngày cấp nằm trong danh sách 38 số bị thu hồi; lý do công ty tự đề nghị thu hồi.</x:v>
      </x:c>
      <x:c r="R85" t="str">
        <x:v>https://soytequangninh.gov.vn/trang-chu/huong-dan-nghiep-vu/linh-vuc-duoc/thong-bao-ve-viec-thu-hoi-so-tiep-nhan-phieu-cong-bo-san-pha3.html</x:v>
      </x:c>
      <x:c r="S85" t="str">
        <x:v>TP. Hồ Chí Minh</x:v>
      </x:c>
      <x:c r="T85" t="str">
        <x:v>79</x:v>
      </x:c>
    </x:row>
    <x:row r="86">
      <x:c r="A86" t="n">
        <x:v>85</x:v>
      </x:c>
      <x:c r="B86" s="330" t="n">
        <x:v>45127</x:v>
      </x:c>
      <x:c r="C86" s="330" t="n">
        <x:v>45709</x:v>
      </x:c>
      <x:c r="D86" t="n">
        <x:v>2023</x:v>
      </x:c>
      <x:c r="E86" t="n">
        <x:v>7</x:v>
      </x:c>
      <x:c r="F86" t="str">
        <x:v>003039/23/CBMP-HCM</x:v>
      </x:c>
      <x:c r="G86"/>
      <x:c r="H86" t="str">
        <x:v>ELISE kem trắng da mụn chống nắng giúp ngừa lão hóa da</x:v>
      </x:c>
      <x:c r="I86" t="str">
        <x:v>ELISE</x:v>
      </x:c>
      <x:c r="J86" t="str">
        <x:v>Kem dưỡng da</x:v>
      </x:c>
      <x:c r="K86" t="str">
        <x:v>Kem dưỡng/chăm sóc da</x:v>
      </x:c>
      <x:c r="L86" t="str">
        <x:v>Công ty TNHH Sản xuất Thương mại Xuất Nhập khẩu Tạ Minh Quang</x:v>
      </x:c>
      <x:c r="M86" t="str">
        <x:v>15 Đường 3C, Phường An Lạc A, Quận Bình Tân, TP.HCM</x:v>
      </x:c>
      <x:c r="N86" t="str">
        <x:v>Chi nhánh Công ty TNHH Sản xuất Thương mại Xuất Nhập khẩu Tạ Minh Quang – Nhà máy Mỹ phẩm Tạ Minh Quang</x:v>
      </x:c>
      <x:c r="O86" t="str">
        <x:v>Thu hồi số tiếp nhận (2025)</x:v>
      </x:c>
      <x:c r="P86" t="str">
        <x:v>Xác minh chính thức qua Quyết định Sở Y tế TP.HCM; nguồn đăng lại Sở Y tế Quảng Ninh</x:v>
      </x:c>
      <x:c r="Q86" t="str">
        <x:v>Số công bố và ngày cấp nằm trong danh sách 38 số bị thu hồi; lý do công ty tự đề nghị thu hồi.</x:v>
      </x:c>
      <x:c r="R86" t="str">
        <x:v>https://soytequangninh.gov.vn/trang-chu/huong-dan-nghiep-vu/linh-vuc-duoc/thong-bao-ve-viec-thu-hoi-so-tiep-nhan-phieu-cong-bo-san-pha3.html</x:v>
      </x:c>
      <x:c r="S86" t="str">
        <x:v>TP. Hồ Chí Minh</x:v>
      </x:c>
      <x:c r="T86" t="str">
        <x:v>79</x:v>
      </x:c>
    </x:row>
    <x:row r="87">
      <x:c r="A87" t="n">
        <x:v>86</x:v>
      </x:c>
      <x:c r="B87" s="330" t="n">
        <x:v>45127</x:v>
      </x:c>
      <x:c r="C87" s="330" t="n">
        <x:v>45709</x:v>
      </x:c>
      <x:c r="D87" t="n">
        <x:v>2023</x:v>
      </x:c>
      <x:c r="E87" t="n">
        <x:v>7</x:v>
      </x:c>
      <x:c r="F87" t="str">
        <x:v>003035/23/CBMP-HCM</x:v>
      </x:c>
      <x:c r="G87"/>
      <x:c r="H87" t="str">
        <x:v>ELISE kem dưỡng trắng da nám tàn nhang</x:v>
      </x:c>
      <x:c r="I87" t="str">
        <x:v>ELISE</x:v>
      </x:c>
      <x:c r="J87" t="str">
        <x:v>Kem dưỡng da</x:v>
      </x:c>
      <x:c r="K87" t="str">
        <x:v>Kem dưỡng/chăm sóc da</x:v>
      </x:c>
      <x:c r="L87" t="str">
        <x:v>Công ty TNHH Sản xuất Thương mại Xuất Nhập khẩu Tạ Minh Quang</x:v>
      </x:c>
      <x:c r="M87" t="str">
        <x:v>15 Đường 3C, Phường An Lạc A, Quận Bình Tân, TP.HCM</x:v>
      </x:c>
      <x:c r="N87" t="str">
        <x:v>Chi nhánh Công ty TNHH Sản xuất Thương mại Xuất Nhập khẩu Tạ Minh Quang – Nhà máy Mỹ phẩm Tạ Minh Quang</x:v>
      </x:c>
      <x:c r="O87" t="str">
        <x:v>Thu hồi số tiếp nhận (2025)</x:v>
      </x:c>
      <x:c r="P87" t="str">
        <x:v>Xác minh chính thức qua Quyết định Sở Y tế TP.HCM; nguồn đăng lại Sở Y tế Quảng Ninh</x:v>
      </x:c>
      <x:c r="Q87" t="str">
        <x:v>Số công bố và ngày cấp nằm trong danh sách 38 số bị thu hồi; lý do công ty tự đề nghị thu hồi.</x:v>
      </x:c>
      <x:c r="R87" t="str">
        <x:v>https://soytequangninh.gov.vn/trang-chu/huong-dan-nghiep-vu/linh-vuc-duoc/thong-bao-ve-viec-thu-hoi-so-tiep-nhan-phieu-cong-bo-san-pha3.html</x:v>
      </x:c>
      <x:c r="S87" t="str">
        <x:v>TP. Hồ Chí Minh</x:v>
      </x:c>
      <x:c r="T87" t="str">
        <x:v>79</x:v>
      </x:c>
    </x:row>
    <x:row r="88">
      <x:c r="A88" t="n">
        <x:v>87</x:v>
      </x:c>
      <x:c r="B88" s="330" t="n">
        <x:v>45069</x:v>
      </x:c>
      <x:c r="C88" s="330" t="n">
        <x:v>45709</x:v>
      </x:c>
      <x:c r="D88" t="n">
        <x:v>2023</x:v>
      </x:c>
      <x:c r="E88" t="n">
        <x:v>5</x:v>
      </x:c>
      <x:c r="F88" t="str">
        <x:v>002113/23/CBMP-HCM</x:v>
      </x:c>
      <x:c r="G88"/>
      <x:c r="H88" t="str">
        <x:v>ELISE mặt nạ dâu dưỡng da</x:v>
      </x:c>
      <x:c r="I88" t="str">
        <x:v>ELISE</x:v>
      </x:c>
      <x:c r="J88" t="str">
        <x:v>Mặt nạ</x:v>
      </x:c>
      <x:c r="K88" t="str">
        <x:v>Mặt nạ dưỡng da</x:v>
      </x:c>
      <x:c r="L88" t="str">
        <x:v>Công ty TNHH Sản xuất Thương mại Xuất Nhập khẩu Tạ Minh Quang</x:v>
      </x:c>
      <x:c r="M88" t="str">
        <x:v>15 Đường 3C, Phường An Lạc A, Quận Bình Tân, TP.HCM</x:v>
      </x:c>
      <x:c r="N88" t="str">
        <x:v>Chi nhánh Công ty TNHH Sản xuất Thương mại Xuất Nhập khẩu Tạ Minh Quang – Nhà máy Mỹ phẩm Tạ Minh Quang</x:v>
      </x:c>
      <x:c r="O88" t="str">
        <x:v>Thu hồi số tiếp nhận (2025)</x:v>
      </x:c>
      <x:c r="P88" t="str">
        <x:v>Xác minh chính thức qua Quyết định Sở Y tế TP.HCM; nguồn đăng lại Sở Y tế Quảng Ninh</x:v>
      </x:c>
      <x:c r="Q88" t="str">
        <x:v>Số công bố và ngày cấp nằm trong danh sách 38 số bị thu hồi; lý do công ty tự đề nghị thu hồi.</x:v>
      </x:c>
      <x:c r="R88" t="str">
        <x:v>https://soytequangninh.gov.vn/trang-chu/huong-dan-nghiep-vu/linh-vuc-duoc/thong-bao-ve-viec-thu-hoi-so-tiep-nhan-phieu-cong-bo-san-pha3.html</x:v>
      </x:c>
      <x:c r="S88" t="str">
        <x:v>TP. Hồ Chí Minh</x:v>
      </x:c>
      <x:c r="T88" t="str">
        <x:v>79</x:v>
      </x:c>
    </x:row>
    <x:row r="89">
      <x:c r="A89" t="n">
        <x:v>88</x:v>
      </x:c>
      <x:c r="B89" s="330" t="n">
        <x:v>44984</x:v>
      </x:c>
      <x:c r="C89" s="330" t="n">
        <x:v>45709</x:v>
      </x:c>
      <x:c r="D89" t="n">
        <x:v>2023</x:v>
      </x:c>
      <x:c r="E89" t="n">
        <x:v>2</x:v>
      </x:c>
      <x:c r="F89" t="str">
        <x:v>000465/23/CBMP-HCM</x:v>
      </x:c>
      <x:c r="G89"/>
      <x:c r="H89" t="str">
        <x:v>ELISE mặt nạ dưa leo dưỡng da</x:v>
      </x:c>
      <x:c r="I89" t="str">
        <x:v>ELISE</x:v>
      </x:c>
      <x:c r="J89" t="str">
        <x:v>Mặt nạ</x:v>
      </x:c>
      <x:c r="K89" t="str">
        <x:v>Mặt nạ dưỡng da</x:v>
      </x:c>
      <x:c r="L89" t="str">
        <x:v>Công ty TNHH Sản xuất Thương mại Xuất Nhập khẩu Tạ Minh Quang</x:v>
      </x:c>
      <x:c r="M89" t="str">
        <x:v>15 Đường 3C, Phường An Lạc A, Quận Bình Tân, TP.HCM</x:v>
      </x:c>
      <x:c r="N89" t="str">
        <x:v>Chi nhánh Công ty TNHH Sản xuất Thương mại Xuất Nhập khẩu Tạ Minh Quang – Nhà máy Mỹ phẩm Tạ Minh Quang</x:v>
      </x:c>
      <x:c r="O89" t="str">
        <x:v>Thu hồi số tiếp nhận (2025)</x:v>
      </x:c>
      <x:c r="P89" t="str">
        <x:v>Xác minh chính thức qua Quyết định Sở Y tế TP.HCM; nguồn đăng lại Sở Y tế Quảng Ninh</x:v>
      </x:c>
      <x:c r="Q89" t="str">
        <x:v>Số công bố và ngày cấp nằm trong danh sách 38 số bị thu hồi; lý do công ty tự đề nghị thu hồi.</x:v>
      </x:c>
      <x:c r="R89" t="str">
        <x:v>https://soytequangninh.gov.vn/trang-chu/huong-dan-nghiep-vu/linh-vuc-duoc/thong-bao-ve-viec-thu-hoi-so-tiep-nhan-phieu-cong-bo-san-pha3.html</x:v>
      </x:c>
      <x:c r="S89" t="str">
        <x:v>TP. Hồ Chí Minh</x:v>
      </x:c>
      <x:c r="T89" t="str">
        <x:v>79</x:v>
      </x:c>
    </x:row>
    <x:row r="90">
      <x:c r="A90" t="n">
        <x:v>89</x:v>
      </x:c>
      <x:c r="B90" s="330" t="n">
        <x:v>45069</x:v>
      </x:c>
      <x:c r="C90" s="330" t="n">
        <x:v>45709</x:v>
      </x:c>
      <x:c r="D90" t="n">
        <x:v>2023</x:v>
      </x:c>
      <x:c r="E90" t="n">
        <x:v>5</x:v>
      </x:c>
      <x:c r="F90" t="str">
        <x:v>002109/23/CBMP-HCM</x:v>
      </x:c>
      <x:c r="G90"/>
      <x:c r="H90" t="str">
        <x:v>ELISE mặt nạ dưa leo dưỡng da</x:v>
      </x:c>
      <x:c r="I90" t="str">
        <x:v>ELISE</x:v>
      </x:c>
      <x:c r="J90" t="str">
        <x:v>Mặt nạ</x:v>
      </x:c>
      <x:c r="K90" t="str">
        <x:v>Mặt nạ dưỡng da</x:v>
      </x:c>
      <x:c r="L90" t="str">
        <x:v>Công ty TNHH Sản xuất Thương mại Xuất Nhập khẩu Tạ Minh Quang</x:v>
      </x:c>
      <x:c r="M90" t="str">
        <x:v>15 Đường 3C, Phường An Lạc A, Quận Bình Tân, TP.HCM</x:v>
      </x:c>
      <x:c r="N90" t="str">
        <x:v>Chi nhánh Công ty TNHH Sản xuất Thương mại Xuất Nhập khẩu Tạ Minh Quang – Nhà máy Mỹ phẩm Tạ Minh Quang</x:v>
      </x:c>
      <x:c r="O90" t="str">
        <x:v>Thu hồi số tiếp nhận (2025)</x:v>
      </x:c>
      <x:c r="P90" t="str">
        <x:v>Xác minh chính thức qua Quyết định Sở Y tế TP.HCM; nguồn đăng lại Sở Y tế Quảng Ninh</x:v>
      </x:c>
      <x:c r="Q90" t="str">
        <x:v>Số công bố và ngày cấp nằm trong danh sách 38 số bị thu hồi; lý do công ty tự đề nghị thu hồi.</x:v>
      </x:c>
      <x:c r="R90" t="str">
        <x:v>https://soytequangninh.gov.vn/trang-chu/huong-dan-nghiep-vu/linh-vuc-duoc/thong-bao-ve-viec-thu-hoi-so-tiep-nhan-phieu-cong-bo-san-pha3.html</x:v>
      </x:c>
      <x:c r="S90" t="str">
        <x:v>TP. Hồ Chí Minh</x:v>
      </x:c>
      <x:c r="T90" t="str">
        <x:v>79</x:v>
      </x:c>
    </x:row>
    <x:row r="91">
      <x:c r="A91" t="n">
        <x:v>90</x:v>
      </x:c>
      <x:c r="B91" s="330" t="n">
        <x:v>44995</x:v>
      </x:c>
      <x:c r="C91" s="330" t="n">
        <x:v>45709</x:v>
      </x:c>
      <x:c r="D91" t="n">
        <x:v>2023</x:v>
      </x:c>
      <x:c r="E91" t="n">
        <x:v>3</x:v>
      </x:c>
      <x:c r="F91" t="str">
        <x:v>000715/23/CBMP-HCM</x:v>
      </x:c>
      <x:c r="G91"/>
      <x:c r="H91" t="str">
        <x:v>ELISE mặt nạ hoa quả dưỡng da</x:v>
      </x:c>
      <x:c r="I91" t="str">
        <x:v>ELISE</x:v>
      </x:c>
      <x:c r="J91" t="str">
        <x:v>Mặt nạ</x:v>
      </x:c>
      <x:c r="K91" t="str">
        <x:v>Mặt nạ dưỡng da</x:v>
      </x:c>
      <x:c r="L91" t="str">
        <x:v>Công ty TNHH Sản xuất Thương mại Xuất Nhập khẩu Tạ Minh Quang</x:v>
      </x:c>
      <x:c r="M91" t="str">
        <x:v>15 Đường 3C, Phường An Lạc A, Quận Bình Tân, TP.HCM</x:v>
      </x:c>
      <x:c r="N91" t="str">
        <x:v>Chi nhánh Công ty TNHH Sản xuất Thương mại Xuất Nhập khẩu Tạ Minh Quang – Nhà máy Mỹ phẩm Tạ Minh Quang</x:v>
      </x:c>
      <x:c r="O91" t="str">
        <x:v>Thu hồi số tiếp nhận (2025)</x:v>
      </x:c>
      <x:c r="P91" t="str">
        <x:v>Xác minh chính thức qua Quyết định Sở Y tế TP.HCM; nguồn đăng lại Sở Y tế Quảng Ninh</x:v>
      </x:c>
      <x:c r="Q91" t="str">
        <x:v>Số công bố và ngày cấp nằm trong danh sách 38 số bị thu hồi; lý do công ty tự đề nghị thu hồi.</x:v>
      </x:c>
      <x:c r="R91" t="str">
        <x:v>https://soytequangninh.gov.vn/trang-chu/huong-dan-nghiep-vu/linh-vuc-duoc/thong-bao-ve-viec-thu-hoi-so-tiep-nhan-phieu-cong-bo-san-pha3.html</x:v>
      </x:c>
      <x:c r="S91" t="str">
        <x:v>TP. Hồ Chí Minh</x:v>
      </x:c>
      <x:c r="T91" t="str">
        <x:v>79</x:v>
      </x:c>
    </x:row>
    <x:row r="92">
      <x:c r="A92" t="n">
        <x:v>91</x:v>
      </x:c>
      <x:c r="B92" s="330" t="n">
        <x:v>45069</x:v>
      </x:c>
      <x:c r="C92" s="330" t="n">
        <x:v>45709</x:v>
      </x:c>
      <x:c r="D92" t="n">
        <x:v>2023</x:v>
      </x:c>
      <x:c r="E92" t="n">
        <x:v>5</x:v>
      </x:c>
      <x:c r="F92" t="str">
        <x:v>002110/23/CBMP-HCM</x:v>
      </x:c>
      <x:c r="G92"/>
      <x:c r="H92" t="str">
        <x:v>ELISE mặt nạ hoa quả dưỡng da</x:v>
      </x:c>
      <x:c r="I92" t="str">
        <x:v>ELISE</x:v>
      </x:c>
      <x:c r="J92" t="str">
        <x:v>Mặt nạ</x:v>
      </x:c>
      <x:c r="K92" t="str">
        <x:v>Mặt nạ dưỡng da</x:v>
      </x:c>
      <x:c r="L92" t="str">
        <x:v>Công ty TNHH Sản xuất Thương mại Xuất Nhập khẩu Tạ Minh Quang</x:v>
      </x:c>
      <x:c r="M92" t="str">
        <x:v>15 Đường 3C, Phường An Lạc A, Quận Bình Tân, TP.HCM</x:v>
      </x:c>
      <x:c r="N92" t="str">
        <x:v>Chi nhánh Công ty TNHH Sản xuất Thương mại Xuất Nhập khẩu Tạ Minh Quang – Nhà máy Mỹ phẩm Tạ Minh Quang</x:v>
      </x:c>
      <x:c r="O92" t="str">
        <x:v>Thu hồi số tiếp nhận (2025)</x:v>
      </x:c>
      <x:c r="P92" t="str">
        <x:v>Xác minh chính thức qua Quyết định Sở Y tế TP.HCM; nguồn đăng lại Sở Y tế Quảng Ninh</x:v>
      </x:c>
      <x:c r="Q92" t="str">
        <x:v>Số công bố và ngày cấp nằm trong danh sách 38 số bị thu hồi; lý do công ty tự đề nghị thu hồi.</x:v>
      </x:c>
      <x:c r="R92" t="str">
        <x:v>https://soytequangninh.gov.vn/trang-chu/huong-dan-nghiep-vu/linh-vuc-duoc/thong-bao-ve-viec-thu-hoi-so-tiep-nhan-phieu-cong-bo-san-pha3.html</x:v>
      </x:c>
      <x:c r="S92" t="str">
        <x:v>TP. Hồ Chí Minh</x:v>
      </x:c>
      <x:c r="T92" t="str">
        <x:v>79</x:v>
      </x:c>
    </x:row>
    <x:row r="93">
      <x:c r="A93" t="n">
        <x:v>92</x:v>
      </x:c>
      <x:c r="B93" s="330" t="n">
        <x:v>45069</x:v>
      </x:c>
      <x:c r="C93" s="330" t="n">
        <x:v>45709</x:v>
      </x:c>
      <x:c r="D93" t="n">
        <x:v>2023</x:v>
      </x:c>
      <x:c r="E93" t="n">
        <x:v>5</x:v>
      </x:c>
      <x:c r="F93" t="str">
        <x:v>002114/23/CBMP-HCM</x:v>
      </x:c>
      <x:c r="G93"/>
      <x:c r="H93" t="str">
        <x:v>ELISE mặt nạ ngọc trai dưỡng da</x:v>
      </x:c>
      <x:c r="I93" t="str">
        <x:v>ELISE</x:v>
      </x:c>
      <x:c r="J93" t="str">
        <x:v>Mặt nạ</x:v>
      </x:c>
      <x:c r="K93" t="str">
        <x:v>Mặt nạ dưỡng da</x:v>
      </x:c>
      <x:c r="L93" t="str">
        <x:v>Công ty TNHH Sản xuất Thương mại Xuất Nhập khẩu Tạ Minh Quang</x:v>
      </x:c>
      <x:c r="M93" t="str">
        <x:v>15 Đường 3C, Phường An Lạc A, Quận Bình Tân, TP.HCM</x:v>
      </x:c>
      <x:c r="N93" t="str">
        <x:v>Chi nhánh Công ty TNHH Sản xuất Thương mại Xuất Nhập khẩu Tạ Minh Quang – Nhà máy Mỹ phẩm Tạ Minh Quang</x:v>
      </x:c>
      <x:c r="O93" t="str">
        <x:v>Thu hồi số tiếp nhận (2025)</x:v>
      </x:c>
      <x:c r="P93" t="str">
        <x:v>Xác minh chính thức qua Quyết định Sở Y tế TP.HCM; nguồn đăng lại Sở Y tế Quảng Ninh</x:v>
      </x:c>
      <x:c r="Q93" t="str">
        <x:v>Số công bố và ngày cấp nằm trong danh sách 38 số bị thu hồi; lý do công ty tự đề nghị thu hồi.</x:v>
      </x:c>
      <x:c r="R93" t="str">
        <x:v>https://soytequangninh.gov.vn/trang-chu/huong-dan-nghiep-vu/linh-vuc-duoc/thong-bao-ve-viec-thu-hoi-so-tiep-nhan-phieu-cong-bo-san-pha3.html</x:v>
      </x:c>
      <x:c r="S93" t="str">
        <x:v>TP. Hồ Chí Minh</x:v>
      </x:c>
      <x:c r="T93" t="str">
        <x:v>79</x:v>
      </x:c>
    </x:row>
    <x:row r="94">
      <x:c r="A94" t="n">
        <x:v>93</x:v>
      </x:c>
      <x:c r="B94" s="330" t="n">
        <x:v>45069</x:v>
      </x:c>
      <x:c r="C94" s="330" t="n">
        <x:v>45709</x:v>
      </x:c>
      <x:c r="D94" t="n">
        <x:v>2023</x:v>
      </x:c>
      <x:c r="E94" t="n">
        <x:v>5</x:v>
      </x:c>
      <x:c r="F94" t="str">
        <x:v>002117/23/CBMP-HCM</x:v>
      </x:c>
      <x:c r="G94"/>
      <x:c r="H94" t="str">
        <x:v>ELISE mặt nạ ốc sên dưỡng da</x:v>
      </x:c>
      <x:c r="I94" t="str">
        <x:v>ELISE</x:v>
      </x:c>
      <x:c r="J94" t="str">
        <x:v>Mặt nạ</x:v>
      </x:c>
      <x:c r="K94" t="str">
        <x:v>Mặt nạ dưỡng da</x:v>
      </x:c>
      <x:c r="L94" t="str">
        <x:v>Công ty TNHH Sản xuất Thương mại Xuất Nhập khẩu Tạ Minh Quang</x:v>
      </x:c>
      <x:c r="M94" t="str">
        <x:v>15 Đường 3C, Phường An Lạc A, Quận Bình Tân, TP.HCM</x:v>
      </x:c>
      <x:c r="N94" t="str">
        <x:v>Chi nhánh Công ty TNHH Sản xuất Thương mại Xuất Nhập khẩu Tạ Minh Quang – Nhà máy Mỹ phẩm Tạ Minh Quang</x:v>
      </x:c>
      <x:c r="O94" t="str">
        <x:v>Thu hồi số tiếp nhận (2025)</x:v>
      </x:c>
      <x:c r="P94" t="str">
        <x:v>Xác minh chính thức qua Quyết định Sở Y tế TP.HCM; nguồn đăng lại Sở Y tế Quảng Ninh</x:v>
      </x:c>
      <x:c r="Q94" t="str">
        <x:v>Số công bố và ngày cấp nằm trong danh sách 38 số bị thu hồi; lý do công ty tự đề nghị thu hồi.</x:v>
      </x:c>
      <x:c r="R94" t="str">
        <x:v>https://soytequangninh.gov.vn/trang-chu/huong-dan-nghiep-vu/linh-vuc-duoc/thong-bao-ve-viec-thu-hoi-so-tiep-nhan-phieu-cong-bo-san-pha3.html</x:v>
      </x:c>
      <x:c r="S94" t="str">
        <x:v>TP. Hồ Chí Minh</x:v>
      </x:c>
      <x:c r="T94" t="str">
        <x:v>79</x:v>
      </x:c>
    </x:row>
    <x:row r="95">
      <x:c r="A95" t="n">
        <x:v>94</x:v>
      </x:c>
      <x:c r="B95" s="330" t="n">
        <x:v>45069</x:v>
      </x:c>
      <x:c r="C95" s="330" t="n">
        <x:v>45709</x:v>
      </x:c>
      <x:c r="D95" t="n">
        <x:v>2023</x:v>
      </x:c>
      <x:c r="E95" t="n">
        <x:v>5</x:v>
      </x:c>
      <x:c r="F95" t="str">
        <x:v>002116/23/CBMP-HCM</x:v>
      </x:c>
      <x:c r="G95"/>
      <x:c r="H95" t="str">
        <x:v>ELISE mặt nạ táo dưỡng da</x:v>
      </x:c>
      <x:c r="I95" t="str">
        <x:v>ELISE</x:v>
      </x:c>
      <x:c r="J95" t="str">
        <x:v>Mặt nạ</x:v>
      </x:c>
      <x:c r="K95" t="str">
        <x:v>Mặt nạ dưỡng da</x:v>
      </x:c>
      <x:c r="L95" t="str">
        <x:v>Công ty TNHH Sản xuất Thương mại Xuất Nhập khẩu Tạ Minh Quang</x:v>
      </x:c>
      <x:c r="M95" t="str">
        <x:v>15 Đường 3C, Phường An Lạc A, Quận Bình Tân, TP.HCM</x:v>
      </x:c>
      <x:c r="N95" t="str">
        <x:v>Chi nhánh Công ty TNHH Sản xuất Thương mại Xuất Nhập khẩu Tạ Minh Quang – Nhà máy Mỹ phẩm Tạ Minh Quang</x:v>
      </x:c>
      <x:c r="O95" t="str">
        <x:v>Thu hồi số tiếp nhận (2025)</x:v>
      </x:c>
      <x:c r="P95" t="str">
        <x:v>Xác minh chính thức qua Quyết định Sở Y tế TP.HCM; nguồn đăng lại Sở Y tế Quảng Ninh</x:v>
      </x:c>
      <x:c r="Q95" t="str">
        <x:v>Số công bố và ngày cấp nằm trong danh sách 38 số bị thu hồi; lý do công ty tự đề nghị thu hồi.</x:v>
      </x:c>
      <x:c r="R95" t="str">
        <x:v>https://soytequangninh.gov.vn/trang-chu/huong-dan-nghiep-vu/linh-vuc-duoc/thong-bao-ve-viec-thu-hoi-so-tiep-nhan-phieu-cong-bo-san-pha3.html</x:v>
      </x:c>
      <x:c r="S95" t="str">
        <x:v>TP. Hồ Chí Minh</x:v>
      </x:c>
      <x:c r="T95" t="str">
        <x:v>79</x:v>
      </x:c>
    </x:row>
    <x:row r="96">
      <x:c r="A96" t="n">
        <x:v>95</x:v>
      </x:c>
      <x:c r="B96" s="330" t="n">
        <x:v>45127</x:v>
      </x:c>
      <x:c r="C96" s="330" t="n">
        <x:v>45709</x:v>
      </x:c>
      <x:c r="D96" t="n">
        <x:v>2023</x:v>
      </x:c>
      <x:c r="E96" t="n">
        <x:v>7</x:v>
      </x:c>
      <x:c r="F96" t="str">
        <x:v>003036/23/CBMP-HCM</x:v>
      </x:c>
      <x:c r="G96"/>
      <x:c r="H96" t="str">
        <x:v>GEISHA kem dưỡng trắng da chống nắng</x:v>
      </x:c>
      <x:c r="I96" t="str">
        <x:v>GEISHA</x:v>
      </x:c>
      <x:c r="J96" t="str">
        <x:v>Kem dưỡng da</x:v>
      </x:c>
      <x:c r="K96" t="str">
        <x:v>Kem dưỡng/chăm sóc da</x:v>
      </x:c>
      <x:c r="L96" t="str">
        <x:v>Công ty TNHH Sản xuất Thương mại Xuất Nhập khẩu Tạ Minh Quang</x:v>
      </x:c>
      <x:c r="M96" t="str">
        <x:v>15 Đường 3C, Phường An Lạc A, Quận Bình Tân, TP.HCM</x:v>
      </x:c>
      <x:c r="N96" t="str">
        <x:v>Chi nhánh Công ty TNHH Sản xuất Thương mại Xuất Nhập khẩu Tạ Minh Quang – Nhà máy Mỹ phẩm Tạ Minh Quang</x:v>
      </x:c>
      <x:c r="O96" t="str">
        <x:v>Thu hồi số tiếp nhận (2025)</x:v>
      </x:c>
      <x:c r="P96" t="str">
        <x:v>Xác minh chính thức qua Quyết định Sở Y tế TP.HCM; nguồn đăng lại Sở Y tế Quảng Ninh</x:v>
      </x:c>
      <x:c r="Q96" t="str">
        <x:v>Số công bố và ngày cấp nằm trong danh sách 38 số bị thu hồi; lý do công ty tự đề nghị thu hồi.</x:v>
      </x:c>
      <x:c r="R96" t="str">
        <x:v>https://soytequangninh.gov.vn/trang-chu/huong-dan-nghiep-vu/linh-vuc-duoc/thong-bao-ve-viec-thu-hoi-so-tiep-nhan-phieu-cong-bo-san-pha3.html</x:v>
      </x:c>
      <x:c r="S96" t="str">
        <x:v>TP. Hồ Chí Minh</x:v>
      </x:c>
      <x:c r="T96" t="str">
        <x:v>79</x:v>
      </x:c>
    </x:row>
    <x:row r="97">
      <x:c r="A97" t="n">
        <x:v>96</x:v>
      </x:c>
      <x:c r="B97" s="330" t="n">
        <x:v>45252</x:v>
      </x:c>
      <x:c r="C97" s="330" t="n">
        <x:v>45709</x:v>
      </x:c>
      <x:c r="D97" t="n">
        <x:v>2023</x:v>
      </x:c>
      <x:c r="E97" t="n">
        <x:v>11</x:v>
      </x:c>
      <x:c r="F97" t="str">
        <x:v>005386/23/CBMP-HCM</x:v>
      </x:c>
      <x:c r="G97"/>
      <x:c r="H97" t="str">
        <x:v>LAVI mặt nạ dưa leo dưỡng da</x:v>
      </x:c>
      <x:c r="I97" t="str">
        <x:v>LAVI</x:v>
      </x:c>
      <x:c r="J97" t="str">
        <x:v>Mặt nạ</x:v>
      </x:c>
      <x:c r="K97" t="str">
        <x:v>Mặt nạ dưỡng da</x:v>
      </x:c>
      <x:c r="L97" t="str">
        <x:v>Công ty TNHH Sản xuất Thương mại Xuất Nhập khẩu Tạ Minh Quang</x:v>
      </x:c>
      <x:c r="M97" t="str">
        <x:v>15 Đường 3C, Phường An Lạc A, Quận Bình Tân, TP.HCM</x:v>
      </x:c>
      <x:c r="N97" t="str">
        <x:v>Chi nhánh Công ty TNHH Sản xuất Thương mại Xuất Nhập khẩu Tạ Minh Quang – Nhà máy Mỹ phẩm Tạ Minh Quang</x:v>
      </x:c>
      <x:c r="O97" t="str">
        <x:v>Thu hồi số tiếp nhận (2025)</x:v>
      </x:c>
      <x:c r="P97" t="str">
        <x:v>Xác minh chính thức qua Quyết định Sở Y tế TP.HCM; nguồn đăng lại Sở Y tế Quảng Ninh</x:v>
      </x:c>
      <x:c r="Q97" t="str">
        <x:v>Số công bố và ngày cấp nằm trong danh sách 38 số bị thu hồi; lý do công ty tự đề nghị thu hồi.</x:v>
      </x:c>
      <x:c r="R97" t="str">
        <x:v>https://soytequangninh.gov.vn/trang-chu/huong-dan-nghiep-vu/linh-vuc-duoc/thong-bao-ve-viec-thu-hoi-so-tiep-nhan-phieu-cong-bo-san-pha3.html</x:v>
      </x:c>
      <x:c r="S97" t="str">
        <x:v>TP. Hồ Chí Minh</x:v>
      </x:c>
      <x:c r="T97" t="str">
        <x:v>79</x:v>
      </x:c>
    </x:row>
    <x:row r="98">
      <x:c r="A98" t="n">
        <x:v>97</x:v>
      </x:c>
      <x:c r="B98" s="330" t="n">
        <x:v>45152</x:v>
      </x:c>
      <x:c r="C98" s="330" t="n">
        <x:v>45709</x:v>
      </x:c>
      <x:c r="D98" t="n">
        <x:v>2023</x:v>
      </x:c>
      <x:c r="E98" t="n">
        <x:v>8</x:v>
      </x:c>
      <x:c r="F98" t="str">
        <x:v>003450/23/CBMP-HCM</x:v>
      </x:c>
      <x:c r="G98"/>
      <x:c r="H98" t="str">
        <x:v>JOEJOE makeup remover</x:v>
      </x:c>
      <x:c r="I98" t="str">
        <x:v>JOEJOE</x:v>
      </x:c>
      <x:c r="J98" t="str">
        <x:v>Tẩy trang</x:v>
      </x:c>
      <x:c r="K98" t="str">
        <x:v>Tẩy trang</x:v>
      </x:c>
      <x:c r="L98" t="str">
        <x:v>Công ty TNHH Sản xuất Thương mại Xuất Nhập khẩu Tạ Minh Quang</x:v>
      </x:c>
      <x:c r="M98" t="str">
        <x:v>15 Đường 3C, Phường An Lạc A, Quận Bình Tân, TP.HCM</x:v>
      </x:c>
      <x:c r="N98" t="str">
        <x:v>Chi nhánh Công ty TNHH Sản xuất Thương mại Xuất Nhập khẩu Tạ Minh Quang – Nhà máy Mỹ phẩm Tạ Minh Quang</x:v>
      </x:c>
      <x:c r="O98" t="str">
        <x:v>Thu hồi số tiếp nhận (2025)</x:v>
      </x:c>
      <x:c r="P98" t="str">
        <x:v>Xác minh chính thức qua Quyết định Sở Y tế TP.HCM; nguồn đăng lại Sở Y tế Quảng Ninh</x:v>
      </x:c>
      <x:c r="Q98" t="str">
        <x:v>Số công bố và ngày cấp nằm trong danh sách 38 số bị thu hồi; lý do công ty tự đề nghị thu hồi.</x:v>
      </x:c>
      <x:c r="R98" t="str">
        <x:v>https://soytequangninh.gov.vn/trang-chu/huong-dan-nghiep-vu/linh-vuc-duoc/thong-bao-ve-viec-thu-hoi-so-tiep-nhan-phieu-cong-bo-san-pha3.html</x:v>
      </x:c>
      <x:c r="S98" t="str">
        <x:v>TP. Hồ Chí Minh</x:v>
      </x:c>
      <x:c r="T98" t="str">
        <x:v>79</x:v>
      </x:c>
    </x:row>
    <x:row r="99">
      <x:c r="A99" t="n">
        <x:v>98</x:v>
      </x:c>
      <x:c r="B99" s="330" t="n">
        <x:v>45152</x:v>
      </x:c>
      <x:c r="C99" s="330" t="n">
        <x:v>45709</x:v>
      </x:c>
      <x:c r="D99" t="n">
        <x:v>2023</x:v>
      </x:c>
      <x:c r="E99" t="n">
        <x:v>8</x:v>
      </x:c>
      <x:c r="F99" t="str">
        <x:v>003451/23/CBMP-HCM</x:v>
      </x:c>
      <x:c r="G99"/>
      <x:c r="H99" t="str">
        <x:v>JOEJOE refreshing facial cleansing gel</x:v>
      </x:c>
      <x:c r="I99" t="str">
        <x:v>JOEJOE</x:v>
      </x:c>
      <x:c r="J99" t="str">
        <x:v>Sữa rửa mặt</x:v>
      </x:c>
      <x:c r="K99" t="str">
        <x:v>Làm sạch da mặt</x:v>
      </x:c>
      <x:c r="L99" t="str">
        <x:v>Công ty TNHH Sản xuất Thương mại Xuất Nhập khẩu Tạ Minh Quang</x:v>
      </x:c>
      <x:c r="M99" t="str">
        <x:v>15 Đường 3C, Phường An Lạc A, Quận Bình Tân, TP.HCM</x:v>
      </x:c>
      <x:c r="N99" t="str">
        <x:v>Chi nhánh Công ty TNHH Sản xuất Thương mại Xuất Nhập khẩu Tạ Minh Quang – Nhà máy Mỹ phẩm Tạ Minh Quang</x:v>
      </x:c>
      <x:c r="O99" t="str">
        <x:v>Thu hồi số tiếp nhận (2025)</x:v>
      </x:c>
      <x:c r="P99" t="str">
        <x:v>Xác minh chính thức qua Quyết định Sở Y tế TP.HCM; nguồn đăng lại Sở Y tế Quảng Ninh</x:v>
      </x:c>
      <x:c r="Q99" t="str">
        <x:v>Số công bố và ngày cấp nằm trong danh sách 38 số bị thu hồi; lý do công ty tự đề nghị thu hồi.</x:v>
      </x:c>
      <x:c r="R99" t="str">
        <x:v>https://soytequangninh.gov.vn/trang-chu/huong-dan-nghiep-vu/linh-vuc-duoc/thong-bao-ve-viec-thu-hoi-so-tiep-nhan-phieu-cong-bo-san-pha3.html</x:v>
      </x:c>
      <x:c r="S99" t="str">
        <x:v>TP. Hồ Chí Minh</x:v>
      </x:c>
      <x:c r="T99" t="str">
        <x:v>79</x:v>
      </x:c>
    </x:row>
    <x:row r="100">
      <x:c r="A100" t="n">
        <x:v>99</x:v>
      </x:c>
      <x:c r="B100" s="330" t="n">
        <x:v>45152</x:v>
      </x:c>
      <x:c r="C100" s="330" t="n">
        <x:v>45709</x:v>
      </x:c>
      <x:c r="D100" t="n">
        <x:v>2023</x:v>
      </x:c>
      <x:c r="E100" t="n">
        <x:v>8</x:v>
      </x:c>
      <x:c r="F100" t="str">
        <x:v>003452/23/CBMP-HCM</x:v>
      </x:c>
      <x:c r="G100"/>
      <x:c r="H100" t="str">
        <x:v>JOEJOE skin toner</x:v>
      </x:c>
      <x:c r="I100" t="str">
        <x:v>JOEJOE</x:v>
      </x:c>
      <x:c r="J100" t="str">
        <x:v>Khác</x:v>
      </x:c>
      <x:c r="K100" t="str">
        <x:v>Toner/Nước cân bằng</x:v>
      </x:c>
      <x:c r="L100" t="str">
        <x:v>Công ty TNHH Sản xuất Thương mại Xuất Nhập khẩu Tạ Minh Quang</x:v>
      </x:c>
      <x:c r="M100" t="str">
        <x:v>15 Đường 3C, Phường An Lạc A, Quận Bình Tân, TP.HCM</x:v>
      </x:c>
      <x:c r="N100" t="str">
        <x:v>Chi nhánh Công ty TNHH Sản xuất Thương mại Xuất Nhập khẩu Tạ Minh Quang – Nhà máy Mỹ phẩm Tạ Minh Quang</x:v>
      </x:c>
      <x:c r="O100" t="str">
        <x:v>Thu hồi số tiếp nhận (2025)</x:v>
      </x:c>
      <x:c r="P100" t="str">
        <x:v>Xác minh chính thức qua Quyết định Sở Y tế TP.HCM; nguồn đăng lại Sở Y tế Quảng Ninh</x:v>
      </x:c>
      <x:c r="Q100" t="str">
        <x:v>Số công bố và ngày cấp nằm trong danh sách 38 số bị thu hồi; lý do công ty tự đề nghị thu hồi.</x:v>
      </x:c>
      <x:c r="R100" t="str">
        <x:v>https://soytequangninh.gov.vn/trang-chu/huong-dan-nghiep-vu/linh-vuc-duoc/thong-bao-ve-viec-thu-hoi-so-tiep-nhan-phieu-cong-bo-san-pha3.html</x:v>
      </x:c>
      <x:c r="S100" t="str">
        <x:v>TP. Hồ Chí Minh</x:v>
      </x:c>
      <x:c r="T100" t="str">
        <x:v>79</x:v>
      </x:c>
    </x:row>
    <x:row r="101">
      <x:c r="A101" t="n">
        <x:v>100</x:v>
      </x:c>
      <x:c r="B101" s="330" t="n">
        <x:v>45152</x:v>
      </x:c>
      <x:c r="C101" s="330" t="n">
        <x:v>45709</x:v>
      </x:c>
      <x:c r="D101" t="n">
        <x:v>2023</x:v>
      </x:c>
      <x:c r="E101" t="n">
        <x:v>8</x:v>
      </x:c>
      <x:c r="F101" t="str">
        <x:v>003449/23/CBMP-HCM</x:v>
      </x:c>
      <x:c r="G101"/>
      <x:c r="H101" t="str">
        <x:v>JOEJOE moisturizing serum</x:v>
      </x:c>
      <x:c r="I101" t="str">
        <x:v>JOEJOE</x:v>
      </x:c>
      <x:c r="J101" t="str">
        <x:v>Serum/Essence da</x:v>
      </x:c>
      <x:c r="K101" t="str">
        <x:v>Serum dưỡng da</x:v>
      </x:c>
      <x:c r="L101" t="str">
        <x:v>Công ty TNHH Sản xuất Thương mại Xuất Nhập khẩu Tạ Minh Quang</x:v>
      </x:c>
      <x:c r="M101" t="str">
        <x:v>15 Đường 3C, Phường An Lạc A, Quận Bình Tân, TP.HCM</x:v>
      </x:c>
      <x:c r="N101" t="str">
        <x:v>Chi nhánh Công ty TNHH Sản xuất Thương mại Xuất Nhập khẩu Tạ Minh Quang – Nhà máy Mỹ phẩm Tạ Minh Quang</x:v>
      </x:c>
      <x:c r="O101" t="str">
        <x:v>Thu hồi số tiếp nhận (2025)</x:v>
      </x:c>
      <x:c r="P101" t="str">
        <x:v>Xác minh chính thức qua Quyết định Sở Y tế TP.HCM; nguồn đăng lại Sở Y tế Quảng Ninh</x:v>
      </x:c>
      <x:c r="Q101" t="str">
        <x:v>Số công bố và ngày cấp nằm trong danh sách 38 số bị thu hồi; lý do công ty tự đề nghị thu hồi.</x:v>
      </x:c>
      <x:c r="R101" t="str">
        <x:v>https://soytequangninh.gov.vn/trang-chu/huong-dan-nghiep-vu/linh-vuc-duoc/thong-bao-ve-viec-thu-hoi-so-tiep-nhan-phieu-cong-bo-san-pha3.html</x:v>
      </x:c>
      <x:c r="S101" t="str">
        <x:v>TP. Hồ Chí Minh</x:v>
      </x:c>
      <x:c r="T101" t="str">
        <x:v>79</x:v>
      </x:c>
    </x:row>
    <x:row r="102">
      <x:c r="A102" t="n">
        <x:v>101</x:v>
      </x:c>
      <x:c r="B102" s="330" t="n">
        <x:v>45152</x:v>
      </x:c>
      <x:c r="C102" s="330" t="n">
        <x:v>45709</x:v>
      </x:c>
      <x:c r="D102" t="n">
        <x:v>2023</x:v>
      </x:c>
      <x:c r="E102" t="n">
        <x:v>8</x:v>
      </x:c>
      <x:c r="F102" t="str">
        <x:v>003453/23/CBMP-HCM</x:v>
      </x:c>
      <x:c r="G102"/>
      <x:c r="H102" t="str">
        <x:v>JOEJOE radiant whitening cream</x:v>
      </x:c>
      <x:c r="I102" t="str">
        <x:v>JOEJOE</x:v>
      </x:c>
      <x:c r="J102" t="str">
        <x:v>Khác</x:v>
      </x:c>
      <x:c r="K102" t="str">
        <x:v>Chưa chuẩn hóa sâu</x:v>
      </x:c>
      <x:c r="L102" t="str">
        <x:v>Công ty TNHH Sản xuất Thương mại Xuất Nhập khẩu Tạ Minh Quang</x:v>
      </x:c>
      <x:c r="M102" t="str">
        <x:v>15 Đường 3C, Phường An Lạc A, Quận Bình Tân, TP.HCM</x:v>
      </x:c>
      <x:c r="N102" t="str">
        <x:v>Chi nhánh Công ty TNHH Sản xuất Thương mại Xuất Nhập khẩu Tạ Minh Quang – Nhà máy Mỹ phẩm Tạ Minh Quang</x:v>
      </x:c>
      <x:c r="O102" t="str">
        <x:v>Thu hồi số tiếp nhận (2025)</x:v>
      </x:c>
      <x:c r="P102" t="str">
        <x:v>Xác minh chính thức qua Quyết định Sở Y tế TP.HCM; nguồn đăng lại Sở Y tế Quảng Ninh</x:v>
      </x:c>
      <x:c r="Q102" t="str">
        <x:v>Số công bố và ngày cấp nằm trong danh sách 38 số bị thu hồi; lý do công ty tự đề nghị thu hồi.</x:v>
      </x:c>
      <x:c r="R102" t="str">
        <x:v>https://soytequangninh.gov.vn/trang-chu/huong-dan-nghiep-vu/linh-vuc-duoc/thong-bao-ve-viec-thu-hoi-so-tiep-nhan-phieu-cong-bo-san-pha3.html</x:v>
      </x:c>
      <x:c r="S102" t="str">
        <x:v>TP. Hồ Chí Minh</x:v>
      </x:c>
      <x:c r="T102" t="str">
        <x:v>79</x:v>
      </x:c>
    </x:row>
    <x:row r="103">
      <x:c r="A103" t="n">
        <x:v>102</x:v>
      </x:c>
      <x:c r="B103" s="330" t="n">
        <x:v>45152</x:v>
      </x:c>
      <x:c r="C103" s="330" t="n">
        <x:v>45709</x:v>
      </x:c>
      <x:c r="D103" t="n">
        <x:v>2023</x:v>
      </x:c>
      <x:c r="E103" t="n">
        <x:v>8</x:v>
      </x:c>
      <x:c r="F103" t="str">
        <x:v>003454/23/CBMP-HCM</x:v>
      </x:c>
      <x:c r="G103"/>
      <x:c r="H103" t="str">
        <x:v>JOEJOE refreshing shower gel</x:v>
      </x:c>
      <x:c r="I103" t="str">
        <x:v>JOEJOE</x:v>
      </x:c>
      <x:c r="J103" t="str">
        <x:v>Sữa tắm/Gel tắm</x:v>
      </x:c>
      <x:c r="K103" t="str">
        <x:v>Sữa tắm/Gel tắm</x:v>
      </x:c>
      <x:c r="L103" t="str">
        <x:v>Công ty TNHH Sản xuất Thương mại Xuất Nhập khẩu Tạ Minh Quang</x:v>
      </x:c>
      <x:c r="M103" t="str">
        <x:v>15 Đường 3C, Phường An Lạc A, Quận Bình Tân, TP.HCM</x:v>
      </x:c>
      <x:c r="N103" t="str">
        <x:v>Chi nhánh Công ty TNHH Sản xuất Thương mại Xuất Nhập khẩu Tạ Minh Quang – Nhà máy Mỹ phẩm Tạ Minh Quang</x:v>
      </x:c>
      <x:c r="O103" t="str">
        <x:v>Thu hồi số tiếp nhận (2025)</x:v>
      </x:c>
      <x:c r="P103" t="str">
        <x:v>Xác minh chính thức qua Quyết định Sở Y tế TP.HCM; nguồn đăng lại Sở Y tế Quảng Ninh</x:v>
      </x:c>
      <x:c r="Q103" t="str">
        <x:v>Số công bố và ngày cấp nằm trong danh sách 38 số bị thu hồi; lý do công ty tự đề nghị thu hồi.</x:v>
      </x:c>
      <x:c r="R103" t="str">
        <x:v>https://soytequangninh.gov.vn/trang-chu/huong-dan-nghiep-vu/linh-vuc-duoc/thong-bao-ve-viec-thu-hoi-so-tiep-nhan-phieu-cong-bo-san-pha3.html</x:v>
      </x:c>
      <x:c r="S103" t="str">
        <x:v>TP. Hồ Chí Minh</x:v>
      </x:c>
      <x:c r="T103" t="str">
        <x:v>79</x:v>
      </x:c>
    </x:row>
    <x:row r="104">
      <x:c r="A104" t="n">
        <x:v>103</x:v>
      </x:c>
      <x:c r="B104" s="330" t="n">
        <x:v>44859</x:v>
      </x:c>
      <x:c r="C104" s="330" t="n">
        <x:v>45709</x:v>
      </x:c>
      <x:c r="D104" t="n">
        <x:v>2022</x:v>
      </x:c>
      <x:c r="E104" t="n">
        <x:v>10</x:v>
      </x:c>
      <x:c r="F104" t="str">
        <x:v>004103/22/CBMP-HCM</x:v>
      </x:c>
      <x:c r="G104"/>
      <x:c r="H104" t="str">
        <x:v>FOR HER intimate wash - pH - balanced / Dung dịch vệ sinh phụ nữ</x:v>
      </x:c>
      <x:c r="I104" t="str">
        <x:v>FOR HER</x:v>
      </x:c>
      <x:c r="J104" t="str">
        <x:v>Dung dịch vệ sinh</x:v>
      </x:c>
      <x:c r="K104" t="str">
        <x:v>Vệ sinh phụ nữ</x:v>
      </x:c>
      <x:c r="L104" t="str">
        <x:v>Công ty TNHH Sản xuất Thương mại Xuất Nhập khẩu Tạ Minh Quang</x:v>
      </x:c>
      <x:c r="M104" t="str">
        <x:v>15 Đường 3C, Phường An Lạc A, Quận Bình Tân, TP.HCM</x:v>
      </x:c>
      <x:c r="N104" t="str">
        <x:v>Chi nhánh Công ty TNHH Sản xuất Thương mại Xuất Nhập khẩu Tạ Minh Quang – Nhà máy Mỹ phẩm Tạ Minh Quang</x:v>
      </x:c>
      <x:c r="O104" t="str">
        <x:v>Thu hồi số tiếp nhận (2025)</x:v>
      </x:c>
      <x:c r="P104" t="str">
        <x:v>Xác minh chính thức qua Quyết định Sở Y tế TP.HCM; nguồn đăng lại Sở Y tế Quảng Ninh</x:v>
      </x:c>
      <x:c r="Q104" t="str">
        <x:v>Số công bố và ngày cấp nằm trong danh sách 38 số bị thu hồi; lý do công ty tự đề nghị thu hồi.</x:v>
      </x:c>
      <x:c r="R104" t="str">
        <x:v>https://soytequangninh.gov.vn/trang-chu/huong-dan-nghiep-vu/linh-vuc-duoc/thong-bao-ve-viec-thu-hoi-so-tiep-nhan-phieu-cong-bo-san-pha3.html</x:v>
      </x:c>
      <x:c r="S104" t="str">
        <x:v>TP. Hồ Chí Minh</x:v>
      </x:c>
      <x:c r="T104" t="str">
        <x:v>79</x:v>
      </x:c>
    </x:row>
    <x:row r="105">
      <x:c r="A105" t="n">
        <x:v>104</x:v>
      </x:c>
      <x:c r="B105" s="330" t="n">
        <x:v>45321</x:v>
      </x:c>
      <x:c r="C105" s="330" t="n">
        <x:v>45709</x:v>
      </x:c>
      <x:c r="D105" t="n">
        <x:v>2024</x:v>
      </x:c>
      <x:c r="E105" t="n">
        <x:v>1</x:v>
      </x:c>
      <x:c r="F105" t="str">
        <x:v>000430/24/CBMP-HCM</x:v>
      </x:c>
      <x:c r="G105"/>
      <x:c r="H105" t="str">
        <x:v>Perfection Sunblock Cream</x:v>
      </x:c>
      <x:c r="I105" t="str">
        <x:v>Sắc Nguyệt Hương</x:v>
      </x:c>
      <x:c r="J105" t="str">
        <x:v>Kem chống nắng</x:v>
      </x:c>
      <x:c r="K105" t="str">
        <x:v>Chống nắng</x:v>
      </x:c>
      <x:c r="L105" t="str">
        <x:v>Công ty TNHH Thương mại Dịch vụ Mỹ phẩm Đức Anh</x:v>
      </x:c>
      <x:c r="M105" t="str">
        <x:v>335 Kênh Tân Hóa, phường Hòa Thạnh, quận Tân Phú, TP.HCM</x:v>
      </x:c>
      <x:c r="N105" t="str">
        <x:v>Công ty Cổ phần Dược Mỹ phẩm Hành Tinh Xanh</x:v>
      </x:c>
      <x:c r="O105" t="str">
        <x:v>Thu hồi số tiếp nhận (2025)</x:v>
      </x:c>
      <x:c r="P105" t="str">
        <x:v>Xác minh chính thức qua Quyết định Sở Y tế TP.HCM; nguồn đăng lại Sở Y tế Quảng Ninh</x:v>
      </x:c>
      <x:c r="Q105" t="str">
        <x:v>Công ty chịu trách nhiệm tự đề nghị thu hồi số tiếp nhận Phiếu công bố.</x:v>
      </x:c>
      <x:c r="R105" t="str">
        <x:v>https://soytequangninh.gov.vn/trang-chu/huong-dan-nghiep-vu/linh-vuc-duoc/quyet-dinh-thu-hoi-so-tiep-nhan-phieu-cong-bo-san-pham-my-ph.html</x:v>
      </x:c>
      <x:c r="S105" t="str">
        <x:v>TP. Hồ Chí Minh</x:v>
      </x:c>
      <x:c r="T105" t="str">
        <x:v>79</x:v>
      </x:c>
    </x:row>
    <x:row r="106">
      <x:c r="A106" t="n">
        <x:v>105</x:v>
      </x:c>
      <x:c r="B106" s="330" t="n">
        <x:v>45321</x:v>
      </x:c>
      <x:c r="C106" s="330" t="n">
        <x:v>45709</x:v>
      </x:c>
      <x:c r="D106" t="n">
        <x:v>2024</x:v>
      </x:c>
      <x:c r="E106" t="n">
        <x:v>1</x:v>
      </x:c>
      <x:c r="F106" t="str">
        <x:v>000432/24/CBMP-HCM</x:v>
      </x:c>
      <x:c r="G106"/>
      <x:c r="H106" t="str">
        <x:v>Kem trắng da - Giúp mờ nám - Chống nắng</x:v>
      </x:c>
      <x:c r="I106" t="str">
        <x:v>Sắc Nguyệt Hương</x:v>
      </x:c>
      <x:c r="J106" t="str">
        <x:v>Kem dưỡng da</x:v>
      </x:c>
      <x:c r="K106" t="str">
        <x:v>Kem dưỡng/chăm sóc da</x:v>
      </x:c>
      <x:c r="L106" t="str">
        <x:v>Công ty TNHH Thương mại Dịch vụ Mỹ phẩm Đức Anh</x:v>
      </x:c>
      <x:c r="M106" t="str">
        <x:v>335 Kênh Tân Hóa, phường Hòa Thạnh, quận Tân Phú, TP.HCM</x:v>
      </x:c>
      <x:c r="N106" t="str">
        <x:v>Công ty Cổ phần Dược Mỹ phẩm Hành Tinh Xanh</x:v>
      </x:c>
      <x:c r="O106" t="str">
        <x:v>Thu hồi số tiếp nhận (2025)</x:v>
      </x:c>
      <x:c r="P106" t="str">
        <x:v>Xác minh chính thức qua Quyết định Sở Y tế TP.HCM; nguồn đăng lại Sở Y tế Quảng Ninh</x:v>
      </x:c>
      <x:c r="Q106" t="str">
        <x:v>Công ty chịu trách nhiệm tự đề nghị thu hồi số tiếp nhận Phiếu công bố.</x:v>
      </x:c>
      <x:c r="R106" t="str">
        <x:v>https://soytequangninh.gov.vn/trang-chu/huong-dan-nghiep-vu/linh-vuc-duoc/quyet-dinh-thu-hoi-so-tiep-nhan-phieu-cong-bo-san-pham-my-ph.html</x:v>
      </x:c>
      <x:c r="S106" t="str">
        <x:v>TP. Hồ Chí Minh</x:v>
      </x:c>
      <x:c r="T106" t="str">
        <x:v>79</x:v>
      </x:c>
    </x:row>
    <x:row r="107">
      <x:c r="A107" t="n">
        <x:v>106</x:v>
      </x:c>
      <x:c r="B107" s="330" t="n">
        <x:v>45372</x:v>
      </x:c>
      <x:c r="C107" s="330" t="n">
        <x:v>45707</x:v>
      </x:c>
      <x:c r="D107" t="n">
        <x:v>2024</x:v>
      </x:c>
      <x:c r="E107" t="n">
        <x:v>3</x:v>
      </x:c>
      <x:c r="F107" t="str">
        <x:v>001198/24/CBMP-HCM</x:v>
      </x:c>
      <x:c r="G107"/>
      <x:c r="H107" t="str">
        <x:v>VITAMIN MILK CLEANSER</x:v>
      </x:c>
      <x:c r="I107" t="str">
        <x:v>Faceplus+ HOANGDUNG COSMETICS</x:v>
      </x:c>
      <x:c r="J107" t="str">
        <x:v>Sữa rửa mặt</x:v>
      </x:c>
      <x:c r="K107" t="str">
        <x:v>Làm sạch da mặt</x:v>
      </x:c>
      <x:c r="L107" t="str">
        <x:v>Công ty TNHH Thương mại Dịch vụ Mỹ phẩm Hoàng Dũng</x:v>
      </x:c>
      <x:c r="M107" t="str">
        <x:v>41 đường 3, khu nhà ở Vạn Phúc 1, phường Hiệp Bình Phước, thành phố Thủ Đức, TP.HCM</x:v>
      </x:c>
      <x:c r="N107" t="str">
        <x:v>Công ty Cổ phần Dược mỹ phẩm Hành Tinh Xanh</x:v>
      </x:c>
      <x:c r="O107" t="str">
        <x:v>Thu hồi số tiếp nhận (2025)</x:v>
      </x:c>
      <x:c r="P107" t="str">
        <x:v>Xác minh chính thức qua Quyết định Sở Y tế TP.HCM; nguồn đăng lại Sở Y tế Quảng Ninh</x:v>
      </x:c>
      <x:c r="Q107" t="str">
        <x:v>Công ty chịu trách nhiệm tự đề nghị thu hồi số tiếp nhận Phiếu công bố.</x:v>
      </x:c>
      <x:c r="R107" t="str">
        <x:v>https://soytequangninh.gov.vn/trang-chu/huong-dan-nghiep-vu/linh-vuc-duoc/ve-viec-thu-hoi-so-tiep-nhan-phieu-cong-bo-san-pham-my-pham6.html</x:v>
      </x:c>
      <x:c r="S107" t="str">
        <x:v>TP. Hồ Chí Minh</x:v>
      </x:c>
      <x:c r="T107" t="str">
        <x:v>79</x:v>
      </x:c>
    </x:row>
    <x:row r="108">
      <x:c r="A108" t="n">
        <x:v>107</x:v>
      </x:c>
      <x:c r="B108" s="330"/>
      <x:c r="C108" s="330" t="n">
        <x:v>45643</x:v>
      </x:c>
      <x:c r="D108" t="n">
        <x:v>2022</x:v>
      </x:c>
      <x:c r="E108"/>
      <x:c r="F108" t="str">
        <x:v>2370/22/CBMP-HCM</x:v>
      </x:c>
      <x:c r="G108"/>
      <x:c r="H108" t="str">
        <x:v>Su Skin Whitening Night Cream</x:v>
      </x:c>
      <x:c r="I108" t="str">
        <x:v>Yody Phương Anh</x:v>
      </x:c>
      <x:c r="J108" t="str">
        <x:v>Kem dưỡng da</x:v>
      </x:c>
      <x:c r="K108" t="str">
        <x:v>Kem dưỡng da ban đêm</x:v>
      </x:c>
      <x:c r="L108" t="str">
        <x:v>Công ty TNHH TM - DV - thẩm mỹ Yodywhite Phương Anh</x:v>
      </x:c>
      <x:c r="M108" t="str">
        <x:v>65 Gò Xoài, Khu phố 10, phường Bình Hưng Hòa A, quận Bình Tân, TP. Hồ Chí Minh</x:v>
      </x:c>
      <x:c r="N108" t="str">
        <x:v>Công ty TNHH sản xuất dược mỹ phẩm Nhật Hàn</x:v>
      </x:c>
      <x:c r="O108" t="str">
        <x:v>Đình chỉ/thu hồi lô; Cục QLD đề nghị thu hồi số tiếp nhận (2024)</x:v>
      </x:c>
      <x:c r="P108" t="str">
        <x:v>Xác minh từ nguồn công khai cơ quan kiểm nghiệm/Sở Y tế</x:v>
      </x:c>
      <x:c r="Q108" t="str">
        <x:v>Nguồn công khai ghi số CBMP, công ty chịu trách nhiệm và nhà sản xuất. Lô Su Skin bị thu hồi do vi phạm chất lượng; ngày cấp Phiếu chưa lấy từ nguồn chính thức nên để trống.</x:v>
      </x:c>
      <x:c r="R108" t="str">
        <x:v>https://www.kiemnghiemdanang.vn/index.php?Itemid=672&amp;id=96&amp;limitstart=15&amp;option=com_content&amp;view=category</x:v>
      </x:c>
      <x:c r="S108" t="str">
        <x:v>TP. Hồ Chí Minh</x:v>
      </x:c>
      <x:c r="T108" t="str">
        <x:v>79</x:v>
      </x:c>
    </x:row>
    <x:row r="109">
      <x:c r="A109" t="n">
        <x:v>108</x:v>
      </x:c>
      <x:c r="B109" s="330"/>
      <x:c r="C109" s="330" t="n">
        <x:v>45644</x:v>
      </x:c>
      <x:c r="D109" t="n">
        <x:v>2022</x:v>
      </x:c>
      <x:c r="E109"/>
      <x:c r="F109" t="str">
        <x:v>2371/22/CBMP-HCM</x:v>
      </x:c>
      <x:c r="G109"/>
      <x:c r="H109" t="str">
        <x:v>Serum giúp tái tạo da</x:v>
      </x:c>
      <x:c r="I109" t="str">
        <x:v>Yody Phương Anh</x:v>
      </x:c>
      <x:c r="J109" t="str">
        <x:v>Serum/Essence da</x:v>
      </x:c>
      <x:c r="K109" t="str">
        <x:v>Serum da</x:v>
      </x:c>
      <x:c r="L109" t="str">
        <x:v>Công ty TNHH TM - DV - thẩm mỹ Yodywhite Phương Anh</x:v>
      </x:c>
      <x:c r="M109" t="str">
        <x:v>65 Gò Xoài, Khu phố 10, phường Bình Hưng Hòa A, quận Bình Tân, TP. Hồ Chí Minh</x:v>
      </x:c>
      <x:c r="N109" t="str">
        <x:v>Công ty TNHH sản xuất dược mỹ phẩm Nhật Hàn</x:v>
      </x:c>
      <x:c r="O109" t="str">
        <x:v>Đình chỉ/thu hồi lô (2024); chưa xác nhận thu hồi số tiếp nhận</x:v>
      </x:c>
      <x:c r="P109" t="str">
        <x:v>Xác minh từ nguồn công khai cơ quan kiểm nghiệm/Sở Y tế</x:v>
      </x:c>
      <x:c r="Q109" t="str">
        <x:v>Lô bị thu hồi do không đạt chỉ tiêu lượng thiếu cho phép. Chưa thấy quyết định công khai thu hồi chính số tiếp nhận.</x:v>
      </x:c>
      <x:c r="R109" t="str">
        <x:v>https://www.kiemnghiemdanang.vn/index.php?Itemid=672&amp;id=96&amp;limitstart=15&amp;option=com_content&amp;view=category</x:v>
      </x:c>
      <x:c r="S109" t="str">
        <x:v>TP. Hồ Chí Minh</x:v>
      </x:c>
      <x:c r="T109" t="str">
        <x:v>79</x:v>
      </x:c>
    </x:row>
    <x:row r="110">
      <x:c r="A110" t="n">
        <x:v>109</x:v>
      </x:c>
      <x:c r="B110" s="330"/>
      <x:c r="C110" s="330" t="n">
        <x:v>45644</x:v>
      </x:c>
      <x:c r="D110" t="n">
        <x:v>2022</x:v>
      </x:c>
      <x:c r="E110"/>
      <x:c r="F110" t="str">
        <x:v>004015/22/CBMP-HCM</x:v>
      </x:c>
      <x:c r="G110"/>
      <x:c r="H110" t="str">
        <x:v>Whitening Body Cream</x:v>
      </x:c>
      <x:c r="I110" t="str">
        <x:v>Yody Phương Anh</x:v>
      </x:c>
      <x:c r="J110" t="str">
        <x:v>Kem body</x:v>
      </x:c>
      <x:c r="K110" t="str">
        <x:v>Kem dưỡng cơ thể</x:v>
      </x:c>
      <x:c r="L110" t="str">
        <x:v>Công ty TNHH TM - DV - thẩm mỹ Yodywhite Phương Anh</x:v>
      </x:c>
      <x:c r="M110" t="str">
        <x:v>65 Gò Xoài, Khu phố 10, phường Bình Hưng Hòa A, quận Bình Tân, TP. Hồ Chí Minh</x:v>
      </x:c>
      <x:c r="N110" t="str">
        <x:v>Công ty TNHH sản xuất dược mỹ phẩm Nhật Hàn</x:v>
      </x:c>
      <x:c r="O110" t="str">
        <x:v>Đình chỉ/thu hồi lô (2024); chưa xác nhận thu hồi số tiếp nhận</x:v>
      </x:c>
      <x:c r="P110" t="str">
        <x:v>Xác minh từ nguồn công khai cơ quan kiểm nghiệm/Sở Y tế</x:v>
      </x:c>
      <x:c r="Q110" t="str">
        <x:v>Nguồn nêu nhãn lưu hành ghi thêm claim 'trắng bật tone sau 7 ngày' khác thông tin kê khai trên Phiếu công bố; MASTER lưu tên cơ bản Whitening Body Cream.</x:v>
      </x:c>
      <x:c r="R110" t="str">
        <x:v>https://www.kiemnghiemdanang.vn/index.php?Itemid=672&amp;id=96&amp;limitstart=15&amp;option=com_content&amp;view=category</x:v>
      </x:c>
      <x:c r="S110" t="str">
        <x:v>TP. Hồ Chí Minh</x:v>
      </x:c>
      <x:c r="T110" t="str">
        <x:v>79</x:v>
      </x:c>
    </x:row>
    <x:row r="111">
      <x:c r="A111" t="n">
        <x:v>110</x:v>
      </x:c>
      <x:c r="B111" s="330"/>
      <x:c r="C111" s="330" t="n">
        <x:v>45861</x:v>
      </x:c>
      <x:c r="D111" t="n">
        <x:v>2023</x:v>
      </x:c>
      <x:c r="E111"/>
      <x:c r="F111" t="str">
        <x:v>004405/23/CBMP-HCM</x:v>
      </x:c>
      <x:c r="G111"/>
      <x:c r="H111" t="str">
        <x:v>Dầu mù u Thái Dương</x:v>
      </x:c>
      <x:c r="I111"/>
      <x:c r="J111" t="str">
        <x:v>Khác</x:v>
      </x:c>
      <x:c r="K111" t="str">
        <x:v>Dầu bôi/chăm sóc da</x:v>
      </x:c>
      <x:c r="L111" t="str">
        <x:v>Công ty TNHH dược phẩm Đại Hưng</x:v>
      </x:c>
      <x:c r="M111" t="str">
        <x:v>Phòng 14B03 tòa nhà Ruby Land, số 58/4 Lũy Bán Bích, phường Tân Thới Hòa, quận Tân Phú, TP. Hồ Chí Minh</x:v>
      </x:c>
      <x:c r="N111" t="str">
        <x:v>Chi nhánh Công ty TNHH sản xuất thương mại dịch vụ Contra - xưởng sản xuất</x:v>
      </x:c>
      <x:c r="O111" t="str">
        <x:v>Thu hồi/tiêu hủy 04 lô; cảnh báo không rõ nguồn gốc (2025)</x:v>
      </x:c>
      <x:c r="P111" t="str">
        <x:v>Xác minh từ Sở Y tế Hà Tĩnh dẫn Công văn 2034/QLD-MP của Cục QLD</x:v>
      </x:c>
      <x:c r="Q111" t="str">
        <x:v>Nguồn thu hồi ghi số CBMP, tổ chức chịu trách nhiệm và đơn vị sản xuất trên nhãn; sự kiện liên quan 04 lô bị xác định không rõ nguồn gốc/không đạt chỉ tiêu thể tích.</x:v>
      </x:c>
      <x:c r="R111" t="str">
        <x:v>https://soyte.hatinh.gov.vn/tin-tuc-su-kien/thong-tin-y-te/duoc-my-pham-trang-thiet-bi-y-te/so-y-te-thong-bao-thu-hoi-tieu-huy-san-pham-khong-ro-nguon-g.html</x:v>
      </x:c>
      <x:c r="S111" t="str">
        <x:v>TP. Hồ Chí Minh</x:v>
      </x:c>
      <x:c r="T111" t="str">
        <x:v>79</x:v>
      </x:c>
    </x:row>
    <x:row r="112">
      <x:c r="A112" t="n">
        <x:v>111</x:v>
      </x:c>
      <x:c r="B112" s="330"/>
      <x:c r="C112" s="330" t="n">
        <x:v>46175</x:v>
      </x:c>
      <x:c r="D112" t="n">
        <x:v>2025</x:v>
      </x:c>
      <x:c r="E112"/>
      <x:c r="F112" t="str">
        <x:v>002013/25/CBMP-HCM</x:v>
      </x:c>
      <x:c r="G112"/>
      <x:c r="H112" t="str">
        <x:v>Coop Select Dung dịch vệ sinh phụ nữ</x:v>
      </x:c>
      <x:c r="I112" t="str">
        <x:v>Coop Select</x:v>
      </x:c>
      <x:c r="J112" t="str">
        <x:v>Dung dịch vệ sinh</x:v>
      </x:c>
      <x:c r="K112" t="str">
        <x:v>Vệ sinh phụ nữ</x:v>
      </x:c>
      <x:c r="L112" t="str">
        <x:v>Công ty cổ phần đầu tư thương mại Trường Dương</x:v>
      </x:c>
      <x:c r="M112" t="str">
        <x:v>160 Trương Công Định, phường Tân Bình, TP. Hồ Chí Minh</x:v>
      </x:c>
      <x:c r="N112" t="str">
        <x:v>Chi nhánh Công ty cổ phần đầu tư thương mại Trường Dương</x:v>
      </x:c>
      <x:c r="O112" t="str">
        <x:v>Đình chỉ/thu hồi lô (2026); chưa xác nhận thu hồi số tiếp nhận</x:v>
      </x:c>
      <x:c r="P112" t="str">
        <x:v>Xác minh từ cổng thông tin chính quyền dẫn Công văn 2046/QLD-MP</x:v>
      </x:c>
      <x:c r="Q112" t="str">
        <x:v>Lô S2510087 bị đình chỉ/thu hồi do không đạt giới hạn vi sinh vật; chưa thấy quyết định thu hồi chính số tiếp nhận.</x:v>
      </x:c>
      <x:c r="R112" t="str">
        <x:v>https://binhnguyen.hungyen.gov.vn/thong-bao-dinh-chi-luu-hanh-va-thu-hoi-san-pham-my-pham-c2419.html</x:v>
      </x:c>
      <x:c r="S112" t="str">
        <x:v>TP. Hồ Chí Minh</x:v>
      </x:c>
      <x:c r="T112" t="str">
        <x:v>79</x:v>
      </x:c>
    </x:row>
    <x:row r="113">
      <x:c r="A113" t="n">
        <x:v>112</x:v>
      </x:c>
      <x:c r="B113" s="330"/>
      <x:c r="C113" s="330" t="n">
        <x:v>45617</x:v>
      </x:c>
      <x:c r="D113" t="n">
        <x:v>2022</x:v>
      </x:c>
      <x:c r="E113"/>
      <x:c r="F113" t="str">
        <x:v>001513/22/CBMP-HCM</x:v>
      </x:c>
      <x:c r="G113"/>
      <x:c r="H113" t="str">
        <x:v>Élite Cream 3 in 1 Care</x:v>
      </x:c>
      <x:c r="I113"/>
      <x:c r="J113" t="str">
        <x:v>Kem dưỡng da</x:v>
      </x:c>
      <x:c r="K113" t="str">
        <x:v>Kem dưỡng/chăm sóc da</x:v>
      </x:c>
      <x:c r="L113" t="str">
        <x:v>Công ty TNHH sản xuất và thương mại Nguyễn Quách</x:v>
      </x:c>
      <x:c r="M113" t="str">
        <x:v>25 đường 4C, Khu phố 4, phường An Lạc A, quận Bình Tân, TP. Hồ Chí Minh</x:v>
      </x:c>
      <x:c r="N113" t="str">
        <x:v>Chi nhánh Công ty TNHH sản xuất và thương mại Nguyễn Quách</x:v>
      </x:c>
      <x:c r="O113" t="str">
        <x:v>Đình chỉ/thu hồi lô (2024); chưa xác nhận thu hồi số tiếp nhận</x:v>
      </x:c>
      <x:c r="P113" t="str">
        <x:v>Xác minh từ nguồn công khai cơ quan kiểm nghiệm/Sở Y tế</x:v>
      </x:c>
      <x:c r="Q113" t="str">
        <x:v>Lô bị thu hồi do chứa Propylparaben và Acid salicylic không có trong thành phần công thức đã công bố.</x:v>
      </x:c>
      <x:c r="R113" t="str">
        <x:v>https://www.kiemnghiemdanang.vn/index.php?Itemid=672&amp;id=96&amp;limitstart=15&amp;option=com_content&amp;view=category</x:v>
      </x:c>
      <x:c r="S113" t="str">
        <x:v>TP. Hồ Chí Minh</x:v>
      </x:c>
      <x:c r="T113" t="str">
        <x:v>79</x:v>
      </x:c>
    </x:row>
    <x:row r="114">
      <x:c r="A114" t="n">
        <x:v>113</x:v>
      </x:c>
      <x:c r="B114" s="330"/>
      <x:c r="C114" s="330" t="n">
        <x:v>45617</x:v>
      </x:c>
      <x:c r="D114" t="n">
        <x:v>2022</x:v>
      </x:c>
      <x:c r="E114"/>
      <x:c r="F114" t="str">
        <x:v>2147/22/CBMP-HCM</x:v>
      </x:c>
      <x:c r="G114"/>
      <x:c r="H114" t="str">
        <x:v>Kem ngừa nám, tàn nhang, đồi mồi, trắng da Mylove</x:v>
      </x:c>
      <x:c r="I114"/>
      <x:c r="J114" t="str">
        <x:v>Kem dưỡng da</x:v>
      </x:c>
      <x:c r="K114" t="str">
        <x:v>Kem dưỡng/chăm sóc da</x:v>
      </x:c>
      <x:c r="L114" t="str">
        <x:v>Công ty cổ phần mỹ phẩm Long Phụng Khang</x:v>
      </x:c>
      <x:c r="M114" t="str">
        <x:v>274/14 Quốc lộ 1K, khu phố 1, phường Linh Xuân, thành phố Thủ Đức, TP. Hồ Chí Minh</x:v>
      </x:c>
      <x:c r="N114" t="str">
        <x:v>Công ty cổ phần mỹ phẩm Long Phụng Khang</x:v>
      </x:c>
      <x:c r="O114" t="str">
        <x:v>Đình chỉ/thu hồi lô (2024); chưa xác nhận thu hồi số tiếp nhận</x:v>
      </x:c>
      <x:c r="P114" t="str">
        <x:v>Xác minh từ nguồn công khai cơ quan kiểm nghiệm/Sở Y tế</x:v>
      </x:c>
      <x:c r="Q114" t="str">
        <x:v>Lô bị thu hồi do chứa Propylparaben và Acid salicylic không có trong thành phần công thức đã công bố.</x:v>
      </x:c>
      <x:c r="R114" t="str">
        <x:v>https://www.kiemnghiemdanang.vn/index.php?Itemid=672&amp;id=96&amp;limitstart=15&amp;option=com_content&amp;view=category</x:v>
      </x:c>
      <x:c r="S114" t="str">
        <x:v>TP. Hồ Chí Minh</x:v>
      </x:c>
      <x:c r="T114" t="str">
        <x:v>79</x:v>
      </x:c>
    </x:row>
    <x:row r="115">
      <x:c r="A115" t="n">
        <x:v>114</x:v>
      </x:c>
      <x:c r="B115" s="330"/>
      <x:c r="C115" s="330" t="n">
        <x:v>45617</x:v>
      </x:c>
      <x:c r="D115" t="n">
        <x:v>2023</x:v>
      </x:c>
      <x:c r="E115"/>
      <x:c r="F115" t="str">
        <x:v>002094/23/CBMP-HCM</x:v>
      </x:c>
      <x:c r="G115"/>
      <x:c r="H115" t="str">
        <x:v>Kem nám, trắng da Mủ trôm Tân Gia Khang</x:v>
      </x:c>
      <x:c r="I115"/>
      <x:c r="J115" t="str">
        <x:v>Kem dưỡng da</x:v>
      </x:c>
      <x:c r="K115" t="str">
        <x:v>Kem dưỡng/chăm sóc da</x:v>
      </x:c>
      <x:c r="L115" t="str">
        <x:v>Công ty TNHH sản xuất và thương mại mỹ phẩm Đăng Dương</x:v>
      </x:c>
      <x:c r="M115" t="str">
        <x:v>59 đường 1B, Khu phố 8, phường Bình Trị Đông B, quận Bình Tân, TP. Hồ Chí Minh</x:v>
      </x:c>
      <x:c r="N115" t="str">
        <x:v>Chi nhánh Công ty TNHH sản xuất và thương mại mỹ phẩm Đăng Dương</x:v>
      </x:c>
      <x:c r="O115" t="str">
        <x:v>Đình chỉ/thu hồi lô (2024); chưa xác nhận thu hồi số tiếp nhận</x:v>
      </x:c>
      <x:c r="P115" t="str">
        <x:v>Xác minh từ nguồn công khai cơ quan kiểm nghiệm/Sở Y tế</x:v>
      </x:c>
      <x:c r="Q115" t="str">
        <x:v>Nhà máy: Lô 9A đường số 8, KCN Tân Tạo mở rộng, phường Tân Tạo A, quận Bình Tân. Lô bị thu hồi do Propylparaben và Acid salicylic không có trong công thức đã công bố.</x:v>
      </x:c>
      <x:c r="R115" t="str">
        <x:v>https://www.kiemnghiemdanang.vn/index.php?Itemid=672&amp;id=96&amp;limitstart=15&amp;option=com_content&amp;view=category</x:v>
      </x:c>
      <x:c r="S115" t="str">
        <x:v>TP. Hồ Chí Minh</x:v>
      </x:c>
      <x:c r="T115" t="str">
        <x:v>79</x:v>
      </x:c>
    </x:row>
    <x:row r="116">
      <x:c r="A116" t="n">
        <x:v>115</x:v>
      </x:c>
      <x:c r="B116" s="330" t="n">
        <x:v>45013</x:v>
      </x:c>
      <x:c r="C116" s="330" t="n">
        <x:v>45936</x:v>
      </x:c>
      <x:c r="D116" t="n">
        <x:v>2023</x:v>
      </x:c>
      <x:c r="E116" t="n">
        <x:v>3</x:v>
      </x:c>
      <x:c r="F116" t="str">
        <x:v>001053/23/CBMP-HCM</x:v>
      </x:c>
      <x:c r="G116"/>
      <x:c r="H116" t="str">
        <x:v>Kem ngừa nám cao cấp</x:v>
      </x:c>
      <x:c r="I116"/>
      <x:c r="J116" t="str">
        <x:v>Kem dưỡng da</x:v>
      </x:c>
      <x:c r="K116" t="str">
        <x:v>Kem dưỡng/chăm sóc da</x:v>
      </x:c>
      <x:c r="L116" t="str">
        <x:v>Công ty TNHH sản xuất và thương mại mỹ phẩm Đăng Dương</x:v>
      </x:c>
      <x:c r="M116" t="str">
        <x:v>59 Đường số 1B, Khu phố 8, Phường Bình Trị Đông B, Quận Bình Tân, TP. Hồ Chí Minh</x:v>
      </x:c>
      <x:c r="N116" t="str">
        <x:v>Chi nhánh - Công ty TNHH sản xuất và thương mại mỹ phẩm Đăng Dương</x:v>
      </x:c>
      <x:c r="O116" t="str">
        <x:v>Đình chỉ/thu hồi toàn bộ sản phẩm (2025)</x:v>
      </x:c>
      <x:c r="P116" t="str">
        <x:v>Nguồn chính quyền địa phương dẫn Văn bản Sở Y tế; có số CBMP, ngày cấp, company, manufacturer</x:v>
      </x:c>
      <x:c r="Q116" t="str">
        <x:v>Có thành phần công thức không đúng với thành phần công thức hồ sơ đã công bố.</x:v>
      </x:c>
      <x:c r="R116" t="str">
        <x:v>https://songray.dongnai.gov.vn/vi/news/canh-bao/dinh-chi-luu-hanh-thu-hoi-tren-toan-quoc-doi-voi-05-san-pham-cua-cong-ty-tnhh-san-xuat-va-thuong-mai-my-pham-dang-duong-120.html</x:v>
      </x:c>
      <x:c r="S116" t="str">
        <x:v>TP. Hồ Chí Minh</x:v>
      </x:c>
      <x:c r="T116" t="str">
        <x:v>79</x:v>
      </x:c>
    </x:row>
    <x:row r="117">
      <x:c r="A117" t="n">
        <x:v>116</x:v>
      </x:c>
      <x:c r="B117" s="330" t="n">
        <x:v>45013</x:v>
      </x:c>
      <x:c r="C117" s="330" t="n">
        <x:v>45936</x:v>
      </x:c>
      <x:c r="D117" t="n">
        <x:v>2023</x:v>
      </x:c>
      <x:c r="E117" t="n">
        <x:v>3</x:v>
      </x:c>
      <x:c r="F117" t="str">
        <x:v>001048/23/CBMP-HCM</x:v>
      </x:c>
      <x:c r="G117"/>
      <x:c r="H117" t="str">
        <x:v>Kem dưỡng trắng giúp tái tạo da</x:v>
      </x:c>
      <x:c r="I117"/>
      <x:c r="J117" t="str">
        <x:v>Kem dưỡng da</x:v>
      </x:c>
      <x:c r="K117" t="str">
        <x:v>Kem dưỡng/chăm sóc da</x:v>
      </x:c>
      <x:c r="L117" t="str">
        <x:v>Công ty TNHH sản xuất và thương mại mỹ phẩm Đăng Dương</x:v>
      </x:c>
      <x:c r="M117" t="str">
        <x:v>59 Đường số 1B, Khu phố 8, Phường Bình Trị Đông B, Quận Bình Tân, TP. Hồ Chí Minh</x:v>
      </x:c>
      <x:c r="N117" t="str">
        <x:v>Chi nhánh - Công ty TNHH sản xuất và thương mại mỹ phẩm Đăng Dương</x:v>
      </x:c>
      <x:c r="O117" t="str">
        <x:v>Đình chỉ/thu hồi toàn bộ sản phẩm (2025)</x:v>
      </x:c>
      <x:c r="P117" t="str">
        <x:v>Nguồn chính quyền địa phương dẫn Văn bản Sở Y tế; có số CBMP, ngày cấp, company, manufacturer</x:v>
      </x:c>
      <x:c r="Q117" t="str">
        <x:v>Có thành phần công thức không đúng với thành phần công thức hồ sơ đã công bố.</x:v>
      </x:c>
      <x:c r="R117" t="str">
        <x:v>https://songray.dongnai.gov.vn/vi/news/canh-bao/dinh-chi-luu-hanh-thu-hoi-tren-toan-quoc-doi-voi-05-san-pham-cua-cong-ty-tnhh-san-xuat-va-thuong-mai-my-pham-dang-duong-120.html</x:v>
      </x:c>
      <x:c r="S117" t="str">
        <x:v>TP. Hồ Chí Minh</x:v>
      </x:c>
      <x:c r="T117" t="str">
        <x:v>79</x:v>
      </x:c>
    </x:row>
    <x:row r="118">
      <x:c r="A118" t="n">
        <x:v>117</x:v>
      </x:c>
      <x:c r="B118" s="330" t="n">
        <x:v>45013</x:v>
      </x:c>
      <x:c r="C118" s="330" t="n">
        <x:v>45936</x:v>
      </x:c>
      <x:c r="D118" t="n">
        <x:v>2023</x:v>
      </x:c>
      <x:c r="E118" t="n">
        <x:v>3</x:v>
      </x:c>
      <x:c r="F118" t="str">
        <x:v>001047/23/CBMP-HCM</x:v>
      </x:c>
      <x:c r="G118"/>
      <x:c r="H118" t="str">
        <x:v>Kem dưỡng trắng giúp phục hồi da</x:v>
      </x:c>
      <x:c r="I118"/>
      <x:c r="J118" t="str">
        <x:v>Kem dưỡng da</x:v>
      </x:c>
      <x:c r="K118" t="str">
        <x:v>Kem dưỡng/chăm sóc da</x:v>
      </x:c>
      <x:c r="L118" t="str">
        <x:v>Công ty TNHH sản xuất và thương mại mỹ phẩm Đăng Dương</x:v>
      </x:c>
      <x:c r="M118" t="str">
        <x:v>59 Đường số 1B, Khu phố 8, Phường Bình Trị Đông B, Quận Bình Tân, TP. Hồ Chí Minh</x:v>
      </x:c>
      <x:c r="N118" t="str">
        <x:v>Chi nhánh - Công ty TNHH sản xuất và thương mại mỹ phẩm Đăng Dương</x:v>
      </x:c>
      <x:c r="O118" t="str">
        <x:v>Đình chỉ/thu hồi toàn bộ sản phẩm (2025)</x:v>
      </x:c>
      <x:c r="P118" t="str">
        <x:v>Nguồn chính quyền địa phương dẫn Văn bản Sở Y tế; có số CBMP, ngày cấp, company, manufacturer</x:v>
      </x:c>
      <x:c r="Q118" t="str">
        <x:v>Có thành phần công thức không đúng với thành phần công thức hồ sơ đã công bố.</x:v>
      </x:c>
      <x:c r="R118" t="str">
        <x:v>https://songray.dongnai.gov.vn/vi/news/canh-bao/dinh-chi-luu-hanh-thu-hoi-tren-toan-quoc-doi-voi-05-san-pham-cua-cong-ty-tnhh-san-xuat-va-thuong-mai-my-pham-dang-duong-120.html</x:v>
      </x:c>
      <x:c r="S118" t="str">
        <x:v>TP. Hồ Chí Minh</x:v>
      </x:c>
      <x:c r="T118" t="str">
        <x:v>79</x:v>
      </x:c>
    </x:row>
    <x:row r="119">
      <x:c r="A119" t="n">
        <x:v>118</x:v>
      </x:c>
      <x:c r="B119" s="330" t="n">
        <x:v>45013</x:v>
      </x:c>
      <x:c r="C119" s="330" t="n">
        <x:v>45936</x:v>
      </x:c>
      <x:c r="D119" t="n">
        <x:v>2023</x:v>
      </x:c>
      <x:c r="E119" t="n">
        <x:v>3</x:v>
      </x:c>
      <x:c r="F119" t="str">
        <x:v>001011/23/CBMP-HCM</x:v>
      </x:c>
      <x:c r="G119"/>
      <x:c r="H119" t="str">
        <x:v>Kem dưỡng trắng giúp ngừa lão hóa da</x:v>
      </x:c>
      <x:c r="I119"/>
      <x:c r="J119" t="str">
        <x:v>Kem dưỡng da</x:v>
      </x:c>
      <x:c r="K119" t="str">
        <x:v>Kem dưỡng/chăm sóc da</x:v>
      </x:c>
      <x:c r="L119" t="str">
        <x:v>Công ty TNHH sản xuất và thương mại mỹ phẩm Đăng Dương</x:v>
      </x:c>
      <x:c r="M119" t="str">
        <x:v>59 Đường số 1B, Khu phố 8, Phường Bình Trị Đông B, Quận Bình Tân, TP. Hồ Chí Minh</x:v>
      </x:c>
      <x:c r="N119" t="str">
        <x:v>Chi nhánh - Công ty TNHH sản xuất và thương mại mỹ phẩm Đăng Dương</x:v>
      </x:c>
      <x:c r="O119" t="str">
        <x:v>Đình chỉ/thu hồi toàn bộ sản phẩm (2025)</x:v>
      </x:c>
      <x:c r="P119" t="str">
        <x:v>Nguồn chính quyền địa phương dẫn Văn bản Sở Y tế; có số CBMP, ngày cấp, company, manufacturer</x:v>
      </x:c>
      <x:c r="Q119" t="str">
        <x:v>Có thành phần công thức không đúng với thành phần công thức hồ sơ đã công bố.</x:v>
      </x:c>
      <x:c r="R119" t="str">
        <x:v>https://songray.dongnai.gov.vn/vi/news/canh-bao/dinh-chi-luu-hanh-thu-hoi-tren-toan-quoc-doi-voi-05-san-pham-cua-cong-ty-tnhh-san-xuat-va-thuong-mai-my-pham-dang-duong-120.html</x:v>
      </x:c>
      <x:c r="S119" t="str">
        <x:v>TP. Hồ Chí Minh</x:v>
      </x:c>
      <x:c r="T119" t="str">
        <x:v>79</x:v>
      </x:c>
    </x:row>
    <x:row r="120">
      <x:c r="A120" t="n">
        <x:v>119</x:v>
      </x:c>
      <x:c r="B120" s="330" t="n">
        <x:v>45042</x:v>
      </x:c>
      <x:c r="C120" s="330" t="n">
        <x:v>45936</x:v>
      </x:c>
      <x:c r="D120" t="n">
        <x:v>2023</x:v>
      </x:c>
      <x:c r="E120" t="n">
        <x:v>4</x:v>
      </x:c>
      <x:c r="F120" t="str">
        <x:v>001680/23/CBMP-HCM</x:v>
      </x:c>
      <x:c r="G120"/>
      <x:c r="H120" t="str">
        <x:v>Kem nám tàn nhang đồi mồi</x:v>
      </x:c>
      <x:c r="I120"/>
      <x:c r="J120" t="str">
        <x:v>Kem dưỡng da</x:v>
      </x:c>
      <x:c r="K120" t="str">
        <x:v>Kem dưỡng/chăm sóc da</x:v>
      </x:c>
      <x:c r="L120" t="str">
        <x:v>Công ty TNHH sản xuất và thương mại mỹ phẩm Đăng Dương</x:v>
      </x:c>
      <x:c r="M120" t="str">
        <x:v>59 Đường số 1B, Khu phố 8, Phường Bình Trị Đông B, Quận Bình Tân, TP. Hồ Chí Minh</x:v>
      </x:c>
      <x:c r="N120" t="str">
        <x:v>Chi nhánh - Công ty TNHH sản xuất và thương mại mỹ phẩm Đăng Dương</x:v>
      </x:c>
      <x:c r="O120" t="str">
        <x:v>Đình chỉ/thu hồi toàn bộ sản phẩm (2025)</x:v>
      </x:c>
      <x:c r="P120" t="str">
        <x:v>Nguồn chính quyền địa phương dẫn Văn bản Sở Y tế; có số CBMP, ngày cấp, company, manufacturer</x:v>
      </x:c>
      <x:c r="Q120" t="str">
        <x:v>Có thành phần công thức không đúng với thành phần công thức hồ sơ đã công bố.</x:v>
      </x:c>
      <x:c r="R120" t="str">
        <x:v>https://songray.dongnai.gov.vn/vi/news/canh-bao/dinh-chi-luu-hanh-thu-hoi-tren-toan-quoc-doi-voi-05-san-pham-cua-cong-ty-tnhh-san-xuat-va-thuong-mai-my-pham-dang-duong-120.html</x:v>
      </x:c>
      <x:c r="S120" t="str">
        <x:v>TP. Hồ Chí Minh</x:v>
      </x:c>
      <x:c r="T120" t="str">
        <x:v>79</x:v>
      </x:c>
    </x:row>
    <x:row r="121">
      <x:c r="A121" t="n">
        <x:v>120</x:v>
      </x:c>
      <x:c r="B121" s="330"/>
      <x:c r="C121" s="330" t="n">
        <x:v>46020</x:v>
      </x:c>
      <x:c r="D121" t="n">
        <x:v>2022</x:v>
      </x:c>
      <x:c r="E121"/>
      <x:c r="F121" t="str">
        <x:v>003402/22/CBMP-HCM</x:v>
      </x:c>
      <x:c r="G121"/>
      <x:c r="H121" t="str">
        <x:v>Kem trắng da, ngừa mụn, mờ vết thâm LYNSHAO</x:v>
      </x:c>
      <x:c r="I121" t="str">
        <x:v>LYNSHAO</x:v>
      </x:c>
      <x:c r="J121" t="str">
        <x:v>Kem dưỡng da</x:v>
      </x:c>
      <x:c r="K121" t="str">
        <x:v>Kem dưỡng/chăm sóc da</x:v>
      </x:c>
      <x:c r="L121" t="str">
        <x:v>Công ty cổ phần mỹ phẩm Long Phụng Khang</x:v>
      </x:c>
      <x:c r="M121" t="str">
        <x:v>274/14 Quốc lộ 1K, khu phố 1, phường Linh Xuân, TP. Hồ Chí Minh</x:v>
      </x:c>
      <x:c r="N121" t="str">
        <x:v>Công ty cổ phần mỹ phẩm Long Phụng Khang</x:v>
      </x:c>
      <x:c r="O121" t="str">
        <x:v>Đình chỉ/thu hồi lô (2025)</x:v>
      </x:c>
      <x:c r="P121" t="str">
        <x:v>Sở Y tế Hà Nội công khai số CBMP + company</x:v>
      </x:c>
      <x:c r="Q121" t="str">
        <x:v>Lô 02324QN bị thu hồi do mẫu chứa Dexamethason.</x:v>
      </x:c>
      <x:c r="R121" t="str">
        <x:v>https://soyte.hanoi.gov.vn/duoc-pham-65229/dinh-chi-luu-hanh-thu-hoi-tren-toan-quoc-lo-san-pham-kem-trang-da-ngua-mun-mo-vet-tham-lynshao-2849251228164739661.htm</x:v>
      </x:c>
      <x:c r="S121" t="str">
        <x:v>TP. Hồ Chí Minh</x:v>
      </x:c>
      <x:c r="T121" t="str">
        <x:v>79</x:v>
      </x:c>
    </x:row>
    <x:row r="122">
      <x:c r="A122" t="n">
        <x:v>121</x:v>
      </x:c>
      <x:c r="B122" s="330"/>
      <x:c r="C122" s="330" t="n">
        <x:v>45873</x:v>
      </x:c>
      <x:c r="D122" t="n">
        <x:v>2022</x:v>
      </x:c>
      <x:c r="E122"/>
      <x:c r="F122" t="str">
        <x:v>000330/22/CBMP-HCM</x:v>
      </x:c>
      <x:c r="G122"/>
      <x:c r="H122" t="str">
        <x:v>Y lang Dầu gội đầu Y lang chí</x:v>
      </x:c>
      <x:c r="I122" t="str">
        <x:v>Y lang</x:v>
      </x:c>
      <x:c r="J122" t="str">
        <x:v>Dầu gội</x:v>
      </x:c>
      <x:c r="K122" t="str">
        <x:v>Dầu gội</x:v>
      </x:c>
      <x:c r="L122" t="str">
        <x:v>Công ty cổ phần Nam Đô</x:v>
      </x:c>
      <x:c r="M122" t="str">
        <x:v>117 Lê Hồng Phong, Phường 2, Quận 5, TP. Hồ Chí Minh</x:v>
      </x:c>
      <x:c r="N122" t="str">
        <x:v>Công ty cổ phần Nam Đô</x:v>
      </x:c>
      <x:c r="O122" t="str">
        <x:v>Đình chỉ/thu hồi lô; sản phẩm không được phân loại là mỹ phẩm (2025)</x:v>
      </x:c>
      <x:c r="P122" t="str">
        <x:v>Nguồn chính quyền công khai số CBMP + company</x:v>
      </x:c>
      <x:c r="Q122" t="str">
        <x:v>Lô 011024:1; cơ quan quản lý kết luận sản phẩm không được phân loại là sản phẩm mỹ phẩm.</x:v>
      </x:c>
      <x:c r="R122" t="str">
        <x:v>https://thanhsen.hatinh.gov.vn/vi/bai-viet/uy-ban-nhan-dan-phuong-thanh-sen-thong-bao-ve-viec-dinh-chi-luu-hanh-thu-hoi-va-tieu-huy-san-pham-vi-pham</x:v>
      </x:c>
      <x:c r="S122" t="str">
        <x:v>TP. Hồ Chí Minh</x:v>
      </x:c>
      <x:c r="T122" t="str">
        <x:v>79</x:v>
      </x:c>
    </x:row>
    <x:row r="123">
      <x:c r="A123" t="n">
        <x:v>122</x:v>
      </x:c>
      <x:c r="B123" s="330"/>
      <x:c r="C123" s="330" t="n">
        <x:v>45377</x:v>
      </x:c>
      <x:c r="D123" t="n">
        <x:v>2022</x:v>
      </x:c>
      <x:c r="E123"/>
      <x:c r="F123" t="str">
        <x:v>001052/22/CBMP-HCM</x:v>
      </x:c>
      <x:c r="G123"/>
      <x:c r="H123" t="str">
        <x:v>Kem dưỡng trắng da Young One</x:v>
      </x:c>
      <x:c r="I123" t="str">
        <x:v>Young One</x:v>
      </x:c>
      <x:c r="J123" t="str">
        <x:v>Kem dưỡng da</x:v>
      </x:c>
      <x:c r="K123" t="str">
        <x:v>Kem dưỡng/chăm sóc da</x:v>
      </x:c>
      <x:c r="L123" t="str">
        <x:v>Công ty TNHH hóa mỹ phẩm Chi Chi</x:v>
      </x:c>
      <x:c r="M123" t="str">
        <x:v>240/13/18D Nguyễn Văn Luông, phường 11, quận 6, TP. Hồ Chí Minh</x:v>
      </x:c>
      <x:c r="N123" t="str">
        <x:v>Công ty TNHH hóa mỹ phẩm Chi Chi</x:v>
      </x:c>
      <x:c r="O123" t="str">
        <x:v>Đình chỉ/thu hồi lô (2024)</x:v>
      </x:c>
      <x:c r="P123" t="str">
        <x:v>Sở Y tế Hà Tĩnh công khai số CBMP + company + manufacturer</x:v>
      </x:c>
      <x:c r="Q123" t="str">
        <x:v>Lô TYO.0123 bị thu hồi do chứa Propylparaben không có trong thành phần công thức đã công bố.</x:v>
      </x:c>
      <x:c r="R123" t="str">
        <x:v>https://soyte.hatinh.gov.vn/tin-tuc-su-kien/thong-tin-y-te/duoc-my-pham-trang-thiet-bi-y-te/dinh-chi-luu-hanh-thu-hoi-va-tieu-huy-my-pham-kem-duong-tran.html</x:v>
      </x:c>
      <x:c r="S123" t="str">
        <x:v>TP. Hồ Chí Minh</x:v>
      </x:c>
      <x:c r="T123" t="str">
        <x:v>79</x:v>
      </x:c>
    </x:row>
    <x:row r="124">
      <x:c r="A124" t="n">
        <x:v>123</x:v>
      </x:c>
      <x:c r="B124" s="330"/>
      <x:c r="C124" s="330" t="n">
        <x:v>45503</x:v>
      </x:c>
      <x:c r="D124" t="n">
        <x:v>2023</x:v>
      </x:c>
      <x:c r="E124"/>
      <x:c r="F124" t="str">
        <x:v>003167/23/CBMP-HCM</x:v>
      </x:c>
      <x:c r="G124"/>
      <x:c r="H124" t="str">
        <x:v>Conditioner</x:v>
      </x:c>
      <x:c r="I124" t="str">
        <x:v>Intasilk</x:v>
      </x:c>
      <x:c r="J124" t="str">
        <x:v>Dầu xả</x:v>
      </x:c>
      <x:c r="K124" t="str">
        <x:v>Dầu xả</x:v>
      </x:c>
      <x:c r="L124" t="str">
        <x:v>Công ty TNHH Hùng Đông Tinh</x:v>
      </x:c>
      <x:c r="M124" t="str">
        <x:v>10/6 Nguyễn Ảnh Thủ, xã Bà Điểm, huyện Hóc Môn, TP. Hồ Chí Minh</x:v>
      </x:c>
      <x:c r="N124" t="str">
        <x:v>Công ty TNHH mỹ phẩm Dạ Thảo Lan – Chi nhánh 2</x:v>
      </x:c>
      <x:c r="O124" t="str">
        <x:v>Đình chỉ/thu hồi toàn bộ sản phẩm (2024)</x:v>
      </x:c>
      <x:c r="P124" t="str">
        <x:v>Cổng tỉnh công khai số CBMP + company + manufacturer</x:v>
      </x:c>
      <x:c r="Q124" t="str">
        <x:v>Sản phẩm có công thức không đúng như hồ sơ công bố sản phẩm mỹ phẩm.</x:v>
      </x:c>
      <x:c r="R124" t="str">
        <x:v>https://binhphuoc.gov.vn/vi/syt/tra-cuu-thong-tin-hanh-nghe/dinh-chi-luu-hanh-thu-hoi-va-tieu-huy-my-pham-san-pham-conditioner-3840.html</x:v>
      </x:c>
      <x:c r="S124" t="str">
        <x:v>TP. Hồ Chí Minh</x:v>
      </x:c>
      <x:c r="T124" t="str">
        <x:v>79</x:v>
      </x:c>
    </x:row>
    <x:row r="125">
      <x:c r="A125" t="n">
        <x:v>124</x:v>
      </x:c>
      <x:c r="B125" s="330"/>
      <x:c r="C125" s="330" t="n">
        <x:v>45907</x:v>
      </x:c>
      <x:c r="D125" t="n">
        <x:v>2022</x:v>
      </x:c>
      <x:c r="E125"/>
      <x:c r="F125" t="str">
        <x:v>2083/22/CBMP-HCM</x:v>
      </x:c>
      <x:c r="G125"/>
      <x:c r="H125" t="str">
        <x:v>Nước súc miệng Lesgo trẻ em</x:v>
      </x:c>
      <x:c r="I125"/>
      <x:c r="J125" t="str">
        <x:v>Chăm sóc răng miệng</x:v>
      </x:c>
      <x:c r="K125" t="str">
        <x:v>Nước súc miệng trẻ em</x:v>
      </x:c>
      <x:c r="L125" t="str">
        <x:v>Công ty cổ phần Ellie</x:v>
      </x:c>
      <x:c r="M125" t="str">
        <x:v>Lô C6-2, đường D2, khu công nghiệp Tân Phú Trung, xã Củ Chi, TP. Hồ Chí Minh</x:v>
      </x:c>
      <x:c r="N125" t="str">
        <x:v>Công ty cổ phần Ellie</x:v>
      </x:c>
      <x:c r="O125" t="str">
        <x:v>Đình chỉ/thu hồi lô (2025)</x:v>
      </x:c>
      <x:c r="P125" t="str">
        <x:v>Cổng chính quyền Đắk Lắk công khai số CBMP + company + manufacturer; source literal ghi 2083/22/CBMPHCM</x:v>
      </x:c>
      <x:c r="Q125" t="str">
        <x:v>Lô 0426230724 bị thu hồi do Methylparaben không có trong thành phần công thức công bố.</x:v>
      </x:c>
      <x:c r="R125" t="str">
        <x:v>https://thanhnhat.daklak.gov.vn/cuc-quan-ly-duoc-bo-y-te-thong-bao-dinh-chi-luu-hanh-thu-hoi-va-tieu-huy-my-pham-khong-dat-chat-luong-2420-2400-2399-2308-11212.html</x:v>
      </x:c>
      <x:c r="S125" t="str">
        <x:v>TP. Hồ Chí Minh</x:v>
      </x:c>
      <x:c r="T125" t="str">
        <x:v>79</x:v>
      </x:c>
    </x:row>
    <x:row r="126">
      <x:c r="A126" t="n">
        <x:v>125</x:v>
      </x:c>
      <x:c r="B126" s="330" t="n">
        <x:v>44923</x:v>
      </x:c>
      <x:c r="C126" s="330" t="n">
        <x:v>45925</x:v>
      </x:c>
      <x:c r="D126" t="n">
        <x:v>2022</x:v>
      </x:c>
      <x:c r="E126" t="n">
        <x:v>12</x:v>
      </x:c>
      <x:c r="F126" t="str">
        <x:v>005294/22/CBMP-HCM</x:v>
      </x:c>
      <x:c r="G126"/>
      <x:c r="H126" t="str">
        <x:v>Lucci</x:v>
      </x:c>
      <x:c r="I126"/>
      <x:c r="J126" t="str">
        <x:v>Khác</x:v>
      </x:c>
      <x:c r="K126" t="str">
        <x:v>Tên nguồn chỉ ghi 'Lucci'</x:v>
      </x:c>
      <x:c r="L126" t="str">
        <x:v>Công ty TNHH MTV sản xuất dược - mỹ phẩm GAMMA</x:v>
      </x:c>
      <x:c r="M126" t="str">
        <x:v>18 đường Nguyễn Hậu, phường Tân Thành, quận Tân Phú, TP. Hồ Chí Minh</x:v>
      </x:c>
      <x:c r="N126" t="str">
        <x:v>Chi nhánh - Công ty TNHH MTV sản xuất dược - mỹ phẩm GAMMA</x:v>
      </x:c>
      <x:c r="O126" t="str">
        <x:v>Đình chỉ/thu hồi toàn bộ sản phẩm (2025)</x:v>
      </x:c>
      <x:c r="P126" t="str">
        <x:v>Sở Y tế Hà Nội công khai số CBMP, ngày cấp, company/manufacturer</x:v>
      </x:c>
      <x:c r="Q126" t="str">
        <x:v>Công dụng trên sản phẩm lưu thông không đúng với công dụng trong hồ sơ đã công bố.</x:v>
      </x:c>
      <x:c r="R126" t="str">
        <x:v>https://soyte.hanoi.gov.vn/duoc-pham-65229/dinh-chi-luu-hanh-thu-hoi-doi-voi-9-san-pham-my-pham-vi-pham-2849250925092345442.htm</x:v>
      </x:c>
      <x:c r="S126" t="str">
        <x:v>TP. Hồ Chí Minh</x:v>
      </x:c>
      <x:c r="T126" t="str">
        <x:v>79</x:v>
      </x:c>
    </x:row>
    <x:row r="127">
      <x:c r="A127" t="n">
        <x:v>126</x:v>
      </x:c>
      <x:c r="B127" s="330"/>
      <x:c r="C127" s="330" t="n">
        <x:v>46174</x:v>
      </x:c>
      <x:c r="D127" t="n">
        <x:v>2024</x:v>
      </x:c>
      <x:c r="E127"/>
      <x:c r="F127" t="str">
        <x:v>695/24/CBMP-BD</x:v>
      </x:c>
      <x:c r="G127"/>
      <x:c r="H127" t="str">
        <x:v>NƯỚC RỬA TAY BẢO VỆ DA SẠCH TAY LÀM BẾP BOTANIKA</x:v>
      </x:c>
      <x:c r="I127" t="str">
        <x:v>BOTANIKA</x:v>
      </x:c>
      <x:c r="J127" t="str">
        <x:v>Khác</x:v>
      </x:c>
      <x:c r="K127" t="str">
        <x:v>Nước rửa tay</x:v>
      </x:c>
      <x:c r="L127" t="str">
        <x:v>CÔNG TY CỔ PHẦN MARICO SOUTH EAST ASIA</x:v>
      </x:c>
      <x:c r="M127" t="str">
        <x:v>Số 3, đường số 5, KCN Sóng Thần 1, phường Dĩ An, TP. Hồ Chí Minh (trước đây: TP. Dĩ An, tỉnh Bình Dương)</x:v>
      </x:c>
      <x:c r="N127" t="str">
        <x:v>CÔNG TY CỔ PHẦN MARICO SOUTH EAST ASIA</x:v>
      </x:c>
      <x:c r="O127" t="str">
        <x:v>Thu hồi số tiếp nhận (2026)</x:v>
      </x:c>
      <x:c r="P127" t="str">
        <x:v>Xác minh qua Báo Sức khỏe &amp; Đời sống dẫn văn bản Cục Quản lý Dược - Bộ Y tế</x:v>
      </x:c>
      <x:c r="Q127" t="str">
        <x:v>Cục QLD yêu cầu Sở Y tế TP.HCM thu hồi số tiếp nhận; công ty chịu trách nhiệm và sản xuất là Marico South East Asia. Ngày cấp phiếu chưa thấy trong nguồn nên để trống.</x:v>
      </x:c>
      <x:c r="R127" t="str">
        <x:v>https://suckhoedoisong.vn/bo-y-te-thu-hoi-va-yeu-cau-tieu-huy-lo-sua-tam-nuoc-hoa-xmen-for-boss-intense-16926060122105492.htm</x:v>
      </x:c>
      <x:c r="S127" t="str">
        <x:v>TP. Hồ Chí Minh</x:v>
      </x:c>
      <x:c r="T127" t="str">
        <x:v>79</x:v>
      </x:c>
    </x:row>
    <x:row r="128">
      <x:c r="A128" t="n">
        <x:v>127</x:v>
      </x:c>
      <x:c r="B128" s="330"/>
      <x:c r="C128" s="330" t="n">
        <x:v>46174</x:v>
      </x:c>
      <x:c r="D128" t="n">
        <x:v>2025</x:v>
      </x:c>
      <x:c r="E128"/>
      <x:c r="F128" t="str">
        <x:v>295/25/CBMP-BD</x:v>
      </x:c>
      <x:c r="G128"/>
      <x:c r="H128" t="str">
        <x:v>SỮA TẮM NƯỚC HOA XMEN FOR BOSS INTENSE</x:v>
      </x:c>
      <x:c r="I128" t="str">
        <x:v>X-MEN FOR BOSS</x:v>
      </x:c>
      <x:c r="J128" t="str">
        <x:v>Sữa tắm/Gel tắm</x:v>
      </x:c>
      <x:c r="K128" t="str">
        <x:v>Sữa tắm nước hoa nam</x:v>
      </x:c>
      <x:c r="L128" t="str">
        <x:v>CÔNG TY CỔ PHẦN MARICO SOUTH EAST ASIA</x:v>
      </x:c>
      <x:c r="M128" t="str">
        <x:v>Số 3, đường số 5, KCN Sóng Thần 1, phường Dĩ An, TP. Hồ Chí Minh (trước đây: TP. Dĩ An, tỉnh Bình Dương)</x:v>
      </x:c>
      <x:c r="N128" t="str">
        <x:v>CÔNG TY CỔ PHẦN MARICO SOUTH EAST ASIA</x:v>
      </x:c>
      <x:c r="O128" t="str">
        <x:v>Thu hồi số tiếp nhận (2026)</x:v>
      </x:c>
      <x:c r="P128" t="str">
        <x:v>Xác minh qua Báo Sức khỏe &amp; Đời sống dẫn văn bản Cục Quản lý Dược - Bộ Y tế</x:v>
      </x:c>
      <x:c r="Q128" t="str">
        <x:v>Cục QLD yêu cầu Sở Y tế TP.HCM thu hồi số tiếp nhận; công ty chịu trách nhiệm và sản xuất là Marico South East Asia. Ngày cấp phiếu chưa thấy trong nguồn nên để trống.</x:v>
      </x:c>
      <x:c r="R128" t="str">
        <x:v>https://suckhoedoisong.vn/bo-y-te-thu-hoi-va-yeu-cau-tieu-huy-lo-sua-tam-nuoc-hoa-xmen-for-boss-intense-16926060122105492.htm</x:v>
      </x:c>
      <x:c r="S128" t="str">
        <x:v>TP. Hồ Chí Minh</x:v>
      </x:c>
      <x:c r="T128" t="str">
        <x:v>79</x:v>
      </x:c>
    </x:row>
    <x:row r="129">
      <x:c r="A129" t="n">
        <x:v>128</x:v>
      </x:c>
      <x:c r="B129" s="330" t="n">
        <x:v>45168</x:v>
      </x:c>
      <x:c r="C129" s="330" t="n">
        <x:v>45399</x:v>
      </x:c>
      <x:c r="D129" t="n">
        <x:v>2023</x:v>
      </x:c>
      <x:c r="E129" t="n">
        <x:v>8</x:v>
      </x:c>
      <x:c r="F129" t="str">
        <x:v>3735/CBMP-HCM</x:v>
      </x:c>
      <x:c r="G129" t="str">
        <x:v>H29.19-230819-0073</x:v>
      </x:c>
      <x:c r="H129" t="str">
        <x:v>Olee - Dầu xả</x:v>
      </x:c>
      <x:c r="I129" t="str">
        <x:v>Olee</x:v>
      </x:c>
      <x:c r="J129" t="str">
        <x:v>Dầu xả</x:v>
      </x:c>
      <x:c r="K129" t="str">
        <x:v>Dầu xả tóc</x:v>
      </x:c>
      <x:c r="L129" t="str">
        <x:v>Công ty TNHH MTV Sản xuất Thương mại Mỹ phẩm Seven Nine</x:v>
      </x:c>
      <x:c r="M129"/>
      <x:c r="N129"/>
      <x:c r="O129" t="str">
        <x:v>Chưa đối chiếu</x:v>
      </x:c>
      <x:c r="P129" t="str">
        <x:v>Đã xác minh từ chỉ mục MEDINET</x:v>
      </x:c>
      <x:c r="Q129"/>
      <x:c r="R129" t="str">
        <x:v>https://qldichvuyte.medinet.gov.vn/my-pham/so-cong-bo-my-pham-cap-nhat-tu-01082023-den-17042024-cmobile4606-70522.aspx</x:v>
      </x:c>
      <x:c r="S129" t="str">
        <x:v>TP. Hồ Chí Minh</x:v>
      </x:c>
      <x:c r="T129" t="str">
        <x:v>79</x:v>
      </x:c>
    </x:row>
    <x:row r="130">
      <x:c r="A130" t="n">
        <x:v>129</x:v>
      </x:c>
      <x:c r="B130" s="330" t="n">
        <x:v>44707</x:v>
      </x:c>
      <x:c r="C130" s="330" t="n">
        <x:v>46080</x:v>
      </x:c>
      <x:c r="D130" t="n">
        <x:v>2022</x:v>
      </x:c>
      <x:c r="E130" t="n">
        <x:v>5</x:v>
      </x:c>
      <x:c r="F130" t="str">
        <x:v>170880/22/CBMP-QLD</x:v>
      </x:c>
      <x:c r="G130"/>
      <x:c r="H130" t="str">
        <x:v>Nitipon Nitipon Physical Sunscreen Spf50 Pa+++</x:v>
      </x:c>
      <x:c r="I130" t="str">
        <x:v>NITIPON</x:v>
      </x:c>
      <x:c r="J130" t="str">
        <x:v>Kem chống nắng</x:v>
      </x:c>
      <x:c r="K130"/>
      <x:c r="L130" t="str">
        <x:v>Công ty Cổ Phần Đại Lý Vận Tải Safi</x:v>
      </x:c>
      <x:c r="M130" t="str">
        <x:v>Số 209 Nguyễn Văn Thủ, phường Đa Kao, Quận 1, TP. Hồ Chí Minh. Mã số doanh nghiệp: 0301471330</x:v>
      </x:c>
      <x:c r="N130"/>
      <x:c r="O130" t="str">
        <x:v>Thu hồi số tiếp nhận; đình chỉ lưu hành và thu hồi (QĐ 126/QĐ-QLD)</x:v>
      </x:c>
      <x:c r="P130" t="str">
        <x:v>A++ – Cục Quản lý Dược; company responsibility explicit</x:v>
      </x:c>
      <x:c r="Q130" t="str">
        <x:v>QĐ126/2026, STT 5, trang 3.</x:v>
      </x:c>
      <x:c r="R130" t="str">
        <x:v>https://dav.gov.vn/quyet-dinh-so-126qd-qld-ve-viec-thu-hoi-so-tiep-nhan-phieu-cong-bo-san-pham-my-pham-dinh-chi-luu-hanh-va-thu-hoi-san-pham-my-pham-theo-kl-cua-hd-my-pham-asean-doi-voi-san-pham-my-pham-co-chua-chat-cyclotetrasiloxane-octamethylcyclotetrasiloxane-n5224.html</x:v>
      </x:c>
      <x:c r="S130" t="str">
        <x:v>TP. Hồ Chí Minh</x:v>
      </x:c>
      <x:c r="T130" t="str">
        <x:v>79</x:v>
      </x:c>
    </x:row>
    <x:row r="131">
      <x:c r="A131" t="n">
        <x:v>130</x:v>
      </x:c>
      <x:c r="B131" s="330" t="n">
        <x:v>44613</x:v>
      </x:c>
      <x:c r="C131" s="330" t="n">
        <x:v>46080</x:v>
      </x:c>
      <x:c r="D131" t="n">
        <x:v>2022</x:v>
      </x:c>
      <x:c r="E131" t="n">
        <x:v>2</x:v>
      </x:c>
      <x:c r="F131" t="str">
        <x:v>166127/22/CBMP-QLD</x:v>
      </x:c>
      <x:c r="G131"/>
      <x:c r="H131" t="str">
        <x:v>Bio Cell Collagen Uv Protect</x:v>
      </x:c>
      <x:c r="I131" t="str">
        <x:v>BIO CELL</x:v>
      </x:c>
      <x:c r="J131" t="str">
        <x:v>Khác</x:v>
      </x:c>
      <x:c r="K131"/>
      <x:c r="L131" t="str">
        <x:v>Công ty Cổ Phần Đào Tạo Và Truyền Thông Quốc Tế MGK</x:v>
      </x:c>
      <x:c r="M131" t="str">
        <x:v>Số 7 Đường Trần Quang Diệu, Phường 14, Quận 3, TP. Hồ Chí Minh, Việt Nam. Mã số doanh nghiệp: 0314832665</x:v>
      </x:c>
      <x:c r="N131"/>
      <x:c r="O131" t="str">
        <x:v>Thu hồi số tiếp nhận; đình chỉ lưu hành và thu hồi (QĐ 126/QĐ-QLD)</x:v>
      </x:c>
      <x:c r="P131" t="str">
        <x:v>A++ – Cục Quản lý Dược; company responsibility explicit</x:v>
      </x:c>
      <x:c r="Q131" t="str">
        <x:v>QĐ126/2026, STT 6, trang 3.</x:v>
      </x:c>
      <x:c r="R131" t="str">
        <x:v>https://dav.gov.vn/quyet-dinh-so-126qd-qld-ve-viec-thu-hoi-so-tiep-nhan-phieu-cong-bo-san-pham-my-pham-dinh-chi-luu-hanh-va-thu-hoi-san-pham-my-pham-theo-kl-cua-hd-my-pham-asean-doi-voi-san-pham-my-pham-co-chua-chat-cyclotetrasiloxane-octamethylcyclotetrasiloxane-n5224.html</x:v>
      </x:c>
      <x:c r="S131" t="str">
        <x:v>TP. Hồ Chí Minh</x:v>
      </x:c>
      <x:c r="T131" t="str">
        <x:v>79</x:v>
      </x:c>
    </x:row>
    <x:row r="132">
      <x:c r="A132" t="n">
        <x:v>131</x:v>
      </x:c>
      <x:c r="B132" s="330" t="n">
        <x:v>44781</x:v>
      </x:c>
      <x:c r="C132" s="330" t="n">
        <x:v>46080</x:v>
      </x:c>
      <x:c r="D132" t="n">
        <x:v>2022</x:v>
      </x:c>
      <x:c r="E132" t="n">
        <x:v>8</x:v>
      </x:c>
      <x:c r="F132" t="str">
        <x:v>176973/22/CBMP-QLD</x:v>
      </x:c>
      <x:c r="G132"/>
      <x:c r="H132" t="str">
        <x:v>Vin21 Melasma Extra Treatment Cream</x:v>
      </x:c>
      <x:c r="I132" t="str">
        <x:v>VIN21</x:v>
      </x:c>
      <x:c r="J132" t="str">
        <x:v>Kem dưỡng da</x:v>
      </x:c>
      <x:c r="K132"/>
      <x:c r="L132" t="str">
        <x:v>Công ty Cổ Phần Dược Phẩm Vạn Phước</x:v>
      </x:c>
      <x:c r="M132" t="str">
        <x:v>506/15/36 Ba Tháng Hai, Phường 14, Quận 10, TP. Hồ Chí Minh, Việt Nam. Mã số doanh nghiệp: 0310299968</x:v>
      </x:c>
      <x:c r="N132"/>
      <x:c r="O132" t="str">
        <x:v>Thu hồi số tiếp nhận; đình chỉ lưu hành và thu hồi (QĐ 126/QĐ-QLD)</x:v>
      </x:c>
      <x:c r="P132" t="str">
        <x:v>A++ – Cục Quản lý Dược; company responsibility explicit</x:v>
      </x:c>
      <x:c r="Q132" t="str">
        <x:v>QĐ126/2026, STT 9, trang 3.</x:v>
      </x:c>
      <x:c r="R132" t="str">
        <x:v>https://dav.gov.vn/quyet-dinh-so-126qd-qld-ve-viec-thu-hoi-so-tiep-nhan-phieu-cong-bo-san-pham-my-pham-dinh-chi-luu-hanh-va-thu-hoi-san-pham-my-pham-theo-kl-cua-hd-my-pham-asean-doi-voi-san-pham-my-pham-co-chua-chat-cyclotetrasiloxane-octamethylcyclotetrasiloxane-n5224.html</x:v>
      </x:c>
      <x:c r="S132" t="str">
        <x:v>TP. Hồ Chí Minh</x:v>
      </x:c>
      <x:c r="T132" t="str">
        <x:v>79</x:v>
      </x:c>
    </x:row>
    <x:row r="133">
      <x:c r="A133" t="n">
        <x:v>132</x:v>
      </x:c>
      <x:c r="B133" s="330" t="n">
        <x:v>44784</x:v>
      </x:c>
      <x:c r="C133" s="330" t="n">
        <x:v>46080</x:v>
      </x:c>
      <x:c r="D133" t="n">
        <x:v>2022</x:v>
      </x:c>
      <x:c r="E133" t="n">
        <x:v>8</x:v>
      </x:c>
      <x:c r="F133" t="str">
        <x:v>177560/22/CBMP-QLD</x:v>
      </x:c>
      <x:c r="G133"/>
      <x:c r="H133" t="str">
        <x:v>Kenzkunz Collagen &amp; Keratin Conditioner/Soin</x:v>
      </x:c>
      <x:c r="I133" t="str">
        <x:v>KENZKU NZ</x:v>
      </x:c>
      <x:c r="J133" t="str">
        <x:v>Dầu xả</x:v>
      </x:c>
      <x:c r="K133"/>
      <x:c r="L133" t="str">
        <x:v>Công ty Cổ Phần Liên Minh Mỹ Phẩm Việt Nam</x:v>
      </x:c>
      <x:c r="M133" t="str">
        <x:v>Số 174 đường Vườn Lài, phường Tân Thành, quận Tân Phú, TP. Hồ Chí Minh, Việt Nam. Mã số doanh nghiệp: 0317034583</x:v>
      </x:c>
      <x:c r="N133"/>
      <x:c r="O133" t="str">
        <x:v>Thu hồi số tiếp nhận; đình chỉ lưu hành và thu hồi (QĐ 126/QĐ-QLD)</x:v>
      </x:c>
      <x:c r="P133" t="str">
        <x:v>A++ – Cục Quản lý Dược; company responsibility explicit</x:v>
      </x:c>
      <x:c r="Q133" t="str">
        <x:v>QĐ126/2026, STT 19, trang 4.</x:v>
      </x:c>
      <x:c r="R133" t="str">
        <x:v>https://dav.gov.vn/quyet-dinh-so-126qd-qld-ve-viec-thu-hoi-so-tiep-nhan-phieu-cong-bo-san-pham-my-pham-dinh-chi-luu-hanh-va-thu-hoi-san-pham-my-pham-theo-kl-cua-hd-my-pham-asean-doi-voi-san-pham-my-pham-co-chua-chat-cyclotetrasiloxane-octamethylcyclotetrasiloxane-n5224.html</x:v>
      </x:c>
      <x:c r="S133" t="str">
        <x:v>TP. Hồ Chí Minh</x:v>
      </x:c>
      <x:c r="T133" t="str">
        <x:v>79</x:v>
      </x:c>
    </x:row>
    <x:row r="134">
      <x:c r="A134" t="n">
        <x:v>133</x:v>
      </x:c>
      <x:c r="B134" s="330" t="n">
        <x:v>44784</x:v>
      </x:c>
      <x:c r="C134" s="330" t="n">
        <x:v>46080</x:v>
      </x:c>
      <x:c r="D134" t="n">
        <x:v>2022</x:v>
      </x:c>
      <x:c r="E134" t="n">
        <x:v>8</x:v>
      </x:c>
      <x:c r="F134" t="str">
        <x:v>177561/22/CBMP-QLD</x:v>
      </x:c>
      <x:c r="G134"/>
      <x:c r="H134" t="str">
        <x:v>Kenzkunz Maca Essence Repair Collagen &amp; Keratin For Dry &amp; Damaged Hair</x:v>
      </x:c>
      <x:c r="I134" t="str">
        <x:v>KENZKU NZ</x:v>
      </x:c>
      <x:c r="J134" t="str">
        <x:v>Serum/Essence da</x:v>
      </x:c>
      <x:c r="K134"/>
      <x:c r="L134" t="str">
        <x:v>Công ty Cổ Phần Liên Minh Mỹ Phẩm Việt Nam</x:v>
      </x:c>
      <x:c r="M134" t="str">
        <x:v>Số 174 đường Vườn Lài, phường Tân Thành, quận Tân Phú, TP. Hồ Chí Minh, Việt Nam. Mã số doanh nghiệp: 0317034583</x:v>
      </x:c>
      <x:c r="N134"/>
      <x:c r="O134" t="str">
        <x:v>Thu hồi số tiếp nhận; đình chỉ lưu hành và thu hồi (QĐ 126/QĐ-QLD)</x:v>
      </x:c>
      <x:c r="P134" t="str">
        <x:v>A++ – Cục Quản lý Dược; company responsibility explicit</x:v>
      </x:c>
      <x:c r="Q134" t="str">
        <x:v>QĐ126/2026, STT 20, trang 4.</x:v>
      </x:c>
      <x:c r="R134" t="str">
        <x:v>https://dav.gov.vn/quyet-dinh-so-126qd-qld-ve-viec-thu-hoi-so-tiep-nhan-phieu-cong-bo-san-pham-my-pham-dinh-chi-luu-hanh-va-thu-hoi-san-pham-my-pham-theo-kl-cua-hd-my-pham-asean-doi-voi-san-pham-my-pham-co-chua-chat-cyclotetrasiloxane-octamethylcyclotetrasiloxane-n5224.html</x:v>
      </x:c>
      <x:c r="S134" t="str">
        <x:v>TP. Hồ Chí Minh</x:v>
      </x:c>
      <x:c r="T134" t="str">
        <x:v>79</x:v>
      </x:c>
    </x:row>
    <x:row r="135">
      <x:c r="A135" t="n">
        <x:v>134</x:v>
      </x:c>
      <x:c r="B135" s="330" t="n">
        <x:v>44784</x:v>
      </x:c>
      <x:c r="C135" s="330" t="n">
        <x:v>46080</x:v>
      </x:c>
      <x:c r="D135" t="n">
        <x:v>2022</x:v>
      </x:c>
      <x:c r="E135" t="n">
        <x:v>8</x:v>
      </x:c>
      <x:c r="F135" t="str">
        <x:v>177563/22/CBMP-QLD</x:v>
      </x:c>
      <x:c r="G135"/>
      <x:c r="H135" t="str">
        <x:v>Kallena Reflection Repair Treatment Hair Conditioner</x:v>
      </x:c>
      <x:c r="I135" t="str">
        <x:v>KALLEN A</x:v>
      </x:c>
      <x:c r="J135" t="str">
        <x:v>Dầu xả</x:v>
      </x:c>
      <x:c r="K135"/>
      <x:c r="L135" t="str">
        <x:v>Công ty Cổ Phần Liên Minh Mỹ Phẩm Việt Nam</x:v>
      </x:c>
      <x:c r="M135" t="str">
        <x:v>Số 174 đường Vườn Lài, phường Tân Thành, quận Tân Phú, TP. Hồ Chí Minh, Việt Nam. Mã số doanh nghiệp: 0317034583</x:v>
      </x:c>
      <x:c r="N135"/>
      <x:c r="O135" t="str">
        <x:v>Thu hồi số tiếp nhận; đình chỉ lưu hành và thu hồi (QĐ 126/QĐ-QLD)</x:v>
      </x:c>
      <x:c r="P135" t="str">
        <x:v>A++ – Cục Quản lý Dược; company responsibility explicit</x:v>
      </x:c>
      <x:c r="Q135" t="str">
        <x:v>QĐ126/2026, STT 21, trang 5.</x:v>
      </x:c>
      <x:c r="R135" t="str">
        <x:v>https://dav.gov.vn/quyet-dinh-so-126qd-qld-ve-viec-thu-hoi-so-tiep-nhan-phieu-cong-bo-san-pham-my-pham-dinh-chi-luu-hanh-va-thu-hoi-san-pham-my-pham-theo-kl-cua-hd-my-pham-asean-doi-voi-san-pham-my-pham-co-chua-chat-cyclotetrasiloxane-octamethylcyclotetrasiloxane-n5224.html</x:v>
      </x:c>
      <x:c r="S135" t="str">
        <x:v>TP. Hồ Chí Minh</x:v>
      </x:c>
      <x:c r="T135" t="str">
        <x:v>79</x:v>
      </x:c>
    </x:row>
    <x:row r="136">
      <x:c r="A136" t="n">
        <x:v>135</x:v>
      </x:c>
      <x:c r="B136" s="330" t="n">
        <x:v>45588</x:v>
      </x:c>
      <x:c r="C136" s="330" t="n">
        <x:v>46080</x:v>
      </x:c>
      <x:c r="D136" t="n">
        <x:v>2024</x:v>
      </x:c>
      <x:c r="E136" t="n">
        <x:v>10</x:v>
      </x:c>
      <x:c r="F136" t="str">
        <x:v>253547/24/CBMP-QLD</x:v>
      </x:c>
      <x:c r="G136"/>
      <x:c r="H136" t="str">
        <x:v>Beau Shop Whitening C.C New Cream</x:v>
      </x:c>
      <x:c r="I136" t="str">
        <x:v>Beau Shop</x:v>
      </x:c>
      <x:c r="J136" t="str">
        <x:v>Kem dưỡng da</x:v>
      </x:c>
      <x:c r="K136"/>
      <x:c r="L136" t="str">
        <x:v>Công ty Cổ Phần Mỹ Phẩm Hưng Vượng. Địa chỉ Số 83/20/13 Phạm Văn Bạch</x:v>
      </x:c>
      <x:c r="M136" t="str">
        <x:v>Phường 15, quận Tân Bình, TP. Hồ Chí Minh, Việt Nam. Mã số doanh nghiệp: 0312123208</x:v>
      </x:c>
      <x:c r="N136"/>
      <x:c r="O136" t="str">
        <x:v>Thu hồi số tiếp nhận; đình chỉ lưu hành và thu hồi (QĐ 126/QĐ-QLD)</x:v>
      </x:c>
      <x:c r="P136" t="str">
        <x:v>A++ – Cục Quản lý Dược; company responsibility explicit</x:v>
      </x:c>
      <x:c r="Q136" t="str">
        <x:v>QĐ126/2026, STT 23, trang 5.</x:v>
      </x:c>
      <x:c r="R136" t="str">
        <x:v>https://dav.gov.vn/quyet-dinh-so-126qd-qld-ve-viec-thu-hoi-so-tiep-nhan-phieu-cong-bo-san-pham-my-pham-dinh-chi-luu-hanh-va-thu-hoi-san-pham-my-pham-theo-kl-cua-hd-my-pham-asean-doi-voi-san-pham-my-pham-co-chua-chat-cyclotetrasiloxane-octamethylcyclotetrasiloxane-n5224.html</x:v>
      </x:c>
      <x:c r="S136" t="str">
        <x:v>TP. Hồ Chí Minh</x:v>
      </x:c>
      <x:c r="T136" t="str">
        <x:v>79</x:v>
      </x:c>
    </x:row>
    <x:row r="137">
      <x:c r="A137" t="n">
        <x:v>136</x:v>
      </x:c>
      <x:c r="B137" s="330" t="n">
        <x:v>45803</x:v>
      </x:c>
      <x:c r="C137" s="330" t="n">
        <x:v>46080</x:v>
      </x:c>
      <x:c r="D137" t="n">
        <x:v>2025</x:v>
      </x:c>
      <x:c r="E137" t="n">
        <x:v>5</x:v>
      </x:c>
      <x:c r="F137" t="str">
        <x:v>277086/25/CBMP-QLD</x:v>
      </x:c>
      <x:c r="G137"/>
      <x:c r="H137" t="str">
        <x:v>Milan Shine Hair Repair Lotion</x:v>
      </x:c>
      <x:c r="I137" t="str">
        <x:v>MILAN SHINE</x:v>
      </x:c>
      <x:c r="J137" t="str">
        <x:v>Kem dưỡng da</x:v>
      </x:c>
      <x:c r="K137"/>
      <x:c r="L137" t="str">
        <x:v>Công ty Cổ Phần Mỹ Phẩm Thiên Nhiên Tân Hương Phát</x:v>
      </x:c>
      <x:c r="M137" t="str">
        <x:v>A75/6E/15 Bạch Đằng, Phường 2, quận Tân Bình, TP. Hồ Chí Minh, Việt Nam. Mã số doanh nghiệp 0316656581</x:v>
      </x:c>
      <x:c r="N137"/>
      <x:c r="O137" t="str">
        <x:v>Thu hồi số tiếp nhận; đình chỉ lưu hành và thu hồi (QĐ 126/QĐ-QLD)</x:v>
      </x:c>
      <x:c r="P137" t="str">
        <x:v>A++ – Cục Quản lý Dược; company responsibility explicit</x:v>
      </x:c>
      <x:c r="Q137" t="str">
        <x:v>QĐ126/2026, STT 31, trang 5.</x:v>
      </x:c>
      <x:c r="R137" t="str">
        <x:v>https://dav.gov.vn/quyet-dinh-so-126qd-qld-ve-viec-thu-hoi-so-tiep-nhan-phieu-cong-bo-san-pham-my-pham-dinh-chi-luu-hanh-va-thu-hoi-san-pham-my-pham-theo-kl-cua-hd-my-pham-asean-doi-voi-san-pham-my-pham-co-chua-chat-cyclotetrasiloxane-octamethylcyclotetrasiloxane-n5224.html</x:v>
      </x:c>
      <x:c r="S137" t="str">
        <x:v>TP. Hồ Chí Minh</x:v>
      </x:c>
      <x:c r="T137" t="str">
        <x:v>79</x:v>
      </x:c>
    </x:row>
    <x:row r="138">
      <x:c r="A138" t="n">
        <x:v>137</x:v>
      </x:c>
      <x:c r="B138" s="330" t="n">
        <x:v>44998</x:v>
      </x:c>
      <x:c r="C138" s="330" t="n">
        <x:v>46080</x:v>
      </x:c>
      <x:c r="D138" t="n">
        <x:v>2023</x:v>
      </x:c>
      <x:c r="E138" t="n">
        <x:v>3</x:v>
      </x:c>
      <x:c r="F138" t="str">
        <x:v>197263/23/CBMP-QLD</x:v>
      </x:c>
      <x:c r="G138"/>
      <x:c r="H138" t="str">
        <x:v>Thann Oriental Essence Aromatherapy Conditioner</x:v>
      </x:c>
      <x:c r="I138" t="str">
        <x:v>THANN</x:v>
      </x:c>
      <x:c r="J138" t="str">
        <x:v>Dầu xả</x:v>
      </x:c>
      <x:c r="K138"/>
      <x:c r="L138" t="str">
        <x:v>Công ty Cổ Phần Thiên Nhiên (Natural Joint Stock Company)</x:v>
      </x:c>
      <x:c r="M138" t="str">
        <x:v>Số 67 (Gian hàng số L2-K1) Toà nhà Sai Gon Centre, Lê Lợi, phường Bến Nghé, Quận 1, TP. Hồ Chí Minh, Việt Nam. Mã số doanh nghiệp: 0304189149</x:v>
      </x:c>
      <x:c r="N138"/>
      <x:c r="O138" t="str">
        <x:v>Thu hồi số tiếp nhận; đình chỉ lưu hành và thu hồi (QĐ 126/QĐ-QLD)</x:v>
      </x:c>
      <x:c r="P138" t="str">
        <x:v>A++ – Cục Quản lý Dược; company responsibility explicit</x:v>
      </x:c>
      <x:c r="Q138" t="str">
        <x:v>QĐ126/2026, STT 38, trang 6.</x:v>
      </x:c>
      <x:c r="R138" t="str">
        <x:v>https://dav.gov.vn/quyet-dinh-so-126qd-qld-ve-viec-thu-hoi-so-tiep-nhan-phieu-cong-bo-san-pham-my-pham-dinh-chi-luu-hanh-va-thu-hoi-san-pham-my-pham-theo-kl-cua-hd-my-pham-asean-doi-voi-san-pham-my-pham-co-chua-chat-cyclotetrasiloxane-octamethylcyclotetrasiloxane-n5224.html</x:v>
      </x:c>
      <x:c r="S138" t="str">
        <x:v>TP. Hồ Chí Minh</x:v>
      </x:c>
      <x:c r="T138" t="str">
        <x:v>79</x:v>
      </x:c>
    </x:row>
    <x:row r="139">
      <x:c r="A139" t="n">
        <x:v>138</x:v>
      </x:c>
      <x:c r="B139" s="330" t="n">
        <x:v>44998</x:v>
      </x:c>
      <x:c r="C139" s="330" t="n">
        <x:v>46080</x:v>
      </x:c>
      <x:c r="D139" t="n">
        <x:v>2023</x:v>
      </x:c>
      <x:c r="E139" t="n">
        <x:v>3</x:v>
      </x:c>
      <x:c r="F139" t="str">
        <x:v>197276/23/CBMP-QLD</x:v>
      </x:c>
      <x:c r="G139"/>
      <x:c r="H139" t="str">
        <x:v>Thann Aromatic Wood Aromatherapy Conditioner</x:v>
      </x:c>
      <x:c r="I139" t="str">
        <x:v>THANN</x:v>
      </x:c>
      <x:c r="J139" t="str">
        <x:v>Dầu xả</x:v>
      </x:c>
      <x:c r="K139"/>
      <x:c r="L139" t="str">
        <x:v>Công ty Cổ Phần Thiên Nhiên (Natural Joint Stock Company)</x:v>
      </x:c>
      <x:c r="M139" t="str">
        <x:v>Số 67 (Gian hàng số L2-K1) Toà nhà Sai Gon Centre, Lê Lợi, phường Bến Nghé, Quận 1, TP. Hồ Chí Minh, Việt Nam. Mã số doanh nghiệp: 0304189149</x:v>
      </x:c>
      <x:c r="N139"/>
      <x:c r="O139" t="str">
        <x:v>Thu hồi số tiếp nhận; đình chỉ lưu hành và thu hồi (QĐ 126/QĐ-QLD)</x:v>
      </x:c>
      <x:c r="P139" t="str">
        <x:v>A++ – Cục Quản lý Dược; company responsibility explicit</x:v>
      </x:c>
      <x:c r="Q139" t="str">
        <x:v>QĐ126/2026, STT 39, trang 6.</x:v>
      </x:c>
      <x:c r="R139" t="str">
        <x:v>https://dav.gov.vn/quyet-dinh-so-126qd-qld-ve-viec-thu-hoi-so-tiep-nhan-phieu-cong-bo-san-pham-my-pham-dinh-chi-luu-hanh-va-thu-hoi-san-pham-my-pham-theo-kl-cua-hd-my-pham-asean-doi-voi-san-pham-my-pham-co-chua-chat-cyclotetrasiloxane-octamethylcyclotetrasiloxane-n5224.html</x:v>
      </x:c>
      <x:c r="S139" t="str">
        <x:v>TP. Hồ Chí Minh</x:v>
      </x:c>
      <x:c r="T139" t="str">
        <x:v>79</x:v>
      </x:c>
    </x:row>
    <x:row r="140">
      <x:c r="A140" t="n">
        <x:v>139</x:v>
      </x:c>
      <x:c r="B140" s="330" t="n">
        <x:v>45363</x:v>
      </x:c>
      <x:c r="C140" s="330" t="n">
        <x:v>46080</x:v>
      </x:c>
      <x:c r="D140" t="n">
        <x:v>2024</x:v>
      </x:c>
      <x:c r="E140" t="n">
        <x:v>3</x:v>
      </x:c>
      <x:c r="F140" t="str">
        <x:v>228428/24/CBMP-QLD</x:v>
      </x:c>
      <x:c r="G140"/>
      <x:c r="H140" t="str">
        <x:v>Thann Eden Breeze Aromatherapy Conditioner (Travel Size)</x:v>
      </x:c>
      <x:c r="I140" t="str">
        <x:v>THANN</x:v>
      </x:c>
      <x:c r="J140" t="str">
        <x:v>Dầu xả</x:v>
      </x:c>
      <x:c r="K140"/>
      <x:c r="L140" t="str">
        <x:v>Công ty Cổ Phần Thiên Nhiên (Natural Joint Stock Company)</x:v>
      </x:c>
      <x:c r="M140" t="str">
        <x:v>Số 67 (Gian hàng số L2-K1) Toà nhà Sai Gon Centre, Lê Lợi, phường Bến Nghé, Quận 1, TP. Hồ Chí Minh, Việt Nam. Mã số doanh nghiệp: 0304189149</x:v>
      </x:c>
      <x:c r="N140"/>
      <x:c r="O140" t="str">
        <x:v>Thu hồi số tiếp nhận; đình chỉ lưu hành và thu hồi (QĐ 126/QĐ-QLD)</x:v>
      </x:c>
      <x:c r="P140" t="str">
        <x:v>A++ – Cục Quản lý Dược; company responsibility explicit</x:v>
      </x:c>
      <x:c r="Q140" t="str">
        <x:v>QĐ126/2026, STT 40, trang 6.</x:v>
      </x:c>
      <x:c r="R140" t="str">
        <x:v>https://dav.gov.vn/quyet-dinh-so-126qd-qld-ve-viec-thu-hoi-so-tiep-nhan-phieu-cong-bo-san-pham-my-pham-dinh-chi-luu-hanh-va-thu-hoi-san-pham-my-pham-theo-kl-cua-hd-my-pham-asean-doi-voi-san-pham-my-pham-co-chua-chat-cyclotetrasiloxane-octamethylcyclotetrasiloxane-n5224.html</x:v>
      </x:c>
      <x:c r="S140" t="str">
        <x:v>TP. Hồ Chí Minh</x:v>
      </x:c>
      <x:c r="T140" t="str">
        <x:v>79</x:v>
      </x:c>
    </x:row>
    <x:row r="141">
      <x:c r="A141" t="n">
        <x:v>140</x:v>
      </x:c>
      <x:c r="B141" s="330" t="n">
        <x:v>44792</x:v>
      </x:c>
      <x:c r="C141" s="330" t="n">
        <x:v>46080</x:v>
      </x:c>
      <x:c r="D141" t="n">
        <x:v>2022</x:v>
      </x:c>
      <x:c r="E141" t="n">
        <x:v>8</x:v>
      </x:c>
      <x:c r="F141" t="str">
        <x:v>178804/22/CBMP-QLD</x:v>
      </x:c>
      <x:c r="G141"/>
      <x:c r="H141" t="str">
        <x:v>Peripera Ink Airy Velvet</x:v>
      </x:c>
      <x:c r="I141" t="str">
        <x:v>PERIPER A</x:v>
      </x:c>
      <x:c r="J141" t="str">
        <x:v>Khác</x:v>
      </x:c>
      <x:c r="K141"/>
      <x:c r="L141" t="str">
        <x:v>Công ty Cổ Phần Thương Mại Dịch Vụ Tổng Hợp Hoàn Vũ</x:v>
      </x:c>
      <x:c r="M141" t="str">
        <x:v>HD Tower 25Bis, Nguyễn Thị Minh Khai, phường Bến Nghé, Quận 1, TP. Hồ Chí Minh, Việt Nam. Mã số doanh nghiệp: 0309802418</x:v>
      </x:c>
      <x:c r="N141"/>
      <x:c r="O141" t="str">
        <x:v>Thu hồi số tiếp nhận; đình chỉ lưu hành và thu hồi (QĐ 126/QĐ-QLD)</x:v>
      </x:c>
      <x:c r="P141" t="str">
        <x:v>A++ – Cục Quản lý Dược; company responsibility explicit</x:v>
      </x:c>
      <x:c r="Q141" t="str">
        <x:v>QĐ126/2026, STT 41, trang 6.</x:v>
      </x:c>
      <x:c r="R141" t="str">
        <x:v>https://dav.gov.vn/quyet-dinh-so-126qd-qld-ve-viec-thu-hoi-so-tiep-nhan-phieu-cong-bo-san-pham-my-pham-dinh-chi-luu-hanh-va-thu-hoi-san-pham-my-pham-theo-kl-cua-hd-my-pham-asean-doi-voi-san-pham-my-pham-co-chua-chat-cyclotetrasiloxane-octamethylcyclotetrasiloxane-n5224.html</x:v>
      </x:c>
      <x:c r="S141" t="str">
        <x:v>TP. Hồ Chí Minh</x:v>
      </x:c>
      <x:c r="T141" t="str">
        <x:v>79</x:v>
      </x:c>
    </x:row>
    <x:row r="142">
      <x:c r="A142" t="n">
        <x:v>141</x:v>
      </x:c>
      <x:c r="B142" s="330" t="n">
        <x:v>44873</x:v>
      </x:c>
      <x:c r="C142" s="330" t="n">
        <x:v>46080</x:v>
      </x:c>
      <x:c r="D142" t="n">
        <x:v>2022</x:v>
      </x:c>
      <x:c r="E142" t="n">
        <x:v>11</x:v>
      </x:c>
      <x:c r="F142" t="str">
        <x:v>187901/22/CBMP-QLD</x:v>
      </x:c>
      <x:c r="G142"/>
      <x:c r="H142" t="str">
        <x:v>Merzy The First Velvet Tint V6. Firenze Negroni</x:v>
      </x:c>
      <x:c r="I142" t="str">
        <x:v>MERZY</x:v>
      </x:c>
      <x:c r="J142" t="str">
        <x:v>Khác</x:v>
      </x:c>
      <x:c r="K142"/>
      <x:c r="L142" t="str">
        <x:v>Công ty Cổ Phần Thương Mại Dịch Vụ UNICORN</x:v>
      </x:c>
      <x:c r="M142" t="str">
        <x:v>Tầng 10, tòa nhà Dreamplex, số 195 Điện Biên Phủ, Phường 15, quận Bình Thạnh, TP. Hồ Chí Minh, Việt Nam. Mã số doanh nghiệp: 0315627066</x:v>
      </x:c>
      <x:c r="N142"/>
      <x:c r="O142" t="str">
        <x:v>Thu hồi số tiếp nhận; đình chỉ lưu hành và thu hồi (QĐ 126/QĐ-QLD)</x:v>
      </x:c>
      <x:c r="P142" t="str">
        <x:v>A++ – Cục Quản lý Dược; company responsibility explicit</x:v>
      </x:c>
      <x:c r="Q142" t="str">
        <x:v>QĐ126/2026, STT 46, trang 6.</x:v>
      </x:c>
      <x:c r="R142" t="str">
        <x:v>https://dav.gov.vn/quyet-dinh-so-126qd-qld-ve-viec-thu-hoi-so-tiep-nhan-phieu-cong-bo-san-pham-my-pham-dinh-chi-luu-hanh-va-thu-hoi-san-pham-my-pham-theo-kl-cua-hd-my-pham-asean-doi-voi-san-pham-my-pham-co-chua-chat-cyclotetrasiloxane-octamethylcyclotetrasiloxane-n5224.html</x:v>
      </x:c>
      <x:c r="S142" t="str">
        <x:v>TP. Hồ Chí Minh</x:v>
      </x:c>
      <x:c r="T142" t="str">
        <x:v>79</x:v>
      </x:c>
    </x:row>
    <x:row r="143">
      <x:c r="A143" t="n">
        <x:v>142</x:v>
      </x:c>
      <x:c r="B143" s="330" t="n">
        <x:v>45051</x:v>
      </x:c>
      <x:c r="C143" s="330" t="n">
        <x:v>46080</x:v>
      </x:c>
      <x:c r="D143" t="n">
        <x:v>2023</x:v>
      </x:c>
      <x:c r="E143" t="n">
        <x:v>5</x:v>
      </x:c>
      <x:c r="F143" t="str">
        <x:v>200948/23/CBMP-QLD</x:v>
      </x:c>
      <x:c r="G143"/>
      <x:c r="H143" t="str">
        <x:v>Zeesea Dreamland Eyeshadow 11</x:v>
      </x:c>
      <x:c r="I143" t="str">
        <x:v>ZEESEA</x:v>
      </x:c>
      <x:c r="J143" t="str">
        <x:v>Khác</x:v>
      </x:c>
      <x:c r="K143"/>
      <x:c r="L143" t="str">
        <x:v>Công ty Cổ Phần Thương Mại Dịch Vụ UNICORN</x:v>
      </x:c>
      <x:c r="M143" t="str">
        <x:v>Tầng 10, tòa nhà Dreamplex, số 195 Điện Biên Phủ, Phường 15, quận Bình Thạnh, TP. Hồ Chí Minh, Việt Nam. Mã số doanh nghiệp: 0315627066</x:v>
      </x:c>
      <x:c r="N143"/>
      <x:c r="O143" t="str">
        <x:v>Thu hồi số tiếp nhận; đình chỉ lưu hành và thu hồi (QĐ 126/QĐ-QLD)</x:v>
      </x:c>
      <x:c r="P143" t="str">
        <x:v>A++ – Cục Quản lý Dược; company responsibility explicit</x:v>
      </x:c>
      <x:c r="Q143" t="str">
        <x:v>QĐ126/2026, STT 47, trang 7.</x:v>
      </x:c>
      <x:c r="R143" t="str">
        <x:v>https://dav.gov.vn/quyet-dinh-so-126qd-qld-ve-viec-thu-hoi-so-tiep-nhan-phieu-cong-bo-san-pham-my-pham-dinh-chi-luu-hanh-va-thu-hoi-san-pham-my-pham-theo-kl-cua-hd-my-pham-asean-doi-voi-san-pham-my-pham-co-chua-chat-cyclotetrasiloxane-octamethylcyclotetrasiloxane-n5224.html</x:v>
      </x:c>
      <x:c r="S143" t="str">
        <x:v>TP. Hồ Chí Minh</x:v>
      </x:c>
      <x:c r="T143" t="str">
        <x:v>79</x:v>
      </x:c>
    </x:row>
    <x:row r="144">
      <x:c r="A144" t="n">
        <x:v>143</x:v>
      </x:c>
      <x:c r="B144" s="330" t="n">
        <x:v>45051</x:v>
      </x:c>
      <x:c r="C144" s="330" t="n">
        <x:v>46080</x:v>
      </x:c>
      <x:c r="D144" t="n">
        <x:v>2023</x:v>
      </x:c>
      <x:c r="E144" t="n">
        <x:v>5</x:v>
      </x:c>
      <x:c r="F144" t="str">
        <x:v>200969/23/CBMP-QLD</x:v>
      </x:c>
      <x:c r="G144"/>
      <x:c r="H144" t="str">
        <x:v>Zeesea Dreamland Eyeshadow 12</x:v>
      </x:c>
      <x:c r="I144" t="str">
        <x:v>ZEESEA</x:v>
      </x:c>
      <x:c r="J144" t="str">
        <x:v>Khác</x:v>
      </x:c>
      <x:c r="K144"/>
      <x:c r="L144" t="str">
        <x:v>Công ty Cổ Phần Thương Mại Dịch Vụ UNICORN</x:v>
      </x:c>
      <x:c r="M144" t="str">
        <x:v>Tầng 10, tòa nhà Dreamplex, số 195 Điện Biên Phủ, Phường 15, quận Bình Thạnh, TP. Hồ Chí Minh, Việt Nam. Mã số doanh nghiệp: 0315627066</x:v>
      </x:c>
      <x:c r="N144"/>
      <x:c r="O144" t="str">
        <x:v>Thu hồi số tiếp nhận; đình chỉ lưu hành và thu hồi (QĐ 126/QĐ-QLD)</x:v>
      </x:c>
      <x:c r="P144" t="str">
        <x:v>A++ – Cục Quản lý Dược; company responsibility explicit</x:v>
      </x:c>
      <x:c r="Q144" t="str">
        <x:v>QĐ126/2026, STT 48, trang 7.</x:v>
      </x:c>
      <x:c r="R144" t="str">
        <x:v>https://dav.gov.vn/quyet-dinh-so-126qd-qld-ve-viec-thu-hoi-so-tiep-nhan-phieu-cong-bo-san-pham-my-pham-dinh-chi-luu-hanh-va-thu-hoi-san-pham-my-pham-theo-kl-cua-hd-my-pham-asean-doi-voi-san-pham-my-pham-co-chua-chat-cyclotetrasiloxane-octamethylcyclotetrasiloxane-n5224.html</x:v>
      </x:c>
      <x:c r="S144" t="str">
        <x:v>TP. Hồ Chí Minh</x:v>
      </x:c>
      <x:c r="T144" t="str">
        <x:v>79</x:v>
      </x:c>
    </x:row>
    <x:row r="145">
      <x:c r="A145" t="n">
        <x:v>144</x:v>
      </x:c>
      <x:c r="B145" s="330" t="n">
        <x:v>45216</x:v>
      </x:c>
      <x:c r="C145" s="330" t="n">
        <x:v>46080</x:v>
      </x:c>
      <x:c r="D145" t="n">
        <x:v>2023</x:v>
      </x:c>
      <x:c r="E145" t="n">
        <x:v>10</x:v>
      </x:c>
      <x:c r="F145" t="str">
        <x:v>214483/23/CBMP-QLD</x:v>
      </x:c>
      <x:c r="G145"/>
      <x:c r="H145" t="str">
        <x:v>Merzy The First Velvet Tint V6. Firenze Negroni</x:v>
      </x:c>
      <x:c r="I145" t="str">
        <x:v>MERZY</x:v>
      </x:c>
      <x:c r="J145" t="str">
        <x:v>Khác</x:v>
      </x:c>
      <x:c r="K145"/>
      <x:c r="L145" t="str">
        <x:v>Công ty Cổ Phần Thương Mại Dịch Vụ UNICORN</x:v>
      </x:c>
      <x:c r="M145" t="str">
        <x:v>Tầng 10, tòa nhà Dreamplex, số 195 Điện Biên Phủ, Phường 15, quận Bình Thạnh, TP. Hồ Chí Minh, Việt Nam. Mã số doanh nghiệp: 0315627066</x:v>
      </x:c>
      <x:c r="N145"/>
      <x:c r="O145" t="str">
        <x:v>Thu hồi số tiếp nhận; đình chỉ lưu hành và thu hồi (QĐ 126/QĐ-QLD)</x:v>
      </x:c>
      <x:c r="P145" t="str">
        <x:v>A++ – Cục Quản lý Dược; company responsibility explicit</x:v>
      </x:c>
      <x:c r="Q145" t="str">
        <x:v>QĐ126/2026, STT 49, trang 7.</x:v>
      </x:c>
      <x:c r="R145" t="str">
        <x:v>https://dav.gov.vn/quyet-dinh-so-126qd-qld-ve-viec-thu-hoi-so-tiep-nhan-phieu-cong-bo-san-pham-my-pham-dinh-chi-luu-hanh-va-thu-hoi-san-pham-my-pham-theo-kl-cua-hd-my-pham-asean-doi-voi-san-pham-my-pham-co-chua-chat-cyclotetrasiloxane-octamethylcyclotetrasiloxane-n5224.html</x:v>
      </x:c>
      <x:c r="S145" t="str">
        <x:v>TP. Hồ Chí Minh</x:v>
      </x:c>
      <x:c r="T145" t="str">
        <x:v>79</x:v>
      </x:c>
    </x:row>
    <x:row r="146">
      <x:c r="A146" t="n">
        <x:v>145</x:v>
      </x:c>
      <x:c r="B146" s="330" t="n">
        <x:v>45216</x:v>
      </x:c>
      <x:c r="C146" s="330" t="n">
        <x:v>46080</x:v>
      </x:c>
      <x:c r="D146" t="n">
        <x:v>2023</x:v>
      </x:c>
      <x:c r="E146" t="n">
        <x:v>10</x:v>
      </x:c>
      <x:c r="F146" t="str">
        <x:v>214486/23/CBMP-QLD</x:v>
      </x:c>
      <x:c r="G146"/>
      <x:c r="H146" t="str">
        <x:v>Merzy The First Velvet Tint V6. Firenze Negroni</x:v>
      </x:c>
      <x:c r="I146" t="str">
        <x:v>MERZY</x:v>
      </x:c>
      <x:c r="J146" t="str">
        <x:v>Khác</x:v>
      </x:c>
      <x:c r="K146"/>
      <x:c r="L146" t="str">
        <x:v>Công ty Cổ Phần Thương Mại Dịch Vụ UNICORN</x:v>
      </x:c>
      <x:c r="M146" t="str">
        <x:v>Tầng 10, tòa nhà Dreamplex, số 195 Điện Biên Phủ, Phường 15, quận Bình Thạnh, TP. Hồ Chí Minh, Việt Nam. Mã số doanh nghiệp: 0315627066</x:v>
      </x:c>
      <x:c r="N146"/>
      <x:c r="O146" t="str">
        <x:v>Thu hồi số tiếp nhận; đình chỉ lưu hành và thu hồi (QĐ 126/QĐ-QLD)</x:v>
      </x:c>
      <x:c r="P146" t="str">
        <x:v>A++ – Cục Quản lý Dược; company responsibility explicit</x:v>
      </x:c>
      <x:c r="Q146" t="str">
        <x:v>QĐ126/2026, STT 50, trang 7.</x:v>
      </x:c>
      <x:c r="R146" t="str">
        <x:v>https://dav.gov.vn/quyet-dinh-so-126qd-qld-ve-viec-thu-hoi-so-tiep-nhan-phieu-cong-bo-san-pham-my-pham-dinh-chi-luu-hanh-va-thu-hoi-san-pham-my-pham-theo-kl-cua-hd-my-pham-asean-doi-voi-san-pham-my-pham-co-chua-chat-cyclotetrasiloxane-octamethylcyclotetrasiloxane-n5224.html</x:v>
      </x:c>
      <x:c r="S146" t="str">
        <x:v>TP. Hồ Chí Minh</x:v>
      </x:c>
      <x:c r="T146" t="str">
        <x:v>79</x:v>
      </x:c>
    </x:row>
    <x:row r="147">
      <x:c r="A147" t="n">
        <x:v>146</x:v>
      </x:c>
      <x:c r="B147" s="330" t="n">
        <x:v>45496</x:v>
      </x:c>
      <x:c r="C147" s="330" t="n">
        <x:v>46080</x:v>
      </x:c>
      <x:c r="D147" t="n">
        <x:v>2024</x:v>
      </x:c>
      <x:c r="E147" t="n">
        <x:v>7</x:v>
      </x:c>
      <x:c r="F147" t="str">
        <x:v>244638/24/CBMP-QLD</x:v>
      </x:c>
      <x:c r="G147"/>
      <x:c r="H147" t="str">
        <x:v>Merzy The First Velvet Tint V6. Firenze Negroni</x:v>
      </x:c>
      <x:c r="I147" t="str">
        <x:v>MERZY</x:v>
      </x:c>
      <x:c r="J147" t="str">
        <x:v>Khác</x:v>
      </x:c>
      <x:c r="K147"/>
      <x:c r="L147" t="str">
        <x:v>Công ty Cổ Phần Thương Mại Dịch Vụ UNICORN</x:v>
      </x:c>
      <x:c r="M147" t="str">
        <x:v>Tầng 10, tòa nhà Dreamplex, số 195 Điện Biên Phủ, Phường 15, quận Bình Thạnh, TP. Hồ Chí Minh, Việt Nam. Mã số doanh nghiệp: 0315627066</x:v>
      </x:c>
      <x:c r="N147"/>
      <x:c r="O147" t="str">
        <x:v>Thu hồi số tiếp nhận; đình chỉ lưu hành và thu hồi (QĐ 126/QĐ-QLD)</x:v>
      </x:c>
      <x:c r="P147" t="str">
        <x:v>A++ – Cục Quản lý Dược; company responsibility explicit</x:v>
      </x:c>
      <x:c r="Q147" t="str">
        <x:v>QĐ126/2026, STT 51, trang 7.</x:v>
      </x:c>
      <x:c r="R147" t="str">
        <x:v>https://dav.gov.vn/quyet-dinh-so-126qd-qld-ve-viec-thu-hoi-so-tiep-nhan-phieu-cong-bo-san-pham-my-pham-dinh-chi-luu-hanh-va-thu-hoi-san-pham-my-pham-theo-kl-cua-hd-my-pham-asean-doi-voi-san-pham-my-pham-co-chua-chat-cyclotetrasiloxane-octamethylcyclotetrasiloxane-n5224.html</x:v>
      </x:c>
      <x:c r="S147" t="str">
        <x:v>TP. Hồ Chí Minh</x:v>
      </x:c>
      <x:c r="T147" t="str">
        <x:v>79</x:v>
      </x:c>
    </x:row>
    <x:row r="148">
      <x:c r="A148" t="n">
        <x:v>147</x:v>
      </x:c>
      <x:c r="B148" s="330" t="n">
        <x:v>45595</x:v>
      </x:c>
      <x:c r="C148" s="330" t="n">
        <x:v>46080</x:v>
      </x:c>
      <x:c r="D148" t="n">
        <x:v>2024</x:v>
      </x:c>
      <x:c r="E148" t="n">
        <x:v>10</x:v>
      </x:c>
      <x:c r="F148" t="str">
        <x:v>254077/24/CBMP-QLD</x:v>
      </x:c>
      <x:c r="G148"/>
      <x:c r="H148" t="str">
        <x:v>Merzy The First Velvet Tint V6. Firenze Negroni</x:v>
      </x:c>
      <x:c r="I148" t="str">
        <x:v>MERZY</x:v>
      </x:c>
      <x:c r="J148" t="str">
        <x:v>Khác</x:v>
      </x:c>
      <x:c r="K148"/>
      <x:c r="L148" t="str">
        <x:v>Công ty Cổ Phần Thương Mại Dịch Vụ UNICORN</x:v>
      </x:c>
      <x:c r="M148" t="str">
        <x:v>Tầng 10, tòa nhà Dreamplex, số 195 Điện Biên Phủ, Phường 15, quận Bình Thạnh, TP. Hồ Chí Minh, Việt Nam. Mã số doanh nghiệp: 0315627066</x:v>
      </x:c>
      <x:c r="N148"/>
      <x:c r="O148" t="str">
        <x:v>Thu hồi số tiếp nhận; đình chỉ lưu hành và thu hồi (QĐ 126/QĐ-QLD)</x:v>
      </x:c>
      <x:c r="P148" t="str">
        <x:v>A++ – Cục Quản lý Dược; company responsibility explicit</x:v>
      </x:c>
      <x:c r="Q148" t="str">
        <x:v>QĐ126/2026, STT 52, trang 7.</x:v>
      </x:c>
      <x:c r="R148" t="str">
        <x:v>https://dav.gov.vn/quyet-dinh-so-126qd-qld-ve-viec-thu-hoi-so-tiep-nhan-phieu-cong-bo-san-pham-my-pham-dinh-chi-luu-hanh-va-thu-hoi-san-pham-my-pham-theo-kl-cua-hd-my-pham-asean-doi-voi-san-pham-my-pham-co-chua-chat-cyclotetrasiloxane-octamethylcyclotetrasiloxane-n5224.html</x:v>
      </x:c>
      <x:c r="S148" t="str">
        <x:v>TP. Hồ Chí Minh</x:v>
      </x:c>
      <x:c r="T148" t="str">
        <x:v>79</x:v>
      </x:c>
    </x:row>
    <x:row r="149">
      <x:c r="A149" t="n">
        <x:v>148</x:v>
      </x:c>
      <x:c r="B149" s="330" t="n">
        <x:v>45497</x:v>
      </x:c>
      <x:c r="C149" s="330" t="n">
        <x:v>46080</x:v>
      </x:c>
      <x:c r="D149" t="n">
        <x:v>2024</x:v>
      </x:c>
      <x:c r="E149" t="n">
        <x:v>7</x:v>
      </x:c>
      <x:c r="F149" t="str">
        <x:v>244976/24/CBMP-QLD</x:v>
      </x:c>
      <x:c r="G149"/>
      <x:c r="H149" t="str">
        <x:v>Dok Bua Ku Golden Silk Collagen Lotion</x:v>
      </x:c>
      <x:c r="I149" t="str">
        <x:v>DOK BUA KU</x:v>
      </x:c>
      <x:c r="J149" t="str">
        <x:v>Kem dưỡng da</x:v>
      </x:c>
      <x:c r="K149"/>
      <x:c r="L149" t="str">
        <x:v>Công ty Cổ Phần Xuất Nhập Khẩu Quốc Tế Phạm Nguyên</x:v>
      </x:c>
      <x:c r="M149" t="str">
        <x:v>Số 3-5 Thành Công, phường Tân Thành, quận Tân Phú, TP. Hồ Chí Minh, Việt Nam. Mã số doanh nghiệp: 0315009574</x:v>
      </x:c>
      <x:c r="N149"/>
      <x:c r="O149" t="str">
        <x:v>Thu hồi số tiếp nhận; đình chỉ lưu hành và thu hồi (QĐ 126/QĐ-QLD)</x:v>
      </x:c>
      <x:c r="P149" t="str">
        <x:v>A++ – Cục Quản lý Dược; company responsibility explicit</x:v>
      </x:c>
      <x:c r="Q149" t="str">
        <x:v>QĐ126/2026, STT 61, trang 8.</x:v>
      </x:c>
      <x:c r="R149" t="str">
        <x:v>https://dav.gov.vn/quyet-dinh-so-126qd-qld-ve-viec-thu-hoi-so-tiep-nhan-phieu-cong-bo-san-pham-my-pham-dinh-chi-luu-hanh-va-thu-hoi-san-pham-my-pham-theo-kl-cua-hd-my-pham-asean-doi-voi-san-pham-my-pham-co-chua-chat-cyclotetrasiloxane-octamethylcyclotetrasiloxane-n5224.html</x:v>
      </x:c>
      <x:c r="S149" t="str">
        <x:v>TP. Hồ Chí Minh</x:v>
      </x:c>
      <x:c r="T149" t="str">
        <x:v>79</x:v>
      </x:c>
    </x:row>
    <x:row r="150">
      <x:c r="A150" t="n">
        <x:v>149</x:v>
      </x:c>
      <x:c r="B150" s="330" t="n">
        <x:v>45099</x:v>
      </x:c>
      <x:c r="C150" s="330" t="n">
        <x:v>46080</x:v>
      </x:c>
      <x:c r="D150" t="n">
        <x:v>2023</x:v>
      </x:c>
      <x:c r="E150" t="n">
        <x:v>6</x:v>
      </x:c>
      <x:c r="F150" t="str">
        <x:v>204298/23/CBMP-QLD</x:v>
      </x:c>
      <x:c r="G150"/>
      <x:c r="H150" t="str">
        <x:v>Dr.Pong 101 Acne Clear Concealer</x:v>
      </x:c>
      <x:c r="I150" t="str">
        <x:v>DR.PONG</x:v>
      </x:c>
      <x:c r="J150" t="str">
        <x:v>Khác</x:v>
      </x:c>
      <x:c r="K150"/>
      <x:c r="L150" t="str">
        <x:v>CÔNG TY CP THƯƠNG MẠI LIT</x:v>
      </x:c>
      <x:c r="M150" t="str">
        <x:v>Tầng 12B, tòa nhà Cienco4, 180 Nguyễn Thị Minh Khai, Phường Võ Thị Sáu, Quận 3, TP. Hồ Chí Minh, Việt Nam. Mã số doanh nghiệp: 0317591792</x:v>
      </x:c>
      <x:c r="N150"/>
      <x:c r="O150" t="str">
        <x:v>Thu hồi số tiếp nhận; đình chỉ lưu hành và thu hồi (QĐ 126/QĐ-QLD)</x:v>
      </x:c>
      <x:c r="P150" t="str">
        <x:v>A++ – Cục Quản lý Dược; company responsibility explicit</x:v>
      </x:c>
      <x:c r="Q150" t="str">
        <x:v>QĐ126/2026, STT 62, trang 8.</x:v>
      </x:c>
      <x:c r="R150" t="str">
        <x:v>https://dav.gov.vn/quyet-dinh-so-126qd-qld-ve-viec-thu-hoi-so-tiep-nhan-phieu-cong-bo-san-pham-my-pham-dinh-chi-luu-hanh-va-thu-hoi-san-pham-my-pham-theo-kl-cua-hd-my-pham-asean-doi-voi-san-pham-my-pham-co-chua-chat-cyclotetrasiloxane-octamethylcyclotetrasiloxane-n5224.html</x:v>
      </x:c>
      <x:c r="S150" t="str">
        <x:v>TP. Hồ Chí Minh</x:v>
      </x:c>
      <x:c r="T150" t="str">
        <x:v>79</x:v>
      </x:c>
    </x:row>
    <x:row r="151">
      <x:c r="A151" t="n">
        <x:v>150</x:v>
      </x:c>
      <x:c r="B151" s="330" t="n">
        <x:v>44637</x:v>
      </x:c>
      <x:c r="C151" s="330" t="n">
        <x:v>46080</x:v>
      </x:c>
      <x:c r="D151" t="n">
        <x:v>2022</x:v>
      </x:c>
      <x:c r="E151" t="n">
        <x:v>3</x:v>
      </x:c>
      <x:c r="F151" t="str">
        <x:v>168173/22/CBMP-QLD</x:v>
      </x:c>
      <x:c r="G151"/>
      <x:c r="H151" t="str">
        <x:v>Ziiit White Facial Whitening Moisturizer Cream</x:v>
      </x:c>
      <x:c r="I151" t="str">
        <x:v>ZIIIT</x:v>
      </x:c>
      <x:c r="J151" t="str">
        <x:v>Kem dưỡng da</x:v>
      </x:c>
      <x:c r="K151"/>
      <x:c r="L151" t="str">
        <x:v>Công ty TNHH Advance Cosmetics Việt Nam</x:v>
      </x:c>
      <x:c r="M151" t="str">
        <x:v>Lô III-2a Nhóm Công Nghiệp III, Đường Số 11, Khu Công Nghiệp Tân Bình, phường Tây Thạnh, quận Tân Phú, TP. Hồ Chí Minh, Việt Nam. Mã số doanh nghiệp: 0301831897</x:v>
      </x:c>
      <x:c r="N151"/>
      <x:c r="O151" t="str">
        <x:v>Thu hồi số tiếp nhận; đình chỉ lưu hành và thu hồi (QĐ 126/QĐ-QLD)</x:v>
      </x:c>
      <x:c r="P151" t="str">
        <x:v>A++ – Cục Quản lý Dược; company responsibility explicit</x:v>
      </x:c>
      <x:c r="Q151" t="str">
        <x:v>QĐ126/2026, STT 63, trang 8.</x:v>
      </x:c>
      <x:c r="R151" t="str">
        <x:v>https://dav.gov.vn/quyet-dinh-so-126qd-qld-ve-viec-thu-hoi-so-tiep-nhan-phieu-cong-bo-san-pham-my-pham-dinh-chi-luu-hanh-va-thu-hoi-san-pham-my-pham-theo-kl-cua-hd-my-pham-asean-doi-voi-san-pham-my-pham-co-chua-chat-cyclotetrasiloxane-octamethylcyclotetrasiloxane-n5224.html</x:v>
      </x:c>
      <x:c r="S151" t="str">
        <x:v>TP. Hồ Chí Minh</x:v>
      </x:c>
      <x:c r="T151" t="str">
        <x:v>79</x:v>
      </x:c>
    </x:row>
    <x:row r="152">
      <x:c r="A152" t="n">
        <x:v>151</x:v>
      </x:c>
      <x:c r="B152" s="330" t="n">
        <x:v>44792</x:v>
      </x:c>
      <x:c r="C152" s="330" t="n">
        <x:v>46080</x:v>
      </x:c>
      <x:c r="D152" t="n">
        <x:v>2022</x:v>
      </x:c>
      <x:c r="E152" t="n">
        <x:v>8</x:v>
      </x:c>
      <x:c r="F152" t="str">
        <x:v>178961/22/CBMP-QLD</x:v>
      </x:c>
      <x:c r="G152"/>
      <x:c r="H152" t="str">
        <x:v>Monday Smooth Shampoo 354ml/798ml</x:v>
      </x:c>
      <x:c r="I152" t="str">
        <x:v>MONDAY</x:v>
      </x:c>
      <x:c r="J152" t="str">
        <x:v>Dầu gội</x:v>
      </x:c>
      <x:c r="K152"/>
      <x:c r="L152" t="str">
        <x:v>Công ty TNHH All Asia Connect</x:v>
      </x:c>
      <x:c r="M152" t="str">
        <x:v>Tầng 6 Tòa nhà Me Linh Point, Số 2 Ngô Đức Kế, phường Bến Nghé, Quận 1, TP. Hồ Chí Minh, Việt Nam. Mã số doanh nghiệp: 0313717074</x:v>
      </x:c>
      <x:c r="N152"/>
      <x:c r="O152" t="str">
        <x:v>Thu hồi số tiếp nhận; đình chỉ lưu hành và thu hồi (QĐ 126/QĐ-QLD)</x:v>
      </x:c>
      <x:c r="P152" t="str">
        <x:v>A++ – Cục Quản lý Dược; company responsibility explicit</x:v>
      </x:c>
      <x:c r="Q152" t="str">
        <x:v>QĐ126/2026, STT 64, trang 8.</x:v>
      </x:c>
      <x:c r="R152" t="str">
        <x:v>https://dav.gov.vn/quyet-dinh-so-126qd-qld-ve-viec-thu-hoi-so-tiep-nhan-phieu-cong-bo-san-pham-my-pham-dinh-chi-luu-hanh-va-thu-hoi-san-pham-my-pham-theo-kl-cua-hd-my-pham-asean-doi-voi-san-pham-my-pham-co-chua-chat-cyclotetrasiloxane-octamethylcyclotetrasiloxane-n5224.html</x:v>
      </x:c>
      <x:c r="S152" t="str">
        <x:v>TP. Hồ Chí Minh</x:v>
      </x:c>
      <x:c r="T152" t="str">
        <x:v>79</x:v>
      </x:c>
    </x:row>
    <x:row r="153">
      <x:c r="A153" t="n">
        <x:v>152</x:v>
      </x:c>
      <x:c r="B153" s="330" t="n">
        <x:v>45572</x:v>
      </x:c>
      <x:c r="C153" s="330" t="n">
        <x:v>46080</x:v>
      </x:c>
      <x:c r="D153" t="n">
        <x:v>2024</x:v>
      </x:c>
      <x:c r="E153" t="n">
        <x:v>10</x:v>
      </x:c>
      <x:c r="F153" t="str">
        <x:v>252185/24/CBMP-QLD</x:v>
      </x:c>
      <x:c r="G153"/>
      <x:c r="H153" t="str">
        <x:v>Pure Care Bsc Day &amp; Night Revital Set</x:v>
      </x:c>
      <x:c r="I153" t="str">
        <x:v>PURE CARE BSC</x:v>
      </x:c>
      <x:c r="J153" t="str">
        <x:v>Khác</x:v>
      </x:c>
      <x:c r="K153"/>
      <x:c r="L153" t="str">
        <x:v>Công ty TNHH Arata Việt Nam</x:v>
      </x:c>
      <x:c r="M153" t="str">
        <x:v>Lầu 2, Tòa nhà The Landmark, 5B Tôn Đức Thắng, phường Bến Nghé, Quận 1, TP. Hồ Chí Minh, Việt Nam. Mã số doanh nghiệp: 0316532233</x:v>
      </x:c>
      <x:c r="N153"/>
      <x:c r="O153" t="str">
        <x:v>Thu hồi số tiếp nhận; đình chỉ lưu hành và thu hồi (QĐ 126/QĐ-QLD)</x:v>
      </x:c>
      <x:c r="P153" t="str">
        <x:v>A++ – Cục Quản lý Dược; company responsibility explicit</x:v>
      </x:c>
      <x:c r="Q153" t="str">
        <x:v>QĐ126/2026, STT 65, trang 8.</x:v>
      </x:c>
      <x:c r="R153" t="str">
        <x:v>https://dav.gov.vn/quyet-dinh-so-126qd-qld-ve-viec-thu-hoi-so-tiep-nhan-phieu-cong-bo-san-pham-my-pham-dinh-chi-luu-hanh-va-thu-hoi-san-pham-my-pham-theo-kl-cua-hd-my-pham-asean-doi-voi-san-pham-my-pham-co-chua-chat-cyclotetrasiloxane-octamethylcyclotetrasiloxane-n5224.html</x:v>
      </x:c>
      <x:c r="S153" t="str">
        <x:v>TP. Hồ Chí Minh</x:v>
      </x:c>
      <x:c r="T153" t="str">
        <x:v>79</x:v>
      </x:c>
    </x:row>
    <x:row r="154">
      <x:c r="A154" t="n">
        <x:v>153</x:v>
      </x:c>
      <x:c r="B154" s="330" t="n">
        <x:v>44762</x:v>
      </x:c>
      <x:c r="C154" s="330" t="n">
        <x:v>46080</x:v>
      </x:c>
      <x:c r="D154" t="n">
        <x:v>2022</x:v>
      </x:c>
      <x:c r="E154" t="n">
        <x:v>7</x:v>
      </x:c>
      <x:c r="F154" t="str">
        <x:v>175341/22/CBMP-QLD</x:v>
      </x:c>
      <x:c r="G154"/>
      <x:c r="H154" t="str">
        <x:v>Derma-7 Repair Cream</x:v>
      </x:c>
      <x:c r="I154"/>
      <x:c r="J154" t="str">
        <x:v>Kem dưỡng da</x:v>
      </x:c>
      <x:c r="K154"/>
      <x:c r="L154" t="str">
        <x:v>CÔNG TY TNHH BLING BY KIM</x:v>
      </x:c>
      <x:c r="M154" t="str">
        <x:v>C11/15A Phạm Hùng nối dài, xã Bình Hưng, huyện Bình Chánh, TP. Hồ Chí Minh, Việt Nam. Mã số doanh nghiệp: 0316512300</x:v>
      </x:c>
      <x:c r="N154"/>
      <x:c r="O154" t="str">
        <x:v>Thu hồi số tiếp nhận; đình chỉ lưu hành và thu hồi (QĐ 126/QĐ-QLD)</x:v>
      </x:c>
      <x:c r="P154" t="str">
        <x:v>A++ – Cục Quản lý Dược; company responsibility explicit</x:v>
      </x:c>
      <x:c r="Q154" t="str">
        <x:v>QĐ126/2026, STT 73, trang 9.</x:v>
      </x:c>
      <x:c r="R154" t="str">
        <x:v>https://dav.gov.vn/quyet-dinh-so-126qd-qld-ve-viec-thu-hoi-so-tiep-nhan-phieu-cong-bo-san-pham-my-pham-dinh-chi-luu-hanh-va-thu-hoi-san-pham-my-pham-theo-kl-cua-hd-my-pham-asean-doi-voi-san-pham-my-pham-co-chua-chat-cyclotetrasiloxane-octamethylcyclotetrasiloxane-n5224.html</x:v>
      </x:c>
      <x:c r="S154" t="str">
        <x:v>TP. Hồ Chí Minh</x:v>
      </x:c>
      <x:c r="T154" t="str">
        <x:v>79</x:v>
      </x:c>
    </x:row>
    <x:row r="155">
      <x:c r="A155" t="n">
        <x:v>154</x:v>
      </x:c>
      <x:c r="B155" s="330" t="n">
        <x:v>44956</x:v>
      </x:c>
      <x:c r="C155" s="330" t="n">
        <x:v>46080</x:v>
      </x:c>
      <x:c r="D155" t="n">
        <x:v>2023</x:v>
      </x:c>
      <x:c r="E155" t="n">
        <x:v>1</x:v>
      </x:c>
      <x:c r="F155" t="str">
        <x:v>193946/23/CBMP-QLD</x:v>
      </x:c>
      <x:c r="G155"/>
      <x:c r="H155" t="str">
        <x:v>Jnn-Ii Illuminate Tone Up Cream</x:v>
      </x:c>
      <x:c r="I155" t="str">
        <x:v>JNN-II</x:v>
      </x:c>
      <x:c r="J155" t="str">
        <x:v>Kem dưỡng da</x:v>
      </x:c>
      <x:c r="K155"/>
      <x:c r="L155" t="str">
        <x:v>Công ty TNHH Coral Vine</x:v>
      </x:c>
      <x:c r="M155" t="str">
        <x:v>33 Bạch Đằng, Phường 2, quận Tân Bình, TP. Hồ Chí Minh, Việt Nam. Mã số doanh nghiệp: 0317235064</x:v>
      </x:c>
      <x:c r="N155"/>
      <x:c r="O155" t="str">
        <x:v>Thu hồi số tiếp nhận; đình chỉ lưu hành và thu hồi (QĐ 126/QĐ-QLD)</x:v>
      </x:c>
      <x:c r="P155" t="str">
        <x:v>A++ – Cục Quản lý Dược; company responsibility explicit</x:v>
      </x:c>
      <x:c r="Q155" t="str">
        <x:v>QĐ126/2026, STT 79, trang 10.</x:v>
      </x:c>
      <x:c r="R155" t="str">
        <x:v>https://dav.gov.vn/quyet-dinh-so-126qd-qld-ve-viec-thu-hoi-so-tiep-nhan-phieu-cong-bo-san-pham-my-pham-dinh-chi-luu-hanh-va-thu-hoi-san-pham-my-pham-theo-kl-cua-hd-my-pham-asean-doi-voi-san-pham-my-pham-co-chua-chat-cyclotetrasiloxane-octamethylcyclotetrasiloxane-n5224.html</x:v>
      </x:c>
      <x:c r="S155" t="str">
        <x:v>TP. Hồ Chí Minh</x:v>
      </x:c>
      <x:c r="T155" t="str">
        <x:v>79</x:v>
      </x:c>
    </x:row>
    <x:row r="156">
      <x:c r="A156" t="n">
        <x:v>155</x:v>
      </x:c>
      <x:c r="B156" s="330" t="n">
        <x:v>45131</x:v>
      </x:c>
      <x:c r="C156" s="330" t="n">
        <x:v>46080</x:v>
      </x:c>
      <x:c r="D156" t="n">
        <x:v>2023</x:v>
      </x:c>
      <x:c r="E156" t="n">
        <x:v>7</x:v>
      </x:c>
      <x:c r="F156" t="str">
        <x:v>207242/23/CBMP-QLD</x:v>
      </x:c>
      <x:c r="G156"/>
      <x:c r="H156" t="str">
        <x:v>Harnn Mystique Revitalizing Conditioner</x:v>
      </x:c>
      <x:c r="I156" t="str">
        <x:v>HARNN</x:v>
      </x:c>
      <x:c r="J156" t="str">
        <x:v>Dầu xả</x:v>
      </x:c>
      <x:c r="K156"/>
      <x:c r="L156" t="str">
        <x:v>Công ty TNHH Cung ứng Cây Ô Liu</x:v>
      </x:c>
      <x:c r="M156" t="str">
        <x:v>165 Đỗ Pháp Thuận, Phường An Phú, TP. Thủ Đức, TP. Hồ Chí Minh, Việt Nam. Mã số doanh nghiệp: 0305938538</x:v>
      </x:c>
      <x:c r="N156"/>
      <x:c r="O156" t="str">
        <x:v>Thu hồi số tiếp nhận; đình chỉ lưu hành và thu hồi (QĐ 126/QĐ-QLD)</x:v>
      </x:c>
      <x:c r="P156" t="str">
        <x:v>A++ – Cục Quản lý Dược; company responsibility explicit</x:v>
      </x:c>
      <x:c r="Q156" t="str">
        <x:v>QĐ126/2026, STT 81, trang 10.</x:v>
      </x:c>
      <x:c r="R156" t="str">
        <x:v>https://dav.gov.vn/quyet-dinh-so-126qd-qld-ve-viec-thu-hoi-so-tiep-nhan-phieu-cong-bo-san-pham-my-pham-dinh-chi-luu-hanh-va-thu-hoi-san-pham-my-pham-theo-kl-cua-hd-my-pham-asean-doi-voi-san-pham-my-pham-co-chua-chat-cyclotetrasiloxane-octamethylcyclotetrasiloxane-n5224.html</x:v>
      </x:c>
      <x:c r="S156" t="str">
        <x:v>TP. Hồ Chí Minh</x:v>
      </x:c>
      <x:c r="T156" t="str">
        <x:v>79</x:v>
      </x:c>
    </x:row>
    <x:row r="157">
      <x:c r="A157" t="n">
        <x:v>156</x:v>
      </x:c>
      <x:c r="B157" s="330" t="n">
        <x:v>45204</x:v>
      </x:c>
      <x:c r="C157" s="330" t="n">
        <x:v>46080</x:v>
      </x:c>
      <x:c r="D157" t="n">
        <x:v>2023</x:v>
      </x:c>
      <x:c r="E157" t="n">
        <x:v>10</x:v>
      </x:c>
      <x:c r="F157" t="str">
        <x:v>213653/23/CBMP-QLD</x:v>
      </x:c>
      <x:c r="G157"/>
      <x:c r="H157" t="str">
        <x:v>Harnn White Mulberry &amp; Cica Anti-Aging Suncreen Spf50+/Pa++++</x:v>
      </x:c>
      <x:c r="I157" t="str">
        <x:v>HARNN</x:v>
      </x:c>
      <x:c r="J157" t="str">
        <x:v>Kem chống nắng</x:v>
      </x:c>
      <x:c r="K157"/>
      <x:c r="L157" t="str">
        <x:v>Công ty TNHH Cung ứng Cây Ô Liu</x:v>
      </x:c>
      <x:c r="M157" t="str">
        <x:v>165 Đỗ Pháp Thuận, Phường An Phú, TP. Thủ Đức, TP. Hồ Chí Minh, Việt Nam. Mã số doanh nghiệp: 0305938538</x:v>
      </x:c>
      <x:c r="N157"/>
      <x:c r="O157" t="str">
        <x:v>Thu hồi số tiếp nhận; đình chỉ lưu hành và thu hồi (QĐ 126/QĐ-QLD)</x:v>
      </x:c>
      <x:c r="P157" t="str">
        <x:v>A++ – Cục Quản lý Dược; company responsibility explicit</x:v>
      </x:c>
      <x:c r="Q157" t="str">
        <x:v>QĐ126/2026, STT 82, trang 10.</x:v>
      </x:c>
      <x:c r="R157" t="str">
        <x:v>https://dav.gov.vn/quyet-dinh-so-126qd-qld-ve-viec-thu-hoi-so-tiep-nhan-phieu-cong-bo-san-pham-my-pham-dinh-chi-luu-hanh-va-thu-hoi-san-pham-my-pham-theo-kl-cua-hd-my-pham-asean-doi-voi-san-pham-my-pham-co-chua-chat-cyclotetrasiloxane-octamethylcyclotetrasiloxane-n5224.html</x:v>
      </x:c>
      <x:c r="S157" t="str">
        <x:v>TP. Hồ Chí Minh</x:v>
      </x:c>
      <x:c r="T157" t="str">
        <x:v>79</x:v>
      </x:c>
    </x:row>
    <x:row r="158">
      <x:c r="A158" t="n">
        <x:v>157</x:v>
      </x:c>
      <x:c r="B158" s="330" t="n">
        <x:v>44979</x:v>
      </x:c>
      <x:c r="C158" s="330" t="n">
        <x:v>46080</x:v>
      </x:c>
      <x:c r="D158" t="n">
        <x:v>2023</x:v>
      </x:c>
      <x:c r="E158" t="n">
        <x:v>2</x:v>
      </x:c>
      <x:c r="F158" t="str">
        <x:v>195571/23/CBMP-QLD</x:v>
      </x:c>
      <x:c r="G158"/>
      <x:c r="H158" t="str">
        <x:v>NARUKO Raw Job ‘S Tears Brightening Lotion 120ml</x:v>
      </x:c>
      <x:c r="I158" t="str">
        <x:v>Naruko</x:v>
      </x:c>
      <x:c r="J158" t="str">
        <x:v>Kem dưỡng da</x:v>
      </x:c>
      <x:c r="K158"/>
      <x:c r="L158" t="str">
        <x:v>Công ty TNHH Đào Minh Tiên</x:v>
      </x:c>
      <x:c r="M158" t="str">
        <x:v>6A đường Nguyễn Ngọc Nhựt, phường Tân Quý, quận Tân Phú, TP. Hồ Chí Minh, Việt Nam. Mã số doanh nghiệp: 0314552749</x:v>
      </x:c>
      <x:c r="N158"/>
      <x:c r="O158" t="str">
        <x:v>Thu hồi số tiếp nhận; đình chỉ lưu hành và thu hồi (QĐ 126/QĐ-QLD)</x:v>
      </x:c>
      <x:c r="P158" t="str">
        <x:v>A++ – Cục Quản lý Dược; company responsibility explicit</x:v>
      </x:c>
      <x:c r="Q158" t="str">
        <x:v>QĐ126/2026, STT 84, trang 10.</x:v>
      </x:c>
      <x:c r="R158" t="str">
        <x:v>https://dav.gov.vn/quyet-dinh-so-126qd-qld-ve-viec-thu-hoi-so-tiep-nhan-phieu-cong-bo-san-pham-my-pham-dinh-chi-luu-hanh-va-thu-hoi-san-pham-my-pham-theo-kl-cua-hd-my-pham-asean-doi-voi-san-pham-my-pham-co-chua-chat-cyclotetrasiloxane-octamethylcyclotetrasiloxane-n5224.html</x:v>
      </x:c>
      <x:c r="S158" t="str">
        <x:v>TP. Hồ Chí Minh</x:v>
      </x:c>
      <x:c r="T158" t="str">
        <x:v>79</x:v>
      </x:c>
    </x:row>
    <x:row r="159">
      <x:c r="A159" t="n">
        <x:v>158</x:v>
      </x:c>
      <x:c r="B159" s="330" t="n">
        <x:v>45417</x:v>
      </x:c>
      <x:c r="C159" s="330" t="n">
        <x:v>46080</x:v>
      </x:c>
      <x:c r="D159" t="n">
        <x:v>2024</x:v>
      </x:c>
      <x:c r="E159" t="n">
        <x:v>5</x:v>
      </x:c>
      <x:c r="F159" t="str">
        <x:v>234949/24/CBMP-QLD</x:v>
      </x:c>
      <x:c r="G159"/>
      <x:c r="H159" t="str">
        <x:v>Naruko Taiwan Magnolia Up &amp; Firm Hydra Mask</x:v>
      </x:c>
      <x:c r="I159" t="str">
        <x:v>Naruko</x:v>
      </x:c>
      <x:c r="J159" t="str">
        <x:v>Mặt nạ</x:v>
      </x:c>
      <x:c r="K159"/>
      <x:c r="L159" t="str">
        <x:v>Công ty TNHH Đào Minh Tiên</x:v>
      </x:c>
      <x:c r="M159" t="str">
        <x:v>6A đường Nguyễn Ngọc Nhựt, phường Tân Quý, quận Tân Phú, TP. Hồ Chí Minh, Việt Nam. Mã số doanh nghiệp: 0314552749</x:v>
      </x:c>
      <x:c r="N159"/>
      <x:c r="O159" t="str">
        <x:v>Thu hồi số tiếp nhận; đình chỉ lưu hành và thu hồi (QĐ 126/QĐ-QLD)</x:v>
      </x:c>
      <x:c r="P159" t="str">
        <x:v>A++ – Cục Quản lý Dược; company responsibility explicit</x:v>
      </x:c>
      <x:c r="Q159" t="str">
        <x:v>QĐ126/2026, STT 85, trang 10.</x:v>
      </x:c>
      <x:c r="R159" t="str">
        <x:v>https://dav.gov.vn/quyet-dinh-so-126qd-qld-ve-viec-thu-hoi-so-tiep-nhan-phieu-cong-bo-san-pham-my-pham-dinh-chi-luu-hanh-va-thu-hoi-san-pham-my-pham-theo-kl-cua-hd-my-pham-asean-doi-voi-san-pham-my-pham-co-chua-chat-cyclotetrasiloxane-octamethylcyclotetrasiloxane-n5224.html</x:v>
      </x:c>
      <x:c r="S159" t="str">
        <x:v>TP. Hồ Chí Minh</x:v>
      </x:c>
      <x:c r="T159" t="str">
        <x:v>79</x:v>
      </x:c>
    </x:row>
    <x:row r="160">
      <x:c r="A160" t="n">
        <x:v>159</x:v>
      </x:c>
      <x:c r="B160" s="330" t="n">
        <x:v>45603</x:v>
      </x:c>
      <x:c r="C160" s="330" t="n">
        <x:v>46080</x:v>
      </x:c>
      <x:c r="D160" t="n">
        <x:v>2024</x:v>
      </x:c>
      <x:c r="E160" t="n">
        <x:v>11</x:v>
      </x:c>
      <x:c r="F160" t="str">
        <x:v>254778/24/CBMP-QLD</x:v>
      </x:c>
      <x:c r="G160"/>
      <x:c r="H160" t="str">
        <x:v>Naruko Raw Job’s Tears Brightening Lotion</x:v>
      </x:c>
      <x:c r="I160" t="str">
        <x:v>Naruko</x:v>
      </x:c>
      <x:c r="J160" t="str">
        <x:v>Kem dưỡng da</x:v>
      </x:c>
      <x:c r="K160"/>
      <x:c r="L160" t="str">
        <x:v>Công ty TNHH Đào Minh Tiên</x:v>
      </x:c>
      <x:c r="M160" t="str">
        <x:v>6A đường Nguyễn Ngọc Nhựt, phường Tân Quý, quận Tân Phú, TP. Hồ Chí Minh, Việt Nam. Mã số doanh nghiệp: 0314552749</x:v>
      </x:c>
      <x:c r="N160"/>
      <x:c r="O160" t="str">
        <x:v>Thu hồi số tiếp nhận; đình chỉ lưu hành và thu hồi (QĐ 126/QĐ-QLD)</x:v>
      </x:c>
      <x:c r="P160" t="str">
        <x:v>A++ – Cục Quản lý Dược; company responsibility explicit</x:v>
      </x:c>
      <x:c r="Q160" t="str">
        <x:v>QĐ126/2026, STT 86, trang 10.</x:v>
      </x:c>
      <x:c r="R160" t="str">
        <x:v>https://dav.gov.vn/quyet-dinh-so-126qd-qld-ve-viec-thu-hoi-so-tiep-nhan-phieu-cong-bo-san-pham-my-pham-dinh-chi-luu-hanh-va-thu-hoi-san-pham-my-pham-theo-kl-cua-hd-my-pham-asean-doi-voi-san-pham-my-pham-co-chua-chat-cyclotetrasiloxane-octamethylcyclotetrasiloxane-n5224.html</x:v>
      </x:c>
      <x:c r="S160" t="str">
        <x:v>TP. Hồ Chí Minh</x:v>
      </x:c>
      <x:c r="T160" t="str">
        <x:v>79</x:v>
      </x:c>
    </x:row>
    <x:row r="161">
      <x:c r="A161" t="n">
        <x:v>160</x:v>
      </x:c>
      <x:c r="B161" s="330" t="n">
        <x:v>45125</x:v>
      </x:c>
      <x:c r="C161" s="330" t="n">
        <x:v>46080</x:v>
      </x:c>
      <x:c r="D161" t="n">
        <x:v>2023</x:v>
      </x:c>
      <x:c r="E161" t="n">
        <x:v>7</x:v>
      </x:c>
      <x:c r="F161" t="str">
        <x:v>206500/23/CBMP-QLD</x:v>
      </x:c>
      <x:c r="G161"/>
      <x:c r="H161" t="str">
        <x:v>Dok Bua Ku Golden Silk Collagen Lotion</x:v>
      </x:c>
      <x:c r="I161" t="str">
        <x:v>DOK BUA KU</x:v>
      </x:c>
      <x:c r="J161" t="str">
        <x:v>Kem dưỡng da</x:v>
      </x:c>
      <x:c r="K161"/>
      <x:c r="L161" t="str">
        <x:v>Công ty TNHH dịch vụ thương mại xuất nhập khẩu Trường Sơn</x:v>
      </x:c>
      <x:c r="M161" t="str">
        <x:v>2/33 đường 147, KP5, phường Tăng Nhơn Phú B, TP. Thủ Đức, TP. Hồ Chí Minh, Việt Nam. Mã số doanh nghiệp: 0317589659</x:v>
      </x:c>
      <x:c r="N161"/>
      <x:c r="O161" t="str">
        <x:v>Thu hồi số tiếp nhận; đình chỉ lưu hành và thu hồi (QĐ 126/QĐ-QLD)</x:v>
      </x:c>
      <x:c r="P161" t="str">
        <x:v>A++ – Cục Quản lý Dược; company responsibility explicit</x:v>
      </x:c>
      <x:c r="Q161" t="str">
        <x:v>QĐ126/2026, STT 111, trang 12.</x:v>
      </x:c>
      <x:c r="R161" t="str">
        <x:v>https://dav.gov.vn/quyet-dinh-so-126qd-qld-ve-viec-thu-hoi-so-tiep-nhan-phieu-cong-bo-san-pham-my-pham-dinh-chi-luu-hanh-va-thu-hoi-san-pham-my-pham-theo-kl-cua-hd-my-pham-asean-doi-voi-san-pham-my-pham-co-chua-chat-cyclotetrasiloxane-octamethylcyclotetrasiloxane-n5224.html</x:v>
      </x:c>
      <x:c r="S161" t="str">
        <x:v>TP. Hồ Chí Minh</x:v>
      </x:c>
      <x:c r="T161" t="str">
        <x:v>79</x:v>
      </x:c>
    </x:row>
    <x:row r="162">
      <x:c r="A162" t="n">
        <x:v>161</x:v>
      </x:c>
      <x:c r="B162" s="330" t="n">
        <x:v>45706</x:v>
      </x:c>
      <x:c r="C162" s="330" t="n">
        <x:v>46080</x:v>
      </x:c>
      <x:c r="D162" t="n">
        <x:v>2025</x:v>
      </x:c>
      <x:c r="E162" t="n">
        <x:v>2</x:v>
      </x:c>
      <x:c r="F162" t="str">
        <x:v>266677/25/CBMP-QLD</x:v>
      </x:c>
      <x:c r="G162"/>
      <x:c r="H162" t="str">
        <x:v>Skinsista Ultra Block Hybrid Sunscreen Spf50+ Pa++++</x:v>
      </x:c>
      <x:c r="I162" t="str">
        <x:v>SKINSIST A</x:v>
      </x:c>
      <x:c r="J162" t="str">
        <x:v>Kem chống nắng</x:v>
      </x:c>
      <x:c r="K162"/>
      <x:c r="L162" t="str">
        <x:v>Công ty TNHH DOYOE AMBITION TRADING</x:v>
      </x:c>
      <x:c r="M162" t="str">
        <x:v>1/26A Nguyễn Văn Vĩnh, Phường 4, quận Tân Bình, TP. Hồ Chí Minh, Việt Nam. Mã số doanh nghiệp: 318641220</x:v>
      </x:c>
      <x:c r="N162"/>
      <x:c r="O162" t="str">
        <x:v>Thu hồi số tiếp nhận; đình chỉ lưu hành và thu hồi (QĐ 126/QĐ-QLD)</x:v>
      </x:c>
      <x:c r="P162" t="str">
        <x:v>A++ – Cục Quản lý Dược; company responsibility explicit</x:v>
      </x:c>
      <x:c r="Q162" t="str">
        <x:v>QĐ126/2026, STT 129, trang 14.</x:v>
      </x:c>
      <x:c r="R162" t="str">
        <x:v>https://dav.gov.vn/quyet-dinh-so-126qd-qld-ve-viec-thu-hoi-so-tiep-nhan-phieu-cong-bo-san-pham-my-pham-dinh-chi-luu-hanh-va-thu-hoi-san-pham-my-pham-theo-kl-cua-hd-my-pham-asean-doi-voi-san-pham-my-pham-co-chua-chat-cyclotetrasiloxane-octamethylcyclotetrasiloxane-n5224.html</x:v>
      </x:c>
      <x:c r="S162" t="str">
        <x:v>TP. Hồ Chí Minh</x:v>
      </x:c>
      <x:c r="T162" t="str">
        <x:v>79</x:v>
      </x:c>
    </x:row>
    <x:row r="163">
      <x:c r="A163" t="n">
        <x:v>162</x:v>
      </x:c>
      <x:c r="B163" s="330" t="n">
        <x:v>45706</x:v>
      </x:c>
      <x:c r="C163" s="330" t="n">
        <x:v>46080</x:v>
      </x:c>
      <x:c r="D163" t="n">
        <x:v>2025</x:v>
      </x:c>
      <x:c r="E163" t="n">
        <x:v>2</x:v>
      </x:c>
      <x:c r="F163" t="str">
        <x:v>266687/25/CBMP-QLD</x:v>
      </x:c>
      <x:c r="G163"/>
      <x:c r="H163" t="str">
        <x:v>Inn Beauty Skin Nude Matte Foundation</x:v>
      </x:c>
      <x:c r="I163" t="str">
        <x:v>INN BEAUTY</x:v>
      </x:c>
      <x:c r="J163" t="str">
        <x:v>Khác</x:v>
      </x:c>
      <x:c r="K163"/>
      <x:c r="L163" t="str">
        <x:v>Công ty TNHH DOYOE AMBITION TRADING</x:v>
      </x:c>
      <x:c r="M163" t="str">
        <x:v>1/26A Nguyễn Văn Vĩnh, Phường 4, quận Tân Bình, TP. Hồ Chí Minh, Việt Nam. Mã số doanh nghiệp: 318641220</x:v>
      </x:c>
      <x:c r="N163"/>
      <x:c r="O163" t="str">
        <x:v>Thu hồi số tiếp nhận; đình chỉ lưu hành và thu hồi (QĐ 126/QĐ-QLD)</x:v>
      </x:c>
      <x:c r="P163" t="str">
        <x:v>A++ – Cục Quản lý Dược; company responsibility explicit</x:v>
      </x:c>
      <x:c r="Q163" t="str">
        <x:v>QĐ126/2026, STT 130, trang 14.</x:v>
      </x:c>
      <x:c r="R163" t="str">
        <x:v>https://dav.gov.vn/quyet-dinh-so-126qd-qld-ve-viec-thu-hoi-so-tiep-nhan-phieu-cong-bo-san-pham-my-pham-dinh-chi-luu-hanh-va-thu-hoi-san-pham-my-pham-theo-kl-cua-hd-my-pham-asean-doi-voi-san-pham-my-pham-co-chua-chat-cyclotetrasiloxane-octamethylcyclotetrasiloxane-n5224.html</x:v>
      </x:c>
      <x:c r="S163" t="str">
        <x:v>TP. Hồ Chí Minh</x:v>
      </x:c>
      <x:c r="T163" t="str">
        <x:v>79</x:v>
      </x:c>
    </x:row>
    <x:row r="164">
      <x:c r="A164" t="n">
        <x:v>163</x:v>
      </x:c>
      <x:c r="B164" s="330" t="n">
        <x:v>45706</x:v>
      </x:c>
      <x:c r="C164" s="330" t="n">
        <x:v>46080</x:v>
      </x:c>
      <x:c r="D164" t="n">
        <x:v>2025</x:v>
      </x:c>
      <x:c r="E164" t="n">
        <x:v>2</x:v>
      </x:c>
      <x:c r="F164" t="str">
        <x:v>266691/25/CBMP-QLD</x:v>
      </x:c>
      <x:c r="G164"/>
      <x:c r="H164" t="str">
        <x:v>Skinsista Acne &amp; Oil Control Sunblock Spf 50+ Pa++++ (New)</x:v>
      </x:c>
      <x:c r="I164" t="str">
        <x:v>SKINSIST A</x:v>
      </x:c>
      <x:c r="J164" t="str">
        <x:v>Kem chống nắng</x:v>
      </x:c>
      <x:c r="K164"/>
      <x:c r="L164" t="str">
        <x:v>Công ty TNHH DOYOE AMBITION TRADING</x:v>
      </x:c>
      <x:c r="M164" t="str">
        <x:v>1/26A Nguyễn Văn Vĩnh, Phường 4, quận Tân Bình, TP. Hồ Chí Minh, Việt Nam. Mã số doanh nghiệp: 318641220</x:v>
      </x:c>
      <x:c r="N164"/>
      <x:c r="O164" t="str">
        <x:v>Thu hồi số tiếp nhận; đình chỉ lưu hành và thu hồi (QĐ 126/QĐ-QLD)</x:v>
      </x:c>
      <x:c r="P164" t="str">
        <x:v>A++ – Cục Quản lý Dược; company responsibility explicit</x:v>
      </x:c>
      <x:c r="Q164" t="str">
        <x:v>QĐ126/2026, STT 131, trang 14.</x:v>
      </x:c>
      <x:c r="R164" t="str">
        <x:v>https://dav.gov.vn/quyet-dinh-so-126qd-qld-ve-viec-thu-hoi-so-tiep-nhan-phieu-cong-bo-san-pham-my-pham-dinh-chi-luu-hanh-va-thu-hoi-san-pham-my-pham-theo-kl-cua-hd-my-pham-asean-doi-voi-san-pham-my-pham-co-chua-chat-cyclotetrasiloxane-octamethylcyclotetrasiloxane-n5224.html</x:v>
      </x:c>
      <x:c r="S164" t="str">
        <x:v>TP. Hồ Chí Minh</x:v>
      </x:c>
      <x:c r="T164" t="str">
        <x:v>79</x:v>
      </x:c>
    </x:row>
    <x:row r="165">
      <x:c r="A165" t="n">
        <x:v>164</x:v>
      </x:c>
      <x:c r="B165" s="330" t="n">
        <x:v>45706</x:v>
      </x:c>
      <x:c r="C165" s="330" t="n">
        <x:v>46080</x:v>
      </x:c>
      <x:c r="D165" t="n">
        <x:v>2025</x:v>
      </x:c>
      <x:c r="E165" t="n">
        <x:v>2</x:v>
      </x:c>
      <x:c r="F165" t="str">
        <x:v>266704/25/CBMP-QLD</x:v>
      </x:c>
      <x:c r="G165"/>
      <x:c r="H165" t="str">
        <x:v>Merrez'ca Skin Up Liquid Foundation Spf50/Pa+++ #Soft Beige</x:v>
      </x:c>
      <x:c r="I165" t="str">
        <x:v>MERREZ' CA</x:v>
      </x:c>
      <x:c r="J165" t="str">
        <x:v>Kem chống nắng</x:v>
      </x:c>
      <x:c r="K165"/>
      <x:c r="L165" t="str">
        <x:v>Công ty TNHH DOYOE AMBITION TRADING</x:v>
      </x:c>
      <x:c r="M165" t="str">
        <x:v>1/26A Nguyễn Văn Vĩnh, Phường 4, quận Tân Bình, TP. Hồ Chí Minh, Việt Nam. Mã số doanh nghiệp: 318641220</x:v>
      </x:c>
      <x:c r="N165"/>
      <x:c r="O165" t="str">
        <x:v>Thu hồi số tiếp nhận; đình chỉ lưu hành và thu hồi (QĐ 126/QĐ-QLD)</x:v>
      </x:c>
      <x:c r="P165" t="str">
        <x:v>A++ – Cục Quản lý Dược; company responsibility explicit</x:v>
      </x:c>
      <x:c r="Q165" t="str">
        <x:v>QĐ126/2026, STT 132, trang 14.</x:v>
      </x:c>
      <x:c r="R165" t="str">
        <x:v>https://dav.gov.vn/quyet-dinh-so-126qd-qld-ve-viec-thu-hoi-so-tiep-nhan-phieu-cong-bo-san-pham-my-pham-dinh-chi-luu-hanh-va-thu-hoi-san-pham-my-pham-theo-kl-cua-hd-my-pham-asean-doi-voi-san-pham-my-pham-co-chua-chat-cyclotetrasiloxane-octamethylcyclotetrasiloxane-n5224.html</x:v>
      </x:c>
      <x:c r="S165" t="str">
        <x:v>TP. Hồ Chí Minh</x:v>
      </x:c>
      <x:c r="T165" t="str">
        <x:v>79</x:v>
      </x:c>
    </x:row>
    <x:row r="166">
      <x:c r="A166" t="n">
        <x:v>165</x:v>
      </x:c>
      <x:c r="B166" s="330" t="n">
        <x:v>45706</x:v>
      </x:c>
      <x:c r="C166" s="330" t="n">
        <x:v>46080</x:v>
      </x:c>
      <x:c r="D166" t="n">
        <x:v>2025</x:v>
      </x:c>
      <x:c r="E166" t="n">
        <x:v>2</x:v>
      </x:c>
      <x:c r="F166" t="str">
        <x:v>266705/25/CBMP-QLD</x:v>
      </x:c>
      <x:c r="G166"/>
      <x:c r="H166" t="str">
        <x:v>Merrez'ca Skin Up Liquid Foundation Spf50/Pa+++ #Light Beige</x:v>
      </x:c>
      <x:c r="I166" t="str">
        <x:v>MERREZ' CA</x:v>
      </x:c>
      <x:c r="J166" t="str">
        <x:v>Kem chống nắng</x:v>
      </x:c>
      <x:c r="K166"/>
      <x:c r="L166" t="str">
        <x:v>Công ty TNHH DOYOE AMBITION TRADING</x:v>
      </x:c>
      <x:c r="M166" t="str">
        <x:v>1/26A Nguyễn Văn Vĩnh, Phường 4, quận Tân Bình, TP. Hồ Chí Minh, Việt Nam. Mã số doanh nghiệp: 318641220</x:v>
      </x:c>
      <x:c r="N166"/>
      <x:c r="O166" t="str">
        <x:v>Thu hồi số tiếp nhận; đình chỉ lưu hành và thu hồi (QĐ 126/QĐ-QLD)</x:v>
      </x:c>
      <x:c r="P166" t="str">
        <x:v>A++ – Cục Quản lý Dược; company responsibility explicit</x:v>
      </x:c>
      <x:c r="Q166" t="str">
        <x:v>QĐ126/2026, STT 133, trang 14.</x:v>
      </x:c>
      <x:c r="R166" t="str">
        <x:v>https://dav.gov.vn/quyet-dinh-so-126qd-qld-ve-viec-thu-hoi-so-tiep-nhan-phieu-cong-bo-san-pham-my-pham-dinh-chi-luu-hanh-va-thu-hoi-san-pham-my-pham-theo-kl-cua-hd-my-pham-asean-doi-voi-san-pham-my-pham-co-chua-chat-cyclotetrasiloxane-octamethylcyclotetrasiloxane-n5224.html</x:v>
      </x:c>
      <x:c r="S166" t="str">
        <x:v>TP. Hồ Chí Minh</x:v>
      </x:c>
      <x:c r="T166" t="str">
        <x:v>79</x:v>
      </x:c>
    </x:row>
    <x:row r="167">
      <x:c r="A167" t="n">
        <x:v>166</x:v>
      </x:c>
      <x:c r="B167" s="330" t="n">
        <x:v>45706</x:v>
      </x:c>
      <x:c r="C167" s="330" t="n">
        <x:v>46080</x:v>
      </x:c>
      <x:c r="D167" t="n">
        <x:v>2025</x:v>
      </x:c>
      <x:c r="E167" t="n">
        <x:v>2</x:v>
      </x:c>
      <x:c r="F167" t="str">
        <x:v>266706/25/CBMP-QLD</x:v>
      </x:c>
      <x:c r="G167"/>
      <x:c r="H167" t="str">
        <x:v>Merrez'ca Skin Up Liquid Foundation Spf50/Pa+++ #Light Nude</x:v>
      </x:c>
      <x:c r="I167" t="str">
        <x:v>MERREZ' CA</x:v>
      </x:c>
      <x:c r="J167" t="str">
        <x:v>Kem chống nắng</x:v>
      </x:c>
      <x:c r="K167"/>
      <x:c r="L167" t="str">
        <x:v>Công ty TNHH DOYOE AMBITION TRADING</x:v>
      </x:c>
      <x:c r="M167" t="str">
        <x:v>1/26A Nguyễn Văn Vĩnh, Phường 4, quận Tân Bình, TP. Hồ Chí Minh, Việt Nam. Mã số doanh nghiệp: 318641220</x:v>
      </x:c>
      <x:c r="N167"/>
      <x:c r="O167" t="str">
        <x:v>Thu hồi số tiếp nhận; đình chỉ lưu hành và thu hồi (QĐ 126/QĐ-QLD)</x:v>
      </x:c>
      <x:c r="P167" t="str">
        <x:v>A++ – Cục Quản lý Dược; company responsibility explicit</x:v>
      </x:c>
      <x:c r="Q167" t="str">
        <x:v>QĐ126/2026, STT 134, trang 14.</x:v>
      </x:c>
      <x:c r="R167" t="str">
        <x:v>https://dav.gov.vn/quyet-dinh-so-126qd-qld-ve-viec-thu-hoi-so-tiep-nhan-phieu-cong-bo-san-pham-my-pham-dinh-chi-luu-hanh-va-thu-hoi-san-pham-my-pham-theo-kl-cua-hd-my-pham-asean-doi-voi-san-pham-my-pham-co-chua-chat-cyclotetrasiloxane-octamethylcyclotetrasiloxane-n5224.html</x:v>
      </x:c>
      <x:c r="S167" t="str">
        <x:v>TP. Hồ Chí Minh</x:v>
      </x:c>
      <x:c r="T167" t="str">
        <x:v>79</x:v>
      </x:c>
    </x:row>
    <x:row r="168">
      <x:c r="A168" t="n">
        <x:v>167</x:v>
      </x:c>
      <x:c r="B168" s="330" t="n">
        <x:v>44623</x:v>
      </x:c>
      <x:c r="C168" s="330" t="n">
        <x:v>46080</x:v>
      </x:c>
      <x:c r="D168" t="n">
        <x:v>2022</x:v>
      </x:c>
      <x:c r="E168" t="n">
        <x:v>3</x:v>
      </x:c>
      <x:c r="F168" t="str">
        <x:v>167055/22/CBMP-QLD</x:v>
      </x:c>
      <x:c r="G168"/>
      <x:c r="H168" t="str">
        <x:v>Graymelin Vintage If Only Brightening Milky Skin The Premium</x:v>
      </x:c>
      <x:c r="I168" t="str">
        <x:v>Graymelin</x:v>
      </x:c>
      <x:c r="J168" t="str">
        <x:v>Khác</x:v>
      </x:c>
      <x:c r="K168"/>
      <x:c r="L168" t="str">
        <x:v>Công ty TNHH DURI COSMETIC</x:v>
      </x:c>
      <x:c r="M168" t="str">
        <x:v>246 Cống Quỳnh, phường Phạm Ngũ Lão, Quận 1, TP. Hồ Chí Minh, Việt Nam. Mã số doanh nghiệp: 0316675947</x:v>
      </x:c>
      <x:c r="N168"/>
      <x:c r="O168" t="str">
        <x:v>Thu hồi số tiếp nhận; đình chỉ lưu hành và thu hồi (QĐ 126/QĐ-QLD)</x:v>
      </x:c>
      <x:c r="P168" t="str">
        <x:v>A++ – Cục Quản lý Dược; company responsibility explicit</x:v>
      </x:c>
      <x:c r="Q168" t="str">
        <x:v>QĐ126/2026, STT 137, trang 15.</x:v>
      </x:c>
      <x:c r="R168" t="str">
        <x:v>https://dav.gov.vn/quyet-dinh-so-126qd-qld-ve-viec-thu-hoi-so-tiep-nhan-phieu-cong-bo-san-pham-my-pham-dinh-chi-luu-hanh-va-thu-hoi-san-pham-my-pham-theo-kl-cua-hd-my-pham-asean-doi-voi-san-pham-my-pham-co-chua-chat-cyclotetrasiloxane-octamethylcyclotetrasiloxane-n5224.html</x:v>
      </x:c>
      <x:c r="S168" t="str">
        <x:v>TP. Hồ Chí Minh</x:v>
      </x:c>
      <x:c r="T168" t="str">
        <x:v>79</x:v>
      </x:c>
    </x:row>
    <x:row r="169">
      <x:c r="A169" t="n">
        <x:v>168</x:v>
      </x:c>
      <x:c r="B169" s="330" t="n">
        <x:v>44792</x:v>
      </x:c>
      <x:c r="C169" s="330" t="n">
        <x:v>46080</x:v>
      </x:c>
      <x:c r="D169" t="n">
        <x:v>2022</x:v>
      </x:c>
      <x:c r="E169" t="n">
        <x:v>8</x:v>
      </x:c>
      <x:c r="F169" t="str">
        <x:v>178659/22/CBMP-QLD</x:v>
      </x:c>
      <x:c r="G169"/>
      <x:c r="H169" t="str">
        <x:v>4oln FOREUL HEART FOR MY LIPSTICK</x:v>
      </x:c>
      <x:c r="I169" t="str">
        <x:v>4OlN</x:v>
      </x:c>
      <x:c r="J169" t="str">
        <x:v>Sản phẩm môi</x:v>
      </x:c>
      <x:c r="K169"/>
      <x:c r="L169" t="str">
        <x:v>Công ty TNHH EUNMIN VIỆT NAM</x:v>
      </x:c>
      <x:c r="M169" t="str">
        <x:v>Tầng 7, Tòa nhà THE OFFICE số 340/15A Ung Văn Khiêm, Phường 25, quận Bình Thạnh, TP. Hồ Chí Minh, Việt Nam. Mã số doanh nghiệp: 0316358426</x:v>
      </x:c>
      <x:c r="N169"/>
      <x:c r="O169" t="str">
        <x:v>Thu hồi số tiếp nhận; đình chỉ lưu hành và thu hồi (QĐ 126/QĐ-QLD)</x:v>
      </x:c>
      <x:c r="P169" t="str">
        <x:v>A++ – Cục Quản lý Dược; company responsibility explicit</x:v>
      </x:c>
      <x:c r="Q169" t="str">
        <x:v>QĐ126/2026, STT 139, trang 15.</x:v>
      </x:c>
      <x:c r="R169" t="str">
        <x:v>https://dav.gov.vn/quyet-dinh-so-126qd-qld-ve-viec-thu-hoi-so-tiep-nhan-phieu-cong-bo-san-pham-my-pham-dinh-chi-luu-hanh-va-thu-hoi-san-pham-my-pham-theo-kl-cua-hd-my-pham-asean-doi-voi-san-pham-my-pham-co-chua-chat-cyclotetrasiloxane-octamethylcyclotetrasiloxane-n5224.html</x:v>
      </x:c>
      <x:c r="S169" t="str">
        <x:v>TP. Hồ Chí Minh</x:v>
      </x:c>
      <x:c r="T169" t="str">
        <x:v>79</x:v>
      </x:c>
    </x:row>
    <x:row r="170">
      <x:c r="A170" t="n">
        <x:v>169</x:v>
      </x:c>
      <x:c r="B170" s="330" t="n">
        <x:v>45477</x:v>
      </x:c>
      <x:c r="C170" s="330" t="n">
        <x:v>46080</x:v>
      </x:c>
      <x:c r="D170" t="n">
        <x:v>2024</x:v>
      </x:c>
      <x:c r="E170" t="n">
        <x:v>7</x:v>
      </x:c>
      <x:c r="F170" t="str">
        <x:v>241695/24/CBMP-QLD</x:v>
      </x:c>
      <x:c r="G170"/>
      <x:c r="H170" t="str">
        <x:v>Luit Calm Flow Collagen Booster</x:v>
      </x:c>
      <x:c r="I170" t="str">
        <x:v>Luit</x:v>
      </x:c>
      <x:c r="J170" t="str">
        <x:v>Khác</x:v>
      </x:c>
      <x:c r="K170"/>
      <x:c r="L170" t="str">
        <x:v>Công ty TNHH FLABOIS VIỆT NAM</x:v>
      </x:c>
      <x:c r="M170" t="str">
        <x:v>98 Bùi Thị Xuân, phường Bến Thành, Quận 1, TP. Hồ Chí Minh, Việt Nam. Mã số doanh nghiệp: 0318031708</x:v>
      </x:c>
      <x:c r="N170"/>
      <x:c r="O170" t="str">
        <x:v>Thu hồi số tiếp nhận; đình chỉ lưu hành và thu hồi (QĐ 126/QĐ-QLD)</x:v>
      </x:c>
      <x:c r="P170" t="str">
        <x:v>A++ – Cục Quản lý Dược; company responsibility explicit</x:v>
      </x:c>
      <x:c r="Q170" t="str">
        <x:v>QĐ126/2026, STT 140, trang 15.</x:v>
      </x:c>
      <x:c r="R170" t="str">
        <x:v>https://dav.gov.vn/quyet-dinh-so-126qd-qld-ve-viec-thu-hoi-so-tiep-nhan-phieu-cong-bo-san-pham-my-pham-dinh-chi-luu-hanh-va-thu-hoi-san-pham-my-pham-theo-kl-cua-hd-my-pham-asean-doi-voi-san-pham-my-pham-co-chua-chat-cyclotetrasiloxane-octamethylcyclotetrasiloxane-n5224.html</x:v>
      </x:c>
      <x:c r="S170" t="str">
        <x:v>TP. Hồ Chí Minh</x:v>
      </x:c>
      <x:c r="T170" t="str">
        <x:v>79</x:v>
      </x:c>
    </x:row>
    <x:row r="171">
      <x:c r="A171" t="n">
        <x:v>170</x:v>
      </x:c>
      <x:c r="B171" s="330" t="n">
        <x:v>45477</x:v>
      </x:c>
      <x:c r="C171" s="330" t="n">
        <x:v>46080</x:v>
      </x:c>
      <x:c r="D171" t="n">
        <x:v>2024</x:v>
      </x:c>
      <x:c r="E171" t="n">
        <x:v>7</x:v>
      </x:c>
      <x:c r="F171" t="str">
        <x:v>241701/24/CBMP-QLD</x:v>
      </x:c>
      <x:c r="G171"/>
      <x:c r="H171" t="str">
        <x:v>Luit Professional Heating Perm 1 Damaged Hair</x:v>
      </x:c>
      <x:c r="I171" t="str">
        <x:v>Luit</x:v>
      </x:c>
      <x:c r="J171" t="str">
        <x:v>Uốn/duỗi/giữ nếp tóc</x:v>
      </x:c>
      <x:c r="K171"/>
      <x:c r="L171" t="str">
        <x:v>Công ty TNHH FLABOIS VIỆT NAM</x:v>
      </x:c>
      <x:c r="M171" t="str">
        <x:v>98 Bùi Thị Xuân, phường Bến Thành, Quận 1, TP. Hồ Chí Minh, Việt Nam. Mã số doanh nghiệp: 0318031708</x:v>
      </x:c>
      <x:c r="N171"/>
      <x:c r="O171" t="str">
        <x:v>Thu hồi số tiếp nhận; đình chỉ lưu hành và thu hồi (QĐ 126/QĐ-QLD)</x:v>
      </x:c>
      <x:c r="P171" t="str">
        <x:v>A++ – Cục Quản lý Dược; company responsibility explicit</x:v>
      </x:c>
      <x:c r="Q171" t="str">
        <x:v>QĐ126/2026, STT 141, trang 15.</x:v>
      </x:c>
      <x:c r="R171" t="str">
        <x:v>https://dav.gov.vn/quyet-dinh-so-126qd-qld-ve-viec-thu-hoi-so-tiep-nhan-phieu-cong-bo-san-pham-my-pham-dinh-chi-luu-hanh-va-thu-hoi-san-pham-my-pham-theo-kl-cua-hd-my-pham-asean-doi-voi-san-pham-my-pham-co-chua-chat-cyclotetrasiloxane-octamethylcyclotetrasiloxane-n5224.html</x:v>
      </x:c>
      <x:c r="S171" t="str">
        <x:v>TP. Hồ Chí Minh</x:v>
      </x:c>
      <x:c r="T171" t="str">
        <x:v>79</x:v>
      </x:c>
    </x:row>
    <x:row r="172">
      <x:c r="A172" t="n">
        <x:v>171</x:v>
      </x:c>
      <x:c r="B172" s="330" t="n">
        <x:v>45477</x:v>
      </x:c>
      <x:c r="C172" s="330" t="n">
        <x:v>46080</x:v>
      </x:c>
      <x:c r="D172" t="n">
        <x:v>2024</x:v>
      </x:c>
      <x:c r="E172" t="n">
        <x:v>7</x:v>
      </x:c>
      <x:c r="F172" t="str">
        <x:v>241980/24/CBMP-QLD</x:v>
      </x:c>
      <x:c r="G172"/>
      <x:c r="H172" t="str">
        <x:v>Luit Professional Heating Perm 1 Healthy Hair</x:v>
      </x:c>
      <x:c r="I172" t="str">
        <x:v>Luit</x:v>
      </x:c>
      <x:c r="J172" t="str">
        <x:v>Uốn/duỗi/giữ nếp tóc</x:v>
      </x:c>
      <x:c r="K172"/>
      <x:c r="L172" t="str">
        <x:v>Công ty TNHH FLABOIS VIỆT NAM</x:v>
      </x:c>
      <x:c r="M172" t="str">
        <x:v>98 Bùi Thị Xuân, phường Bến Thành, Quận 1, TP. Hồ Chí Minh, Việt Nam. Mã số doanh nghiệp: 0318031708</x:v>
      </x:c>
      <x:c r="N172"/>
      <x:c r="O172" t="str">
        <x:v>Thu hồi số tiếp nhận; đình chỉ lưu hành và thu hồi (QĐ 126/QĐ-QLD)</x:v>
      </x:c>
      <x:c r="P172" t="str">
        <x:v>A++ – Cục Quản lý Dược; company responsibility explicit</x:v>
      </x:c>
      <x:c r="Q172" t="str">
        <x:v>QĐ126/2026, STT 142, trang 15.</x:v>
      </x:c>
      <x:c r="R172" t="str">
        <x:v>https://dav.gov.vn/quyet-dinh-so-126qd-qld-ve-viec-thu-hoi-so-tiep-nhan-phieu-cong-bo-san-pham-my-pham-dinh-chi-luu-hanh-va-thu-hoi-san-pham-my-pham-theo-kl-cua-hd-my-pham-asean-doi-voi-san-pham-my-pham-co-chua-chat-cyclotetrasiloxane-octamethylcyclotetrasiloxane-n5224.html</x:v>
      </x:c>
      <x:c r="S172" t="str">
        <x:v>TP. Hồ Chí Minh</x:v>
      </x:c>
      <x:c r="T172" t="str">
        <x:v>79</x:v>
      </x:c>
    </x:row>
    <x:row r="173">
      <x:c r="A173" t="n">
        <x:v>172</x:v>
      </x:c>
      <x:c r="B173" s="330" t="n">
        <x:v>44834</x:v>
      </x:c>
      <x:c r="C173" s="330" t="n">
        <x:v>46080</x:v>
      </x:c>
      <x:c r="D173" t="n">
        <x:v>2022</x:v>
      </x:c>
      <x:c r="E173" t="n">
        <x:v>9</x:v>
      </x:c>
      <x:c r="F173" t="str">
        <x:v>184488/22/CBMP-QLD</x:v>
      </x:c>
      <x:c r="G173"/>
      <x:c r="H173" t="str">
        <x:v>Jmella In France Sparkling Rose Hair Treatment 500ml</x:v>
      </x:c>
      <x:c r="I173" t="str">
        <x:v>JMELLA</x:v>
      </x:c>
      <x:c r="J173" t="str">
        <x:v>Khác</x:v>
      </x:c>
      <x:c r="K173"/>
      <x:c r="L173" t="str">
        <x:v>Công ty TNHH GPCLUB Việt Nam</x:v>
      </x:c>
      <x:c r="M173" t="str">
        <x:v>92A Xuân Thủy, phường Thảo Điều, TP. Thủ Đức, TP. Hồ Chí Minh, Việt Nam. Mã số doanh nghiệp: 0317324490</x:v>
      </x:c>
      <x:c r="N173"/>
      <x:c r="O173" t="str">
        <x:v>Thu hồi số tiếp nhận; đình chỉ lưu hành và thu hồi (QĐ 126/QĐ-QLD)</x:v>
      </x:c>
      <x:c r="P173" t="str">
        <x:v>A++ – Cục Quản lý Dược; company responsibility explicit</x:v>
      </x:c>
      <x:c r="Q173" t="str">
        <x:v>QĐ126/2026, STT 153, trang 16.</x:v>
      </x:c>
      <x:c r="R173" t="str">
        <x:v>https://dav.gov.vn/quyet-dinh-so-126qd-qld-ve-viec-thu-hoi-so-tiep-nhan-phieu-cong-bo-san-pham-my-pham-dinh-chi-luu-hanh-va-thu-hoi-san-pham-my-pham-theo-kl-cua-hd-my-pham-asean-doi-voi-san-pham-my-pham-co-chua-chat-cyclotetrasiloxane-octamethylcyclotetrasiloxane-n5224.html</x:v>
      </x:c>
      <x:c r="S173" t="str">
        <x:v>TP. Hồ Chí Minh</x:v>
      </x:c>
      <x:c r="T173" t="str">
        <x:v>79</x:v>
      </x:c>
    </x:row>
    <x:row r="174">
      <x:c r="A174" t="n">
        <x:v>173</x:v>
      </x:c>
      <x:c r="B174" s="330" t="n">
        <x:v>44841</x:v>
      </x:c>
      <x:c r="C174" s="330" t="n">
        <x:v>46080</x:v>
      </x:c>
      <x:c r="D174" t="n">
        <x:v>2022</x:v>
      </x:c>
      <x:c r="E174" t="n">
        <x:v>10</x:v>
      </x:c>
      <x:c r="F174" t="str">
        <x:v>185092/22/CBMP-QLD</x:v>
      </x:c>
      <x:c r="G174"/>
      <x:c r="H174" t="str">
        <x:v>Jmella In France Rose Suede Hair Treatment 500ml</x:v>
      </x:c>
      <x:c r="I174" t="str">
        <x:v>JMELLA</x:v>
      </x:c>
      <x:c r="J174" t="str">
        <x:v>Khác</x:v>
      </x:c>
      <x:c r="K174"/>
      <x:c r="L174" t="str">
        <x:v>Công ty TNHH GPCLUB Việt Nam</x:v>
      </x:c>
      <x:c r="M174" t="str">
        <x:v>92A Xuân Thủy, phường Thảo Điều, TP. Thủ Đức, TP. Hồ Chí Minh, Việt Nam. Mã số doanh nghiệp: 0317324490</x:v>
      </x:c>
      <x:c r="N174"/>
      <x:c r="O174" t="str">
        <x:v>Thu hồi số tiếp nhận; đình chỉ lưu hành và thu hồi (QĐ 126/QĐ-QLD)</x:v>
      </x:c>
      <x:c r="P174" t="str">
        <x:v>A++ – Cục Quản lý Dược; company responsibility explicit</x:v>
      </x:c>
      <x:c r="Q174" t="str">
        <x:v>QĐ126/2026, STT 154, trang 16.</x:v>
      </x:c>
      <x:c r="R174" t="str">
        <x:v>https://dav.gov.vn/quyet-dinh-so-126qd-qld-ve-viec-thu-hoi-so-tiep-nhan-phieu-cong-bo-san-pham-my-pham-dinh-chi-luu-hanh-va-thu-hoi-san-pham-my-pham-theo-kl-cua-hd-my-pham-asean-doi-voi-san-pham-my-pham-co-chua-chat-cyclotetrasiloxane-octamethylcyclotetrasiloxane-n5224.html</x:v>
      </x:c>
      <x:c r="S174" t="str">
        <x:v>TP. Hồ Chí Minh</x:v>
      </x:c>
      <x:c r="T174" t="str">
        <x:v>79</x:v>
      </x:c>
    </x:row>
    <x:row r="175">
      <x:c r="A175" t="n">
        <x:v>174</x:v>
      </x:c>
      <x:c r="B175" s="330" t="n">
        <x:v>44841</x:v>
      </x:c>
      <x:c r="C175" s="330" t="n">
        <x:v>46080</x:v>
      </x:c>
      <x:c r="D175" t="n">
        <x:v>2022</x:v>
      </x:c>
      <x:c r="E175" t="n">
        <x:v>10</x:v>
      </x:c>
      <x:c r="F175" t="str">
        <x:v>185093/22/CBMP-QLD</x:v>
      </x:c>
      <x:c r="G175"/>
      <x:c r="H175" t="str">
        <x:v>Jmella In France Blooming Peony Hair Treatment 500ml</x:v>
      </x:c>
      <x:c r="I175" t="str">
        <x:v>JMELLA</x:v>
      </x:c>
      <x:c r="J175" t="str">
        <x:v>Khác</x:v>
      </x:c>
      <x:c r="K175"/>
      <x:c r="L175" t="str">
        <x:v>Công ty TNHH GPCLUB Việt Nam</x:v>
      </x:c>
      <x:c r="M175" t="str">
        <x:v>92A Xuân Thủy, phường Thảo Điều, TP. Thủ Đức, TP. Hồ Chí Minh, Việt Nam. Mã số doanh nghiệp: 0317324490</x:v>
      </x:c>
      <x:c r="N175"/>
      <x:c r="O175" t="str">
        <x:v>Thu hồi số tiếp nhận; đình chỉ lưu hành và thu hồi (QĐ 126/QĐ-QLD)</x:v>
      </x:c>
      <x:c r="P175" t="str">
        <x:v>A++ – Cục Quản lý Dược; company responsibility explicit</x:v>
      </x:c>
      <x:c r="Q175" t="str">
        <x:v>QĐ126/2026, STT 155, trang 16.</x:v>
      </x:c>
      <x:c r="R175" t="str">
        <x:v>https://dav.gov.vn/quyet-dinh-so-126qd-qld-ve-viec-thu-hoi-so-tiep-nhan-phieu-cong-bo-san-pham-my-pham-dinh-chi-luu-hanh-va-thu-hoi-san-pham-my-pham-theo-kl-cua-hd-my-pham-asean-doi-voi-san-pham-my-pham-co-chua-chat-cyclotetrasiloxane-octamethylcyclotetrasiloxane-n5224.html</x:v>
      </x:c>
      <x:c r="S175" t="str">
        <x:v>TP. Hồ Chí Minh</x:v>
      </x:c>
      <x:c r="T175" t="str">
        <x:v>79</x:v>
      </x:c>
    </x:row>
    <x:row r="176">
      <x:c r="A176" t="n">
        <x:v>175</x:v>
      </x:c>
      <x:c r="B176" s="330" t="n">
        <x:v>44841</x:v>
      </x:c>
      <x:c r="C176" s="330" t="n">
        <x:v>46080</x:v>
      </x:c>
      <x:c r="D176" t="n">
        <x:v>2022</x:v>
      </x:c>
      <x:c r="E176" t="n">
        <x:v>10</x:v>
      </x:c>
      <x:c r="F176" t="str">
        <x:v>185094/22/CBMP-QLD</x:v>
      </x:c>
      <x:c r="G176"/>
      <x:c r="H176" t="str">
        <x:v>Jmella In France Femme Fatale Hair Treatment 500ml</x:v>
      </x:c>
      <x:c r="I176" t="str">
        <x:v>JMELLA</x:v>
      </x:c>
      <x:c r="J176" t="str">
        <x:v>Khác</x:v>
      </x:c>
      <x:c r="K176"/>
      <x:c r="L176" t="str">
        <x:v>Công ty TNHH GPCLUB Việt Nam</x:v>
      </x:c>
      <x:c r="M176" t="str">
        <x:v>92A Xuân Thủy, phường Thảo Điều, TP. Thủ Đức, TP. Hồ Chí Minh, Việt Nam. Mã số doanh nghiệp: 0317324490</x:v>
      </x:c>
      <x:c r="N176"/>
      <x:c r="O176" t="str">
        <x:v>Thu hồi số tiếp nhận; đình chỉ lưu hành và thu hồi (QĐ 126/QĐ-QLD)</x:v>
      </x:c>
      <x:c r="P176" t="str">
        <x:v>A++ – Cục Quản lý Dược; company responsibility explicit</x:v>
      </x:c>
      <x:c r="Q176" t="str">
        <x:v>QĐ126/2026, STT 156, trang 16.</x:v>
      </x:c>
      <x:c r="R176" t="str">
        <x:v>https://dav.gov.vn/quyet-dinh-so-126qd-qld-ve-viec-thu-hoi-so-tiep-nhan-phieu-cong-bo-san-pham-my-pham-dinh-chi-luu-hanh-va-thu-hoi-san-pham-my-pham-theo-kl-cua-hd-my-pham-asean-doi-voi-san-pham-my-pham-co-chua-chat-cyclotetrasiloxane-octamethylcyclotetrasiloxane-n5224.html</x:v>
      </x:c>
      <x:c r="S176" t="str">
        <x:v>TP. Hồ Chí Minh</x:v>
      </x:c>
      <x:c r="T176" t="str">
        <x:v>79</x:v>
      </x:c>
    </x:row>
    <x:row r="177">
      <x:c r="A177" t="n">
        <x:v>176</x:v>
      </x:c>
      <x:c r="B177" s="330" t="n">
        <x:v>44841</x:v>
      </x:c>
      <x:c r="C177" s="330" t="n">
        <x:v>46080</x:v>
      </x:c>
      <x:c r="D177" t="n">
        <x:v>2022</x:v>
      </x:c>
      <x:c r="E177" t="n">
        <x:v>10</x:v>
      </x:c>
      <x:c r="F177" t="str">
        <x:v>185095/22/CBMP-QLD</x:v>
      </x:c>
      <x:c r="G177"/>
      <x:c r="H177" t="str">
        <x:v>Jmella In France Lime &amp; Basil Hair Treatment 500ml</x:v>
      </x:c>
      <x:c r="I177" t="str">
        <x:v>JMELLA</x:v>
      </x:c>
      <x:c r="J177" t="str">
        <x:v>Khác</x:v>
      </x:c>
      <x:c r="K177"/>
      <x:c r="L177" t="str">
        <x:v>Công ty TNHH GPCLUB Việt Nam</x:v>
      </x:c>
      <x:c r="M177" t="str">
        <x:v>92A Xuân Thủy, phường Thảo Điều, TP. Thủ Đức, TP. Hồ Chí Minh, Việt Nam. Mã số doanh nghiệp: 0317324490</x:v>
      </x:c>
      <x:c r="N177"/>
      <x:c r="O177" t="str">
        <x:v>Thu hồi số tiếp nhận; đình chỉ lưu hành và thu hồi (QĐ 126/QĐ-QLD)</x:v>
      </x:c>
      <x:c r="P177" t="str">
        <x:v>A++ – Cục Quản lý Dược; company responsibility explicit</x:v>
      </x:c>
      <x:c r="Q177" t="str">
        <x:v>QĐ126/2026, STT 157, trang 16.</x:v>
      </x:c>
      <x:c r="R177" t="str">
        <x:v>https://dav.gov.vn/quyet-dinh-so-126qd-qld-ve-viec-thu-hoi-so-tiep-nhan-phieu-cong-bo-san-pham-my-pham-dinh-chi-luu-hanh-va-thu-hoi-san-pham-my-pham-theo-kl-cua-hd-my-pham-asean-doi-voi-san-pham-my-pham-co-chua-chat-cyclotetrasiloxane-octamethylcyclotetrasiloxane-n5224.html</x:v>
      </x:c>
      <x:c r="S177" t="str">
        <x:v>TP. Hồ Chí Minh</x:v>
      </x:c>
      <x:c r="T177" t="str">
        <x:v>79</x:v>
      </x:c>
    </x:row>
    <x:row r="178">
      <x:c r="A178" t="n">
        <x:v>177</x:v>
      </x:c>
      <x:c r="B178" s="330" t="n">
        <x:v>44841</x:v>
      </x:c>
      <x:c r="C178" s="330" t="n">
        <x:v>46080</x:v>
      </x:c>
      <x:c r="D178" t="n">
        <x:v>2022</x:v>
      </x:c>
      <x:c r="E178" t="n">
        <x:v>10</x:v>
      </x:c>
      <x:c r="F178" t="str">
        <x:v>185096/22/CBMP-QLD</x:v>
      </x:c>
      <x:c r="G178"/>
      <x:c r="H178" t="str">
        <x:v>Jmella In France Queen 5 Hair Treatment 500ml</x:v>
      </x:c>
      <x:c r="I178" t="str">
        <x:v>JMELLA</x:v>
      </x:c>
      <x:c r="J178" t="str">
        <x:v>Khác</x:v>
      </x:c>
      <x:c r="K178"/>
      <x:c r="L178" t="str">
        <x:v>Công ty TNHH GPCLUB Việt Nam</x:v>
      </x:c>
      <x:c r="M178" t="str">
        <x:v>92A Xuân Thủy, phường Thảo Điều, TP. Thủ Đức, TP. Hồ Chí Minh, Việt Nam. Mã số doanh nghiệp: 0317324490</x:v>
      </x:c>
      <x:c r="N178"/>
      <x:c r="O178" t="str">
        <x:v>Thu hồi số tiếp nhận; đình chỉ lưu hành và thu hồi (QĐ 126/QĐ-QLD)</x:v>
      </x:c>
      <x:c r="P178" t="str">
        <x:v>A++ – Cục Quản lý Dược; company responsibility explicit</x:v>
      </x:c>
      <x:c r="Q178" t="str">
        <x:v>QĐ126/2026, STT 158, trang 16.</x:v>
      </x:c>
      <x:c r="R178" t="str">
        <x:v>https://dav.gov.vn/quyet-dinh-so-126qd-qld-ve-viec-thu-hoi-so-tiep-nhan-phieu-cong-bo-san-pham-my-pham-dinh-chi-luu-hanh-va-thu-hoi-san-pham-my-pham-theo-kl-cua-hd-my-pham-asean-doi-voi-san-pham-my-pham-co-chua-chat-cyclotetrasiloxane-octamethylcyclotetrasiloxane-n5224.html</x:v>
      </x:c>
      <x:c r="S178" t="str">
        <x:v>TP. Hồ Chí Minh</x:v>
      </x:c>
      <x:c r="T178" t="str">
        <x:v>79</x:v>
      </x:c>
    </x:row>
    <x:row r="179">
      <x:c r="A179" t="n">
        <x:v>178</x:v>
      </x:c>
      <x:c r="B179" s="330" t="n">
        <x:v>44844</x:v>
      </x:c>
      <x:c r="C179" s="330" t="n">
        <x:v>46080</x:v>
      </x:c>
      <x:c r="D179" t="n">
        <x:v>2022</x:v>
      </x:c>
      <x:c r="E179" t="n">
        <x:v>10</x:v>
      </x:c>
      <x:c r="F179" t="str">
        <x:v>185101/22/CBMP-QLD</x:v>
      </x:c>
      <x:c r="G179"/>
      <x:c r="H179" t="str">
        <x:v>Jmella In France Maison Soir Hair Treatment 500ml</x:v>
      </x:c>
      <x:c r="I179" t="str">
        <x:v>JMELLA</x:v>
      </x:c>
      <x:c r="J179" t="str">
        <x:v>Khác</x:v>
      </x:c>
      <x:c r="K179"/>
      <x:c r="L179" t="str">
        <x:v>Công ty TNHH GPCLUB Việt Nam</x:v>
      </x:c>
      <x:c r="M179" t="str">
        <x:v>92A Xuân Thủy, phường Thảo Điều, TP. Thủ Đức, TP. Hồ Chí Minh, Việt Nam. Mã số doanh nghiệp: 0317324490</x:v>
      </x:c>
      <x:c r="N179"/>
      <x:c r="O179" t="str">
        <x:v>Thu hồi số tiếp nhận; đình chỉ lưu hành và thu hồi (QĐ 126/QĐ-QLD)</x:v>
      </x:c>
      <x:c r="P179" t="str">
        <x:v>A++ – Cục Quản lý Dược; company responsibility explicit</x:v>
      </x:c>
      <x:c r="Q179" t="str">
        <x:v>QĐ126/2026, STT 159, trang 16.</x:v>
      </x:c>
      <x:c r="R179" t="str">
        <x:v>https://dav.gov.vn/quyet-dinh-so-126qd-qld-ve-viec-thu-hoi-so-tiep-nhan-phieu-cong-bo-san-pham-my-pham-dinh-chi-luu-hanh-va-thu-hoi-san-pham-my-pham-theo-kl-cua-hd-my-pham-asean-doi-voi-san-pham-my-pham-co-chua-chat-cyclotetrasiloxane-octamethylcyclotetrasiloxane-n5224.html</x:v>
      </x:c>
      <x:c r="S179" t="str">
        <x:v>TP. Hồ Chí Minh</x:v>
      </x:c>
      <x:c r="T179" t="str">
        <x:v>79</x:v>
      </x:c>
    </x:row>
    <x:row r="180">
      <x:c r="A180" t="n">
        <x:v>179</x:v>
      </x:c>
      <x:c r="B180" s="330" t="n">
        <x:v>44844</x:v>
      </x:c>
      <x:c r="C180" s="330" t="n">
        <x:v>46080</x:v>
      </x:c>
      <x:c r="D180" t="n">
        <x:v>2022</x:v>
      </x:c>
      <x:c r="E180" t="n">
        <x:v>10</x:v>
      </x:c>
      <x:c r="F180" t="str">
        <x:v>185102/22/CBMP-QLD</x:v>
      </x:c>
      <x:c r="G180"/>
      <x:c r="H180" t="str">
        <x:v>Jmella In France Pure Hug Hair Treatment 500ml</x:v>
      </x:c>
      <x:c r="I180" t="str">
        <x:v>JMELLA</x:v>
      </x:c>
      <x:c r="J180" t="str">
        <x:v>Khác</x:v>
      </x:c>
      <x:c r="K180"/>
      <x:c r="L180" t="str">
        <x:v>Công ty TNHH GPCLUB Việt Nam</x:v>
      </x:c>
      <x:c r="M180" t="str">
        <x:v>92A Xuân Thủy, phường Thảo Điều, TP. Thủ Đức, TP. Hồ Chí Minh, Việt Nam. Mã số doanh nghiệp: 0317324490</x:v>
      </x:c>
      <x:c r="N180"/>
      <x:c r="O180" t="str">
        <x:v>Thu hồi số tiếp nhận; đình chỉ lưu hành và thu hồi (QĐ 126/QĐ-QLD)</x:v>
      </x:c>
      <x:c r="P180" t="str">
        <x:v>A++ – Cục Quản lý Dược; company responsibility explicit</x:v>
      </x:c>
      <x:c r="Q180" t="str">
        <x:v>QĐ126/2026, STT 160, trang 16.</x:v>
      </x:c>
      <x:c r="R180" t="str">
        <x:v>https://dav.gov.vn/quyet-dinh-so-126qd-qld-ve-viec-thu-hoi-so-tiep-nhan-phieu-cong-bo-san-pham-my-pham-dinh-chi-luu-hanh-va-thu-hoi-san-pham-my-pham-theo-kl-cua-hd-my-pham-asean-doi-voi-san-pham-my-pham-co-chua-chat-cyclotetrasiloxane-octamethylcyclotetrasiloxane-n5224.html</x:v>
      </x:c>
      <x:c r="S180" t="str">
        <x:v>TP. Hồ Chí Minh</x:v>
      </x:c>
      <x:c r="T180" t="str">
        <x:v>79</x:v>
      </x:c>
    </x:row>
    <x:row r="181">
      <x:c r="A181" t="n">
        <x:v>180</x:v>
      </x:c>
      <x:c r="B181" s="330" t="n">
        <x:v>44844</x:v>
      </x:c>
      <x:c r="C181" s="330" t="n">
        <x:v>46080</x:v>
      </x:c>
      <x:c r="D181" t="n">
        <x:v>2022</x:v>
      </x:c>
      <x:c r="E181" t="n">
        <x:v>10</x:v>
      </x:c>
      <x:c r="F181" t="str">
        <x:v>185107/22/CBMP-QLD</x:v>
      </x:c>
      <x:c r="G181"/>
      <x:c r="H181" t="str">
        <x:v>Jmella In France La Tulipe Hair Treatment 500ml</x:v>
      </x:c>
      <x:c r="I181" t="str">
        <x:v>JMELLA</x:v>
      </x:c>
      <x:c r="J181" t="str">
        <x:v>Sản phẩm môi</x:v>
      </x:c>
      <x:c r="K181"/>
      <x:c r="L181" t="str">
        <x:v>Công ty TNHH GPCLUB Việt Nam</x:v>
      </x:c>
      <x:c r="M181" t="str">
        <x:v>92A Xuân Thủy, phường Thảo Điều, TP. Thủ Đức, TP. Hồ Chí Minh, Việt Nam. Mã số doanh nghiệp: 0317324490</x:v>
      </x:c>
      <x:c r="N181"/>
      <x:c r="O181" t="str">
        <x:v>Thu hồi số tiếp nhận; đình chỉ lưu hành và thu hồi (QĐ 126/QĐ-QLD)</x:v>
      </x:c>
      <x:c r="P181" t="str">
        <x:v>A++ – Cục Quản lý Dược; company responsibility explicit</x:v>
      </x:c>
      <x:c r="Q181" t="str">
        <x:v>QĐ126/2026, STT 161, trang 16.</x:v>
      </x:c>
      <x:c r="R181" t="str">
        <x:v>https://dav.gov.vn/quyet-dinh-so-126qd-qld-ve-viec-thu-hoi-so-tiep-nhan-phieu-cong-bo-san-pham-my-pham-dinh-chi-luu-hanh-va-thu-hoi-san-pham-my-pham-theo-kl-cua-hd-my-pham-asean-doi-voi-san-pham-my-pham-co-chua-chat-cyclotetrasiloxane-octamethylcyclotetrasiloxane-n5224.html</x:v>
      </x:c>
      <x:c r="S181" t="str">
        <x:v>TP. Hồ Chí Minh</x:v>
      </x:c>
      <x:c r="T181" t="str">
        <x:v>79</x:v>
      </x:c>
    </x:row>
    <x:row r="182">
      <x:c r="A182" t="n">
        <x:v>181</x:v>
      </x:c>
      <x:c r="B182" s="330" t="n">
        <x:v>44844</x:v>
      </x:c>
      <x:c r="C182" s="330" t="n">
        <x:v>46080</x:v>
      </x:c>
      <x:c r="D182" t="n">
        <x:v>2022</x:v>
      </x:c>
      <x:c r="E182" t="n">
        <x:v>10</x:v>
      </x:c>
      <x:c r="F182" t="str">
        <x:v>185108/22/CBMP-QLD</x:v>
      </x:c>
      <x:c r="G182"/>
      <x:c r="H182" t="str">
        <x:v>Jmella In France Do Tyque Hair Treatment 500ml</x:v>
      </x:c>
      <x:c r="I182" t="str">
        <x:v>JMELLA</x:v>
      </x:c>
      <x:c r="J182" t="str">
        <x:v>Khác</x:v>
      </x:c>
      <x:c r="K182"/>
      <x:c r="L182" t="str">
        <x:v>Công ty TNHH GPCLUB Việt Nam</x:v>
      </x:c>
      <x:c r="M182" t="str">
        <x:v>92A Xuân Thủy, phường Thảo Điều, TP. Thủ Đức, TP. Hồ Chí Minh, Việt Nam. Mã số doanh nghiệp: 0317324490</x:v>
      </x:c>
      <x:c r="N182"/>
      <x:c r="O182" t="str">
        <x:v>Thu hồi số tiếp nhận; đình chỉ lưu hành và thu hồi (QĐ 126/QĐ-QLD)</x:v>
      </x:c>
      <x:c r="P182" t="str">
        <x:v>A++ – Cục Quản lý Dược; company responsibility explicit</x:v>
      </x:c>
      <x:c r="Q182" t="str">
        <x:v>QĐ126/2026, STT 162, trang 17.</x:v>
      </x:c>
      <x:c r="R182" t="str">
        <x:v>https://dav.gov.vn/quyet-dinh-so-126qd-qld-ve-viec-thu-hoi-so-tiep-nhan-phieu-cong-bo-san-pham-my-pham-dinh-chi-luu-hanh-va-thu-hoi-san-pham-my-pham-theo-kl-cua-hd-my-pham-asean-doi-voi-san-pham-my-pham-co-chua-chat-cyclotetrasiloxane-octamethylcyclotetrasiloxane-n5224.html</x:v>
      </x:c>
      <x:c r="S182" t="str">
        <x:v>TP. Hồ Chí Minh</x:v>
      </x:c>
      <x:c r="T182" t="str">
        <x:v>79</x:v>
      </x:c>
    </x:row>
    <x:row r="183">
      <x:c r="A183" t="n">
        <x:v>182</x:v>
      </x:c>
      <x:c r="B183" s="330" t="n">
        <x:v>45065</x:v>
      </x:c>
      <x:c r="C183" s="330" t="n">
        <x:v>46080</x:v>
      </x:c>
      <x:c r="D183" t="n">
        <x:v>2023</x:v>
      </x:c>
      <x:c r="E183" t="n">
        <x:v>5</x:v>
      </x:c>
      <x:c r="F183" t="str">
        <x:v>202034/23/CBMP-QLD</x:v>
      </x:c>
      <x:c r="G183"/>
      <x:c r="H183" t="str">
        <x:v>Jmella In France Disney Forest Dew Hair Treatment</x:v>
      </x:c>
      <x:c r="I183" t="str">
        <x:v>JMELLA</x:v>
      </x:c>
      <x:c r="J183" t="str">
        <x:v>Khác</x:v>
      </x:c>
      <x:c r="K183"/>
      <x:c r="L183" t="str">
        <x:v>Công ty TNHH GPCLUB Việt Nam</x:v>
      </x:c>
      <x:c r="M183" t="str">
        <x:v>92A Xuân Thủy, phường Thảo Điều, TP. Thủ Đức, TP. Hồ Chí Minh, Việt Nam. Mã số doanh nghiệp: 0317324490</x:v>
      </x:c>
      <x:c r="N183"/>
      <x:c r="O183" t="str">
        <x:v>Thu hồi số tiếp nhận; đình chỉ lưu hành và thu hồi (QĐ 126/QĐ-QLD)</x:v>
      </x:c>
      <x:c r="P183" t="str">
        <x:v>A++ – Cục Quản lý Dược; company responsibility explicit</x:v>
      </x:c>
      <x:c r="Q183" t="str">
        <x:v>QĐ126/2026, STT 163, trang 17.</x:v>
      </x:c>
      <x:c r="R183" t="str">
        <x:v>https://dav.gov.vn/quyet-dinh-so-126qd-qld-ve-viec-thu-hoi-so-tiep-nhan-phieu-cong-bo-san-pham-my-pham-dinh-chi-luu-hanh-va-thu-hoi-san-pham-my-pham-theo-kl-cua-hd-my-pham-asean-doi-voi-san-pham-my-pham-co-chua-chat-cyclotetrasiloxane-octamethylcyclotetrasiloxane-n5224.html</x:v>
      </x:c>
      <x:c r="S183" t="str">
        <x:v>TP. Hồ Chí Minh</x:v>
      </x:c>
      <x:c r="T183" t="str">
        <x:v>79</x:v>
      </x:c>
    </x:row>
    <x:row r="184">
      <x:c r="A184" t="n">
        <x:v>183</x:v>
      </x:c>
      <x:c r="B184" s="330" t="n">
        <x:v>45065</x:v>
      </x:c>
      <x:c r="C184" s="330" t="n">
        <x:v>46080</x:v>
      </x:c>
      <x:c r="D184" t="n">
        <x:v>2023</x:v>
      </x:c>
      <x:c r="E184" t="n">
        <x:v>5</x:v>
      </x:c>
      <x:c r="F184" t="str">
        <x:v>202039/23/CBMP-QLD</x:v>
      </x:c>
      <x:c r="G184"/>
      <x:c r="H184" t="str">
        <x:v>Jmella In France Disney Spring Apple Hair Treatment</x:v>
      </x:c>
      <x:c r="I184" t="str">
        <x:v>JMELLA</x:v>
      </x:c>
      <x:c r="J184" t="str">
        <x:v>Khác</x:v>
      </x:c>
      <x:c r="K184"/>
      <x:c r="L184" t="str">
        <x:v>Công ty TNHH GPCLUB Việt Nam</x:v>
      </x:c>
      <x:c r="M184" t="str">
        <x:v>92A Xuân Thủy, phường Thảo Điều, TP. Thủ Đức, TP. Hồ Chí Minh, Việt Nam. Mã số doanh nghiệp: 0317324490</x:v>
      </x:c>
      <x:c r="N184"/>
      <x:c r="O184" t="str">
        <x:v>Thu hồi số tiếp nhận; đình chỉ lưu hành và thu hồi (QĐ 126/QĐ-QLD)</x:v>
      </x:c>
      <x:c r="P184" t="str">
        <x:v>A++ – Cục Quản lý Dược; company responsibility explicit</x:v>
      </x:c>
      <x:c r="Q184" t="str">
        <x:v>QĐ126/2026, STT 164, trang 17.</x:v>
      </x:c>
      <x:c r="R184" t="str">
        <x:v>https://dav.gov.vn/quyet-dinh-so-126qd-qld-ve-viec-thu-hoi-so-tiep-nhan-phieu-cong-bo-san-pham-my-pham-dinh-chi-luu-hanh-va-thu-hoi-san-pham-my-pham-theo-kl-cua-hd-my-pham-asean-doi-voi-san-pham-my-pham-co-chua-chat-cyclotetrasiloxane-octamethylcyclotetrasiloxane-n5224.html</x:v>
      </x:c>
      <x:c r="S184" t="str">
        <x:v>TP. Hồ Chí Minh</x:v>
      </x:c>
      <x:c r="T184" t="str">
        <x:v>79</x:v>
      </x:c>
    </x:row>
    <x:row r="185">
      <x:c r="A185" t="n">
        <x:v>184</x:v>
      </x:c>
      <x:c r="B185" s="330" t="n">
        <x:v>45065</x:v>
      </x:c>
      <x:c r="C185" s="330" t="n">
        <x:v>46080</x:v>
      </x:c>
      <x:c r="D185" t="n">
        <x:v>2023</x:v>
      </x:c>
      <x:c r="E185" t="n">
        <x:v>5</x:v>
      </x:c>
      <x:c r="F185" t="str">
        <x:v>202040/23/CBMP-QLD</x:v>
      </x:c>
      <x:c r="G185"/>
      <x:c r="H185" t="str">
        <x:v>Jmella In France Disney Dark Orchid Hair Treatment</x:v>
      </x:c>
      <x:c r="I185" t="str">
        <x:v>JMELLA</x:v>
      </x:c>
      <x:c r="J185" t="str">
        <x:v>Khác</x:v>
      </x:c>
      <x:c r="K185"/>
      <x:c r="L185" t="str">
        <x:v>Công ty TNHH GPCLUB Việt Nam</x:v>
      </x:c>
      <x:c r="M185" t="str">
        <x:v>92A Xuân Thủy, phường Thảo Điều, TP. Thủ Đức, TP. Hồ Chí Minh, Việt Nam. Mã số doanh nghiệp: 0317324490</x:v>
      </x:c>
      <x:c r="N185"/>
      <x:c r="O185" t="str">
        <x:v>Thu hồi số tiếp nhận; đình chỉ lưu hành và thu hồi (QĐ 126/QĐ-QLD)</x:v>
      </x:c>
      <x:c r="P185" t="str">
        <x:v>A++ – Cục Quản lý Dược; company responsibility explicit</x:v>
      </x:c>
      <x:c r="Q185" t="str">
        <x:v>QĐ126/2026, STT 165, trang 17.</x:v>
      </x:c>
      <x:c r="R185" t="str">
        <x:v>https://dav.gov.vn/quyet-dinh-so-126qd-qld-ve-viec-thu-hoi-so-tiep-nhan-phieu-cong-bo-san-pham-my-pham-dinh-chi-luu-hanh-va-thu-hoi-san-pham-my-pham-theo-kl-cua-hd-my-pham-asean-doi-voi-san-pham-my-pham-co-chua-chat-cyclotetrasiloxane-octamethylcyclotetrasiloxane-n5224.html</x:v>
      </x:c>
      <x:c r="S185" t="str">
        <x:v>TP. Hồ Chí Minh</x:v>
      </x:c>
      <x:c r="T185" t="str">
        <x:v>79</x:v>
      </x:c>
    </x:row>
    <x:row r="186">
      <x:c r="A186" t="n">
        <x:v>185</x:v>
      </x:c>
      <x:c r="B186" s="330" t="n">
        <x:v>45065</x:v>
      </x:c>
      <x:c r="C186" s="330" t="n">
        <x:v>46080</x:v>
      </x:c>
      <x:c r="D186" t="n">
        <x:v>2023</x:v>
      </x:c>
      <x:c r="E186" t="n">
        <x:v>5</x:v>
      </x:c>
      <x:c r="F186" t="str">
        <x:v>202074/23/CBMP-QLD</x:v>
      </x:c>
      <x:c r="G186"/>
      <x:c r="H186" t="str">
        <x:v>Jmella In France Disney Lazy Vibes Hair Treatment</x:v>
      </x:c>
      <x:c r="I186" t="str">
        <x:v>JMELLA</x:v>
      </x:c>
      <x:c r="J186" t="str">
        <x:v>Khác</x:v>
      </x:c>
      <x:c r="K186"/>
      <x:c r="L186" t="str">
        <x:v>Công ty TNHH GPCLUB Việt Nam</x:v>
      </x:c>
      <x:c r="M186" t="str">
        <x:v>92A Xuân Thủy, phường Thảo Điều, TP. Thủ Đức, TP. Hồ Chí Minh, Việt Nam. Mã số doanh nghiệp: 0317324490</x:v>
      </x:c>
      <x:c r="N186"/>
      <x:c r="O186" t="str">
        <x:v>Thu hồi số tiếp nhận; đình chỉ lưu hành và thu hồi (QĐ 126/QĐ-QLD)</x:v>
      </x:c>
      <x:c r="P186" t="str">
        <x:v>A++ – Cục Quản lý Dược; company responsibility explicit</x:v>
      </x:c>
      <x:c r="Q186" t="str">
        <x:v>QĐ126/2026, STT 166, trang 17.</x:v>
      </x:c>
      <x:c r="R186" t="str">
        <x:v>https://dav.gov.vn/quyet-dinh-so-126qd-qld-ve-viec-thu-hoi-so-tiep-nhan-phieu-cong-bo-san-pham-my-pham-dinh-chi-luu-hanh-va-thu-hoi-san-pham-my-pham-theo-kl-cua-hd-my-pham-asean-doi-voi-san-pham-my-pham-co-chua-chat-cyclotetrasiloxane-octamethylcyclotetrasiloxane-n5224.html</x:v>
      </x:c>
      <x:c r="S186" t="str">
        <x:v>TP. Hồ Chí Minh</x:v>
      </x:c>
      <x:c r="T186" t="str">
        <x:v>79</x:v>
      </x:c>
    </x:row>
    <x:row r="187">
      <x:c r="A187" t="n">
        <x:v>186</x:v>
      </x:c>
      <x:c r="B187" s="330" t="n">
        <x:v>44718</x:v>
      </x:c>
      <x:c r="C187" s="330" t="n">
        <x:v>46080</x:v>
      </x:c>
      <x:c r="D187" t="n">
        <x:v>2022</x:v>
      </x:c>
      <x:c r="E187" t="n">
        <x:v>6</x:v>
      </x:c>
      <x:c r="F187" t="str">
        <x:v>171644/22/CBMP-QLD</x:v>
      </x:c>
      <x:c r="G187"/>
      <x:c r="H187" t="str">
        <x:v>Dr.Halemalie Aqua Deep Hydration Day Cream</x:v>
      </x:c>
      <x:c r="I187" t="str">
        <x:v>Dr.Halemal ie</x:v>
      </x:c>
      <x:c r="J187" t="str">
        <x:v>Kem dưỡng da</x:v>
      </x:c>
      <x:c r="K187"/>
      <x:c r="L187" t="str">
        <x:v>Công ty TNHH HALE MALIE</x:v>
      </x:c>
      <x:c r="M187" t="str">
        <x:v>Q12 Bạch Mã, Cư Xá Bắc Hải, Phường 15, Quận 10, TP. Hồ Chí Minh, Việt Nam. Mã số doanh nghiệp: 0315314384</x:v>
      </x:c>
      <x:c r="N187"/>
      <x:c r="O187" t="str">
        <x:v>Thu hồi số tiếp nhận; đình chỉ lưu hành và thu hồi (QĐ 126/QĐ-QLD)</x:v>
      </x:c>
      <x:c r="P187" t="str">
        <x:v>A++ – Cục Quản lý Dược; company responsibility explicit</x:v>
      </x:c>
      <x:c r="Q187" t="str">
        <x:v>QĐ126/2026, STT 172, trang 17.</x:v>
      </x:c>
      <x:c r="R187" t="str">
        <x:v>https://dav.gov.vn/quyet-dinh-so-126qd-qld-ve-viec-thu-hoi-so-tiep-nhan-phieu-cong-bo-san-pham-my-pham-dinh-chi-luu-hanh-va-thu-hoi-san-pham-my-pham-theo-kl-cua-hd-my-pham-asean-doi-voi-san-pham-my-pham-co-chua-chat-cyclotetrasiloxane-octamethylcyclotetrasiloxane-n5224.html</x:v>
      </x:c>
      <x:c r="S187" t="str">
        <x:v>TP. Hồ Chí Minh</x:v>
      </x:c>
      <x:c r="T187" t="str">
        <x:v>79</x:v>
      </x:c>
    </x:row>
    <x:row r="188">
      <x:c r="A188" t="n">
        <x:v>187</x:v>
      </x:c>
      <x:c r="B188" s="330" t="n">
        <x:v>44965</x:v>
      </x:c>
      <x:c r="C188" s="330" t="n">
        <x:v>46080</x:v>
      </x:c>
      <x:c r="D188" t="n">
        <x:v>2023</x:v>
      </x:c>
      <x:c r="E188" t="n">
        <x:v>2</x:v>
      </x:c>
      <x:c r="F188" t="str">
        <x:v>194482/23/CBMP-QLD</x:v>
      </x:c>
      <x:c r="G188"/>
      <x:c r="H188" t="str">
        <x:v>Dr.Halemalie Shield Recovery Balm</x:v>
      </x:c>
      <x:c r="I188" t="str">
        <x:v>Dr.Halemal ie</x:v>
      </x:c>
      <x:c r="J188" t="str">
        <x:v>Khác</x:v>
      </x:c>
      <x:c r="K188"/>
      <x:c r="L188" t="str">
        <x:v>Công ty TNHH HALE MALIE</x:v>
      </x:c>
      <x:c r="M188" t="str">
        <x:v>Q12 Bạch Mã, Cư Xá Bắc Hải, Phường 15, Quận 10, TP. Hồ Chí Minh, Việt Nam. Mã số doanh nghiệp: 0315314384</x:v>
      </x:c>
      <x:c r="N188"/>
      <x:c r="O188" t="str">
        <x:v>Thu hồi số tiếp nhận; đình chỉ lưu hành và thu hồi (QĐ 126/QĐ-QLD)</x:v>
      </x:c>
      <x:c r="P188" t="str">
        <x:v>A++ – Cục Quản lý Dược; company responsibility explicit</x:v>
      </x:c>
      <x:c r="Q188" t="str">
        <x:v>QĐ126/2026, STT 173, trang 17.</x:v>
      </x:c>
      <x:c r="R188" t="str">
        <x:v>https://dav.gov.vn/quyet-dinh-so-126qd-qld-ve-viec-thu-hoi-so-tiep-nhan-phieu-cong-bo-san-pham-my-pham-dinh-chi-luu-hanh-va-thu-hoi-san-pham-my-pham-theo-kl-cua-hd-my-pham-asean-doi-voi-san-pham-my-pham-co-chua-chat-cyclotetrasiloxane-octamethylcyclotetrasiloxane-n5224.html</x:v>
      </x:c>
      <x:c r="S188" t="str">
        <x:v>TP. Hồ Chí Minh</x:v>
      </x:c>
      <x:c r="T188" t="str">
        <x:v>79</x:v>
      </x:c>
    </x:row>
    <x:row r="189">
      <x:c r="A189" t="n">
        <x:v>188</x:v>
      </x:c>
      <x:c r="B189" s="330" t="n">
        <x:v>45387</x:v>
      </x:c>
      <x:c r="C189" s="330" t="n">
        <x:v>46080</x:v>
      </x:c>
      <x:c r="D189" t="n">
        <x:v>2024</x:v>
      </x:c>
      <x:c r="E189" t="n">
        <x:v>4</x:v>
      </x:c>
      <x:c r="F189" t="str">
        <x:v>232097/24/CBMP-QLD</x:v>
      </x:c>
      <x:c r="G189"/>
      <x:c r="H189" t="str">
        <x:v>Y.O.U Golden Age Revitalizing Night Cream</x:v>
      </x:c>
      <x:c r="I189" t="str">
        <x:v>Y.O.U</x:v>
      </x:c>
      <x:c r="J189" t="str">
        <x:v>Kem dưỡng da</x:v>
      </x:c>
      <x:c r="K189"/>
      <x:c r="L189" t="str">
        <x:v>Công ty TNHH HEBE STYLE</x:v>
      </x:c>
      <x:c r="M189" t="str">
        <x:v>Số 41, Đường số 10, Khu đô thị Sala, phường An Lợi Đông, TP. Thủ Đức, TP. Hồ Chí Minh, Việt Nam. Mã số doanh nghiệp: 0317427136</x:v>
      </x:c>
      <x:c r="N189"/>
      <x:c r="O189" t="str">
        <x:v>Thu hồi số tiếp nhận; đình chỉ lưu hành và thu hồi (QĐ 126/QĐ-QLD)</x:v>
      </x:c>
      <x:c r="P189" t="str">
        <x:v>A++ – Cục Quản lý Dược; company responsibility explicit</x:v>
      </x:c>
      <x:c r="Q189" t="str">
        <x:v>QĐ126/2026, STT 174, trang 18.</x:v>
      </x:c>
      <x:c r="R189" t="str">
        <x:v>https://dav.gov.vn/quyet-dinh-so-126qd-qld-ve-viec-thu-hoi-so-tiep-nhan-phieu-cong-bo-san-pham-my-pham-dinh-chi-luu-hanh-va-thu-hoi-san-pham-my-pham-theo-kl-cua-hd-my-pham-asean-doi-voi-san-pham-my-pham-co-chua-chat-cyclotetrasiloxane-octamethylcyclotetrasiloxane-n5224.html</x:v>
      </x:c>
      <x:c r="S189" t="str">
        <x:v>TP. Hồ Chí Minh</x:v>
      </x:c>
      <x:c r="T189" t="str">
        <x:v>79</x:v>
      </x:c>
    </x:row>
    <x:row r="190">
      <x:c r="A190" t="n">
        <x:v>189</x:v>
      </x:c>
      <x:c r="B190" s="330" t="n">
        <x:v>45216</x:v>
      </x:c>
      <x:c r="C190" s="330" t="n">
        <x:v>46080</x:v>
      </x:c>
      <x:c r="D190" t="n">
        <x:v>2023</x:v>
      </x:c>
      <x:c r="E190" t="n">
        <x:v>10</x:v>
      </x:c>
      <x:c r="F190" t="str">
        <x:v>214532/23/CBMP-QLD</x:v>
      </x:c>
      <x:c r="G190"/>
      <x:c r="H190" t="str">
        <x:v>Yhl Liquid Makeup Plus</x:v>
      </x:c>
      <x:c r="I190" t="str">
        <x:v>YHL</x:v>
      </x:c>
      <x:c r="J190" t="str">
        <x:v>Khác</x:v>
      </x:c>
      <x:c r="K190"/>
      <x:c r="L190" t="str">
        <x:v>Công ty TNHH HƯNG LÊ HL</x:v>
      </x:c>
      <x:c r="M190" t="str">
        <x:v>99 Cộng Hòa, Phường 4, quận Tân Bình, TP. Hồ Chí Minh, Việt Nam. Mã số doanh nghiệp: 0317750756</x:v>
      </x:c>
      <x:c r="N190"/>
      <x:c r="O190" t="str">
        <x:v>Thu hồi số tiếp nhận; đình chỉ lưu hành và thu hồi (QĐ 126/QĐ-QLD)</x:v>
      </x:c>
      <x:c r="P190" t="str">
        <x:v>A++ – Cục Quản lý Dược; company responsibility explicit</x:v>
      </x:c>
      <x:c r="Q190" t="str">
        <x:v>QĐ126/2026, STT 176, trang 18.</x:v>
      </x:c>
      <x:c r="R190" t="str">
        <x:v>https://dav.gov.vn/quyet-dinh-so-126qd-qld-ve-viec-thu-hoi-so-tiep-nhan-phieu-cong-bo-san-pham-my-pham-dinh-chi-luu-hanh-va-thu-hoi-san-pham-my-pham-theo-kl-cua-hd-my-pham-asean-doi-voi-san-pham-my-pham-co-chua-chat-cyclotetrasiloxane-octamethylcyclotetrasiloxane-n5224.html</x:v>
      </x:c>
      <x:c r="S190" t="str">
        <x:v>TP. Hồ Chí Minh</x:v>
      </x:c>
      <x:c r="T190" t="str">
        <x:v>79</x:v>
      </x:c>
    </x:row>
    <x:row r="191">
      <x:c r="A191" t="n">
        <x:v>190</x:v>
      </x:c>
      <x:c r="B191" s="330" t="n">
        <x:v>44826</x:v>
      </x:c>
      <x:c r="C191" s="330" t="n">
        <x:v>46080</x:v>
      </x:c>
      <x:c r="D191" t="n">
        <x:v>2022</x:v>
      </x:c>
      <x:c r="E191" t="n">
        <x:v>9</x:v>
      </x:c>
      <x:c r="F191" t="str">
        <x:v>183127/22/CBMP-QLD</x:v>
      </x:c>
      <x:c r="G191"/>
      <x:c r="H191" t="str">
        <x:v>Ellips Vitamin Hair Mask With Pro-Keratin Complex Hair Repair</x:v>
      </x:c>
      <x:c r="I191" t="str">
        <x:v>ELLIPS</x:v>
      </x:c>
      <x:c r="J191" t="str">
        <x:v>Mặt nạ</x:v>
      </x:c>
      <x:c r="K191"/>
      <x:c r="L191" t="str">
        <x:v>Công ty TNHH KINO VIỆT NAM</x:v>
      </x:c>
      <x:c r="M191" t="str">
        <x:v>Tầng 1, số 12 M Nguyễn Thị Minh Khai, phường Đa Kao, Quận 1, TP. Hồ Chí Minh, Việt Nam. Mã số doanh nghiệp: 0312238382</x:v>
      </x:c>
      <x:c r="N191"/>
      <x:c r="O191" t="str">
        <x:v>Thu hồi số tiếp nhận; đình chỉ lưu hành và thu hồi (QĐ 126/QĐ-QLD)</x:v>
      </x:c>
      <x:c r="P191" t="str">
        <x:v>A++ – Cục Quản lý Dược; company responsibility explicit</x:v>
      </x:c>
      <x:c r="Q191" t="str">
        <x:v>QĐ126/2026, STT 197, trang 20.</x:v>
      </x:c>
      <x:c r="R191" t="str">
        <x:v>https://dav.gov.vn/quyet-dinh-so-126qd-qld-ve-viec-thu-hoi-so-tiep-nhan-phieu-cong-bo-san-pham-my-pham-dinh-chi-luu-hanh-va-thu-hoi-san-pham-my-pham-theo-kl-cua-hd-my-pham-asean-doi-voi-san-pham-my-pham-co-chua-chat-cyclotetrasiloxane-octamethylcyclotetrasiloxane-n5224.html</x:v>
      </x:c>
      <x:c r="S191" t="str">
        <x:v>TP. Hồ Chí Minh</x:v>
      </x:c>
      <x:c r="T191" t="str">
        <x:v>79</x:v>
      </x:c>
    </x:row>
    <x:row r="192">
      <x:c r="A192" t="n">
        <x:v>191</x:v>
      </x:c>
      <x:c r="B192" s="330" t="n">
        <x:v>44826</x:v>
      </x:c>
      <x:c r="C192" s="330" t="n">
        <x:v>46080</x:v>
      </x:c>
      <x:c r="D192" t="n">
        <x:v>2022</x:v>
      </x:c>
      <x:c r="E192" t="n">
        <x:v>9</x:v>
      </x:c>
      <x:c r="F192" t="str">
        <x:v>183128/22/CBMP-QLD</x:v>
      </x:c>
      <x:c r="G192"/>
      <x:c r="H192" t="str">
        <x:v>Ellips Vitamin Hair Mask With Pro-Keratin Complex Silky Black</x:v>
      </x:c>
      <x:c r="I192" t="str">
        <x:v>ELLIPS</x:v>
      </x:c>
      <x:c r="J192" t="str">
        <x:v>Mặt nạ</x:v>
      </x:c>
      <x:c r="K192"/>
      <x:c r="L192" t="str">
        <x:v>Công ty TNHH KINO VIỆT NAM</x:v>
      </x:c>
      <x:c r="M192" t="str">
        <x:v>Tầng 1, số 12 M Nguyễn Thị Minh Khai, phường Đa Kao, Quận 1, TP. Hồ Chí Minh, Việt Nam. Mã số doanh nghiệp: 0312238382</x:v>
      </x:c>
      <x:c r="N192"/>
      <x:c r="O192" t="str">
        <x:v>Thu hồi số tiếp nhận; đình chỉ lưu hành và thu hồi (QĐ 126/QĐ-QLD)</x:v>
      </x:c>
      <x:c r="P192" t="str">
        <x:v>A++ – Cục Quản lý Dược; company responsibility explicit</x:v>
      </x:c>
      <x:c r="Q192" t="str">
        <x:v>QĐ126/2026, STT 198, trang 20.</x:v>
      </x:c>
      <x:c r="R192" t="str">
        <x:v>https://dav.gov.vn/quyet-dinh-so-126qd-qld-ve-viec-thu-hoi-so-tiep-nhan-phieu-cong-bo-san-pham-my-pham-dinh-chi-luu-hanh-va-thu-hoi-san-pham-my-pham-theo-kl-cua-hd-my-pham-asean-doi-voi-san-pham-my-pham-co-chua-chat-cyclotetrasiloxane-octamethylcyclotetrasiloxane-n5224.html</x:v>
      </x:c>
      <x:c r="S192" t="str">
        <x:v>TP. Hồ Chí Minh</x:v>
      </x:c>
      <x:c r="T192" t="str">
        <x:v>79</x:v>
      </x:c>
    </x:row>
    <x:row r="193">
      <x:c r="A193" t="n">
        <x:v>192</x:v>
      </x:c>
      <x:c r="B193" s="330" t="n">
        <x:v>44826</x:v>
      </x:c>
      <x:c r="C193" s="330" t="n">
        <x:v>46080</x:v>
      </x:c>
      <x:c r="D193" t="n">
        <x:v>2022</x:v>
      </x:c>
      <x:c r="E193" t="n">
        <x:v>9</x:v>
      </x:c>
      <x:c r="F193" t="str">
        <x:v>183129/22/CBMP-QLD</x:v>
      </x:c>
      <x:c r="G193"/>
      <x:c r="H193" t="str">
        <x:v>Ellips Vitamin Hair Mask With Pro-Keratin Complex Smooth &amp; Silky</x:v>
      </x:c>
      <x:c r="I193" t="str">
        <x:v>ELLIPS</x:v>
      </x:c>
      <x:c r="J193" t="str">
        <x:v>Mặt nạ</x:v>
      </x:c>
      <x:c r="K193"/>
      <x:c r="L193" t="str">
        <x:v>Công ty TNHH KINO VIỆT NAM</x:v>
      </x:c>
      <x:c r="M193" t="str">
        <x:v>Tầng 1, số 12 M Nguyễn Thị Minh Khai, phường Đa Kao, Quận 1, TP. Hồ Chí Minh, Việt Nam. Mã số doanh nghiệp: 0312238382</x:v>
      </x:c>
      <x:c r="N193"/>
      <x:c r="O193" t="str">
        <x:v>Thu hồi số tiếp nhận; đình chỉ lưu hành và thu hồi (QĐ 126/QĐ-QLD)</x:v>
      </x:c>
      <x:c r="P193" t="str">
        <x:v>A++ – Cục Quản lý Dược; company responsibility explicit</x:v>
      </x:c>
      <x:c r="Q193" t="str">
        <x:v>QĐ126/2026, STT 199, trang 20.</x:v>
      </x:c>
      <x:c r="R193" t="str">
        <x:v>https://dav.gov.vn/quyet-dinh-so-126qd-qld-ve-viec-thu-hoi-so-tiep-nhan-phieu-cong-bo-san-pham-my-pham-dinh-chi-luu-hanh-va-thu-hoi-san-pham-my-pham-theo-kl-cua-hd-my-pham-asean-doi-voi-san-pham-my-pham-co-chua-chat-cyclotetrasiloxane-octamethylcyclotetrasiloxane-n5224.html</x:v>
      </x:c>
      <x:c r="S193" t="str">
        <x:v>TP. Hồ Chí Minh</x:v>
      </x:c>
      <x:c r="T193" t="str">
        <x:v>79</x:v>
      </x:c>
    </x:row>
    <x:row r="194">
      <x:c r="A194" t="n">
        <x:v>193</x:v>
      </x:c>
      <x:c r="B194" s="330" t="n">
        <x:v>44838</x:v>
      </x:c>
      <x:c r="C194" s="330" t="n">
        <x:v>46080</x:v>
      </x:c>
      <x:c r="D194" t="n">
        <x:v>2022</x:v>
      </x:c>
      <x:c r="E194" t="n">
        <x:v>10</x:v>
      </x:c>
      <x:c r="F194" t="str">
        <x:v>184876/22/CBMP-QLD</x:v>
      </x:c>
      <x:c r="G194"/>
      <x:c r="H194" t="str">
        <x:v>Ellips Vitamin Milkshake 5in1 Hair Vitamin</x:v>
      </x:c>
      <x:c r="I194" t="str">
        <x:v>ELLIPS</x:v>
      </x:c>
      <x:c r="J194" t="str">
        <x:v>Sản phẩm môi</x:v>
      </x:c>
      <x:c r="K194"/>
      <x:c r="L194" t="str">
        <x:v>Công ty TNHH KINO VIỆT NAM</x:v>
      </x:c>
      <x:c r="M194" t="str">
        <x:v>Tầng 1, số 12 M Nguyễn Thị Minh Khai, phường Đa Kao, Quận 1, TP. Hồ Chí Minh, Việt Nam. Mã số doanh nghiệp: 0312238382</x:v>
      </x:c>
      <x:c r="N194"/>
      <x:c r="O194" t="str">
        <x:v>Thu hồi số tiếp nhận; đình chỉ lưu hành và thu hồi (QĐ 126/QĐ-QLD)</x:v>
      </x:c>
      <x:c r="P194" t="str">
        <x:v>A++ – Cục Quản lý Dược; company responsibility explicit</x:v>
      </x:c>
      <x:c r="Q194" t="str">
        <x:v>QĐ126/2026, STT 200, trang 20.</x:v>
      </x:c>
      <x:c r="R194" t="str">
        <x:v>https://dav.gov.vn/quyet-dinh-so-126qd-qld-ve-viec-thu-hoi-so-tiep-nhan-phieu-cong-bo-san-pham-my-pham-dinh-chi-luu-hanh-va-thu-hoi-san-pham-my-pham-theo-kl-cua-hd-my-pham-asean-doi-voi-san-pham-my-pham-co-chua-chat-cyclotetrasiloxane-octamethylcyclotetrasiloxane-n5224.html</x:v>
      </x:c>
      <x:c r="S194" t="str">
        <x:v>TP. Hồ Chí Minh</x:v>
      </x:c>
      <x:c r="T194" t="str">
        <x:v>79</x:v>
      </x:c>
    </x:row>
    <x:row r="195">
      <x:c r="A195" t="n">
        <x:v>194</x:v>
      </x:c>
      <x:c r="B195" s="330" t="n">
        <x:v>44820</x:v>
      </x:c>
      <x:c r="C195" s="330" t="n">
        <x:v>46080</x:v>
      </x:c>
      <x:c r="D195" t="n">
        <x:v>2022</x:v>
      </x:c>
      <x:c r="E195" t="n">
        <x:v>9</x:v>
      </x:c>
      <x:c r="F195" t="str">
        <x:v>181994/22/CBMP-QLD</x:v>
      </x:c>
      <x:c r="G195"/>
      <x:c r="H195" t="str">
        <x:v>Peripera Ink Airy Velvet</x:v>
      </x:c>
      <x:c r="I195" t="str">
        <x:v>PERIPER A</x:v>
      </x:c>
      <x:c r="J195" t="str">
        <x:v>Khác</x:v>
      </x:c>
      <x:c r="K195"/>
      <x:c r="L195" t="str">
        <x:v>Công ty TNHH KVIC PARTNERS</x:v>
      </x:c>
      <x:c r="M195" t="str">
        <x:v>107/6 Nguyễn Thái Sơn, Phường 4, quận Gò Vấp, TP. Hồ Chí Minh, Việt Nam. Mã số doanh nghiệp: 0314945997</x:v>
      </x:c>
      <x:c r="N195"/>
      <x:c r="O195" t="str">
        <x:v>Thu hồi số tiếp nhận; đình chỉ lưu hành và thu hồi (QĐ 126/QĐ-QLD)</x:v>
      </x:c>
      <x:c r="P195" t="str">
        <x:v>A++ – Cục Quản lý Dược; company responsibility explicit</x:v>
      </x:c>
      <x:c r="Q195" t="str">
        <x:v>QĐ126/2026, STT 202, trang 20.</x:v>
      </x:c>
      <x:c r="R195" t="str">
        <x:v>https://dav.gov.vn/quyet-dinh-so-126qd-qld-ve-viec-thu-hoi-so-tiep-nhan-phieu-cong-bo-san-pham-my-pham-dinh-chi-luu-hanh-va-thu-hoi-san-pham-my-pham-theo-kl-cua-hd-my-pham-asean-doi-voi-san-pham-my-pham-co-chua-chat-cyclotetrasiloxane-octamethylcyclotetrasiloxane-n5224.html</x:v>
      </x:c>
      <x:c r="S195" t="str">
        <x:v>TP. Hồ Chí Minh</x:v>
      </x:c>
      <x:c r="T195" t="str">
        <x:v>79</x:v>
      </x:c>
    </x:row>
    <x:row r="196">
      <x:c r="A196" t="n">
        <x:v>195</x:v>
      </x:c>
      <x:c r="B196" s="330" t="n">
        <x:v>44820</x:v>
      </x:c>
      <x:c r="C196" s="330" t="n">
        <x:v>46080</x:v>
      </x:c>
      <x:c r="D196" t="n">
        <x:v>2022</x:v>
      </x:c>
      <x:c r="E196" t="n">
        <x:v>9</x:v>
      </x:c>
      <x:c r="F196" t="str">
        <x:v>181995/22/CBMP-QLD</x:v>
      </x:c>
      <x:c r="G196"/>
      <x:c r="H196" t="str">
        <x:v>Peripera Ink Airy Velvet 14 Rosy Pink</x:v>
      </x:c>
      <x:c r="I196" t="str">
        <x:v>PERIPER A</x:v>
      </x:c>
      <x:c r="J196" t="str">
        <x:v>Khác</x:v>
      </x:c>
      <x:c r="K196"/>
      <x:c r="L196" t="str">
        <x:v>Công ty TNHH KVIC PARTNERS</x:v>
      </x:c>
      <x:c r="M196" t="str">
        <x:v>107/6 Nguyễn Thái Sơn, Phường 4, quận Gò Vấp, TP. Hồ Chí Minh, Việt Nam. Mã số doanh nghiệp: 0314945997</x:v>
      </x:c>
      <x:c r="N196"/>
      <x:c r="O196" t="str">
        <x:v>Thu hồi số tiếp nhận; đình chỉ lưu hành và thu hồi (QĐ 126/QĐ-QLD)</x:v>
      </x:c>
      <x:c r="P196" t="str">
        <x:v>A++ – Cục Quản lý Dược; company responsibility explicit</x:v>
      </x:c>
      <x:c r="Q196" t="str">
        <x:v>QĐ126/2026, STT 203, trang 20.</x:v>
      </x:c>
      <x:c r="R196" t="str">
        <x:v>https://dav.gov.vn/quyet-dinh-so-126qd-qld-ve-viec-thu-hoi-so-tiep-nhan-phieu-cong-bo-san-pham-my-pham-dinh-chi-luu-hanh-va-thu-hoi-san-pham-my-pham-theo-kl-cua-hd-my-pham-asean-doi-voi-san-pham-my-pham-co-chua-chat-cyclotetrasiloxane-octamethylcyclotetrasiloxane-n5224.html</x:v>
      </x:c>
      <x:c r="S196" t="str">
        <x:v>TP. Hồ Chí Minh</x:v>
      </x:c>
      <x:c r="T196" t="str">
        <x:v>79</x:v>
      </x:c>
    </x:row>
    <x:row r="197">
      <x:c r="A197" t="n">
        <x:v>196</x:v>
      </x:c>
      <x:c r="B197" s="330" t="n">
        <x:v>45253</x:v>
      </x:c>
      <x:c r="C197" s="330" t="n">
        <x:v>46080</x:v>
      </x:c>
      <x:c r="D197" t="n">
        <x:v>2023</x:v>
      </x:c>
      <x:c r="E197" t="n">
        <x:v>11</x:v>
      </x:c>
      <x:c r="F197" t="str">
        <x:v>217942/23/CBMP-QLD</x:v>
      </x:c>
      <x:c r="G197"/>
      <x:c r="H197" t="str">
        <x:v>Yespick Nmn Whitening Serum</x:v>
      </x:c>
      <x:c r="I197" t="str">
        <x:v>YESPICK</x:v>
      </x:c>
      <x:c r="J197" t="str">
        <x:v>Serum/Essence da</x:v>
      </x:c>
      <x:c r="K197"/>
      <x:c r="L197" t="str">
        <x:v>Công ty TNHH LANSERAL</x:v>
      </x:c>
      <x:c r="M197" t="str">
        <x:v>183/25L Tân Hòa Đông, Phường 14, Quận 6, TP. Hồ Chí Minh, Việt Nam. Mã số doanh nghiệp: 0317873236</x:v>
      </x:c>
      <x:c r="N197"/>
      <x:c r="O197" t="str">
        <x:v>Thu hồi số tiếp nhận; đình chỉ lưu hành và thu hồi (QĐ 126/QĐ-QLD)</x:v>
      </x:c>
      <x:c r="P197" t="str">
        <x:v>A++ – Cục Quản lý Dược; company responsibility explicit</x:v>
      </x:c>
      <x:c r="Q197" t="str">
        <x:v>QĐ126/2026, STT 204, trang 20.</x:v>
      </x:c>
      <x:c r="R197" t="str">
        <x:v>https://dav.gov.vn/quyet-dinh-so-126qd-qld-ve-viec-thu-hoi-so-tiep-nhan-phieu-cong-bo-san-pham-my-pham-dinh-chi-luu-hanh-va-thu-hoi-san-pham-my-pham-theo-kl-cua-hd-my-pham-asean-doi-voi-san-pham-my-pham-co-chua-chat-cyclotetrasiloxane-octamethylcyclotetrasiloxane-n5224.html</x:v>
      </x:c>
      <x:c r="S197" t="str">
        <x:v>TP. Hồ Chí Minh</x:v>
      </x:c>
      <x:c r="T197" t="str">
        <x:v>79</x:v>
      </x:c>
    </x:row>
    <x:row r="198">
      <x:c r="A198" t="n">
        <x:v>197</x:v>
      </x:c>
      <x:c r="B198" s="330" t="n">
        <x:v>45376</x:v>
      </x:c>
      <x:c r="C198" s="330" t="n">
        <x:v>46080</x:v>
      </x:c>
      <x:c r="D198" t="n">
        <x:v>2024</x:v>
      </x:c>
      <x:c r="E198" t="n">
        <x:v>3</x:v>
      </x:c>
      <x:c r="F198" t="str">
        <x:v>230643/24/CBMP-QLD</x:v>
      </x:c>
      <x:c r="G198"/>
      <x:c r="H198" t="str">
        <x:v>Mdd Sun Protection Complex Spf45 Sp</x:v>
      </x:c>
      <x:c r="I198" t="str">
        <x:v>MDD</x:v>
      </x:c>
      <x:c r="J198" t="str">
        <x:v>Kem chống nắng</x:v>
      </x:c>
      <x:c r="K198"/>
      <x:c r="L198" t="str">
        <x:v>Công ty TNHH MD DERMAL</x:v>
      </x:c>
      <x:c r="M198" t="str">
        <x:v>Tầng 6, 520 Cách Mạng Tháng Tám, Phường 11, Quận 3, TP. Hồ Chí Minh, Việt Nam. Mã số doanh nghiệp: 0317862844</x:v>
      </x:c>
      <x:c r="N198"/>
      <x:c r="O198" t="str">
        <x:v>Thu hồi số tiếp nhận; đình chỉ lưu hành và thu hồi (QĐ 126/QĐ-QLD)</x:v>
      </x:c>
      <x:c r="P198" t="str">
        <x:v>A++ – Cục Quản lý Dược; company responsibility explicit</x:v>
      </x:c>
      <x:c r="Q198" t="str">
        <x:v>QĐ126/2026, STT 206, trang 20.</x:v>
      </x:c>
      <x:c r="R198" t="str">
        <x:v>https://dav.gov.vn/quyet-dinh-so-126qd-qld-ve-viec-thu-hoi-so-tiep-nhan-phieu-cong-bo-san-pham-my-pham-dinh-chi-luu-hanh-va-thu-hoi-san-pham-my-pham-theo-kl-cua-hd-my-pham-asean-doi-voi-san-pham-my-pham-co-chua-chat-cyclotetrasiloxane-octamethylcyclotetrasiloxane-n5224.html</x:v>
      </x:c>
      <x:c r="S198" t="str">
        <x:v>TP. Hồ Chí Minh</x:v>
      </x:c>
      <x:c r="T198" t="str">
        <x:v>79</x:v>
      </x:c>
    </x:row>
    <x:row r="199">
      <x:c r="A199" t="n">
        <x:v>198</x:v>
      </x:c>
      <x:c r="B199" s="330" t="n">
        <x:v>45935</x:v>
      </x:c>
      <x:c r="C199" s="330" t="n">
        <x:v>46080</x:v>
      </x:c>
      <x:c r="D199" t="n">
        <x:v>2025</x:v>
      </x:c>
      <x:c r="E199" t="n">
        <x:v>10</x:v>
      </x:c>
      <x:c r="F199" t="str">
        <x:v>293886/25/CBMP-QLD</x:v>
      </x:c>
      <x:c r="G199"/>
      <x:c r="H199" t="str">
        <x:v>Luxplex Hair Spray Premium</x:v>
      </x:c>
      <x:c r="I199" t="str">
        <x:v>LUXPLEX</x:v>
      </x:c>
      <x:c r="J199" t="str">
        <x:v>Khác</x:v>
      </x:c>
      <x:c r="K199"/>
      <x:c r="L199" t="str">
        <x:v>Công ty TNHH phát triển thương mại UPO</x:v>
      </x:c>
      <x:c r="M199" t="str">
        <x:v>47/7 đường Thạnh Lộc 08, phường An Phú Đông, TP. Hồ Chí Minh, Việt Nam. Mã số doanh nghiệp: 0318955650</x:v>
      </x:c>
      <x:c r="N199"/>
      <x:c r="O199" t="str">
        <x:v>Thu hồi số tiếp nhận; đình chỉ lưu hành và thu hồi (QĐ 126/QĐ-QLD)</x:v>
      </x:c>
      <x:c r="P199" t="str">
        <x:v>A++ – Cục Quản lý Dược; company responsibility explicit</x:v>
      </x:c>
      <x:c r="Q199" t="str">
        <x:v>QĐ126/2026, STT 224, trang 22.</x:v>
      </x:c>
      <x:c r="R199" t="str">
        <x:v>https://dav.gov.vn/quyet-dinh-so-126qd-qld-ve-viec-thu-hoi-so-tiep-nhan-phieu-cong-bo-san-pham-my-pham-dinh-chi-luu-hanh-va-thu-hoi-san-pham-my-pham-theo-kl-cua-hd-my-pham-asean-doi-voi-san-pham-my-pham-co-chua-chat-cyclotetrasiloxane-octamethylcyclotetrasiloxane-n5224.html</x:v>
      </x:c>
      <x:c r="S199" t="str">
        <x:v>TP. Hồ Chí Minh</x:v>
      </x:c>
      <x:c r="T199" t="str">
        <x:v>79</x:v>
      </x:c>
    </x:row>
    <x:row r="200">
      <x:c r="A200" t="n">
        <x:v>199</x:v>
      </x:c>
      <x:c r="B200" s="330" t="n">
        <x:v>45114</x:v>
      </x:c>
      <x:c r="C200" s="330" t="n">
        <x:v>46080</x:v>
      </x:c>
      <x:c r="D200" t="n">
        <x:v>2023</x:v>
      </x:c>
      <x:c r="E200" t="n">
        <x:v>7</x:v>
      </x:c>
      <x:c r="F200" t="str">
        <x:v>205465/23/CBMP-QLD</x:v>
      </x:c>
      <x:c r="G200"/>
      <x:c r="H200" t="str">
        <x:v>Alphatra Classic Hydramoist Spray</x:v>
      </x:c>
      <x:c r="I200" t="str">
        <x:v>Alphatra Classic</x:v>
      </x:c>
      <x:c r="J200" t="str">
        <x:v>Khác</x:v>
      </x:c>
      <x:c r="K200"/>
      <x:c r="L200" t="str">
        <x:v>Công ty TNHH QUEENCOS</x:v>
      </x:c>
      <x:c r="M200" t="str">
        <x:v>Số 53 Đường 30, phường Tân Phong, Quận 7, TP. Hồ Chí Minh, Việt Nam. Mã số doanh nghiệp: 0316674414</x:v>
      </x:c>
      <x:c r="N200"/>
      <x:c r="O200" t="str">
        <x:v>Thu hồi số tiếp nhận; đình chỉ lưu hành và thu hồi (QĐ 126/QĐ-QLD)</x:v>
      </x:c>
      <x:c r="P200" t="str">
        <x:v>A++ – Cục Quản lý Dược; company responsibility explicit</x:v>
      </x:c>
      <x:c r="Q200" t="str">
        <x:v>QĐ126/2026, STT 233, trang 22.</x:v>
      </x:c>
      <x:c r="R200" t="str">
        <x:v>https://dav.gov.vn/quyet-dinh-so-126qd-qld-ve-viec-thu-hoi-so-tiep-nhan-phieu-cong-bo-san-pham-my-pham-dinh-chi-luu-hanh-va-thu-hoi-san-pham-my-pham-theo-kl-cua-hd-my-pham-asean-doi-voi-san-pham-my-pham-co-chua-chat-cyclotetrasiloxane-octamethylcyclotetrasiloxane-n5224.html</x:v>
      </x:c>
      <x:c r="S200" t="str">
        <x:v>TP. Hồ Chí Minh</x:v>
      </x:c>
      <x:c r="T200" t="str">
        <x:v>79</x:v>
      </x:c>
    </x:row>
    <x:row r="201">
      <x:c r="A201" t="n">
        <x:v>200</x:v>
      </x:c>
      <x:c r="B201" s="330" t="n">
        <x:v>45114</x:v>
      </x:c>
      <x:c r="C201" s="330" t="n">
        <x:v>46080</x:v>
      </x:c>
      <x:c r="D201" t="n">
        <x:v>2023</x:v>
      </x:c>
      <x:c r="E201" t="n">
        <x:v>7</x:v>
      </x:c>
      <x:c r="F201" t="str">
        <x:v>205466/23/CBMP-QLD</x:v>
      </x:c>
      <x:c r="G201"/>
      <x:c r="H201" t="str">
        <x:v>Alphatra Classic Roller Hold</x:v>
      </x:c>
      <x:c r="I201" t="str">
        <x:v>Alphatra Classic</x:v>
      </x:c>
      <x:c r="J201" t="str">
        <x:v>Khác</x:v>
      </x:c>
      <x:c r="K201"/>
      <x:c r="L201" t="str">
        <x:v>Công ty TNHH QUEENCOS</x:v>
      </x:c>
      <x:c r="M201" t="str">
        <x:v>Số 53 Đường 30, phường Tân Phong, Quận 7, TP. Hồ Chí Minh, Việt Nam. Mã số doanh nghiệp: 0316674414</x:v>
      </x:c>
      <x:c r="N201"/>
      <x:c r="O201" t="str">
        <x:v>Thu hồi số tiếp nhận; đình chỉ lưu hành và thu hồi (QĐ 126/QĐ-QLD)</x:v>
      </x:c>
      <x:c r="P201" t="str">
        <x:v>A++ – Cục Quản lý Dược; company responsibility explicit</x:v>
      </x:c>
      <x:c r="Q201" t="str">
        <x:v>QĐ126/2026, STT 234, trang 23.</x:v>
      </x:c>
      <x:c r="R201" t="str">
        <x:v>https://dav.gov.vn/quyet-dinh-so-126qd-qld-ve-viec-thu-hoi-so-tiep-nhan-phieu-cong-bo-san-pham-my-pham-dinh-chi-luu-hanh-va-thu-hoi-san-pham-my-pham-theo-kl-cua-hd-my-pham-asean-doi-voi-san-pham-my-pham-co-chua-chat-cyclotetrasiloxane-octamethylcyclotetrasiloxane-n5224.html</x:v>
      </x:c>
      <x:c r="S201" t="str">
        <x:v>TP. Hồ Chí Minh</x:v>
      </x:c>
      <x:c r="T201" t="str">
        <x:v>79</x:v>
      </x:c>
    </x:row>
    <x:row r="202">
      <x:c r="A202" t="n">
        <x:v>201</x:v>
      </x:c>
      <x:c r="B202" s="330" t="n">
        <x:v>45659</x:v>
      </x:c>
      <x:c r="C202" s="330" t="n">
        <x:v>46080</x:v>
      </x:c>
      <x:c r="D202" t="n">
        <x:v>2025</x:v>
      </x:c>
      <x:c r="E202" t="n">
        <x:v>1</x:v>
      </x:c>
      <x:c r="F202" t="str">
        <x:v>261936/25/CBMP-QLD</x:v>
      </x:c>
      <x:c r="G202"/>
      <x:c r="H202" t="str">
        <x:v>Aperio Sun Block Cream</x:v>
      </x:c>
      <x:c r="I202" t="str">
        <x:v>Aperio</x:v>
      </x:c>
      <x:c r="J202" t="str">
        <x:v>Kem dưỡng da</x:v>
      </x:c>
      <x:c r="K202"/>
      <x:c r="L202" t="str">
        <x:v>Công ty TNHH Quốc tế KTS</x:v>
      </x:c>
      <x:c r="M202" t="str">
        <x:v>1200 Quang Trung, Phường 8, quận Gò Vấp, TP. Hồ Chí Minh, Việt Nam. Mã số doanh nghiệp: 0313627977</x:v>
      </x:c>
      <x:c r="N202"/>
      <x:c r="O202" t="str">
        <x:v>Thu hồi số tiếp nhận; đình chỉ lưu hành và thu hồi (QĐ 126/QĐ-QLD)</x:v>
      </x:c>
      <x:c r="P202" t="str">
        <x:v>A++ – Cục Quản lý Dược; company responsibility explicit</x:v>
      </x:c>
      <x:c r="Q202" t="str">
        <x:v>QĐ126/2026, STT 235, trang 23.</x:v>
      </x:c>
      <x:c r="R202" t="str">
        <x:v>https://dav.gov.vn/quyet-dinh-so-126qd-qld-ve-viec-thu-hoi-so-tiep-nhan-phieu-cong-bo-san-pham-my-pham-dinh-chi-luu-hanh-va-thu-hoi-san-pham-my-pham-theo-kl-cua-hd-my-pham-asean-doi-voi-san-pham-my-pham-co-chua-chat-cyclotetrasiloxane-octamethylcyclotetrasiloxane-n5224.html</x:v>
      </x:c>
      <x:c r="S202" t="str">
        <x:v>TP. Hồ Chí Minh</x:v>
      </x:c>
      <x:c r="T202" t="str">
        <x:v>79</x:v>
      </x:c>
    </x:row>
    <x:row r="203">
      <x:c r="A203" t="n">
        <x:v>202</x:v>
      </x:c>
      <x:c r="B203" s="330" t="n">
        <x:v>44572</x:v>
      </x:c>
      <x:c r="C203" s="330" t="n">
        <x:v>46080</x:v>
      </x:c>
      <x:c r="D203" t="n">
        <x:v>2022</x:v>
      </x:c>
      <x:c r="E203" t="n">
        <x:v>1</x:v>
      </x:c>
      <x:c r="F203" t="str">
        <x:v>164797/22/CBMP-QLD</x:v>
      </x:c>
      <x:c r="G203"/>
      <x:c r="H203" t="str">
        <x:v>Dove Intense Repair 1 Minute Super Mask</x:v>
      </x:c>
      <x:c r="I203" t="str">
        <x:v>DOVE</x:v>
      </x:c>
      <x:c r="J203" t="str">
        <x:v>Mặt nạ</x:v>
      </x:c>
      <x:c r="K203"/>
      <x:c r="L203" t="str">
        <x:v>Công ty TNHH Quốc Tế Unilever Việt Nam</x:v>
      </x:c>
      <x:c r="M203" t="str">
        <x:v>Lô A2-3 Khu Công Nghiệp Tây Bắc Củ Chi, xã Tân An Hội, huyện Củ Chi, TP. Hồ Chí Minh, Việt Nam. Mã số doanh nghiệp: 0300762150</x:v>
      </x:c>
      <x:c r="N203"/>
      <x:c r="O203" t="str">
        <x:v>Thu hồi số tiếp nhận; đình chỉ lưu hành và thu hồi (QĐ 126/QĐ-QLD)</x:v>
      </x:c>
      <x:c r="P203" t="str">
        <x:v>A++ – Cục Quản lý Dược; company responsibility explicit</x:v>
      </x:c>
      <x:c r="Q203" t="str">
        <x:v>QĐ126/2026, STT 237, trang 23.</x:v>
      </x:c>
      <x:c r="R203" t="str">
        <x:v>https://dav.gov.vn/quyet-dinh-so-126qd-qld-ve-viec-thu-hoi-so-tiep-nhan-phieu-cong-bo-san-pham-my-pham-dinh-chi-luu-hanh-va-thu-hoi-san-pham-my-pham-theo-kl-cua-hd-my-pham-asean-doi-voi-san-pham-my-pham-co-chua-chat-cyclotetrasiloxane-octamethylcyclotetrasiloxane-n5224.html</x:v>
      </x:c>
      <x:c r="S203" t="str">
        <x:v>TP. Hồ Chí Minh</x:v>
      </x:c>
      <x:c r="T203" t="str">
        <x:v>79</x:v>
      </x:c>
    </x:row>
    <x:row r="204">
      <x:c r="A204" t="n">
        <x:v>203</x:v>
      </x:c>
      <x:c r="B204" s="330" t="n">
        <x:v>44742</x:v>
      </x:c>
      <x:c r="C204" s="330" t="n">
        <x:v>46080</x:v>
      </x:c>
      <x:c r="D204" t="n">
        <x:v>2022</x:v>
      </x:c>
      <x:c r="E204" t="n">
        <x:v>6</x:v>
      </x:c>
      <x:c r="F204" t="str">
        <x:v>174086/22/CBMP-QLD</x:v>
      </x:c>
      <x:c r="G204"/>
      <x:c r="H204" t="str">
        <x:v>Tresemme Wavy Curl Lock System Mousse Cream</x:v>
      </x:c>
      <x:c r="I204" t="str">
        <x:v>TRESEM ME</x:v>
      </x:c>
      <x:c r="J204" t="str">
        <x:v>Kem dưỡng da</x:v>
      </x:c>
      <x:c r="K204"/>
      <x:c r="L204" t="str">
        <x:v>Công ty TNHH Quốc Tế Unilever Việt Nam</x:v>
      </x:c>
      <x:c r="M204" t="str">
        <x:v>Lô A2-3 Khu Công Nghiệp Tây Bắc Củ Chi, xã Tân An Hội, huyện Củ Chi, TP. Hồ Chí Minh, Việt Nam. Mã số doanh nghiệp: 0300762150</x:v>
      </x:c>
      <x:c r="N204"/>
      <x:c r="O204" t="str">
        <x:v>Thu hồi số tiếp nhận; đình chỉ lưu hành và thu hồi (QĐ 126/QĐ-QLD)</x:v>
      </x:c>
      <x:c r="P204" t="str">
        <x:v>A++ – Cục Quản lý Dược; company responsibility explicit</x:v>
      </x:c>
      <x:c r="Q204" t="str">
        <x:v>QĐ126/2026, STT 238, trang 23.</x:v>
      </x:c>
      <x:c r="R204" t="str">
        <x:v>https://dav.gov.vn/quyet-dinh-so-126qd-qld-ve-viec-thu-hoi-so-tiep-nhan-phieu-cong-bo-san-pham-my-pham-dinh-chi-luu-hanh-va-thu-hoi-san-pham-my-pham-theo-kl-cua-hd-my-pham-asean-doi-voi-san-pham-my-pham-co-chua-chat-cyclotetrasiloxane-octamethylcyclotetrasiloxane-n5224.html</x:v>
      </x:c>
      <x:c r="S204" t="str">
        <x:v>TP. Hồ Chí Minh</x:v>
      </x:c>
      <x:c r="T204" t="str">
        <x:v>79</x:v>
      </x:c>
    </x:row>
    <x:row r="205">
      <x:c r="A205" t="n">
        <x:v>204</x:v>
      </x:c>
      <x:c r="B205" s="330" t="n">
        <x:v>44830</x:v>
      </x:c>
      <x:c r="C205" s="330" t="n">
        <x:v>46080</x:v>
      </x:c>
      <x:c r="D205" t="n">
        <x:v>2022</x:v>
      </x:c>
      <x:c r="E205" t="n">
        <x:v>9</x:v>
      </x:c>
      <x:c r="F205" t="str">
        <x:v>183372/22/CBMP-QLD</x:v>
      </x:c>
      <x:c r="G205"/>
      <x:c r="H205" t="str">
        <x:v>Rapern Hydra Liquid Essence Cream</x:v>
      </x:c>
      <x:c r="I205" t="str">
        <x:v>RAPERN</x:v>
      </x:c>
      <x:c r="J205" t="str">
        <x:v>Serum/Essence da</x:v>
      </x:c>
      <x:c r="K205"/>
      <x:c r="L205" t="str">
        <x:v>Công ty TNHH RAPERN VIETNAM</x:v>
      </x:c>
      <x:c r="M205" t="str">
        <x:v>#405, Khách sạn Nikko Saigon, 235 Nguyễn Văn Cừ, phường Nguyễn Cư Trinh, Quận 1, TP. Hồ Chí Minh, Việt Nam. Mã số doanh nghiệp: 0317166861</x:v>
      </x:c>
      <x:c r="N205"/>
      <x:c r="O205" t="str">
        <x:v>Thu hồi số tiếp nhận; đình chỉ lưu hành và thu hồi (QĐ 126/QĐ-QLD)</x:v>
      </x:c>
      <x:c r="P205" t="str">
        <x:v>A++ – Cục Quản lý Dược; company responsibility explicit</x:v>
      </x:c>
      <x:c r="Q205" t="str">
        <x:v>QĐ126/2026, STT 239, trang 23.</x:v>
      </x:c>
      <x:c r="R205" t="str">
        <x:v>https://dav.gov.vn/quyet-dinh-so-126qd-qld-ve-viec-thu-hoi-so-tiep-nhan-phieu-cong-bo-san-pham-my-pham-dinh-chi-luu-hanh-va-thu-hoi-san-pham-my-pham-theo-kl-cua-hd-my-pham-asean-doi-voi-san-pham-my-pham-co-chua-chat-cyclotetrasiloxane-octamethylcyclotetrasiloxane-n5224.html</x:v>
      </x:c>
      <x:c r="S205" t="str">
        <x:v>TP. Hồ Chí Minh</x:v>
      </x:c>
      <x:c r="T205" t="str">
        <x:v>79</x:v>
      </x:c>
    </x:row>
    <x:row r="206">
      <x:c r="A206" t="n">
        <x:v>205</x:v>
      </x:c>
      <x:c r="B206" s="330" t="n">
        <x:v>45257</x:v>
      </x:c>
      <x:c r="C206" s="330" t="n">
        <x:v>46080</x:v>
      </x:c>
      <x:c r="D206" t="n">
        <x:v>2023</x:v>
      </x:c>
      <x:c r="E206" t="n">
        <x:v>11</x:v>
      </x:c>
      <x:c r="F206" t="str">
        <x:v>218065/23/CBMP-QLD</x:v>
      </x:c>
      <x:c r="G206"/>
      <x:c r="H206" t="str">
        <x:v>Dr.May Ultra Light Uv Defense Spf50+ Pa++++</x:v>
      </x:c>
      <x:c r="I206" t="str">
        <x:v>DR.MAY</x:v>
      </x:c>
      <x:c r="J206" t="str">
        <x:v>Kem chống nắng</x:v>
      </x:c>
      <x:c r="K206"/>
      <x:c r="L206" t="str">
        <x:v>Công ty TNHH REBACA</x:v>
      </x:c>
      <x:c r="M206" t="str">
        <x:v>Số SL13, Đường Cư Xá Phú Lâm A, Phường 12, Quận 6, TP. Hồ Chí Minh, Việt Nam. Mã số doanh nghiệp: 0313988236</x:v>
      </x:c>
      <x:c r="N206"/>
      <x:c r="O206" t="str">
        <x:v>Thu hồi số tiếp nhận; đình chỉ lưu hành và thu hồi (QĐ 126/QĐ-QLD)</x:v>
      </x:c>
      <x:c r="P206" t="str">
        <x:v>A++ – Cục Quản lý Dược; company responsibility explicit</x:v>
      </x:c>
      <x:c r="Q206" t="str">
        <x:v>QĐ126/2026, STT 240, trang 23.</x:v>
      </x:c>
      <x:c r="R206" t="str">
        <x:v>https://dav.gov.vn/quyet-dinh-so-126qd-qld-ve-viec-thu-hoi-so-tiep-nhan-phieu-cong-bo-san-pham-my-pham-dinh-chi-luu-hanh-va-thu-hoi-san-pham-my-pham-theo-kl-cua-hd-my-pham-asean-doi-voi-san-pham-my-pham-co-chua-chat-cyclotetrasiloxane-octamethylcyclotetrasiloxane-n5224.html</x:v>
      </x:c>
      <x:c r="S206" t="str">
        <x:v>TP. Hồ Chí Minh</x:v>
      </x:c>
      <x:c r="T206" t="str">
        <x:v>79</x:v>
      </x:c>
    </x:row>
    <x:row r="207">
      <x:c r="A207" t="n">
        <x:v>206</x:v>
      </x:c>
      <x:c r="B207" s="330" t="n">
        <x:v>45096</x:v>
      </x:c>
      <x:c r="C207" s="330" t="n">
        <x:v>46080</x:v>
      </x:c>
      <x:c r="D207" t="n">
        <x:v>2023</x:v>
      </x:c>
      <x:c r="E207" t="n">
        <x:v>6</x:v>
      </x:c>
      <x:c r="F207" t="str">
        <x:v>204055/23/CBMP-QLD</x:v>
      </x:c>
      <x:c r="G207"/>
      <x:c r="H207" t="str">
        <x:v>Cellbycell Hydra C Moisture Lotion</x:v>
      </x:c>
      <x:c r="I207" t="str">
        <x:v>CELLBYC ELL</x:v>
      </x:c>
      <x:c r="J207" t="str">
        <x:v>Kem dưỡng da</x:v>
      </x:c>
      <x:c r="K207"/>
      <x:c r="L207" t="str">
        <x:v>Công ty TNHH sản xuất thương mại du lịch THIÊN HÀ</x:v>
      </x:c>
      <x:c r="M207" t="str">
        <x:v>340/7 Đường Quang Trung, Phường 10, quận Gò Vấp, TP. Hồ Chí Minh, Việt Nam. Mã số doanh nghiệp: 0313614657</x:v>
      </x:c>
      <x:c r="N207"/>
      <x:c r="O207" t="str">
        <x:v>Thu hồi số tiếp nhận; đình chỉ lưu hành và thu hồi (QĐ 126/QĐ-QLD)</x:v>
      </x:c>
      <x:c r="P207" t="str">
        <x:v>A++ – Cục Quản lý Dược; company responsibility explicit</x:v>
      </x:c>
      <x:c r="Q207" t="str">
        <x:v>QĐ126/2026, STT 241, trang 23.</x:v>
      </x:c>
      <x:c r="R207" t="str">
        <x:v>https://dav.gov.vn/quyet-dinh-so-126qd-qld-ve-viec-thu-hoi-so-tiep-nhan-phieu-cong-bo-san-pham-my-pham-dinh-chi-luu-hanh-va-thu-hoi-san-pham-my-pham-theo-kl-cua-hd-my-pham-asean-doi-voi-san-pham-my-pham-co-chua-chat-cyclotetrasiloxane-octamethylcyclotetrasiloxane-n5224.html</x:v>
      </x:c>
      <x:c r="S207" t="str">
        <x:v>TP. Hồ Chí Minh</x:v>
      </x:c>
      <x:c r="T207" t="str">
        <x:v>79</x:v>
      </x:c>
    </x:row>
    <x:row r="208">
      <x:c r="A208" t="n">
        <x:v>207</x:v>
      </x:c>
      <x:c r="B208" s="330" t="n">
        <x:v>45120</x:v>
      </x:c>
      <x:c r="C208" s="330" t="n">
        <x:v>46080</x:v>
      </x:c>
      <x:c r="D208" t="n">
        <x:v>2023</x:v>
      </x:c>
      <x:c r="E208" t="n">
        <x:v>7</x:v>
      </x:c>
      <x:c r="F208" t="str">
        <x:v>205867/23/CBMP-QLD</x:v>
      </x:c>
      <x:c r="G208"/>
      <x:c r="H208" t="str">
        <x:v>Scentio Milk Plus Brightening Q10 Facial Mask</x:v>
      </x:c>
      <x:c r="I208" t="str">
        <x:v>SCENTIO</x:v>
      </x:c>
      <x:c r="J208" t="str">
        <x:v>Mặt nạ</x:v>
      </x:c>
      <x:c r="K208"/>
      <x:c r="L208" t="str">
        <x:v>Công ty TNHH Sayam International</x:v>
      </x:c>
      <x:c r="M208" t="str">
        <x:v>44 Đường Số 5, Khu Dân Cư Phong Phú, xã Phong Phú, huyện Bình Chánh, TP. Hồ Chí Minh, Việt Nam. Mã số doanh nghiệp: 0312347582</x:v>
      </x:c>
      <x:c r="N208"/>
      <x:c r="O208" t="str">
        <x:v>Thu hồi số tiếp nhận; đình chỉ lưu hành và thu hồi (QĐ 126/QĐ-QLD)</x:v>
      </x:c>
      <x:c r="P208" t="str">
        <x:v>A++ – Cục Quản lý Dược; company responsibility explicit</x:v>
      </x:c>
      <x:c r="Q208" t="str">
        <x:v>QĐ126/2026, STT 254, trang 24.</x:v>
      </x:c>
      <x:c r="R208" t="str">
        <x:v>https://dav.gov.vn/quyet-dinh-so-126qd-qld-ve-viec-thu-hoi-so-tiep-nhan-phieu-cong-bo-san-pham-my-pham-dinh-chi-luu-hanh-va-thu-hoi-san-pham-my-pham-theo-kl-cua-hd-my-pham-asean-doi-voi-san-pham-my-pham-co-chua-chat-cyclotetrasiloxane-octamethylcyclotetrasiloxane-n5224.html</x:v>
      </x:c>
      <x:c r="S208" t="str">
        <x:v>TP. Hồ Chí Minh</x:v>
      </x:c>
      <x:c r="T208" t="str">
        <x:v>79</x:v>
      </x:c>
    </x:row>
    <x:row r="209">
      <x:c r="A209" t="n">
        <x:v>208</x:v>
      </x:c>
      <x:c r="B209" s="330" t="n">
        <x:v>45118</x:v>
      </x:c>
      <x:c r="C209" s="330" t="n">
        <x:v>46080</x:v>
      </x:c>
      <x:c r="D209" t="n">
        <x:v>2023</x:v>
      </x:c>
      <x:c r="E209" t="n">
        <x:v>7</x:v>
      </x:c>
      <x:c r="F209" t="str">
        <x:v>205591/23/CBMP-QLD</x:v>
      </x:c>
      <x:c r="G209"/>
      <x:c r="H209" t="str">
        <x:v>Sofei In Nature Black &amp; Ginger Conditioner</x:v>
      </x:c>
      <x:c r="I209" t="str">
        <x:v>SOFEI IN NATURE</x:v>
      </x:c>
      <x:c r="J209" t="str">
        <x:v>Dầu xả</x:v>
      </x:c>
      <x:c r="K209"/>
      <x:c r="L209" t="str">
        <x:v>Công ty TNHH SOFEI VIETNAM</x:v>
      </x:c>
      <x:c r="M209" t="str">
        <x:v>Số 108 Trần Đình Xu, phường Nguyễn Cư Trinh, Quận 1, TP. Hồ Chí Minh, Việt Nam. Mã số doanh nghiệp: 0317525895</x:v>
      </x:c>
      <x:c r="N209"/>
      <x:c r="O209" t="str">
        <x:v>Thu hồi số tiếp nhận; đình chỉ lưu hành và thu hồi (QĐ 126/QĐ-QLD)</x:v>
      </x:c>
      <x:c r="P209" t="str">
        <x:v>A++ – Cục Quản lý Dược; company responsibility explicit</x:v>
      </x:c>
      <x:c r="Q209" t="str">
        <x:v>QĐ126/2026, STT 255, trang 24.</x:v>
      </x:c>
      <x:c r="R209" t="str">
        <x:v>https://dav.gov.vn/quyet-dinh-so-126qd-qld-ve-viec-thu-hoi-so-tiep-nhan-phieu-cong-bo-san-pham-my-pham-dinh-chi-luu-hanh-va-thu-hoi-san-pham-my-pham-theo-kl-cua-hd-my-pham-asean-doi-voi-san-pham-my-pham-co-chua-chat-cyclotetrasiloxane-octamethylcyclotetrasiloxane-n5224.html</x:v>
      </x:c>
      <x:c r="S209" t="str">
        <x:v>TP. Hồ Chí Minh</x:v>
      </x:c>
      <x:c r="T209" t="str">
        <x:v>79</x:v>
      </x:c>
    </x:row>
    <x:row r="210">
      <x:c r="A210" t="n">
        <x:v>209</x:v>
      </x:c>
      <x:c r="B210" s="330" t="n">
        <x:v>45138</x:v>
      </x:c>
      <x:c r="C210" s="330" t="n">
        <x:v>46080</x:v>
      </x:c>
      <x:c r="D210" t="n">
        <x:v>2023</x:v>
      </x:c>
      <x:c r="E210" t="n">
        <x:v>7</x:v>
      </x:c>
      <x:c r="F210" t="str">
        <x:v>207560/23/CBMP-QLD</x:v>
      </x:c>
      <x:c r="G210"/>
      <x:c r="H210" t="str">
        <x:v>Harnn White Mulberry &amp; Cica Anti-Aging Sunscreen Spf50+/Pa++++</x:v>
      </x:c>
      <x:c r="I210" t="str">
        <x:v>HARNN</x:v>
      </x:c>
      <x:c r="J210" t="str">
        <x:v>Kem chống nắng</x:v>
      </x:c>
      <x:c r="K210"/>
      <x:c r="L210" t="str">
        <x:v>Công ty TNHH TANACHIRA VIỆT NAM</x:v>
      </x:c>
      <x:c r="M210" t="str">
        <x:v>Số 16 Nguyễn Trãi, phường Bến Thành, Quận 1, TP. Hồ Chí Minh, Việt Nam. Mã số doanh nghiệp: 0315395489</x:v>
      </x:c>
      <x:c r="N210"/>
      <x:c r="O210" t="str">
        <x:v>Thu hồi số tiếp nhận; đình chỉ lưu hành và thu hồi (QĐ 126/QĐ-QLD)</x:v>
      </x:c>
      <x:c r="P210" t="str">
        <x:v>A++ – Cục Quản lý Dược; company responsibility explicit</x:v>
      </x:c>
      <x:c r="Q210" t="str">
        <x:v>QĐ126/2026, STT 257, trang 24.</x:v>
      </x:c>
      <x:c r="R210" t="str">
        <x:v>https://dav.gov.vn/quyet-dinh-so-126qd-qld-ve-viec-thu-hoi-so-tiep-nhan-phieu-cong-bo-san-pham-my-pham-dinh-chi-luu-hanh-va-thu-hoi-san-pham-my-pham-theo-kl-cua-hd-my-pham-asean-doi-voi-san-pham-my-pham-co-chua-chat-cyclotetrasiloxane-octamethylcyclotetrasiloxane-n5224.html</x:v>
      </x:c>
      <x:c r="S210" t="str">
        <x:v>TP. Hồ Chí Minh</x:v>
      </x:c>
      <x:c r="T210" t="str">
        <x:v>79</x:v>
      </x:c>
    </x:row>
    <x:row r="211">
      <x:c r="A211" t="n">
        <x:v>210</x:v>
      </x:c>
      <x:c r="B211" s="330" t="n">
        <x:v>45030</x:v>
      </x:c>
      <x:c r="C211" s="330" t="n">
        <x:v>46080</x:v>
      </x:c>
      <x:c r="D211" t="n">
        <x:v>2023</x:v>
      </x:c>
      <x:c r="E211" t="n">
        <x:v>4</x:v>
      </x:c>
      <x:c r="F211" t="str">
        <x:v>199495/23/CBMP-QLD</x:v>
      </x:c>
      <x:c r="G211"/>
      <x:c r="H211" t="str">
        <x:v>Hijojo Nurishing Moist Tone Up Cream</x:v>
      </x:c>
      <x:c r="I211" t="str">
        <x:v>HIJOJO</x:v>
      </x:c>
      <x:c r="J211" t="str">
        <x:v>Kem dưỡng da</x:v>
      </x:c>
      <x:c r="K211"/>
      <x:c r="L211" t="str">
        <x:v>Công ty TNHH THEHYEMIN</x:v>
      </x:c>
      <x:c r="M211" t="str">
        <x:v>97-99 Phạm Ngũ Lão, phường Phạm Ngũ Lão, Quận 1, TP. Hồ Chí Minh, Việt Nam. Mã số doanh nghiệp: 0317195936</x:v>
      </x:c>
      <x:c r="N211"/>
      <x:c r="O211" t="str">
        <x:v>Thu hồi số tiếp nhận; đình chỉ lưu hành và thu hồi (QĐ 126/QĐ-QLD)</x:v>
      </x:c>
      <x:c r="P211" t="str">
        <x:v>A++ – Cục Quản lý Dược; company responsibility explicit</x:v>
      </x:c>
      <x:c r="Q211" t="str">
        <x:v>QĐ126/2026, STT 259, trang 25.</x:v>
      </x:c>
      <x:c r="R211" t="str">
        <x:v>https://dav.gov.vn/quyet-dinh-so-126qd-qld-ve-viec-thu-hoi-so-tiep-nhan-phieu-cong-bo-san-pham-my-pham-dinh-chi-luu-hanh-va-thu-hoi-san-pham-my-pham-theo-kl-cua-hd-my-pham-asean-doi-voi-san-pham-my-pham-co-chua-chat-cyclotetrasiloxane-octamethylcyclotetrasiloxane-n5224.html</x:v>
      </x:c>
      <x:c r="S211" t="str">
        <x:v>TP. Hồ Chí Minh</x:v>
      </x:c>
      <x:c r="T211" t="str">
        <x:v>79</x:v>
      </x:c>
    </x:row>
    <x:row r="212">
      <x:c r="A212" t="n">
        <x:v>211</x:v>
      </x:c>
      <x:c r="B212" s="330" t="n">
        <x:v>44917</x:v>
      </x:c>
      <x:c r="C212" s="330" t="n">
        <x:v>46080</x:v>
      </x:c>
      <x:c r="D212" t="n">
        <x:v>2022</x:v>
      </x:c>
      <x:c r="E212" t="n">
        <x:v>12</x:v>
      </x:c>
      <x:c r="F212" t="str">
        <x:v>191741/22/CBMP-QLD</x:v>
      </x:c>
      <x:c r="G212"/>
      <x:c r="H212" t="str">
        <x:v>Loverhair Hair Fall Control Conditioner</x:v>
      </x:c>
      <x:c r="I212"/>
      <x:c r="J212" t="str">
        <x:v>Dầu xả</x:v>
      </x:c>
      <x:c r="K212"/>
      <x:c r="L212" t="str">
        <x:v>Công ty TNHH Thương Mại Đa Phương</x:v>
      </x:c>
      <x:c r="M212" t="str">
        <x:v>Số 83 Đường số 3, Khu phố 2, phường An Khánh, TP. Thủ Đức, TP. Hồ Chí Minh, Việt Nam. Mã số doanh nghiệp: 0305034638</x:v>
      </x:c>
      <x:c r="N212"/>
      <x:c r="O212" t="str">
        <x:v>Thu hồi số tiếp nhận; đình chỉ lưu hành và thu hồi (QĐ 126/QĐ-QLD)</x:v>
      </x:c>
      <x:c r="P212" t="str">
        <x:v>A++ – Cục Quản lý Dược; company responsibility explicit</x:v>
      </x:c>
      <x:c r="Q212" t="str">
        <x:v>QĐ126/2026, STT 261, trang 25.</x:v>
      </x:c>
      <x:c r="R212" t="str">
        <x:v>https://dav.gov.vn/quyet-dinh-so-126qd-qld-ve-viec-thu-hoi-so-tiep-nhan-phieu-cong-bo-san-pham-my-pham-dinh-chi-luu-hanh-va-thu-hoi-san-pham-my-pham-theo-kl-cua-hd-my-pham-asean-doi-voi-san-pham-my-pham-co-chua-chat-cyclotetrasiloxane-octamethylcyclotetrasiloxane-n5224.html</x:v>
      </x:c>
      <x:c r="S212" t="str">
        <x:v>TP. Hồ Chí Minh</x:v>
      </x:c>
      <x:c r="T212" t="str">
        <x:v>79</x:v>
      </x:c>
    </x:row>
    <x:row r="213">
      <x:c r="A213" t="n">
        <x:v>212</x:v>
      </x:c>
      <x:c r="B213" s="330" t="n">
        <x:v>45149</x:v>
      </x:c>
      <x:c r="C213" s="330" t="n">
        <x:v>46080</x:v>
      </x:c>
      <x:c r="D213" t="n">
        <x:v>2023</x:v>
      </x:c>
      <x:c r="E213" t="n">
        <x:v>8</x:v>
      </x:c>
      <x:c r="F213" t="str">
        <x:v>208864/23/CBMP-QLD</x:v>
      </x:c>
      <x:c r="G213"/>
      <x:c r="H213" t="str">
        <x:v>Unique Essence</x:v>
      </x:c>
      <x:c r="I213" t="str">
        <x:v>Unique</x:v>
      </x:c>
      <x:c r="J213" t="str">
        <x:v>Serum/Essence da</x:v>
      </x:c>
      <x:c r="K213"/>
      <x:c r="L213" t="str">
        <x:v>Công ty TNHH thương mại dịch vụ đầu tư xuất nhập khẩu TỨ QUÝ</x:v>
      </x:c>
      <x:c r="M213" t="str">
        <x:v>Lầu 1, số nhà 164/5 đường số 20, Phường 5, quận Gò Vấp, TP. Hồ Chí Minh, Việt Nam. Mã số doanh nghiệp: 0311796842</x:v>
      </x:c>
      <x:c r="N213"/>
      <x:c r="O213" t="str">
        <x:v>Thu hồi số tiếp nhận; đình chỉ lưu hành và thu hồi (QĐ 126/QĐ-QLD)</x:v>
      </x:c>
      <x:c r="P213" t="str">
        <x:v>A++ – Cục Quản lý Dược; company responsibility explicit</x:v>
      </x:c>
      <x:c r="Q213" t="str">
        <x:v>QĐ126/2026, STT 264, trang 25.</x:v>
      </x:c>
      <x:c r="R213" t="str">
        <x:v>https://dav.gov.vn/quyet-dinh-so-126qd-qld-ve-viec-thu-hoi-so-tiep-nhan-phieu-cong-bo-san-pham-my-pham-dinh-chi-luu-hanh-va-thu-hoi-san-pham-my-pham-theo-kl-cua-hd-my-pham-asean-doi-voi-san-pham-my-pham-co-chua-chat-cyclotetrasiloxane-octamethylcyclotetrasiloxane-n5224.html</x:v>
      </x:c>
      <x:c r="S213" t="str">
        <x:v>TP. Hồ Chí Minh</x:v>
      </x:c>
      <x:c r="T213" t="str">
        <x:v>79</x:v>
      </x:c>
    </x:row>
    <x:row r="214">
      <x:c r="A214" t="n">
        <x:v>213</x:v>
      </x:c>
      <x:c r="B214" s="330" t="n">
        <x:v>45362</x:v>
      </x:c>
      <x:c r="C214" s="330" t="n">
        <x:v>46080</x:v>
      </x:c>
      <x:c r="D214" t="n">
        <x:v>2024</x:v>
      </x:c>
      <x:c r="E214" t="n">
        <x:v>3</x:v>
      </x:c>
      <x:c r="F214" t="str">
        <x:v>228050/24/CBMP-QLD</x:v>
      </x:c>
      <x:c r="G214"/>
      <x:c r="H214" t="str">
        <x:v>Sicoli Repairing And Smoothing Hair Mask</x:v>
      </x:c>
      <x:c r="I214" t="str">
        <x:v>SICOLI</x:v>
      </x:c>
      <x:c r="J214" t="str">
        <x:v>Mặt nạ</x:v>
      </x:c>
      <x:c r="K214"/>
      <x:c r="L214" t="str">
        <x:v>Công ty TNHH thương mại dịch vụ KENIS</x:v>
      </x:c>
      <x:c r="M214" t="str">
        <x:v>63/8, đường Thuận Giao 29, khu phố Bình Giao, phường Thuận Giao, TP. Thuận An, tỉnh Bình Dương, Việt Nam. Mã số doanh nghiệp: 3703124653</x:v>
      </x:c>
      <x:c r="N214"/>
      <x:c r="O214" t="str">
        <x:v>Thu hồi số tiếp nhận; đình chỉ lưu hành và thu hồi (QĐ 126/QĐ-QLD)</x:v>
      </x:c>
      <x:c r="P214" t="str">
        <x:v>A++ – Cục Quản lý Dược; company responsibility explicit</x:v>
      </x:c>
      <x:c r="Q214" t="str">
        <x:v>QĐ126/2026, STT 267, trang 25.</x:v>
      </x:c>
      <x:c r="R214" t="str">
        <x:v>https://dav.gov.vn/quyet-dinh-so-126qd-qld-ve-viec-thu-hoi-so-tiep-nhan-phieu-cong-bo-san-pham-my-pham-dinh-chi-luu-hanh-va-thu-hoi-san-pham-my-pham-theo-kl-cua-hd-my-pham-asean-doi-voi-san-pham-my-pham-co-chua-chat-cyclotetrasiloxane-octamethylcyclotetrasiloxane-n5224.html</x:v>
      </x:c>
      <x:c r="S214" t="str">
        <x:v>TP. Hồ Chí Minh</x:v>
      </x:c>
      <x:c r="T214" t="str">
        <x:v>79</x:v>
      </x:c>
    </x:row>
    <x:row r="215">
      <x:c r="A215" t="n">
        <x:v>214</x:v>
      </x:c>
      <x:c r="B215" s="330" t="n">
        <x:v>45183</x:v>
      </x:c>
      <x:c r="C215" s="330" t="n">
        <x:v>46080</x:v>
      </x:c>
      <x:c r="D215" t="n">
        <x:v>2023</x:v>
      </x:c>
      <x:c r="E215" t="n">
        <x:v>9</x:v>
      </x:c>
      <x:c r="F215" t="str">
        <x:v>211600/23/CBMP-QLD</x:v>
      </x:c>
      <x:c r="G215"/>
      <x:c r="H215" t="str">
        <x:v>SIXTEEn BRAND 16 Fruit-Chu Tint</x:v>
      </x:c>
      <x:c r="I215" t="str">
        <x:v>SIXTEEN BRAND 1 6</x:v>
      </x:c>
      <x:c r="J215" t="str">
        <x:v>Khác</x:v>
      </x:c>
      <x:c r="K215"/>
      <x:c r="L215" t="str">
        <x:v>Công ty TNHH thương mại dịch vụ KKUN MEDIA</x:v>
      </x:c>
      <x:c r="M215" t="str">
        <x:v>Số 680 - 682, đường Nguyễn Đình Chiểu, Phường 3, Quận 3, TP. Hồ Chí Minh, Việt Nam. Mã số doanh nghiệp: 0316304646</x:v>
      </x:c>
      <x:c r="N215"/>
      <x:c r="O215" t="str">
        <x:v>Thu hồi số tiếp nhận; đình chỉ lưu hành và thu hồi (QĐ 126/QĐ-QLD)</x:v>
      </x:c>
      <x:c r="P215" t="str">
        <x:v>A++ – Cục Quản lý Dược; company responsibility explicit</x:v>
      </x:c>
      <x:c r="Q215" t="str">
        <x:v>QĐ126/2026, STT 268, trang 26.</x:v>
      </x:c>
      <x:c r="R215" t="str">
        <x:v>https://dav.gov.vn/quyet-dinh-so-126qd-qld-ve-viec-thu-hoi-so-tiep-nhan-phieu-cong-bo-san-pham-my-pham-dinh-chi-luu-hanh-va-thu-hoi-san-pham-my-pham-theo-kl-cua-hd-my-pham-asean-doi-voi-san-pham-my-pham-co-chua-chat-cyclotetrasiloxane-octamethylcyclotetrasiloxane-n5224.html</x:v>
      </x:c>
      <x:c r="S215" t="str">
        <x:v>TP. Hồ Chí Minh</x:v>
      </x:c>
      <x:c r="T215" t="str">
        <x:v>79</x:v>
      </x:c>
    </x:row>
    <x:row r="216">
      <x:c r="A216" t="n">
        <x:v>215</x:v>
      </x:c>
      <x:c r="B216" s="330" t="n">
        <x:v>44960</x:v>
      </x:c>
      <x:c r="C216" s="330" t="n">
        <x:v>46080</x:v>
      </x:c>
      <x:c r="D216" t="n">
        <x:v>2023</x:v>
      </x:c>
      <x:c r="E216" t="n">
        <x:v>2</x:v>
      </x:c>
      <x:c r="F216" t="str">
        <x:v>194390/23/CBMP-QLD</x:v>
      </x:c>
      <x:c r="G216"/>
      <x:c r="H216" t="str">
        <x:v>Evenswiss Reviving Serum</x:v>
      </x:c>
      <x:c r="I216" t="str">
        <x:v>EVENSWI SS</x:v>
      </x:c>
      <x:c r="J216" t="str">
        <x:v>Serum/Essence da</x:v>
      </x:c>
      <x:c r="K216"/>
      <x:c r="L216" t="str">
        <x:v>Công ty TNHH thương mại toàn cầu HEIMAT</x:v>
      </x:c>
      <x:c r="M216" t="str">
        <x:v>Số 54/5 Nguyễn Bỉnh Khiêm, phường Đa Kao, Quận 1, TP. Hồ Chí Minh, Việt Nam. Mã số doanh nghiệp: 0317357305</x:v>
      </x:c>
      <x:c r="N216"/>
      <x:c r="O216" t="str">
        <x:v>Thu hồi số tiếp nhận; đình chỉ lưu hành và thu hồi (QĐ 126/QĐ-QLD)</x:v>
      </x:c>
      <x:c r="P216" t="str">
        <x:v>A++ – Cục Quản lý Dược; company responsibility explicit</x:v>
      </x:c>
      <x:c r="Q216" t="str">
        <x:v>QĐ126/2026, STT 277, trang 26.</x:v>
      </x:c>
      <x:c r="R216" t="str">
        <x:v>https://dav.gov.vn/quyet-dinh-so-126qd-qld-ve-viec-thu-hoi-so-tiep-nhan-phieu-cong-bo-san-pham-my-pham-dinh-chi-luu-hanh-va-thu-hoi-san-pham-my-pham-theo-kl-cua-hd-my-pham-asean-doi-voi-san-pham-my-pham-co-chua-chat-cyclotetrasiloxane-octamethylcyclotetrasiloxane-n5224.html</x:v>
      </x:c>
      <x:c r="S216" t="str">
        <x:v>TP. Hồ Chí Minh</x:v>
      </x:c>
      <x:c r="T216" t="str">
        <x:v>79</x:v>
      </x:c>
    </x:row>
    <x:row r="217">
      <x:c r="A217" t="n">
        <x:v>216</x:v>
      </x:c>
      <x:c r="B217" s="330" t="n">
        <x:v>45877</x:v>
      </x:c>
      <x:c r="C217" s="330" t="n">
        <x:v>46080</x:v>
      </x:c>
      <x:c r="D217" t="n">
        <x:v>2025</x:v>
      </x:c>
      <x:c r="E217" t="n">
        <x:v>8</x:v>
      </x:c>
      <x:c r="F217" t="str">
        <x:v>283951/25/CBMP-QLD</x:v>
      </x:c>
      <x:c r="G217"/>
      <x:c r="H217" t="str">
        <x:v>Haaraz Cover Cushion</x:v>
      </x:c>
      <x:c r="I217" t="str">
        <x:v>Haaraz</x:v>
      </x:c>
      <x:c r="J217" t="str">
        <x:v>Khác</x:v>
      </x:c>
      <x:c r="K217"/>
      <x:c r="L217" t="str">
        <x:v>Công ty TNHH thương mại xuất nhập khẩu KIM TÂM</x:v>
      </x:c>
      <x:c r="M217" t="str">
        <x:v>Số 110/20/31 Đường số 30, Phường 6, quận Gò Vấp, TP. Hồ Chí Minh. Mã số doanh nghiệp: 0314968271</x:v>
      </x:c>
      <x:c r="N217"/>
      <x:c r="O217" t="str">
        <x:v>Thu hồi số tiếp nhận; đình chỉ lưu hành và thu hồi (QĐ 126/QĐ-QLD)</x:v>
      </x:c>
      <x:c r="P217" t="str">
        <x:v>A++ – Cục Quản lý Dược; company responsibility explicit</x:v>
      </x:c>
      <x:c r="Q217" t="str">
        <x:v>QĐ126/2026, STT 281, trang 27.</x:v>
      </x:c>
      <x:c r="R217" t="str">
        <x:v>https://dav.gov.vn/quyet-dinh-so-126qd-qld-ve-viec-thu-hoi-so-tiep-nhan-phieu-cong-bo-san-pham-my-pham-dinh-chi-luu-hanh-va-thu-hoi-san-pham-my-pham-theo-kl-cua-hd-my-pham-asean-doi-voi-san-pham-my-pham-co-chua-chat-cyclotetrasiloxane-octamethylcyclotetrasiloxane-n5224.html</x:v>
      </x:c>
      <x:c r="S217" t="str">
        <x:v>TP. Hồ Chí Minh</x:v>
      </x:c>
      <x:c r="T217" t="str">
        <x:v>79</x:v>
      </x:c>
    </x:row>
    <x:row r="218">
      <x:c r="A218" t="n">
        <x:v>217</x:v>
      </x:c>
      <x:c r="B218" s="330" t="n">
        <x:v>45950</x:v>
      </x:c>
      <x:c r="C218" s="330" t="n">
        <x:v>46080</x:v>
      </x:c>
      <x:c r="D218" t="n">
        <x:v>2025</x:v>
      </x:c>
      <x:c r="E218" t="n">
        <x:v>10</x:v>
      </x:c>
      <x:c r="F218" t="str">
        <x:v>295999/25/CBMP-QLD</x:v>
      </x:c>
      <x:c r="G218"/>
      <x:c r="H218" t="str">
        <x:v>Ladamer Cell Clinic Cc Cream</x:v>
      </x:c>
      <x:c r="I218" t="str">
        <x:v>LADAME R</x:v>
      </x:c>
      <x:c r="J218" t="str">
        <x:v>Kem dưỡng da</x:v>
      </x:c>
      <x:c r="K218"/>
      <x:c r="L218" t="str">
        <x:v>Công ty TNHH TM DV CUỘC SỐNG MỚI</x:v>
      </x:c>
      <x:c r="M218" t="str">
        <x:v>335 Vĩnh Viễn, Phường 8, Quận 10, TP. Hồ Chí Minh, Việt Nam. Mã số doanh nghiệp: 0310056820</x:v>
      </x:c>
      <x:c r="N218"/>
      <x:c r="O218" t="str">
        <x:v>Thu hồi số tiếp nhận; đình chỉ lưu hành và thu hồi (QĐ 126/QĐ-QLD)</x:v>
      </x:c>
      <x:c r="P218" t="str">
        <x:v>A++ – Cục Quản lý Dược; company responsibility explicit</x:v>
      </x:c>
      <x:c r="Q218" t="str">
        <x:v>QĐ126/2026, STT 282, trang 27.</x:v>
      </x:c>
      <x:c r="R218" t="str">
        <x:v>https://dav.gov.vn/quyet-dinh-so-126qd-qld-ve-viec-thu-hoi-so-tiep-nhan-phieu-cong-bo-san-pham-my-pham-dinh-chi-luu-hanh-va-thu-hoi-san-pham-my-pham-theo-kl-cua-hd-my-pham-asean-doi-voi-san-pham-my-pham-co-chua-chat-cyclotetrasiloxane-octamethylcyclotetrasiloxane-n5224.html</x:v>
      </x:c>
      <x:c r="S218" t="str">
        <x:v>TP. Hồ Chí Minh</x:v>
      </x:c>
      <x:c r="T218" t="str">
        <x:v>79</x:v>
      </x:c>
    </x:row>
    <x:row r="219">
      <x:c r="A219" t="n">
        <x:v>218</x:v>
      </x:c>
      <x:c r="B219" s="330" t="n">
        <x:v>44824</x:v>
      </x:c>
      <x:c r="C219" s="330" t="n">
        <x:v>46080</x:v>
      </x:c>
      <x:c r="D219" t="n">
        <x:v>2022</x:v>
      </x:c>
      <x:c r="E219" t="n">
        <x:v>9</x:v>
      </x:c>
      <x:c r="F219" t="str">
        <x:v>182664/22/CBMP-QLD</x:v>
      </x:c>
      <x:c r="G219"/>
      <x:c r="H219" t="str">
        <x:v>Haracell Perfect Cover Blemish Balm</x:v>
      </x:c>
      <x:c r="I219" t="str">
        <x:v>HARACE LL</x:v>
      </x:c>
      <x:c r="J219" t="str">
        <x:v>Khác</x:v>
      </x:c>
      <x:c r="K219"/>
      <x:c r="L219" t="str">
        <x:v>Công ty TNHH TỰ NHIÊN XANH XANH</x:v>
      </x:c>
      <x:c r="M219" t="str">
        <x:v>R4-54 Mỹ Toàn 2, phường Tân Phong, Quận 7, TP. Hồ Chí Minh, Việt Nam. Mã số doanh nghiệp: 0316903992</x:v>
      </x:c>
      <x:c r="N219"/>
      <x:c r="O219" t="str">
        <x:v>Thu hồi số tiếp nhận; đình chỉ lưu hành và thu hồi (QĐ 126/QĐ-QLD)</x:v>
      </x:c>
      <x:c r="P219" t="str">
        <x:v>A++ – Cục Quản lý Dược; company responsibility explicit</x:v>
      </x:c>
      <x:c r="Q219" t="str">
        <x:v>QĐ126/2026, STT 283, trang 27.</x:v>
      </x:c>
      <x:c r="R219" t="str">
        <x:v>https://dav.gov.vn/quyet-dinh-so-126qd-qld-ve-viec-thu-hoi-so-tiep-nhan-phieu-cong-bo-san-pham-my-pham-dinh-chi-luu-hanh-va-thu-hoi-san-pham-my-pham-theo-kl-cua-hd-my-pham-asean-doi-voi-san-pham-my-pham-co-chua-chat-cyclotetrasiloxane-octamethylcyclotetrasiloxane-n5224.html</x:v>
      </x:c>
      <x:c r="S219" t="str">
        <x:v>TP. Hồ Chí Minh</x:v>
      </x:c>
      <x:c r="T219" t="str">
        <x:v>79</x:v>
      </x:c>
    </x:row>
    <x:row r="220">
      <x:c r="A220" t="n">
        <x:v>219</x:v>
      </x:c>
      <x:c r="B220" s="330" t="n">
        <x:v>44789</x:v>
      </x:c>
      <x:c r="C220" s="330" t="n">
        <x:v>46080</x:v>
      </x:c>
      <x:c r="D220" t="n">
        <x:v>2022</x:v>
      </x:c>
      <x:c r="E220" t="n">
        <x:v>8</x:v>
      </x:c>
      <x:c r="F220" t="str">
        <x:v>177964/22/CBMP-QLD</x:v>
      </x:c>
      <x:c r="G220"/>
      <x:c r="H220" t="str">
        <x:v>Ecosy Intensive Body Gel</x:v>
      </x:c>
      <x:c r="I220" t="str">
        <x:v>ECOSY</x:v>
      </x:c>
      <x:c r="J220" t="str">
        <x:v>Khác</x:v>
      </x:c>
      <x:c r="K220"/>
      <x:c r="L220" t="str">
        <x:v>Công ty TNHH xuất nhập khẩu và phân phối HÀN QUỐC</x:v>
      </x:c>
      <x:c r="M220" t="str">
        <x:v>164 Lê Cao Lãng, phường Phú Thạnh, quận Tân Phú, TP. Hồ Chí Minh, Việt Nam. Mã số doanh nghiệp: 0315220217</x:v>
      </x:c>
      <x:c r="N220"/>
      <x:c r="O220" t="str">
        <x:v>Thu hồi số tiếp nhận; đình chỉ lưu hành và thu hồi (QĐ 126/QĐ-QLD)</x:v>
      </x:c>
      <x:c r="P220" t="str">
        <x:v>A++ – Cục Quản lý Dược; company responsibility explicit</x:v>
      </x:c>
      <x:c r="Q220" t="str">
        <x:v>QĐ126/2026, STT 289, trang 27.</x:v>
      </x:c>
      <x:c r="R220" t="str">
        <x:v>https://dav.gov.vn/quyet-dinh-so-126qd-qld-ve-viec-thu-hoi-so-tiep-nhan-phieu-cong-bo-san-pham-my-pham-dinh-chi-luu-hanh-va-thu-hoi-san-pham-my-pham-theo-kl-cua-hd-my-pham-asean-doi-voi-san-pham-my-pham-co-chua-chat-cyclotetrasiloxane-octamethylcyclotetrasiloxane-n5224.html</x:v>
      </x:c>
      <x:c r="S220" t="str">
        <x:v>TP. Hồ Chí Minh</x:v>
      </x:c>
      <x:c r="T220" t="str">
        <x:v>79</x:v>
      </x:c>
    </x:row>
    <x:row r="221">
      <x:c r="A221" t="n">
        <x:v>220</x:v>
      </x:c>
      <x:c r="B221" s="330" t="n">
        <x:v>44580</x:v>
      </x:c>
      <x:c r="C221" s="330" t="n">
        <x:v>46080</x:v>
      </x:c>
      <x:c r="D221" t="n">
        <x:v>2022</x:v>
      </x:c>
      <x:c r="E221" t="n">
        <x:v>1</x:v>
      </x:c>
      <x:c r="F221" t="str">
        <x:v>165076/22/CBMP-QLD</x:v>
      </x:c>
      <x:c r="G221"/>
      <x:c r="H221" t="str">
        <x:v>Bio Essence Bio-Gold Golden Ratio Double Serum</x:v>
      </x:c>
      <x:c r="I221" t="str">
        <x:v>BIO ESSENCE</x:v>
      </x:c>
      <x:c r="J221" t="str">
        <x:v>Serum/Essence da</x:v>
      </x:c>
      <x:c r="K221"/>
      <x:c r="L221" t="str">
        <x:v>Công ty trách nhiệm hữu hạn WIPRO CONSUMER CARE VIỆT NAM</x:v>
      </x:c>
      <x:c r="M221" t="str">
        <x:v>Số 7, Đường số 4, Khu công nghiệp Việt Nam - Singapore, phường Bình Hòa, TP. Thuận An, tỉnh Bình Dương, Việt Nam. Mã số doanh nghiệp: 3700262165</x:v>
      </x:c>
      <x:c r="N221"/>
      <x:c r="O221" t="str">
        <x:v>Thu hồi số tiếp nhận; đình chỉ lưu hành và thu hồi (QĐ 126/QĐ-QLD)</x:v>
      </x:c>
      <x:c r="P221" t="str">
        <x:v>A++ – Cục Quản lý Dược; company responsibility explicit</x:v>
      </x:c>
      <x:c r="Q221" t="str">
        <x:v>QĐ126/2026, STT 291, trang 28.</x:v>
      </x:c>
      <x:c r="R221" t="str">
        <x:v>https://dav.gov.vn/quyet-dinh-so-126qd-qld-ve-viec-thu-hoi-so-tiep-nhan-phieu-cong-bo-san-pham-my-pham-dinh-chi-luu-hanh-va-thu-hoi-san-pham-my-pham-theo-kl-cua-hd-my-pham-asean-doi-voi-san-pham-my-pham-co-chua-chat-cyclotetrasiloxane-octamethylcyclotetrasiloxane-n5224.html</x:v>
      </x:c>
      <x:c r="S221" t="str">
        <x:v>TP. Hồ Chí Minh</x:v>
      </x:c>
      <x:c r="T221" t="str">
        <x:v>79</x:v>
      </x:c>
    </x:row>
  </x:sheetData>
  <x:pageMargins left="0.7" right="0.7" top="0.75" bottom="0.75" header="0.3" footer="0.3"/>
</x:worksheet>
</file>

<file path=xl/worksheets/sheet9.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row r="2">
      <x:c r="A2" t="n">
        <x:v>1</x:v>
      </x:c>
      <x:c r="B2" s="330" t="n">
        <x:v>44942</x:v>
      </x:c>
      <x:c r="C2" s="330" t="n">
        <x:v>46007</x:v>
      </x:c>
      <x:c r="D2" t="n">
        <x:v>2023</x:v>
      </x:c>
      <x:c r="E2" t="n">
        <x:v>1</x:v>
      </x:c>
      <x:c r="F2" t="str">
        <x:v>15077/23/CBMP-HN</x:v>
      </x:c>
      <x:c r="G2"/>
      <x:c r="H2" t="str">
        <x:v>Dầu gội đầu suôn mượt</x:v>
      </x:c>
      <x:c r="I2"/>
      <x:c r="J2" t="str">
        <x:v>Dầu gội</x:v>
      </x:c>
      <x:c r="K2" t="str">
        <x:v>Dầu gội</x:v>
      </x:c>
      <x:c r="L2" t="str">
        <x:v>Công ty cổ phần mỹ phẩm Vimac</x:v>
      </x:c>
      <x:c r="M2" t="str">
        <x:v>Tầng 5, Tòa nhà 74 Miếu Đầm, phường Từ Liêm, TP. Hà Nội</x:v>
      </x:c>
      <x:c r="N2" t="str">
        <x:v>Công ty cổ phần mỹ phẩm Vimac</x:v>
      </x:c>
      <x:c r="O2" t="str">
        <x:v>Đình chỉ/thu hồi toàn bộ sản phẩm (2025)</x:v>
      </x:c>
      <x:c r="P2" t="str">
        <x:v>Có số CBMP, ngày cấp, company, địa chỉ sản xuất</x:v>
      </x:c>
      <x:c r="Q2" t="str">
        <x:v>SX tại Ô CN08 CCN Nguyên Khê, xã Phúc Thịnh, Hà Nội.</x:v>
      </x:c>
      <x:c r="R2" t="str">
        <x:v>https://bachonglinh.hatinh.gov.vn/tin-tuc/dinh-chi-luu-hanh-thu-hoi-va-tieu-huy-my-pham-vi-pham-doi-voi-03-san-pham-cua-cong-ty-co-phan-my-pham-vimac</x:v>
      </x:c>
      <x:c r="S2" t="str">
        <x:v>Hà Nội</x:v>
      </x:c>
      <x:c r="T2" t="str">
        <x:v>01</x:v>
      </x:c>
    </x:row>
    <x:row r="3">
      <x:c r="A3" t="n">
        <x:v>2</x:v>
      </x:c>
      <x:c r="B3" s="330" t="n">
        <x:v>44942</x:v>
      </x:c>
      <x:c r="C3" s="330" t="n">
        <x:v>46007</x:v>
      </x:c>
      <x:c r="D3" t="n">
        <x:v>2023</x:v>
      </x:c>
      <x:c r="E3" t="n">
        <x:v>1</x:v>
      </x:c>
      <x:c r="F3" t="str">
        <x:v>15078/23/CBMP-HN</x:v>
      </x:c>
      <x:c r="G3"/>
      <x:c r="H3" t="str">
        <x:v>Dầu sả suôn mượt</x:v>
      </x:c>
      <x:c r="I3"/>
      <x:c r="J3" t="str">
        <x:v>Dầu xả</x:v>
      </x:c>
      <x:c r="K3" t="str">
        <x:v>Dầu xả</x:v>
      </x:c>
      <x:c r="L3" t="str">
        <x:v>Công ty cổ phần mỹ phẩm Vimac</x:v>
      </x:c>
      <x:c r="M3" t="str">
        <x:v>Tầng 5, Tòa nhà 74 Miếu Đầm, phường Từ Liêm, TP. Hà Nội</x:v>
      </x:c>
      <x:c r="N3" t="str">
        <x:v>Công ty cổ phần mỹ phẩm Vimac</x:v>
      </x:c>
      <x:c r="O3" t="str">
        <x:v>Đình chỉ/thu hồi toàn bộ sản phẩm (2025)</x:v>
      </x:c>
      <x:c r="P3" t="str">
        <x:v>Có số CBMP, ngày cấp, company, địa chỉ sản xuất</x:v>
      </x:c>
      <x:c r="Q3" t="str">
        <x:v>SX tại Ô CN08 CCN Nguyên Khê, xã Phúc Thịnh, Hà Nội.</x:v>
      </x:c>
      <x:c r="R3" t="str">
        <x:v>https://bachonglinh.hatinh.gov.vn/tin-tuc/dinh-chi-luu-hanh-thu-hoi-va-tieu-huy-my-pham-vi-pham-doi-voi-03-san-pham-cua-cong-ty-co-phan-my-pham-vimac</x:v>
      </x:c>
      <x:c r="S3" t="str">
        <x:v>Hà Nội</x:v>
      </x:c>
      <x:c r="T3" t="str">
        <x:v>01</x:v>
      </x:c>
    </x:row>
    <x:row r="4">
      <x:c r="A4" t="n">
        <x:v>3</x:v>
      </x:c>
      <x:c r="B4" s="330" t="n">
        <x:v>44942</x:v>
      </x:c>
      <x:c r="C4" s="330" t="n">
        <x:v>46007</x:v>
      </x:c>
      <x:c r="D4" t="n">
        <x:v>2023</x:v>
      </x:c>
      <x:c r="E4" t="n">
        <x:v>1</x:v>
      </x:c>
      <x:c r="F4" t="str">
        <x:v>15079/23/CBMP-HN</x:v>
      </x:c>
      <x:c r="G4"/>
      <x:c r="H4" t="str">
        <x:v>Gel tắm dưỡng da</x:v>
      </x:c>
      <x:c r="I4"/>
      <x:c r="J4" t="str">
        <x:v>Sữa tắm/Gel tắm</x:v>
      </x:c>
      <x:c r="K4" t="str">
        <x:v>Gel tắm</x:v>
      </x:c>
      <x:c r="L4" t="str">
        <x:v>Công ty cổ phần mỹ phẩm Vimac</x:v>
      </x:c>
      <x:c r="M4" t="str">
        <x:v>Tầng 5, Tòa nhà 74 Miếu Đầm, phường Từ Liêm, TP. Hà Nội</x:v>
      </x:c>
      <x:c r="N4" t="str">
        <x:v>Công ty cổ phần mỹ phẩm Vimac</x:v>
      </x:c>
      <x:c r="O4" t="str">
        <x:v>Đình chỉ/thu hồi toàn bộ sản phẩm (2025)</x:v>
      </x:c>
      <x:c r="P4" t="str">
        <x:v>Có số CBMP, ngày cấp, company, địa chỉ sản xuất</x:v>
      </x:c>
      <x:c r="Q4" t="str">
        <x:v>SX tại Ô CN08 CCN Nguyên Khê, xã Phúc Thịnh, Hà Nội.</x:v>
      </x:c>
      <x:c r="R4" t="str">
        <x:v>https://bachonglinh.hatinh.gov.vn/tin-tuc/dinh-chi-luu-hanh-thu-hoi-va-tieu-huy-my-pham-vi-pham-doi-voi-03-san-pham-cua-cong-ty-co-phan-my-pham-vimac</x:v>
      </x:c>
      <x:c r="S4" t="str">
        <x:v>Hà Nội</x:v>
      </x:c>
      <x:c r="T4" t="str">
        <x:v>01</x:v>
      </x:c>
    </x:row>
    <x:row r="5">
      <x:c r="A5" t="n">
        <x:v>4</x:v>
      </x:c>
      <x:c r="B5" s="330"/>
      <x:c r="C5" s="330" t="n">
        <x:v>46133</x:v>
      </x:c>
      <x:c r="D5" t="n">
        <x:v>2023</x:v>
      </x:c>
      <x:c r="E5"/>
      <x:c r="F5" t="str">
        <x:v>16717/23/CBMP-HN</x:v>
      </x:c>
      <x:c r="G5"/>
      <x:c r="H5" t="str">
        <x:v>THERAPY 3M</x:v>
      </x:c>
      <x:c r="I5" t="str">
        <x:v>THERAPY 3M</x:v>
      </x:c>
      <x:c r="J5" t="str">
        <x:v>Khác</x:v>
      </x:c>
      <x:c r="K5" t="str">
        <x:v>Mỹ phẩm chăm sóc da/gel</x:v>
      </x:c>
      <x:c r="L5" t="str">
        <x:v>Công ty cổ phần dược mỹ phẩm 3M PHARMA</x:v>
      </x:c>
      <x:c r="M5" t="str">
        <x:v>TT6-23, khu đấu giá Tứ Hiệp - Thanh Trì, Hà Nội</x:v>
      </x:c>
      <x:c r="N5" t="str">
        <x:v>Công ty TNHH liên doanh dược mỹ phẩm IVYPHARMA</x:v>
      </x:c>
      <x:c r="O5" t="str">
        <x:v>Đình chỉ/thu hồi sản phẩm (2026)</x:v>
      </x:c>
      <x:c r="P5" t="str">
        <x:v>Gov source dẫn Cục QLD; có CBMP + company + manufacturer</x:v>
      </x:c>
      <x:c r="Q5" t="str">
        <x:v>SX tại Hồng Vân, Hà Nội.</x:v>
      </x:c>
      <x:c r="R5" t="str">
        <x:v>https://phuhoa.dongnai.gov.vn/vi/news/hoat-dong-chinh-quyen-nha-nuoc/dinh-chi-luu-hanh-va-thu-hoi-va-tieu-huy-my-pham-vi-pham-379.html</x:v>
      </x:c>
      <x:c r="S5" t="str">
        <x:v>Hà Nội</x:v>
      </x:c>
      <x:c r="T5" t="str">
        <x:v>01</x:v>
      </x:c>
    </x:row>
    <x:row r="6">
      <x:c r="A6" t="n">
        <x:v>5</x:v>
      </x:c>
      <x:c r="B6" s="330"/>
      <x:c r="C6" s="330" t="n">
        <x:v>45806</x:v>
      </x:c>
      <x:c r="D6" t="n">
        <x:v>2023</x:v>
      </x:c>
      <x:c r="E6"/>
      <x:c r="F6" t="str">
        <x:v>18185/23/CBMP-HN</x:v>
      </x:c>
      <x:c r="G6"/>
      <x:c r="H6" t="str">
        <x:v>Evit mù U</x:v>
      </x:c>
      <x:c r="I6"/>
      <x:c r="J6" t="str">
        <x:v>Khác</x:v>
      </x:c>
      <x:c r="K6" t="str">
        <x:v>Dầu bôi/chăm sóc da</x:v>
      </x:c>
      <x:c r="L6" t="str">
        <x:v>Công ty cổ phần Hóa dược Việt Nam</x:v>
      </x:c>
      <x:c r="M6" t="str">
        <x:v>273 phố Tây Sơn, Đống Đa, Hà Nội</x:v>
      </x:c>
      <x:c r="N6" t="str">
        <x:v>Công ty cổ phần Hóa dược Việt Nam</x:v>
      </x:c>
      <x:c r="O6" t="str">
        <x:v>Đình chỉ/thu hồi lô (2025)</x:v>
      </x:c>
      <x:c r="P6" t="str">
        <x:v>Sở Y tế tỉnh công khai CBMP + company + manufacturer</x:v>
      </x:c>
      <x:c r="Q6" t="str">
        <x:v>SX tại 192 Đức Giang, Long Biên, Hà Nội.</x:v>
      </x:c>
      <x:c r="R6" t="str">
        <x:v>https://binhphuoc.gov.vn/vi/syt/duoc-pham-my-pham/dinh-chi-luu-hanh-thu-hoi-va-tieu-huy-my-pham-khong-dat-tieu-chuan-chat-luong-5381.html</x:v>
      </x:c>
      <x:c r="S6" t="str">
        <x:v>Hà Nội</x:v>
      </x:c>
      <x:c r="T6" t="str">
        <x:v>01</x:v>
      </x:c>
    </x:row>
    <x:row r="7">
      <x:c r="A7" t="n">
        <x:v>6</x:v>
      </x:c>
      <x:c r="B7" s="330"/>
      <x:c r="C7" s="330" t="n">
        <x:v>45889</x:v>
      </x:c>
      <x:c r="D7" t="n">
        <x:v>2023</x:v>
      </x:c>
      <x:c r="E7"/>
      <x:c r="F7" t="str">
        <x:v>15527/23/CBMP-HN</x:v>
      </x:c>
      <x:c r="G7"/>
      <x:c r="H7" t="str">
        <x:v>Gel nhiệt miệng Fobe Mouth Ulcer</x:v>
      </x:c>
      <x:c r="I7" t="str">
        <x:v>Fobe</x:v>
      </x:c>
      <x:c r="J7" t="str">
        <x:v>Khác</x:v>
      </x:c>
      <x:c r="K7" t="str">
        <x:v>Gel chăm sóc miệng</x:v>
      </x:c>
      <x:c r="L7" t="str">
        <x:v>Công ty cổ phần Fobelife</x:v>
      </x:c>
      <x:c r="M7" t="str">
        <x:v>137/1A Nguyễn Quý Anh, Tân Sơn Nhì, TP.HCM</x:v>
      </x:c>
      <x:c r="N7" t="str">
        <x:v>Công ty TNHH công nghệ sinh học dược mỹ phẩm SJK</x:v>
      </x:c>
      <x:c r="O7" t="str">
        <x:v>Đình chỉ/thu hồi lô (2025)</x:v>
      </x:c>
      <x:c r="P7" t="str">
        <x:v>Sở Y tế/Cổng tỉnh công khai CBMP + company + manufacturer</x:v>
      </x:c>
      <x:c r="Q7" t="str">
        <x:v>SX tại KCN Phú Nghĩa, Hà Nội.</x:v>
      </x:c>
      <x:c r="R7" t="str">
        <x:v>https://syt.bacninh.gov.vn/news/-/details/184573/-inh-chi-luu-hanh-thu-hoi-va-tieu-huy-my-pham-khong-at-chat-luong-13578617</x:v>
      </x:c>
      <x:c r="S7" t="str">
        <x:v>Hà Nội</x:v>
      </x:c>
      <x:c r="T7" t="str">
        <x:v>01</x:v>
      </x:c>
    </x:row>
    <x:row r="8">
      <x:c r="A8" t="n">
        <x:v>7</x:v>
      </x:c>
      <x:c r="B8" s="330"/>
      <x:c r="C8" s="330" t="n">
        <x:v>45910</x:v>
      </x:c>
      <x:c r="D8" t="n">
        <x:v>2024</x:v>
      </x:c>
      <x:c r="E8"/>
      <x:c r="F8" t="str">
        <x:v>19052/24/CBMP-HN</x:v>
      </x:c>
      <x:c r="G8"/>
      <x:c r="H8" t="str">
        <x:v>Dung dịch vệ sinh phụ nữ Ori Women Pluss</x:v>
      </x:c>
      <x:c r="I8" t="str">
        <x:v>Ori Women Pluss</x:v>
      </x:c>
      <x:c r="J8" t="str">
        <x:v>Dung dịch vệ sinh</x:v>
      </x:c>
      <x:c r="K8" t="str">
        <x:v>Vệ sinh phụ nữ</x:v>
      </x:c>
      <x:c r="L8" t="str">
        <x:v>Công ty cổ phần thảo dược và thiết bị y tế Bảo Minh Châu</x:v>
      </x:c>
      <x:c r="M8" t="str">
        <x:v>392 Nguyễn Lương Bằng, Phù Liễn, Hải Phòng</x:v>
      </x:c>
      <x:c r="N8" t="str">
        <x:v>Công ty TNHH công nghệ sinh học dược mỹ phẩm SJK</x:v>
      </x:c>
      <x:c r="O8" t="str">
        <x:v>Đình chỉ/thu hồi lô (2025)</x:v>
      </x:c>
      <x:c r="P8" t="str">
        <x:v>Gov/Bộ Y tế công khai CBMP + company + manufacturer</x:v>
      </x:c>
      <x:c r="Q8" t="str">
        <x:v>SX tại KCN Phú Nghĩa, Hà Nội.</x:v>
      </x:c>
      <x:c r="R8" t="str">
        <x:v>https://phuhoa.dongnai.gov.vn/vi/news/thong-bao/dinh-chi-luu-hanh-va-thu-hoi-my-pham-khong-dat-tieu-chuan-chat-luong-126.html</x:v>
      </x:c>
      <x:c r="S8" t="str">
        <x:v>Hà Nội</x:v>
      </x:c>
      <x:c r="T8" t="str">
        <x:v>01</x:v>
      </x:c>
    </x:row>
    <x:row r="9">
      <x:c r="A9" t="n">
        <x:v>8</x:v>
      </x:c>
      <x:c r="B9" s="330"/>
      <x:c r="C9" s="330" t="n">
        <x:v>45868</x:v>
      </x:c>
      <x:c r="D9" t="n">
        <x:v>2023</x:v>
      </x:c>
      <x:c r="E9"/>
      <x:c r="F9" t="str">
        <x:v>16682/23/CBMP-HN</x:v>
      </x:c>
      <x:c r="G9"/>
      <x:c r="H9" t="str">
        <x:v>Sữa chống nắng DSK UV</x:v>
      </x:c>
      <x:c r="I9" t="str">
        <x:v>DSK</x:v>
      </x:c>
      <x:c r="J9" t="str">
        <x:v>Kem chống nắng</x:v>
      </x:c>
      <x:c r="K9" t="str">
        <x:v>Sữa chống nắng</x:v>
      </x:c>
      <x:c r="L9" t="str">
        <x:v>Công ty cổ phần dược phẩm VSHINE</x:v>
      </x:c>
      <x:c r="M9" t="str">
        <x:v>24 ngõ 118 Nguyễn Khánh Toàn, Cầu Giấy, Hà Nội</x:v>
      </x:c>
      <x:c r="N9" t="str">
        <x:v>Công ty cổ phần dược mỹ phẩm Kosna Việt Nam</x:v>
      </x:c>
      <x:c r="O9" t="str">
        <x:v>Đình chỉ/thu hồi lô (2025)</x:v>
      </x:c>
      <x:c r="P9" t="str">
        <x:v>Gov source công khai CBMP + company + manufacturer</x:v>
      </x:c>
      <x:c r="Q9" t="str">
        <x:v>SX tại Dương Liễu, Hoài Đức, Hà Nội.</x:v>
      </x:c>
      <x:c r="R9" t="str">
        <x:v>https://iako.gialai.gov.vn/tin-tuc/ve-viec-dinh-chi-luu-hanh-thu-hoi-va-tieu-huy-my-pham-khong-dat-tieu-chuan-chat-luong.html</x:v>
      </x:c>
      <x:c r="S9" t="str">
        <x:v>Hà Nội</x:v>
      </x:c>
      <x:c r="T9" t="str">
        <x:v>01</x:v>
      </x:c>
    </x:row>
    <x:row r="10">
      <x:c r="A10" t="n">
        <x:v>9</x:v>
      </x:c>
      <x:c r="B10" s="330" t="n">
        <x:v>45887</x:v>
      </x:c>
      <x:c r="C10" s="330" t="n">
        <x:v>46080</x:v>
      </x:c>
      <x:c r="D10" t="n">
        <x:v>2025</x:v>
      </x:c>
      <x:c r="E10" t="n">
        <x:v>8</x:v>
      </x:c>
      <x:c r="F10" t="str">
        <x:v>285987/25/CBMP-QLD</x:v>
      </x:c>
      <x:c r="G10"/>
      <x:c r="H10" t="str">
        <x:v>Attachment HAIR REPAIR ESSENCE LOTION</x:v>
      </x:c>
      <x:c r="I10" t="str">
        <x:v>ATTachme nt</x:v>
      </x:c>
      <x:c r="J10" t="str">
        <x:v>Serum/Essence da</x:v>
      </x:c>
      <x:c r="K10"/>
      <x:c r="L10" t="str">
        <x:v>Công ty Cổ Phần Attachment Việt Nam</x:v>
      </x:c>
      <x:c r="M10" t="str">
        <x:v>Số nhà 6, ngõ 188/35/31, phố Tư Đình, phường Long Biên, quận Long Biên, TP. Hà Nội, Việt Nam. Mã số doanh nghiệp: 0110474605</x:v>
      </x:c>
      <x:c r="N10"/>
      <x:c r="O10" t="str">
        <x:v>Thu hồi số tiếp nhận; đình chỉ lưu hành và thu hồi (QĐ 126/QĐ-QLD)</x:v>
      </x:c>
      <x:c r="P10" t="str">
        <x:v>A++ – Cục Quản lý Dược; company responsibility explicit</x:v>
      </x:c>
      <x:c r="Q10" t="str">
        <x:v>QĐ126/2026, STT 1, trang 3.</x:v>
      </x:c>
      <x:c r="R10" t="str">
        <x:v>https://dav.gov.vn/quyet-dinh-so-126qd-qld-ve-viec-thu-hoi-so-tiep-nhan-phieu-cong-bo-san-pham-my-pham-dinh-chi-luu-hanh-va-thu-hoi-san-pham-my-pham-theo-kl-cua-hd-my-pham-asean-doi-voi-san-pham-my-pham-co-chua-chat-cyclotetrasiloxane-octamethylcyclotetrasiloxane-n5224.html</x:v>
      </x:c>
      <x:c r="S10" t="str">
        <x:v>Hà Nội</x:v>
      </x:c>
      <x:c r="T10" t="str">
        <x:v>01</x:v>
      </x:c>
    </x:row>
    <x:row r="11">
      <x:c r="A11" t="n">
        <x:v>10</x:v>
      </x:c>
      <x:c r="B11" s="330" t="n">
        <x:v>45887</x:v>
      </x:c>
      <x:c r="C11" s="330" t="n">
        <x:v>46080</x:v>
      </x:c>
      <x:c r="D11" t="n">
        <x:v>2025</x:v>
      </x:c>
      <x:c r="E11" t="n">
        <x:v>8</x:v>
      </x:c>
      <x:c r="F11" t="str">
        <x:v>285989/25/CBMP-QLD</x:v>
      </x:c>
      <x:c r="G11"/>
      <x:c r="H11" t="str">
        <x:v>Atbling Advanced Hair Repair Treatment Lotion</x:v>
      </x:c>
      <x:c r="I11" t="str">
        <x:v>ATBLING</x:v>
      </x:c>
      <x:c r="J11" t="str">
        <x:v>Kem dưỡng da</x:v>
      </x:c>
      <x:c r="K11"/>
      <x:c r="L11" t="str">
        <x:v>Công ty Cổ Phần Attachment Việt Nam</x:v>
      </x:c>
      <x:c r="M11" t="str">
        <x:v>Số nhà 6, ngõ 188/35/31, phố Tư Đình, phường Long Biên, quận Long Biên, TP. Hà Nội, Việt Nam. Mã số doanh nghiệp: 0110474605</x:v>
      </x:c>
      <x:c r="N11"/>
      <x:c r="O11" t="str">
        <x:v>Thu hồi số tiếp nhận; đình chỉ lưu hành và thu hồi (QĐ 126/QĐ-QLD)</x:v>
      </x:c>
      <x:c r="P11" t="str">
        <x:v>A++ – Cục Quản lý Dược; company responsibility explicit</x:v>
      </x:c>
      <x:c r="Q11" t="str">
        <x:v>QĐ126/2026, STT 2, trang 3.</x:v>
      </x:c>
      <x:c r="R11" t="str">
        <x:v>https://dav.gov.vn/quyet-dinh-so-126qd-qld-ve-viec-thu-hoi-so-tiep-nhan-phieu-cong-bo-san-pham-my-pham-dinh-chi-luu-hanh-va-thu-hoi-san-pham-my-pham-theo-kl-cua-hd-my-pham-asean-doi-voi-san-pham-my-pham-co-chua-chat-cyclotetrasiloxane-octamethylcyclotetrasiloxane-n5224.html</x:v>
      </x:c>
      <x:c r="S11" t="str">
        <x:v>Hà Nội</x:v>
      </x:c>
      <x:c r="T11" t="str">
        <x:v>01</x:v>
      </x:c>
    </x:row>
    <x:row r="12">
      <x:c r="A12" t="n">
        <x:v>11</x:v>
      </x:c>
      <x:c r="B12" s="330" t="n">
        <x:v>45427</x:v>
      </x:c>
      <x:c r="C12" s="330" t="n">
        <x:v>46080</x:v>
      </x:c>
      <x:c r="D12" t="n">
        <x:v>2024</x:v>
      </x:c>
      <x:c r="E12" t="n">
        <x:v>5</x:v>
      </x:c>
      <x:c r="F12" t="str">
        <x:v>236089/24/CBMP-QLD</x:v>
      </x:c>
      <x:c r="G12"/>
      <x:c r="H12" t="str">
        <x:v>Paula's Choice Gentle Touch Makeup Remover</x:v>
      </x:c>
      <x:c r="I12" t="str">
        <x:v>Paula's Choice</x:v>
      </x:c>
      <x:c r="J12" t="str">
        <x:v>Tẩy trang</x:v>
      </x:c>
      <x:c r="K12"/>
      <x:c r="L12" t="str">
        <x:v>Công ty Cổ Phần Bệnh Viện Hữu Nghị Quốc Tế Hà Nội</x:v>
      </x:c>
      <x:c r="M12" t="str">
        <x:v>Tầng 44, toà C5, khu đô thị D'Capitale, 224 Trần Duy Hưng, phường Trung Hoà, quận Cầu Giấy, TP. Hà Nội, Việt Nam. Mã số doanh nghiệp: 02462579898</x:v>
      </x:c>
      <x:c r="N12"/>
      <x:c r="O12" t="str">
        <x:v>Thu hồi số tiếp nhận; đình chỉ lưu hành và thu hồi (QĐ 126/QĐ-QLD)</x:v>
      </x:c>
      <x:c r="P12" t="str">
        <x:v>A++ – Cục Quản lý Dược; company responsibility explicit</x:v>
      </x:c>
      <x:c r="Q12" t="str">
        <x:v>QĐ126/2026, STT 3, trang 3.</x:v>
      </x:c>
      <x:c r="R12" t="str">
        <x:v>https://dav.gov.vn/quyet-dinh-so-126qd-qld-ve-viec-thu-hoi-so-tiep-nhan-phieu-cong-bo-san-pham-my-pham-dinh-chi-luu-hanh-va-thu-hoi-san-pham-my-pham-theo-kl-cua-hd-my-pham-asean-doi-voi-san-pham-my-pham-co-chua-chat-cyclotetrasiloxane-octamethylcyclotetrasiloxane-n5224.html</x:v>
      </x:c>
      <x:c r="S12" t="str">
        <x:v>Hà Nội</x:v>
      </x:c>
      <x:c r="T12" t="str">
        <x:v>01</x:v>
      </x:c>
    </x:row>
    <x:row r="13">
      <x:c r="A13" t="n">
        <x:v>12</x:v>
      </x:c>
      <x:c r="B13" s="330" t="n">
        <x:v>45427</x:v>
      </x:c>
      <x:c r="C13" s="330" t="n">
        <x:v>46080</x:v>
      </x:c>
      <x:c r="D13" t="n">
        <x:v>2024</x:v>
      </x:c>
      <x:c r="E13" t="n">
        <x:v>5</x:v>
      </x:c>
      <x:c r="F13" t="str">
        <x:v>236091/24/CBMP-QLD</x:v>
      </x:c>
      <x:c r="G13"/>
      <x:c r="H13" t="str">
        <x:v>Paula's Choice Gentle Touch Makeup Remover</x:v>
      </x:c>
      <x:c r="I13" t="str">
        <x:v>Paula's Choice</x:v>
      </x:c>
      <x:c r="J13" t="str">
        <x:v>Tẩy trang</x:v>
      </x:c>
      <x:c r="K13"/>
      <x:c r="L13" t="str">
        <x:v>Công ty Cổ Phần Bệnh Viện Hữu Nghị Quốc Tế Hà Nội</x:v>
      </x:c>
      <x:c r="M13" t="str">
        <x:v>Tầng 44, toà C5, khu đô thị D'Capitale, 224 Trần Duy Hưng, phường Trung Hoà, quận Cầu Giấy, TP. Hà Nội, Việt Nam. Mã số doanh nghiệp: 02462579898</x:v>
      </x:c>
      <x:c r="N13"/>
      <x:c r="O13" t="str">
        <x:v>Thu hồi số tiếp nhận; đình chỉ lưu hành và thu hồi (QĐ 126/QĐ-QLD)</x:v>
      </x:c>
      <x:c r="P13" t="str">
        <x:v>A++ – Cục Quản lý Dược; company responsibility explicit</x:v>
      </x:c>
      <x:c r="Q13" t="str">
        <x:v>QĐ126/2026, STT 4, trang 3.</x:v>
      </x:c>
      <x:c r="R13" t="str">
        <x:v>https://dav.gov.vn/quyet-dinh-so-126qd-qld-ve-viec-thu-hoi-so-tiep-nhan-phieu-cong-bo-san-pham-my-pham-dinh-chi-luu-hanh-va-thu-hoi-san-pham-my-pham-theo-kl-cua-hd-my-pham-asean-doi-voi-san-pham-my-pham-co-chua-chat-cyclotetrasiloxane-octamethylcyclotetrasiloxane-n5224.html</x:v>
      </x:c>
      <x:c r="S13" t="str">
        <x:v>Hà Nội</x:v>
      </x:c>
      <x:c r="T13" t="str">
        <x:v>01</x:v>
      </x:c>
    </x:row>
    <x:row r="14">
      <x:c r="A14" t="n">
        <x:v>13</x:v>
      </x:c>
      <x:c r="B14" s="330" t="n">
        <x:v>44831</x:v>
      </x:c>
      <x:c r="C14" s="330" t="n">
        <x:v>46080</x:v>
      </x:c>
      <x:c r="D14" t="n">
        <x:v>2022</x:v>
      </x:c>
      <x:c r="E14" t="n">
        <x:v>9</x:v>
      </x:c>
      <x:c r="F14" t="str">
        <x:v>183995/22/CBMP-QLD</x:v>
      </x:c>
      <x:c r="G14"/>
      <x:c r="H14" t="str">
        <x:v>Leo Fragrant Straight Cream</x:v>
      </x:c>
      <x:c r="I14" t="str">
        <x:v>LEO</x:v>
      </x:c>
      <x:c r="J14" t="str">
        <x:v>Uốn/duỗi/giữ nếp tóc</x:v>
      </x:c>
      <x:c r="K14"/>
      <x:c r="L14" t="str">
        <x:v>Công ty Cổ phần Đầu tư và Thương mại Nhật Hưng. Địa chỉ Thôn Bằng Sở</x:v>
      </x:c>
      <x:c r="M14" t="str">
        <x:v>Xã Ninh Sở, Huyện Thường Tín, Thành phố Hà Nội, Việt Nam. Mã số doanh nghiệp: 0104265811</x:v>
      </x:c>
      <x:c r="N14"/>
      <x:c r="O14" t="str">
        <x:v>Thu hồi số tiếp nhận; đình chỉ lưu hành và thu hồi (QĐ 126/QĐ-QLD)</x:v>
      </x:c>
      <x:c r="P14" t="str">
        <x:v>A++ – Cục Quản lý Dược; company responsibility explicit</x:v>
      </x:c>
      <x:c r="Q14" t="str">
        <x:v>QĐ126/2026, STT 7, trang 3.</x:v>
      </x:c>
      <x:c r="R14" t="str">
        <x:v>https://dav.gov.vn/quyet-dinh-so-126qd-qld-ve-viec-thu-hoi-so-tiep-nhan-phieu-cong-bo-san-pham-my-pham-dinh-chi-luu-hanh-va-thu-hoi-san-pham-my-pham-theo-kl-cua-hd-my-pham-asean-doi-voi-san-pham-my-pham-co-chua-chat-cyclotetrasiloxane-octamethylcyclotetrasiloxane-n5224.html</x:v>
      </x:c>
      <x:c r="S14" t="str">
        <x:v>Hà Nội</x:v>
      </x:c>
      <x:c r="T14" t="str">
        <x:v>01</x:v>
      </x:c>
    </x:row>
    <x:row r="15">
      <x:c r="A15" t="n">
        <x:v>14</x:v>
      </x:c>
      <x:c r="B15" s="330" t="n">
        <x:v>44831</x:v>
      </x:c>
      <x:c r="C15" s="330" t="n">
        <x:v>46080</x:v>
      </x:c>
      <x:c r="D15" t="n">
        <x:v>2022</x:v>
      </x:c>
      <x:c r="E15" t="n">
        <x:v>9</x:v>
      </x:c>
      <x:c r="F15" t="str">
        <x:v>183996/22/CBMP-QLD</x:v>
      </x:c>
      <x:c r="G15"/>
      <x:c r="H15" t="str">
        <x:v>Leo Hair Perm</x:v>
      </x:c>
      <x:c r="I15" t="str">
        <x:v>LEO</x:v>
      </x:c>
      <x:c r="J15" t="str">
        <x:v>Uốn/duỗi/giữ nếp tóc</x:v>
      </x:c>
      <x:c r="K15"/>
      <x:c r="L15" t="str">
        <x:v>Công ty Cổ phần Đầu tư và Thương mại Nhật Hưng. Địa chỉ Thôn Bằng Sở</x:v>
      </x:c>
      <x:c r="M15" t="str">
        <x:v>Xã Ninh Sở, Huyện Thường Tín, Thành phố Hà Nội, Việt Nam. Mã số doanh nghiệp: 0104265811</x:v>
      </x:c>
      <x:c r="N15"/>
      <x:c r="O15" t="str">
        <x:v>Thu hồi số tiếp nhận; đình chỉ lưu hành và thu hồi (QĐ 126/QĐ-QLD)</x:v>
      </x:c>
      <x:c r="P15" t="str">
        <x:v>A++ – Cục Quản lý Dược; company responsibility explicit</x:v>
      </x:c>
      <x:c r="Q15" t="str">
        <x:v>QĐ126/2026, STT 8, trang 3.</x:v>
      </x:c>
      <x:c r="R15" t="str">
        <x:v>https://dav.gov.vn/quyet-dinh-so-126qd-qld-ve-viec-thu-hoi-so-tiep-nhan-phieu-cong-bo-san-pham-my-pham-dinh-chi-luu-hanh-va-thu-hoi-san-pham-my-pham-theo-kl-cua-hd-my-pham-asean-doi-voi-san-pham-my-pham-co-chua-chat-cyclotetrasiloxane-octamethylcyclotetrasiloxane-n5224.html</x:v>
      </x:c>
      <x:c r="S15" t="str">
        <x:v>Hà Nội</x:v>
      </x:c>
      <x:c r="T15" t="str">
        <x:v>01</x:v>
      </x:c>
    </x:row>
    <x:row r="16">
      <x:c r="A16" t="n">
        <x:v>15</x:v>
      </x:c>
      <x:c r="B16" s="330" t="n">
        <x:v>44817</x:v>
      </x:c>
      <x:c r="C16" s="330" t="n">
        <x:v>46080</x:v>
      </x:c>
      <x:c r="D16" t="n">
        <x:v>2022</x:v>
      </x:c>
      <x:c r="E16" t="n">
        <x:v>9</x:v>
      </x:c>
      <x:c r="F16" t="str">
        <x:v>181345/22/CBMP-QLD</x:v>
      </x:c>
      <x:c r="G16"/>
      <x:c r="H16" t="str">
        <x:v>Ciracle Oil Free Moisturizing Lotion</x:v>
      </x:c>
      <x:c r="I16" t="str">
        <x:v>Ciracle</x:v>
      </x:c>
      <x:c r="J16" t="str">
        <x:v>Kem dưỡng da</x:v>
      </x:c>
      <x:c r="K16"/>
      <x:c r="L16" t="str">
        <x:v>CÔNG TY CỔ PHẦN MIRAI CARE</x:v>
      </x:c>
      <x:c r="M16" t="str">
        <x:v>Tầng 1, số 170 Đê La Thành, phường Ô Chợ Dừa, quận Đống Đa, TP. Hà Nội, Việt Nam. Mã số doanh nghiệp: 0109873757</x:v>
      </x:c>
      <x:c r="N16"/>
      <x:c r="O16" t="str">
        <x:v>Thu hồi số tiếp nhận; đình chỉ lưu hành và thu hồi (QĐ 126/QĐ-QLD)</x:v>
      </x:c>
      <x:c r="P16" t="str">
        <x:v>A++ – Cục Quản lý Dược; company responsibility explicit</x:v>
      </x:c>
      <x:c r="Q16" t="str">
        <x:v>QĐ126/2026, STT 22, trang 5.</x:v>
      </x:c>
      <x:c r="R16" t="str">
        <x:v>https://dav.gov.vn/quyet-dinh-so-126qd-qld-ve-viec-thu-hoi-so-tiep-nhan-phieu-cong-bo-san-pham-my-pham-dinh-chi-luu-hanh-va-thu-hoi-san-pham-my-pham-theo-kl-cua-hd-my-pham-asean-doi-voi-san-pham-my-pham-co-chua-chat-cyclotetrasiloxane-octamethylcyclotetrasiloxane-n5224.html</x:v>
      </x:c>
      <x:c r="S16" t="str">
        <x:v>Hà Nội</x:v>
      </x:c>
      <x:c r="T16" t="str">
        <x:v>01</x:v>
      </x:c>
    </x:row>
    <x:row r="17">
      <x:c r="A17" t="n">
        <x:v>16</x:v>
      </x:c>
      <x:c r="B17" s="330" t="n">
        <x:v>45072</x:v>
      </x:c>
      <x:c r="C17" s="330" t="n">
        <x:v>46080</x:v>
      </x:c>
      <x:c r="D17" t="n">
        <x:v>2023</x:v>
      </x:c>
      <x:c r="E17" t="n">
        <x:v>5</x:v>
      </x:c>
      <x:c r="F17" t="str">
        <x:v>202341/23/CBMP-QLD</x:v>
      </x:c>
      <x:c r="G17"/>
      <x:c r="H17" t="str">
        <x:v>Zeesea Dreamland Eyeshadow 11</x:v>
      </x:c>
      <x:c r="I17" t="str">
        <x:v>ZEESEA</x:v>
      </x:c>
      <x:c r="J17" t="str">
        <x:v>Khác</x:v>
      </x:c>
      <x:c r="K17"/>
      <x:c r="L17" t="str">
        <x:v>Công ty Cổ Phần Mỹ Phẩm Quốc Tế Thùy Dung</x:v>
      </x:c>
      <x:c r="M17" t="str">
        <x:v>Số 5 Ngõ Hoàng An A, Đường Lê Duẩn, phường Trung Phụng, quận Đống Đa, TP. Hà Nội, Việt Nam. Mã số doanh nghiệp: 0106639692</x:v>
      </x:c>
      <x:c r="N17"/>
      <x:c r="O17" t="str">
        <x:v>Thu hồi số tiếp nhận; đình chỉ lưu hành và thu hồi (QĐ 126/QĐ-QLD)</x:v>
      </x:c>
      <x:c r="P17" t="str">
        <x:v>A++ – Cục Quản lý Dược; company responsibility explicit</x:v>
      </x:c>
      <x:c r="Q17" t="str">
        <x:v>QĐ126/2026, STT 24, trang 5.</x:v>
      </x:c>
      <x:c r="R17" t="str">
        <x:v>https://dav.gov.vn/quyet-dinh-so-126qd-qld-ve-viec-thu-hoi-so-tiep-nhan-phieu-cong-bo-san-pham-my-pham-dinh-chi-luu-hanh-va-thu-hoi-san-pham-my-pham-theo-kl-cua-hd-my-pham-asean-doi-voi-san-pham-my-pham-co-chua-chat-cyclotetrasiloxane-octamethylcyclotetrasiloxane-n5224.html</x:v>
      </x:c>
      <x:c r="S17" t="str">
        <x:v>Hà Nội</x:v>
      </x:c>
      <x:c r="T17" t="str">
        <x:v>01</x:v>
      </x:c>
    </x:row>
    <x:row r="18">
      <x:c r="A18" t="n">
        <x:v>17</x:v>
      </x:c>
      <x:c r="B18" s="330" t="n">
        <x:v>45072</x:v>
      </x:c>
      <x:c r="C18" s="330" t="n">
        <x:v>46080</x:v>
      </x:c>
      <x:c r="D18" t="n">
        <x:v>2023</x:v>
      </x:c>
      <x:c r="E18" t="n">
        <x:v>5</x:v>
      </x:c>
      <x:c r="F18" t="str">
        <x:v>202353/23/CBMP-QLD</x:v>
      </x:c>
      <x:c r="G18"/>
      <x:c r="H18" t="str">
        <x:v>Zeesea Dreamland Eyeshadow 12</x:v>
      </x:c>
      <x:c r="I18" t="str">
        <x:v>ZEESEA</x:v>
      </x:c>
      <x:c r="J18" t="str">
        <x:v>Khác</x:v>
      </x:c>
      <x:c r="K18"/>
      <x:c r="L18" t="str">
        <x:v>Công ty Cổ Phần Mỹ Phẩm Quốc Tế Thùy Dung</x:v>
      </x:c>
      <x:c r="M18" t="str">
        <x:v>Số 5 Ngõ Hoàng An A, Đường Lê Duẩn, phường Trung Phụng, quận Đống Đa, TP. Hà Nội, Việt Nam. Mã số doanh nghiệp: 0106639692</x:v>
      </x:c>
      <x:c r="N18"/>
      <x:c r="O18" t="str">
        <x:v>Thu hồi số tiếp nhận; đình chỉ lưu hành và thu hồi (QĐ 126/QĐ-QLD)</x:v>
      </x:c>
      <x:c r="P18" t="str">
        <x:v>A++ – Cục Quản lý Dược; company responsibility explicit</x:v>
      </x:c>
      <x:c r="Q18" t="str">
        <x:v>QĐ126/2026, STT 25, trang 5.</x:v>
      </x:c>
      <x:c r="R18" t="str">
        <x:v>https://dav.gov.vn/quyet-dinh-so-126qd-qld-ve-viec-thu-hoi-so-tiep-nhan-phieu-cong-bo-san-pham-my-pham-dinh-chi-luu-hanh-va-thu-hoi-san-pham-my-pham-theo-kl-cua-hd-my-pham-asean-doi-voi-san-pham-my-pham-co-chua-chat-cyclotetrasiloxane-octamethylcyclotetrasiloxane-n5224.html</x:v>
      </x:c>
      <x:c r="S18" t="str">
        <x:v>Hà Nội</x:v>
      </x:c>
      <x:c r="T18" t="str">
        <x:v>01</x:v>
      </x:c>
    </x:row>
    <x:row r="19">
      <x:c r="A19" t="n">
        <x:v>18</x:v>
      </x:c>
      <x:c r="B19" s="330" t="n">
        <x:v>44621</x:v>
      </x:c>
      <x:c r="C19" s="330" t="n">
        <x:v>46080</x:v>
      </x:c>
      <x:c r="D19" t="n">
        <x:v>2022</x:v>
      </x:c>
      <x:c r="E19" t="n">
        <x:v>3</x:v>
      </x:c>
      <x:c r="F19" t="str">
        <x:v>166743/22/CBMP-QLD</x:v>
      </x:c>
      <x:c r="G19"/>
      <x:c r="H19" t="str">
        <x:v>Alonzo Brilliant Care Mask</x:v>
      </x:c>
      <x:c r="I19" t="str">
        <x:v>ALONZO</x:v>
      </x:c>
      <x:c r="J19" t="str">
        <x:v>Mặt nạ</x:v>
      </x:c>
      <x:c r="K19"/>
      <x:c r="L19" t="str">
        <x:v>Công ty Cổ Phần Mỹ Phẩm Salonzo</x:v>
      </x:c>
      <x:c r="M19" t="str">
        <x:v>Số nhà 933C, Đường Đê La Thành, phường Ngọc Khánh, quận Ba Đình, TP. Hà Nội, Việt Nam. Mã số doanh nghiệp: 0102289415</x:v>
      </x:c>
      <x:c r="N19"/>
      <x:c r="O19" t="str">
        <x:v>Thu hồi số tiếp nhận; đình chỉ lưu hành và thu hồi (QĐ 126/QĐ-QLD)</x:v>
      </x:c>
      <x:c r="P19" t="str">
        <x:v>A++ – Cục Quản lý Dược; company responsibility explicit</x:v>
      </x:c>
      <x:c r="Q19" t="str">
        <x:v>QĐ126/2026, STT 27, trang 5.</x:v>
      </x:c>
      <x:c r="R19" t="str">
        <x:v>https://dav.gov.vn/quyet-dinh-so-126qd-qld-ve-viec-thu-hoi-so-tiep-nhan-phieu-cong-bo-san-pham-my-pham-dinh-chi-luu-hanh-va-thu-hoi-san-pham-my-pham-theo-kl-cua-hd-my-pham-asean-doi-voi-san-pham-my-pham-co-chua-chat-cyclotetrasiloxane-octamethylcyclotetrasiloxane-n5224.html</x:v>
      </x:c>
      <x:c r="S19" t="str">
        <x:v>Hà Nội</x:v>
      </x:c>
      <x:c r="T19" t="str">
        <x:v>01</x:v>
      </x:c>
    </x:row>
    <x:row r="20">
      <x:c r="A20" t="n">
        <x:v>19</x:v>
      </x:c>
      <x:c r="B20" s="330" t="n">
        <x:v>44624</x:v>
      </x:c>
      <x:c r="C20" s="330" t="n">
        <x:v>46080</x:v>
      </x:c>
      <x:c r="D20" t="n">
        <x:v>2022</x:v>
      </x:c>
      <x:c r="E20" t="n">
        <x:v>3</x:v>
      </x:c>
      <x:c r="F20" t="str">
        <x:v>167218/22/CBMP-QLD</x:v>
      </x:c>
      <x:c r="G20"/>
      <x:c r="H20" t="str">
        <x:v>Alonzo Keratin Spray</x:v>
      </x:c>
      <x:c r="I20" t="str">
        <x:v>ALONZO</x:v>
      </x:c>
      <x:c r="J20" t="str">
        <x:v>Khác</x:v>
      </x:c>
      <x:c r="K20"/>
      <x:c r="L20" t="str">
        <x:v>Công ty Cổ Phần Mỹ Phẩm Salonzo</x:v>
      </x:c>
      <x:c r="M20" t="str">
        <x:v>Số nhà 933C, Đường Đê La Thành, phường Ngọc Khánh, quận Ba Đình, TP. Hà Nội, Việt Nam. Mã số doanh nghiệp: 0102289415</x:v>
      </x:c>
      <x:c r="N20"/>
      <x:c r="O20" t="str">
        <x:v>Thu hồi số tiếp nhận; đình chỉ lưu hành và thu hồi (QĐ 126/QĐ-QLD)</x:v>
      </x:c>
      <x:c r="P20" t="str">
        <x:v>A++ – Cục Quản lý Dược; company responsibility explicit</x:v>
      </x:c>
      <x:c r="Q20" t="str">
        <x:v>QĐ126/2026, STT 28, trang 5.</x:v>
      </x:c>
      <x:c r="R20" t="str">
        <x:v>https://dav.gov.vn/quyet-dinh-so-126qd-qld-ve-viec-thu-hoi-so-tiep-nhan-phieu-cong-bo-san-pham-my-pham-dinh-chi-luu-hanh-va-thu-hoi-san-pham-my-pham-theo-kl-cua-hd-my-pham-asean-doi-voi-san-pham-my-pham-co-chua-chat-cyclotetrasiloxane-octamethylcyclotetrasiloxane-n5224.html</x:v>
      </x:c>
      <x:c r="S20" t="str">
        <x:v>Hà Nội</x:v>
      </x:c>
      <x:c r="T20" t="str">
        <x:v>01</x:v>
      </x:c>
    </x:row>
    <x:row r="21">
      <x:c r="A21" t="n">
        <x:v>20</x:v>
      </x:c>
      <x:c r="B21" s="330" t="n">
        <x:v>44624</x:v>
      </x:c>
      <x:c r="C21" s="330" t="n">
        <x:v>46080</x:v>
      </x:c>
      <x:c r="D21" t="n">
        <x:v>2022</x:v>
      </x:c>
      <x:c r="E21" t="n">
        <x:v>3</x:v>
      </x:c>
      <x:c r="F21" t="str">
        <x:v>167228/22/CBMP-QLD</x:v>
      </x:c>
      <x:c r="G21"/>
      <x:c r="H21" t="str">
        <x:v>Alonzo Recover Care Mask</x:v>
      </x:c>
      <x:c r="I21" t="str">
        <x:v>ALONZO</x:v>
      </x:c>
      <x:c r="J21" t="str">
        <x:v>Mặt nạ</x:v>
      </x:c>
      <x:c r="K21"/>
      <x:c r="L21" t="str">
        <x:v>Công ty Cổ Phần Mỹ Phẩm Salonzo</x:v>
      </x:c>
      <x:c r="M21" t="str">
        <x:v>Số nhà 933C, Đường Đê La Thành, phường Ngọc Khánh, quận Ba Đình, TP. Hà Nội, Việt Nam. Mã số doanh nghiệp: 0102289415</x:v>
      </x:c>
      <x:c r="N21"/>
      <x:c r="O21" t="str">
        <x:v>Thu hồi số tiếp nhận; đình chỉ lưu hành và thu hồi (QĐ 126/QĐ-QLD)</x:v>
      </x:c>
      <x:c r="P21" t="str">
        <x:v>A++ – Cục Quản lý Dược; company responsibility explicit</x:v>
      </x:c>
      <x:c r="Q21" t="str">
        <x:v>QĐ126/2026, STT 29, trang 5.</x:v>
      </x:c>
      <x:c r="R21" t="str">
        <x:v>https://dav.gov.vn/quyet-dinh-so-126qd-qld-ve-viec-thu-hoi-so-tiep-nhan-phieu-cong-bo-san-pham-my-pham-dinh-chi-luu-hanh-va-thu-hoi-san-pham-my-pham-theo-kl-cua-hd-my-pham-asean-doi-voi-san-pham-my-pham-co-chua-chat-cyclotetrasiloxane-octamethylcyclotetrasiloxane-n5224.html</x:v>
      </x:c>
      <x:c r="S21" t="str">
        <x:v>Hà Nội</x:v>
      </x:c>
      <x:c r="T21" t="str">
        <x:v>01</x:v>
      </x:c>
    </x:row>
    <x:row r="22">
      <x:c r="A22" t="n">
        <x:v>21</x:v>
      </x:c>
      <x:c r="B22" s="330" t="n">
        <x:v>44846</x:v>
      </x:c>
      <x:c r="C22" s="330" t="n">
        <x:v>46080</x:v>
      </x:c>
      <x:c r="D22" t="n">
        <x:v>2022</x:v>
      </x:c>
      <x:c r="E22" t="n">
        <x:v>10</x:v>
      </x:c>
      <x:c r="F22" t="str">
        <x:v>185403/22/CBMP-QLD</x:v>
      </x:c>
      <x:c r="G22"/>
      <x:c r="H22" t="str">
        <x:v>Alonzo Premium Regener Conditioner</x:v>
      </x:c>
      <x:c r="I22" t="str">
        <x:v>ALONZO</x:v>
      </x:c>
      <x:c r="J22" t="str">
        <x:v>Dầu xả</x:v>
      </x:c>
      <x:c r="K22"/>
      <x:c r="L22" t="str">
        <x:v>Công ty Cổ Phần Mỹ Phẩm Salonzo</x:v>
      </x:c>
      <x:c r="M22" t="str">
        <x:v>Số nhà 933C, Đường Đê La Thành, phường Ngọc Khánh, quận Ba Đình, TP. Hà Nội, Việt Nam. Mã số doanh nghiệp: 0102289415</x:v>
      </x:c>
      <x:c r="N22"/>
      <x:c r="O22" t="str">
        <x:v>Thu hồi số tiếp nhận; đình chỉ lưu hành và thu hồi (QĐ 126/QĐ-QLD)</x:v>
      </x:c>
      <x:c r="P22" t="str">
        <x:v>A++ – Cục Quản lý Dược; company responsibility explicit</x:v>
      </x:c>
      <x:c r="Q22" t="str">
        <x:v>QĐ126/2026, STT 30, trang 5.</x:v>
      </x:c>
      <x:c r="R22" t="str">
        <x:v>https://dav.gov.vn/quyet-dinh-so-126qd-qld-ve-viec-thu-hoi-so-tiep-nhan-phieu-cong-bo-san-pham-my-pham-dinh-chi-luu-hanh-va-thu-hoi-san-pham-my-pham-theo-kl-cua-hd-my-pham-asean-doi-voi-san-pham-my-pham-co-chua-chat-cyclotetrasiloxane-octamethylcyclotetrasiloxane-n5224.html</x:v>
      </x:c>
      <x:c r="S22" t="str">
        <x:v>Hà Nội</x:v>
      </x:c>
      <x:c r="T22" t="str">
        <x:v>01</x:v>
      </x:c>
    </x:row>
    <x:row r="23">
      <x:c r="A23" t="n">
        <x:v>22</x:v>
      </x:c>
      <x:c r="B23" s="330" t="n">
        <x:v>45296</x:v>
      </x:c>
      <x:c r="C23" s="330" t="n">
        <x:v>46080</x:v>
      </x:c>
      <x:c r="D23" t="n">
        <x:v>2024</x:v>
      </x:c>
      <x:c r="E23" t="n">
        <x:v>1</x:v>
      </x:c>
      <x:c r="F23" t="str">
        <x:v>220954/24/CBMP-QLD</x:v>
      </x:c>
      <x:c r="G23"/>
      <x:c r="H23" t="str">
        <x:v>Liphip Gel Eyeliner Pencil, 05. Pink Beige</x:v>
      </x:c>
      <x:c r="I23" t="str">
        <x:v>LIPHIP</x:v>
      </x:c>
      <x:c r="J23" t="str">
        <x:v>Sản phẩm môi</x:v>
      </x:c>
      <x:c r="K23"/>
      <x:c r="L23" t="str">
        <x:v>Công ty Cổ phần Phát Triển Hoàng Dương</x:v>
      </x:c>
      <x:c r="M23" t="str">
        <x:v>Thôn Dền, xã Di Trạch, huyện Hoài Đức, TP. Hà Nội, Việt Nam. Mã số doanh nghiệp: 0107505388</x:v>
      </x:c>
      <x:c r="N23"/>
      <x:c r="O23" t="str">
        <x:v>Thu hồi số tiếp nhận; đình chỉ lưu hành và thu hồi (QĐ 126/QĐ-QLD)</x:v>
      </x:c>
      <x:c r="P23" t="str">
        <x:v>A++ – Cục Quản lý Dược; company responsibility explicit</x:v>
      </x:c>
      <x:c r="Q23" t="str">
        <x:v>QĐ126/2026, STT 32, trang 5.</x:v>
      </x:c>
      <x:c r="R23" t="str">
        <x:v>https://dav.gov.vn/quyet-dinh-so-126qd-qld-ve-viec-thu-hoi-so-tiep-nhan-phieu-cong-bo-san-pham-my-pham-dinh-chi-luu-hanh-va-thu-hoi-san-pham-my-pham-theo-kl-cua-hd-my-pham-asean-doi-voi-san-pham-my-pham-co-chua-chat-cyclotetrasiloxane-octamethylcyclotetrasiloxane-n5224.html</x:v>
      </x:c>
      <x:c r="S23" t="str">
        <x:v>Hà Nội</x:v>
      </x:c>
      <x:c r="T23" t="str">
        <x:v>01</x:v>
      </x:c>
    </x:row>
    <x:row r="24">
      <x:c r="A24" t="n">
        <x:v>23</x:v>
      </x:c>
      <x:c r="B24" s="330" t="n">
        <x:v>45296</x:v>
      </x:c>
      <x:c r="C24" s="330" t="n">
        <x:v>46080</x:v>
      </x:c>
      <x:c r="D24" t="n">
        <x:v>2024</x:v>
      </x:c>
      <x:c r="E24" t="n">
        <x:v>1</x:v>
      </x:c>
      <x:c r="F24" t="str">
        <x:v>220955/24/CBMP-QLD</x:v>
      </x:c>
      <x:c r="G24"/>
      <x:c r="H24" t="str">
        <x:v>Liphip Gel Eyeliner Pencil, 04. Bronze Gold</x:v>
      </x:c>
      <x:c r="I24" t="str">
        <x:v>LIPHIP</x:v>
      </x:c>
      <x:c r="J24" t="str">
        <x:v>Sản phẩm môi</x:v>
      </x:c>
      <x:c r="K24"/>
      <x:c r="L24" t="str">
        <x:v>Công ty Cổ phần Phát Triển Hoàng Dương</x:v>
      </x:c>
      <x:c r="M24" t="str">
        <x:v>Thôn Dền, xã Di Trạch, huyện Hoài Đức, TP. Hà Nội, Việt Nam. Mã số doanh nghiệp: 0107505388</x:v>
      </x:c>
      <x:c r="N24"/>
      <x:c r="O24" t="str">
        <x:v>Thu hồi số tiếp nhận; đình chỉ lưu hành và thu hồi (QĐ 126/QĐ-QLD)</x:v>
      </x:c>
      <x:c r="P24" t="str">
        <x:v>A++ – Cục Quản lý Dược; company responsibility explicit</x:v>
      </x:c>
      <x:c r="Q24" t="str">
        <x:v>QĐ126/2026, STT 33, trang 5.</x:v>
      </x:c>
      <x:c r="R24" t="str">
        <x:v>https://dav.gov.vn/quyet-dinh-so-126qd-qld-ve-viec-thu-hoi-so-tiep-nhan-phieu-cong-bo-san-pham-my-pham-dinh-chi-luu-hanh-va-thu-hoi-san-pham-my-pham-theo-kl-cua-hd-my-pham-asean-doi-voi-san-pham-my-pham-co-chua-chat-cyclotetrasiloxane-octamethylcyclotetrasiloxane-n5224.html</x:v>
      </x:c>
      <x:c r="S24" t="str">
        <x:v>Hà Nội</x:v>
      </x:c>
      <x:c r="T24" t="str">
        <x:v>01</x:v>
      </x:c>
    </x:row>
    <x:row r="25">
      <x:c r="A25" t="n">
        <x:v>24</x:v>
      </x:c>
      <x:c r="B25" s="330" t="n">
        <x:v>45296</x:v>
      </x:c>
      <x:c r="C25" s="330" t="n">
        <x:v>46080</x:v>
      </x:c>
      <x:c r="D25" t="n">
        <x:v>2024</x:v>
      </x:c>
      <x:c r="E25" t="n">
        <x:v>1</x:v>
      </x:c>
      <x:c r="F25" t="str">
        <x:v>220957/24/CBMP-QLD</x:v>
      </x:c>
      <x:c r="G25"/>
      <x:c r="H25" t="str">
        <x:v>Liphip Gel Eyeliner Pencil, 03. Pearl Brown</x:v>
      </x:c>
      <x:c r="I25" t="str">
        <x:v>LIPHIP</x:v>
      </x:c>
      <x:c r="J25" t="str">
        <x:v>Sản phẩm môi</x:v>
      </x:c>
      <x:c r="K25"/>
      <x:c r="L25" t="str">
        <x:v>Công ty Cổ phần Phát Triển Hoàng Dương</x:v>
      </x:c>
      <x:c r="M25" t="str">
        <x:v>Thôn Dền, xã Di Trạch, huyện Hoài Đức, TP. Hà Nội, Việt Nam. Mã số doanh nghiệp: 0107505388</x:v>
      </x:c>
      <x:c r="N25"/>
      <x:c r="O25" t="str">
        <x:v>Thu hồi số tiếp nhận; đình chỉ lưu hành và thu hồi (QĐ 126/QĐ-QLD)</x:v>
      </x:c>
      <x:c r="P25" t="str">
        <x:v>A++ – Cục Quản lý Dược; company responsibility explicit</x:v>
      </x:c>
      <x:c r="Q25" t="str">
        <x:v>QĐ126/2026, STT 34, trang 5.</x:v>
      </x:c>
      <x:c r="R25" t="str">
        <x:v>https://dav.gov.vn/quyet-dinh-so-126qd-qld-ve-viec-thu-hoi-so-tiep-nhan-phieu-cong-bo-san-pham-my-pham-dinh-chi-luu-hanh-va-thu-hoi-san-pham-my-pham-theo-kl-cua-hd-my-pham-asean-doi-voi-san-pham-my-pham-co-chua-chat-cyclotetrasiloxane-octamethylcyclotetrasiloxane-n5224.html</x:v>
      </x:c>
      <x:c r="S25" t="str">
        <x:v>Hà Nội</x:v>
      </x:c>
      <x:c r="T25" t="str">
        <x:v>01</x:v>
      </x:c>
    </x:row>
    <x:row r="26">
      <x:c r="A26" t="n">
        <x:v>25</x:v>
      </x:c>
      <x:c r="B26" s="330" t="n">
        <x:v>45296</x:v>
      </x:c>
      <x:c r="C26" s="330" t="n">
        <x:v>46080</x:v>
      </x:c>
      <x:c r="D26" t="n">
        <x:v>2024</x:v>
      </x:c>
      <x:c r="E26" t="n">
        <x:v>1</x:v>
      </x:c>
      <x:c r="F26" t="str">
        <x:v>220958/24/CBMP-QLD</x:v>
      </x:c>
      <x:c r="G26"/>
      <x:c r="H26" t="str">
        <x:v>Liphip Gel Eyeliner Pencil, 01. Real Black</x:v>
      </x:c>
      <x:c r="I26" t="str">
        <x:v>LIPHIP</x:v>
      </x:c>
      <x:c r="J26" t="str">
        <x:v>Sản phẩm môi</x:v>
      </x:c>
      <x:c r="K26"/>
      <x:c r="L26" t="str">
        <x:v>Công ty Cổ phần Phát Triển Hoàng Dương</x:v>
      </x:c>
      <x:c r="M26" t="str">
        <x:v>Thôn Dền, xã Di Trạch, huyện Hoài Đức, TP. Hà Nội, Việt Nam. Mã số doanh nghiệp: 0107505388</x:v>
      </x:c>
      <x:c r="N26"/>
      <x:c r="O26" t="str">
        <x:v>Thu hồi số tiếp nhận; đình chỉ lưu hành và thu hồi (QĐ 126/QĐ-QLD)</x:v>
      </x:c>
      <x:c r="P26" t="str">
        <x:v>A++ – Cục Quản lý Dược; company responsibility explicit</x:v>
      </x:c>
      <x:c r="Q26" t="str">
        <x:v>QĐ126/2026, STT 35, trang 6.</x:v>
      </x:c>
      <x:c r="R26" t="str">
        <x:v>https://dav.gov.vn/quyet-dinh-so-126qd-qld-ve-viec-thu-hoi-so-tiep-nhan-phieu-cong-bo-san-pham-my-pham-dinh-chi-luu-hanh-va-thu-hoi-san-pham-my-pham-theo-kl-cua-hd-my-pham-asean-doi-voi-san-pham-my-pham-co-chua-chat-cyclotetrasiloxane-octamethylcyclotetrasiloxane-n5224.html</x:v>
      </x:c>
      <x:c r="S26" t="str">
        <x:v>Hà Nội</x:v>
      </x:c>
      <x:c r="T26" t="str">
        <x:v>01</x:v>
      </x:c>
    </x:row>
    <x:row r="27">
      <x:c r="A27" t="n">
        <x:v>26</x:v>
      </x:c>
      <x:c r="B27" s="330" t="n">
        <x:v>45296</x:v>
      </x:c>
      <x:c r="C27" s="330" t="n">
        <x:v>46080</x:v>
      </x:c>
      <x:c r="D27" t="n">
        <x:v>2024</x:v>
      </x:c>
      <x:c r="E27" t="n">
        <x:v>1</x:v>
      </x:c>
      <x:c r="F27" t="str">
        <x:v>220961/24/CBMP-QLD</x:v>
      </x:c>
      <x:c r="G27"/>
      <x:c r="H27" t="str">
        <x:v>Liphip Gel Eyeliner Pencil, 02. Mocha Brown</x:v>
      </x:c>
      <x:c r="I27" t="str">
        <x:v>LIPHIP</x:v>
      </x:c>
      <x:c r="J27" t="str">
        <x:v>Sản phẩm môi</x:v>
      </x:c>
      <x:c r="K27"/>
      <x:c r="L27" t="str">
        <x:v>Công ty Cổ phần Phát Triển Hoàng Dương</x:v>
      </x:c>
      <x:c r="M27" t="str">
        <x:v>Thôn Dền, xã Di Trạch, huyện Hoài Đức, TP. Hà Nội, Việt Nam. Mã số doanh nghiệp: 0107505388</x:v>
      </x:c>
      <x:c r="N27"/>
      <x:c r="O27" t="str">
        <x:v>Thu hồi số tiếp nhận; đình chỉ lưu hành và thu hồi (QĐ 126/QĐ-QLD)</x:v>
      </x:c>
      <x:c r="P27" t="str">
        <x:v>A++ – Cục Quản lý Dược; company responsibility explicit</x:v>
      </x:c>
      <x:c r="Q27" t="str">
        <x:v>QĐ126/2026, STT 36, trang 6.</x:v>
      </x:c>
      <x:c r="R27" t="str">
        <x:v>https://dav.gov.vn/quyet-dinh-so-126qd-qld-ve-viec-thu-hoi-so-tiep-nhan-phieu-cong-bo-san-pham-my-pham-dinh-chi-luu-hanh-va-thu-hoi-san-pham-my-pham-theo-kl-cua-hd-my-pham-asean-doi-voi-san-pham-my-pham-co-chua-chat-cyclotetrasiloxane-octamethylcyclotetrasiloxane-n5224.html</x:v>
      </x:c>
      <x:c r="S27" t="str">
        <x:v>Hà Nội</x:v>
      </x:c>
      <x:c r="T27" t="str">
        <x:v>01</x:v>
      </x:c>
    </x:row>
    <x:row r="28">
      <x:c r="A28" t="n">
        <x:v>27</x:v>
      </x:c>
      <x:c r="B28" s="330" t="n">
        <x:v>44942</x:v>
      </x:c>
      <x:c r="C28" s="330" t="n">
        <x:v>46080</x:v>
      </x:c>
      <x:c r="D28" t="n">
        <x:v>2023</x:v>
      </x:c>
      <x:c r="E28" t="n">
        <x:v>1</x:v>
      </x:c>
      <x:c r="F28" t="str">
        <x:v>192936/23/CBMP-QLD</x:v>
      </x:c>
      <x:c r="G28"/>
      <x:c r="H28" t="str">
        <x:v>Pittoresco Volufiline Eyeserum</x:v>
      </x:c>
      <x:c r="I28" t="str">
        <x:v>Pittoresco</x:v>
      </x:c>
      <x:c r="J28" t="str">
        <x:v>Serum/Essence da</x:v>
      </x:c>
      <x:c r="K28"/>
      <x:c r="L28" t="str">
        <x:v>Công ty Cổ Phần Tập Đoàn Mỹ Phẩm IPIA</x:v>
      </x:c>
      <x:c r="M28" t="str">
        <x:v>Số 25 Manor 2 STR Sunrise E - Khu biệt thự The Manor Central Pack, Đường Nguyễn Xiển, phường Đại Kim, quận Hoàng Mai, TP. Hà Nội, Việt Nam. Mã số doanh nghiệp: 0110042080</x:v>
      </x:c>
      <x:c r="N28"/>
      <x:c r="O28" t="str">
        <x:v>Thu hồi số tiếp nhận; đình chỉ lưu hành và thu hồi (QĐ 126/QĐ-QLD)</x:v>
      </x:c>
      <x:c r="P28" t="str">
        <x:v>A++ – Cục Quản lý Dược; company responsibility explicit</x:v>
      </x:c>
      <x:c r="Q28" t="str">
        <x:v>QĐ126/2026, STT 37, trang 6.</x:v>
      </x:c>
      <x:c r="R28" t="str">
        <x:v>https://dav.gov.vn/quyet-dinh-so-126qd-qld-ve-viec-thu-hoi-so-tiep-nhan-phieu-cong-bo-san-pham-my-pham-dinh-chi-luu-hanh-va-thu-hoi-san-pham-my-pham-theo-kl-cua-hd-my-pham-asean-doi-voi-san-pham-my-pham-co-chua-chat-cyclotetrasiloxane-octamethylcyclotetrasiloxane-n5224.html</x:v>
      </x:c>
      <x:c r="S28" t="str">
        <x:v>Hà Nội</x:v>
      </x:c>
      <x:c r="T28" t="str">
        <x:v>01</x:v>
      </x:c>
    </x:row>
    <x:row r="29">
      <x:c r="A29" t="n">
        <x:v>28</x:v>
      </x:c>
      <x:c r="B29" s="330" t="n">
        <x:v>45494</x:v>
      </x:c>
      <x:c r="C29" s="330" t="n">
        <x:v>46080</x:v>
      </x:c>
      <x:c r="D29" t="n">
        <x:v>2024</x:v>
      </x:c>
      <x:c r="E29" t="n">
        <x:v>7</x:v>
      </x:c>
      <x:c r="F29" t="str">
        <x:v>244606/24/CBMP-QLD</x:v>
      </x:c>
      <x:c r="G29"/>
      <x:c r="H29" t="str">
        <x:v>Jmella In France Sparkling Rose Hair Treatment</x:v>
      </x:c>
      <x:c r="I29" t="str">
        <x:v>JMELLA</x:v>
      </x:c>
      <x:c r="J29" t="str">
        <x:v>Khác</x:v>
      </x:c>
      <x:c r="K29"/>
      <x:c r="L29" t="str">
        <x:v>Công ty Cổ Phần Thương Mại KOJA VIỆT NAM</x:v>
      </x:c>
      <x:c r="M29" t="str">
        <x:v>Số 5, Ngõ 267, Đường Trần Khát Chân, phường Thanh Nhàn, quận Hai Bà Trưng, TP. Hà Nội, Việt Nam. Mã số doanh nghiệp: 110185459</x:v>
      </x:c>
      <x:c r="N29"/>
      <x:c r="O29" t="str">
        <x:v>Thu hồi số tiếp nhận; đình chỉ lưu hành và thu hồi (QĐ 126/QĐ-QLD)</x:v>
      </x:c>
      <x:c r="P29" t="str">
        <x:v>A++ – Cục Quản lý Dược; company responsibility explicit</x:v>
      </x:c>
      <x:c r="Q29" t="str">
        <x:v>QĐ126/2026, STT 53, trang 7.</x:v>
      </x:c>
      <x:c r="R29" t="str">
        <x:v>https://dav.gov.vn/quyet-dinh-so-126qd-qld-ve-viec-thu-hoi-so-tiep-nhan-phieu-cong-bo-san-pham-my-pham-dinh-chi-luu-hanh-va-thu-hoi-san-pham-my-pham-theo-kl-cua-hd-my-pham-asean-doi-voi-san-pham-my-pham-co-chua-chat-cyclotetrasiloxane-octamethylcyclotetrasiloxane-n5224.html</x:v>
      </x:c>
      <x:c r="S29" t="str">
        <x:v>Hà Nội</x:v>
      </x:c>
      <x:c r="T29" t="str">
        <x:v>01</x:v>
      </x:c>
    </x:row>
    <x:row r="30">
      <x:c r="A30" t="n">
        <x:v>29</x:v>
      </x:c>
      <x:c r="B30" s="330" t="n">
        <x:v>45494</x:v>
      </x:c>
      <x:c r="C30" s="330" t="n">
        <x:v>46080</x:v>
      </x:c>
      <x:c r="D30" t="n">
        <x:v>2024</x:v>
      </x:c>
      <x:c r="E30" t="n">
        <x:v>7</x:v>
      </x:c>
      <x:c r="F30" t="str">
        <x:v>244610/24/CBMP-QLD</x:v>
      </x:c>
      <x:c r="G30"/>
      <x:c r="H30" t="str">
        <x:v>Jmella In France Blooming Peony Hair Treatment</x:v>
      </x:c>
      <x:c r="I30" t="str">
        <x:v>JMELLA</x:v>
      </x:c>
      <x:c r="J30" t="str">
        <x:v>Khác</x:v>
      </x:c>
      <x:c r="K30"/>
      <x:c r="L30" t="str">
        <x:v>Công ty Cổ Phần Thương Mại KOJA VIỆT NAM</x:v>
      </x:c>
      <x:c r="M30" t="str">
        <x:v>Số 5, Ngõ 267, Đường Trần Khát Chân, phường Thanh Nhàn, quận Hai Bà Trưng, TP. Hà Nội, Việt Nam. Mã số doanh nghiệp: 110185459</x:v>
      </x:c>
      <x:c r="N30"/>
      <x:c r="O30" t="str">
        <x:v>Thu hồi số tiếp nhận; đình chỉ lưu hành và thu hồi (QĐ 126/QĐ-QLD)</x:v>
      </x:c>
      <x:c r="P30" t="str">
        <x:v>A++ – Cục Quản lý Dược; company responsibility explicit</x:v>
      </x:c>
      <x:c r="Q30" t="str">
        <x:v>QĐ126/2026, STT 54, trang 7.</x:v>
      </x:c>
      <x:c r="R30" t="str">
        <x:v>https://dav.gov.vn/quyet-dinh-so-126qd-qld-ve-viec-thu-hoi-so-tiep-nhan-phieu-cong-bo-san-pham-my-pham-dinh-chi-luu-hanh-va-thu-hoi-san-pham-my-pham-theo-kl-cua-hd-my-pham-asean-doi-voi-san-pham-my-pham-co-chua-chat-cyclotetrasiloxane-octamethylcyclotetrasiloxane-n5224.html</x:v>
      </x:c>
      <x:c r="S30" t="str">
        <x:v>Hà Nội</x:v>
      </x:c>
      <x:c r="T30" t="str">
        <x:v>01</x:v>
      </x:c>
    </x:row>
    <x:row r="31">
      <x:c r="A31" t="n">
        <x:v>30</x:v>
      </x:c>
      <x:c r="B31" s="330" t="n">
        <x:v>45496</x:v>
      </x:c>
      <x:c r="C31" s="330" t="n">
        <x:v>46080</x:v>
      </x:c>
      <x:c r="D31" t="n">
        <x:v>2024</x:v>
      </x:c>
      <x:c r="E31" t="n">
        <x:v>7</x:v>
      </x:c>
      <x:c r="F31" t="str">
        <x:v>244675/24/CBMP-QLD</x:v>
      </x:c>
      <x:c r="G31"/>
      <x:c r="H31" t="str">
        <x:v>Jmella In France Queen 5 Hair Treatment</x:v>
      </x:c>
      <x:c r="I31" t="str">
        <x:v>JMELLA</x:v>
      </x:c>
      <x:c r="J31" t="str">
        <x:v>Khác</x:v>
      </x:c>
      <x:c r="K31"/>
      <x:c r="L31" t="str">
        <x:v>Công ty Cổ Phần Thương Mại KOJA VIỆT NAM</x:v>
      </x:c>
      <x:c r="M31" t="str">
        <x:v>Số 5, Ngõ 267, Đường Trần Khát Chân, phường Thanh Nhàn, quận Hai Bà Trưng, TP. Hà Nội, Việt Nam. Mã số doanh nghiệp: 110185459</x:v>
      </x:c>
      <x:c r="N31"/>
      <x:c r="O31" t="str">
        <x:v>Thu hồi số tiếp nhận; đình chỉ lưu hành và thu hồi (QĐ 126/QĐ-QLD)</x:v>
      </x:c>
      <x:c r="P31" t="str">
        <x:v>A++ – Cục Quản lý Dược; company responsibility explicit</x:v>
      </x:c>
      <x:c r="Q31" t="str">
        <x:v>QĐ126/2026, STT 55, trang 7.</x:v>
      </x:c>
      <x:c r="R31" t="str">
        <x:v>https://dav.gov.vn/quyet-dinh-so-126qd-qld-ve-viec-thu-hoi-so-tiep-nhan-phieu-cong-bo-san-pham-my-pham-dinh-chi-luu-hanh-va-thu-hoi-san-pham-my-pham-theo-kl-cua-hd-my-pham-asean-doi-voi-san-pham-my-pham-co-chua-chat-cyclotetrasiloxane-octamethylcyclotetrasiloxane-n5224.html</x:v>
      </x:c>
      <x:c r="S31" t="str">
        <x:v>Hà Nội</x:v>
      </x:c>
      <x:c r="T31" t="str">
        <x:v>01</x:v>
      </x:c>
    </x:row>
    <x:row r="32">
      <x:c r="A32" t="n">
        <x:v>31</x:v>
      </x:c>
      <x:c r="B32" s="330" t="n">
        <x:v>45496</x:v>
      </x:c>
      <x:c r="C32" s="330" t="n">
        <x:v>46080</x:v>
      </x:c>
      <x:c r="D32" t="n">
        <x:v>2024</x:v>
      </x:c>
      <x:c r="E32" t="n">
        <x:v>7</x:v>
      </x:c>
      <x:c r="F32" t="str">
        <x:v>244681/24/CBMP-QLD</x:v>
      </x:c>
      <x:c r="G32"/>
      <x:c r="H32" t="str">
        <x:v>Jmella In France Lime &amp; Basil Hair Treatment</x:v>
      </x:c>
      <x:c r="I32" t="str">
        <x:v>JMELLA</x:v>
      </x:c>
      <x:c r="J32" t="str">
        <x:v>Khác</x:v>
      </x:c>
      <x:c r="K32"/>
      <x:c r="L32" t="str">
        <x:v>Công ty Cổ Phần Thương Mại KOJA VIỆT NAM</x:v>
      </x:c>
      <x:c r="M32" t="str">
        <x:v>Số 5, Ngõ 267, Đường Trần Khát Chân, phường Thanh Nhàn, quận Hai Bà Trưng, TP. Hà Nội, Việt Nam. Mã số doanh nghiệp: 110185459</x:v>
      </x:c>
      <x:c r="N32"/>
      <x:c r="O32" t="str">
        <x:v>Thu hồi số tiếp nhận; đình chỉ lưu hành và thu hồi (QĐ 126/QĐ-QLD)</x:v>
      </x:c>
      <x:c r="P32" t="str">
        <x:v>A++ – Cục Quản lý Dược; company responsibility explicit</x:v>
      </x:c>
      <x:c r="Q32" t="str">
        <x:v>QĐ126/2026, STT 56, trang 7.</x:v>
      </x:c>
      <x:c r="R32" t="str">
        <x:v>https://dav.gov.vn/quyet-dinh-so-126qd-qld-ve-viec-thu-hoi-so-tiep-nhan-phieu-cong-bo-san-pham-my-pham-dinh-chi-luu-hanh-va-thu-hoi-san-pham-my-pham-theo-kl-cua-hd-my-pham-asean-doi-voi-san-pham-my-pham-co-chua-chat-cyclotetrasiloxane-octamethylcyclotetrasiloxane-n5224.html</x:v>
      </x:c>
      <x:c r="S32" t="str">
        <x:v>Hà Nội</x:v>
      </x:c>
      <x:c r="T32" t="str">
        <x:v>01</x:v>
      </x:c>
    </x:row>
    <x:row r="33">
      <x:c r="A33" t="n">
        <x:v>32</x:v>
      </x:c>
      <x:c r="B33" s="330" t="n">
        <x:v>45496</x:v>
      </x:c>
      <x:c r="C33" s="330" t="n">
        <x:v>46080</x:v>
      </x:c>
      <x:c r="D33" t="n">
        <x:v>2024</x:v>
      </x:c>
      <x:c r="E33" t="n">
        <x:v>7</x:v>
      </x:c>
      <x:c r="F33" t="str">
        <x:v>244699/24/CBMP-QLD</x:v>
      </x:c>
      <x:c r="G33"/>
      <x:c r="H33" t="str">
        <x:v>Jmella In France Femme Fatale Hair Treatment</x:v>
      </x:c>
      <x:c r="I33" t="str">
        <x:v>JMELLA</x:v>
      </x:c>
      <x:c r="J33" t="str">
        <x:v>Khác</x:v>
      </x:c>
      <x:c r="K33"/>
      <x:c r="L33" t="str">
        <x:v>Công ty Cổ Phần Thương Mại KOJA VIỆT NAM</x:v>
      </x:c>
      <x:c r="M33" t="str">
        <x:v>Số 5, Ngõ 267, Đường Trần Khát Chân, phường Thanh Nhàn, quận Hai Bà Trưng, TP. Hà Nội, Việt Nam. Mã số doanh nghiệp: 110185459</x:v>
      </x:c>
      <x:c r="N33"/>
      <x:c r="O33" t="str">
        <x:v>Thu hồi số tiếp nhận; đình chỉ lưu hành và thu hồi (QĐ 126/QĐ-QLD)</x:v>
      </x:c>
      <x:c r="P33" t="str">
        <x:v>A++ – Cục Quản lý Dược; company responsibility explicit</x:v>
      </x:c>
      <x:c r="Q33" t="str">
        <x:v>QĐ126/2026, STT 57, trang 7.</x:v>
      </x:c>
      <x:c r="R33" t="str">
        <x:v>https://dav.gov.vn/quyet-dinh-so-126qd-qld-ve-viec-thu-hoi-so-tiep-nhan-phieu-cong-bo-san-pham-my-pham-dinh-chi-luu-hanh-va-thu-hoi-san-pham-my-pham-theo-kl-cua-hd-my-pham-asean-doi-voi-san-pham-my-pham-co-chua-chat-cyclotetrasiloxane-octamethylcyclotetrasiloxane-n5224.html</x:v>
      </x:c>
      <x:c r="S33" t="str">
        <x:v>Hà Nội</x:v>
      </x:c>
      <x:c r="T33" t="str">
        <x:v>01</x:v>
      </x:c>
    </x:row>
    <x:row r="34">
      <x:c r="A34" t="n">
        <x:v>33</x:v>
      </x:c>
      <x:c r="B34" s="330" t="n">
        <x:v>44712</x:v>
      </x:c>
      <x:c r="C34" s="330" t="n">
        <x:v>46080</x:v>
      </x:c>
      <x:c r="D34" t="n">
        <x:v>2022</x:v>
      </x:c>
      <x:c r="E34" t="n">
        <x:v>5</x:v>
      </x:c>
      <x:c r="F34" t="str">
        <x:v>171373/22/CBMP-QLD</x:v>
      </x:c>
      <x:c r="G34"/>
      <x:c r="H34" t="str">
        <x:v>Sea Salt Conditioner</x:v>
      </x:c>
      <x:c r="I34" t="str">
        <x:v>FIVE GRAINS</x:v>
      </x:c>
      <x:c r="J34" t="str">
        <x:v>Dầu xả</x:v>
      </x:c>
      <x:c r="K34"/>
      <x:c r="L34" t="str">
        <x:v>Công ty Cổ Phần Thương Mại Và Đầu Tư Five Grains</x:v>
      </x:c>
      <x:c r="M34" t="str">
        <x:v>Số 2 TT30 Khu đô thị Văn Phú, phường Phú La, quận Hà Đông, TP. Hà Nội, Việt Nam. Mã số doanh nghiệp: 0109699883</x:v>
      </x:c>
      <x:c r="N34"/>
      <x:c r="O34" t="str">
        <x:v>Thu hồi số tiếp nhận; đình chỉ lưu hành và thu hồi (QĐ 126/QĐ-QLD)</x:v>
      </x:c>
      <x:c r="P34" t="str">
        <x:v>A++ – Cục Quản lý Dược; company responsibility explicit</x:v>
      </x:c>
      <x:c r="Q34" t="str">
        <x:v>QĐ126/2026, STT 58, trang 7.</x:v>
      </x:c>
      <x:c r="R34" t="str">
        <x:v>https://dav.gov.vn/quyet-dinh-so-126qd-qld-ve-viec-thu-hoi-so-tiep-nhan-phieu-cong-bo-san-pham-my-pham-dinh-chi-luu-hanh-va-thu-hoi-san-pham-my-pham-theo-kl-cua-hd-my-pham-asean-doi-voi-san-pham-my-pham-co-chua-chat-cyclotetrasiloxane-octamethylcyclotetrasiloxane-n5224.html</x:v>
      </x:c>
      <x:c r="S34" t="str">
        <x:v>Hà Nội</x:v>
      </x:c>
      <x:c r="T34" t="str">
        <x:v>01</x:v>
      </x:c>
    </x:row>
    <x:row r="35">
      <x:c r="A35" t="n">
        <x:v>34</x:v>
      </x:c>
      <x:c r="B35" s="330" t="n">
        <x:v>44903</x:v>
      </x:c>
      <x:c r="C35" s="330" t="n">
        <x:v>46080</x:v>
      </x:c>
      <x:c r="D35" t="n">
        <x:v>2022</x:v>
      </x:c>
      <x:c r="E35" t="n">
        <x:v>12</x:v>
      </x:c>
      <x:c r="F35" t="str">
        <x:v>191081/22/CBMP-QLD</x:v>
      </x:c>
      <x:c r="G35"/>
      <x:c r="H35" t="str">
        <x:v>Hold Live Flower Sakura Velvet Matte Lip Glaze</x:v>
      </x:c>
      <x:c r="I35" t="str">
        <x:v>HOLD LIVE</x:v>
      </x:c>
      <x:c r="J35" t="str">
        <x:v>Sản phẩm môi</x:v>
      </x:c>
      <x:c r="K35"/>
      <x:c r="L35" t="str">
        <x:v>Công ty TNHH Benyo Global</x:v>
      </x:c>
      <x:c r="M35" t="str">
        <x:v>Số nhà 17, Đường Đoàn Kết, Cụm 1, xã Đan Phượng, huyện Đan Phượng, TP. Hà Nội, Việt Nam. Mã số doanh nghiệp: 0110134711</x:v>
      </x:c>
      <x:c r="N35"/>
      <x:c r="O35" t="str">
        <x:v>Thu hồi số tiếp nhận; đình chỉ lưu hành và thu hồi (QĐ 126/QĐ-QLD)</x:v>
      </x:c>
      <x:c r="P35" t="str">
        <x:v>A++ – Cục Quản lý Dược; company responsibility explicit</x:v>
      </x:c>
      <x:c r="Q35" t="str">
        <x:v>QĐ126/2026, STT 67, trang 8.</x:v>
      </x:c>
      <x:c r="R35" t="str">
        <x:v>https://dav.gov.vn/quyet-dinh-so-126qd-qld-ve-viec-thu-hoi-so-tiep-nhan-phieu-cong-bo-san-pham-my-pham-dinh-chi-luu-hanh-va-thu-hoi-san-pham-my-pham-theo-kl-cua-hd-my-pham-asean-doi-voi-san-pham-my-pham-co-chua-chat-cyclotetrasiloxane-octamethylcyclotetrasiloxane-n5224.html</x:v>
      </x:c>
      <x:c r="S35" t="str">
        <x:v>Hà Nội</x:v>
      </x:c>
      <x:c r="T35" t="str">
        <x:v>01</x:v>
      </x:c>
    </x:row>
    <x:row r="36">
      <x:c r="A36" t="n">
        <x:v>35</x:v>
      </x:c>
      <x:c r="B36" s="330" t="n">
        <x:v>44890</x:v>
      </x:c>
      <x:c r="C36" s="330" t="n">
        <x:v>46080</x:v>
      </x:c>
      <x:c r="D36" t="n">
        <x:v>2022</x:v>
      </x:c>
      <x:c r="E36" t="n">
        <x:v>11</x:v>
      </x:c>
      <x:c r="F36" t="str">
        <x:v>189433/22/CBMP-QLD</x:v>
      </x:c>
      <x:c r="G36"/>
      <x:c r="H36" t="str">
        <x:v>Viktovia's Series Comprehensive Nourishing Conditioner</x:v>
      </x:c>
      <x:c r="I36" t="str">
        <x:v>VIKTOVI A'S SERIES</x:v>
      </x:c>
      <x:c r="J36" t="str">
        <x:v>Dầu xả</x:v>
      </x:c>
      <x:c r="K36"/>
      <x:c r="L36" t="str">
        <x:v>CÔNG TY TNHH BIHAMI MINH NGUYÊN</x:v>
      </x:c>
      <x:c r="M36" t="str">
        <x:v>Số 46 phố Đức Giang, phường Đức Giang, quận Long Biên, TP. Hà Nội, Việt Nam. Mã số doanh nghiệp: 0110036337</x:v>
      </x:c>
      <x:c r="N36"/>
      <x:c r="O36" t="str">
        <x:v>Thu hồi số tiếp nhận; đình chỉ lưu hành và thu hồi (QĐ 126/QĐ-QLD)</x:v>
      </x:c>
      <x:c r="P36" t="str">
        <x:v>A++ – Cục Quản lý Dược; company responsibility explicit</x:v>
      </x:c>
      <x:c r="Q36" t="str">
        <x:v>QĐ126/2026, STT 72, trang 9.</x:v>
      </x:c>
      <x:c r="R36" t="str">
        <x:v>https://dav.gov.vn/quyet-dinh-so-126qd-qld-ve-viec-thu-hoi-so-tiep-nhan-phieu-cong-bo-san-pham-my-pham-dinh-chi-luu-hanh-va-thu-hoi-san-pham-my-pham-theo-kl-cua-hd-my-pham-asean-doi-voi-san-pham-my-pham-co-chua-chat-cyclotetrasiloxane-octamethylcyclotetrasiloxane-n5224.html</x:v>
      </x:c>
      <x:c r="S36" t="str">
        <x:v>Hà Nội</x:v>
      </x:c>
      <x:c r="T36" t="str">
        <x:v>01</x:v>
      </x:c>
    </x:row>
    <x:row r="37">
      <x:c r="A37" t="n">
        <x:v>36</x:v>
      </x:c>
      <x:c r="B37" s="330" t="n">
        <x:v>45296</x:v>
      </x:c>
      <x:c r="C37" s="330" t="n">
        <x:v>46080</x:v>
      </x:c>
      <x:c r="D37" t="n">
        <x:v>2024</x:v>
      </x:c>
      <x:c r="E37" t="n">
        <x:v>1</x:v>
      </x:c>
      <x:c r="F37" t="str">
        <x:v>221068/24/CBMP-QLD</x:v>
      </x:c>
      <x:c r="G37"/>
      <x:c r="H37" t="str">
        <x:v>Dermaline Hydro Refresh Cream</x:v>
      </x:c>
      <x:c r="I37" t="str">
        <x:v>DERMALI NE</x:v>
      </x:c>
      <x:c r="J37" t="str">
        <x:v>Kem dưỡng da</x:v>
      </x:c>
      <x:c r="K37"/>
      <x:c r="L37" t="str">
        <x:v>CÔNG TY TNHH CÔNG NGHỆ SINH HỌC SARAH LE</x:v>
      </x:c>
      <x:c r="M37" t="str">
        <x:v>Số 24A ngõ 36 phố Đào Tấn, phường Cống Vị, quận Ba Đình, TP. Hà Nội, Việt Nam. Mã số doanh nghiệp: 0110319783</x:v>
      </x:c>
      <x:c r="N37"/>
      <x:c r="O37" t="str">
        <x:v>Thu hồi số tiếp nhận; đình chỉ lưu hành và thu hồi (QĐ 126/QĐ-QLD)</x:v>
      </x:c>
      <x:c r="P37" t="str">
        <x:v>A++ – Cục Quản lý Dược; company responsibility explicit</x:v>
      </x:c>
      <x:c r="Q37" t="str">
        <x:v>QĐ126/2026, STT 77, trang 9.</x:v>
      </x:c>
      <x:c r="R37" t="str">
        <x:v>https://dav.gov.vn/quyet-dinh-so-126qd-qld-ve-viec-thu-hoi-so-tiep-nhan-phieu-cong-bo-san-pham-my-pham-dinh-chi-luu-hanh-va-thu-hoi-san-pham-my-pham-theo-kl-cua-hd-my-pham-asean-doi-voi-san-pham-my-pham-co-chua-chat-cyclotetrasiloxane-octamethylcyclotetrasiloxane-n5224.html</x:v>
      </x:c>
      <x:c r="S37" t="str">
        <x:v>Hà Nội</x:v>
      </x:c>
      <x:c r="T37" t="str">
        <x:v>01</x:v>
      </x:c>
    </x:row>
    <x:row r="38">
      <x:c r="A38" t="n">
        <x:v>37</x:v>
      </x:c>
      <x:c r="B38" s="330" t="n">
        <x:v>45475</x:v>
      </x:c>
      <x:c r="C38" s="330" t="n">
        <x:v>46080</x:v>
      </x:c>
      <x:c r="D38" t="n">
        <x:v>2024</x:v>
      </x:c>
      <x:c r="E38" t="n">
        <x:v>7</x:v>
      </x:c>
      <x:c r="F38" t="str">
        <x:v>241617/24/CBMP-QLD</x:v>
      </x:c>
      <x:c r="G38"/>
      <x:c r="H38" t="str">
        <x:v>Pattrena Trio Blossom Conditioner</x:v>
      </x:c>
      <x:c r="I38" t="str">
        <x:v>PATTREN A</x:v>
      </x:c>
      <x:c r="J38" t="str">
        <x:v>Dầu xả</x:v>
      </x:c>
      <x:c r="K38"/>
      <x:c r="L38" t="str">
        <x:v>Công ty TNHH Đầu Tư Á Âu</x:v>
      </x:c>
      <x:c r="M38" t="str">
        <x:v>06, A7, phường Ngọc Khánh, quận Ba Đình, TP. Hà Nội, Việt Nam. Mã số doanh nghiệp: 0106007051</x:v>
      </x:c>
      <x:c r="N38"/>
      <x:c r="O38" t="str">
        <x:v>Thu hồi số tiếp nhận; đình chỉ lưu hành và thu hồi (QĐ 126/QĐ-QLD)</x:v>
      </x:c>
      <x:c r="P38" t="str">
        <x:v>A++ – Cục Quản lý Dược; company responsibility explicit</x:v>
      </x:c>
      <x:c r="Q38" t="str">
        <x:v>QĐ126/2026, STT 87, trang 10.</x:v>
      </x:c>
      <x:c r="R38" t="str">
        <x:v>https://dav.gov.vn/quyet-dinh-so-126qd-qld-ve-viec-thu-hoi-so-tiep-nhan-phieu-cong-bo-san-pham-my-pham-dinh-chi-luu-hanh-va-thu-hoi-san-pham-my-pham-theo-kl-cua-hd-my-pham-asean-doi-voi-san-pham-my-pham-co-chua-chat-cyclotetrasiloxane-octamethylcyclotetrasiloxane-n5224.html</x:v>
      </x:c>
      <x:c r="S38" t="str">
        <x:v>Hà Nội</x:v>
      </x:c>
      <x:c r="T38" t="str">
        <x:v>01</x:v>
      </x:c>
    </x:row>
    <x:row r="39">
      <x:c r="A39" t="n">
        <x:v>38</x:v>
      </x:c>
      <x:c r="B39" s="330" t="n">
        <x:v>45362</x:v>
      </x:c>
      <x:c r="C39" s="330" t="n">
        <x:v>46080</x:v>
      </x:c>
      <x:c r="D39" t="n">
        <x:v>2024</x:v>
      </x:c>
      <x:c r="E39" t="n">
        <x:v>3</x:v>
      </x:c>
      <x:c r="F39" t="str">
        <x:v>228126/24/CBMP-QLD</x:v>
      </x:c>
      <x:c r="G39"/>
      <x:c r="H39" t="str">
        <x:v>Feeblin Primer</x:v>
      </x:c>
      <x:c r="I39"/>
      <x:c r="J39" t="str">
        <x:v>Khác</x:v>
      </x:c>
      <x:c r="K39"/>
      <x:c r="L39" t="str">
        <x:v>Công ty TNHH đầu tư thiết bị công nghệ NTN GLOBAL</x:v>
      </x:c>
      <x:c r="M39" t="str">
        <x:v>Số 10 phố Nghĩa Đô, tổ 18, phường Nghĩa Đô, quận Cầu Giấy, TP. Hà Nội, Việt Nam. Mã số doanh nghiệp: 0106021017</x:v>
      </x:c>
      <x:c r="N39"/>
      <x:c r="O39" t="str">
        <x:v>Thu hồi số tiếp nhận; đình chỉ lưu hành và thu hồi (QĐ 126/QĐ-QLD)</x:v>
      </x:c>
      <x:c r="P39" t="str">
        <x:v>A++ – Cục Quản lý Dược; company responsibility explicit</x:v>
      </x:c>
      <x:c r="Q39" t="str">
        <x:v>QĐ126/2026, STT 89, trang 10.</x:v>
      </x:c>
      <x:c r="R39" t="str">
        <x:v>https://dav.gov.vn/quyet-dinh-so-126qd-qld-ve-viec-thu-hoi-so-tiep-nhan-phieu-cong-bo-san-pham-my-pham-dinh-chi-luu-hanh-va-thu-hoi-san-pham-my-pham-theo-kl-cua-hd-my-pham-asean-doi-voi-san-pham-my-pham-co-chua-chat-cyclotetrasiloxane-octamethylcyclotetrasiloxane-n5224.html</x:v>
      </x:c>
      <x:c r="S39" t="str">
        <x:v>Hà Nội</x:v>
      </x:c>
      <x:c r="T39" t="str">
        <x:v>01</x:v>
      </x:c>
    </x:row>
    <x:row r="40">
      <x:c r="A40" t="n">
        <x:v>39</x:v>
      </x:c>
      <x:c r="B40" s="330" t="n">
        <x:v>44848</x:v>
      </x:c>
      <x:c r="C40" s="330" t="n">
        <x:v>46080</x:v>
      </x:c>
      <x:c r="D40" t="n">
        <x:v>2022</x:v>
      </x:c>
      <x:c r="E40" t="n">
        <x:v>10</x:v>
      </x:c>
      <x:c r="F40" t="str">
        <x:v>185803/22/CBMP-QLD</x:v>
      </x:c>
      <x:c r="G40"/>
      <x:c r="H40" t="str">
        <x:v>Carebeau Vitamin E Moisturizing Cream Green</x:v>
      </x:c>
      <x:c r="I40" t="str">
        <x:v>CAREBEA U</x:v>
      </x:c>
      <x:c r="J40" t="str">
        <x:v>Kem dưỡng da</x:v>
      </x:c>
      <x:c r="K40"/>
      <x:c r="L40" t="str">
        <x:v>Công ty TNHH đầu tư thương mại và dịch vụ Thương Tín</x:v>
      </x:c>
      <x:c r="M40" t="str">
        <x:v>Số nhà 17 ngách 351/81/3 thôn Đại Đồng, phường Thụy Phương, quận Bắc Từ Liêm, TP. Hà Nội, Việt Nam. Mã số doanh nghiệp: 0106292176</x:v>
      </x:c>
      <x:c r="N40"/>
      <x:c r="O40" t="str">
        <x:v>Thu hồi số tiếp nhận; đình chỉ lưu hành và thu hồi (QĐ 126/QĐ-QLD)</x:v>
      </x:c>
      <x:c r="P40" t="str">
        <x:v>A++ – Cục Quản lý Dược; company responsibility explicit</x:v>
      </x:c>
      <x:c r="Q40" t="str">
        <x:v>QĐ126/2026, STT 97, trang 11.</x:v>
      </x:c>
      <x:c r="R40" t="str">
        <x:v>https://dav.gov.vn/quyet-dinh-so-126qd-qld-ve-viec-thu-hoi-so-tiep-nhan-phieu-cong-bo-san-pham-my-pham-dinh-chi-luu-hanh-va-thu-hoi-san-pham-my-pham-theo-kl-cua-hd-my-pham-asean-doi-voi-san-pham-my-pham-co-chua-chat-cyclotetrasiloxane-octamethylcyclotetrasiloxane-n5224.html</x:v>
      </x:c>
      <x:c r="S40" t="str">
        <x:v>Hà Nội</x:v>
      </x:c>
      <x:c r="T40" t="str">
        <x:v>01</x:v>
      </x:c>
    </x:row>
    <x:row r="41">
      <x:c r="A41" t="n">
        <x:v>40</x:v>
      </x:c>
      <x:c r="B41" s="330" t="n">
        <x:v>44848</x:v>
      </x:c>
      <x:c r="C41" s="330" t="n">
        <x:v>46080</x:v>
      </x:c>
      <x:c r="D41" t="n">
        <x:v>2022</x:v>
      </x:c>
      <x:c r="E41" t="n">
        <x:v>10</x:v>
      </x:c>
      <x:c r="F41" t="str">
        <x:v>185804/22/CBMP-QLD</x:v>
      </x:c>
      <x:c r="G41"/>
      <x:c r="H41" t="str">
        <x:v>Carebeau Vitamin E Moisturizing Cream Pink</x:v>
      </x:c>
      <x:c r="I41" t="str">
        <x:v>CAREBEA U</x:v>
      </x:c>
      <x:c r="J41" t="str">
        <x:v>Kem dưỡng da</x:v>
      </x:c>
      <x:c r="K41"/>
      <x:c r="L41" t="str">
        <x:v>Công ty TNHH đầu tư thương mại và dịch vụ Thương Tín</x:v>
      </x:c>
      <x:c r="M41" t="str">
        <x:v>Số nhà 17 ngách 351/81/3 thôn Đại Đồng, phường Thụy Phương, quận Bắc Từ Liêm, TP. Hà Nội, Việt Nam. Mã số doanh nghiệp: 0106292176</x:v>
      </x:c>
      <x:c r="N41"/>
      <x:c r="O41" t="str">
        <x:v>Thu hồi số tiếp nhận; đình chỉ lưu hành và thu hồi (QĐ 126/QĐ-QLD)</x:v>
      </x:c>
      <x:c r="P41" t="str">
        <x:v>A++ – Cục Quản lý Dược; company responsibility explicit</x:v>
      </x:c>
      <x:c r="Q41" t="str">
        <x:v>QĐ126/2026, STT 98, trang 11.</x:v>
      </x:c>
      <x:c r="R41" t="str">
        <x:v>https://dav.gov.vn/quyet-dinh-so-126qd-qld-ve-viec-thu-hoi-so-tiep-nhan-phieu-cong-bo-san-pham-my-pham-dinh-chi-luu-hanh-va-thu-hoi-san-pham-my-pham-theo-kl-cua-hd-my-pham-asean-doi-voi-san-pham-my-pham-co-chua-chat-cyclotetrasiloxane-octamethylcyclotetrasiloxane-n5224.html</x:v>
      </x:c>
      <x:c r="S41" t="str">
        <x:v>Hà Nội</x:v>
      </x:c>
      <x:c r="T41" t="str">
        <x:v>01</x:v>
      </x:c>
    </x:row>
    <x:row r="42">
      <x:c r="A42" t="n">
        <x:v>41</x:v>
      </x:c>
      <x:c r="B42" s="330" t="n">
        <x:v>44848</x:v>
      </x:c>
      <x:c r="C42" s="330" t="n">
        <x:v>46080</x:v>
      </x:c>
      <x:c r="D42" t="n">
        <x:v>2022</x:v>
      </x:c>
      <x:c r="E42" t="n">
        <x:v>10</x:v>
      </x:c>
      <x:c r="F42" t="str">
        <x:v>185808/22/CBMP-QLD</x:v>
      </x:c>
      <x:c r="G42"/>
      <x:c r="H42" t="str">
        <x:v>Carebeau Keratin Shampoo</x:v>
      </x:c>
      <x:c r="I42" t="str">
        <x:v>CAREBEA U</x:v>
      </x:c>
      <x:c r="J42" t="str">
        <x:v>Dầu gội</x:v>
      </x:c>
      <x:c r="K42"/>
      <x:c r="L42" t="str">
        <x:v>Công ty TNHH đầu tư thương mại và dịch vụ Thương Tín</x:v>
      </x:c>
      <x:c r="M42" t="str">
        <x:v>Số nhà 17 ngách 351/81/3 thôn Đại Đồng, phường Thụy Phương, quận Bắc Từ Liêm, TP. Hà Nội, Việt Nam. Mã số doanh nghiệp: 0106292176</x:v>
      </x:c>
      <x:c r="N42"/>
      <x:c r="O42" t="str">
        <x:v>Thu hồi số tiếp nhận; đình chỉ lưu hành và thu hồi (QĐ 126/QĐ-QLD)</x:v>
      </x:c>
      <x:c r="P42" t="str">
        <x:v>A++ – Cục Quản lý Dược; company responsibility explicit</x:v>
      </x:c>
      <x:c r="Q42" t="str">
        <x:v>QĐ126/2026, STT 99, trang 11.</x:v>
      </x:c>
      <x:c r="R42" t="str">
        <x:v>https://dav.gov.vn/quyet-dinh-so-126qd-qld-ve-viec-thu-hoi-so-tiep-nhan-phieu-cong-bo-san-pham-my-pham-dinh-chi-luu-hanh-va-thu-hoi-san-pham-my-pham-theo-kl-cua-hd-my-pham-asean-doi-voi-san-pham-my-pham-co-chua-chat-cyclotetrasiloxane-octamethylcyclotetrasiloxane-n5224.html</x:v>
      </x:c>
      <x:c r="S42" t="str">
        <x:v>Hà Nội</x:v>
      </x:c>
      <x:c r="T42" t="str">
        <x:v>01</x:v>
      </x:c>
    </x:row>
    <x:row r="43">
      <x:c r="A43" t="n">
        <x:v>42</x:v>
      </x:c>
      <x:c r="B43" s="330" t="n">
        <x:v>44848</x:v>
      </x:c>
      <x:c r="C43" s="330" t="n">
        <x:v>46080</x:v>
      </x:c>
      <x:c r="D43" t="n">
        <x:v>2022</x:v>
      </x:c>
      <x:c r="E43" t="n">
        <x:v>10</x:v>
      </x:c>
      <x:c r="F43" t="str">
        <x:v>185820/22/CBMP-QLD</x:v>
      </x:c>
      <x:c r="G43"/>
      <x:c r="H43" t="str">
        <x:v>Carebeau Vitamin E Moisturizing Cream White</x:v>
      </x:c>
      <x:c r="I43" t="str">
        <x:v>CAREBEA U</x:v>
      </x:c>
      <x:c r="J43" t="str">
        <x:v>Kem dưỡng da</x:v>
      </x:c>
      <x:c r="K43"/>
      <x:c r="L43" t="str">
        <x:v>Công ty TNHH đầu tư thương mại và dịch vụ Thương Tín</x:v>
      </x:c>
      <x:c r="M43" t="str">
        <x:v>Số nhà 17 ngách 351/81/3 thôn Đại Đồng, phường Thụy Phương, quận Bắc Từ Liêm, TP. Hà Nội, Việt Nam. Mã số doanh nghiệp: 0106292176</x:v>
      </x:c>
      <x:c r="N43"/>
      <x:c r="O43" t="str">
        <x:v>Thu hồi số tiếp nhận; đình chỉ lưu hành và thu hồi (QĐ 126/QĐ-QLD)</x:v>
      </x:c>
      <x:c r="P43" t="str">
        <x:v>A++ – Cục Quản lý Dược; company responsibility explicit</x:v>
      </x:c>
      <x:c r="Q43" t="str">
        <x:v>QĐ126/2026, STT 100, trang 11.</x:v>
      </x:c>
      <x:c r="R43" t="str">
        <x:v>https://dav.gov.vn/quyet-dinh-so-126qd-qld-ve-viec-thu-hoi-so-tiep-nhan-phieu-cong-bo-san-pham-my-pham-dinh-chi-luu-hanh-va-thu-hoi-san-pham-my-pham-theo-kl-cua-hd-my-pham-asean-doi-voi-san-pham-my-pham-co-chua-chat-cyclotetrasiloxane-octamethylcyclotetrasiloxane-n5224.html</x:v>
      </x:c>
      <x:c r="S43" t="str">
        <x:v>Hà Nội</x:v>
      </x:c>
      <x:c r="T43" t="str">
        <x:v>01</x:v>
      </x:c>
    </x:row>
    <x:row r="44">
      <x:c r="A44" t="n">
        <x:v>43</x:v>
      </x:c>
      <x:c r="B44" s="330" t="n">
        <x:v>45362</x:v>
      </x:c>
      <x:c r="C44" s="330" t="n">
        <x:v>46080</x:v>
      </x:c>
      <x:c r="D44" t="n">
        <x:v>2024</x:v>
      </x:c>
      <x:c r="E44" t="n">
        <x:v>3</x:v>
      </x:c>
      <x:c r="F44" t="str">
        <x:v>228360/24/CBMP-QLD</x:v>
      </x:c>
      <x:c r="G44"/>
      <x:c r="H44" t="str">
        <x:v>Carebeau Botanical Lotion</x:v>
      </x:c>
      <x:c r="I44" t="str">
        <x:v>CAREBEA U</x:v>
      </x:c>
      <x:c r="J44" t="str">
        <x:v>Kem dưỡng da</x:v>
      </x:c>
      <x:c r="K44"/>
      <x:c r="L44" t="str">
        <x:v>Công ty TNHH đầu tư thương mại và dịch vụ Thương Tín</x:v>
      </x:c>
      <x:c r="M44" t="str">
        <x:v>Số nhà 17 ngách 351/81/3 thôn Đại Đồng, phường Thụy Phương, quận Bắc Từ Liêm, TP. Hà Nội, Việt Nam. Mã số doanh nghiệp: 0106292176</x:v>
      </x:c>
      <x:c r="N44"/>
      <x:c r="O44" t="str">
        <x:v>Thu hồi số tiếp nhận; đình chỉ lưu hành và thu hồi (QĐ 126/QĐ-QLD)</x:v>
      </x:c>
      <x:c r="P44" t="str">
        <x:v>A++ – Cục Quản lý Dược; company responsibility explicit</x:v>
      </x:c>
      <x:c r="Q44" t="str">
        <x:v>QĐ126/2026, STT 101, trang 11.</x:v>
      </x:c>
      <x:c r="R44" t="str">
        <x:v>https://dav.gov.vn/quyet-dinh-so-126qd-qld-ve-viec-thu-hoi-so-tiep-nhan-phieu-cong-bo-san-pham-my-pham-dinh-chi-luu-hanh-va-thu-hoi-san-pham-my-pham-theo-kl-cua-hd-my-pham-asean-doi-voi-san-pham-my-pham-co-chua-chat-cyclotetrasiloxane-octamethylcyclotetrasiloxane-n5224.html</x:v>
      </x:c>
      <x:c r="S44" t="str">
        <x:v>Hà Nội</x:v>
      </x:c>
      <x:c r="T44" t="str">
        <x:v>01</x:v>
      </x:c>
    </x:row>
    <x:row r="45">
      <x:c r="A45" t="n">
        <x:v>44</x:v>
      </x:c>
      <x:c r="B45" s="330" t="n">
        <x:v>45362</x:v>
      </x:c>
      <x:c r="C45" s="330" t="n">
        <x:v>46080</x:v>
      </x:c>
      <x:c r="D45" t="n">
        <x:v>2024</x:v>
      </x:c>
      <x:c r="E45" t="n">
        <x:v>3</x:v>
      </x:c>
      <x:c r="F45" t="str">
        <x:v>228361/24/CBMP-QLD</x:v>
      </x:c>
      <x:c r="G45"/>
      <x:c r="H45" t="str">
        <x:v>Deya Body Cream Vitamin E 10x</x:v>
      </x:c>
      <x:c r="I45" t="str">
        <x:v>DEYA</x:v>
      </x:c>
      <x:c r="J45" t="str">
        <x:v>Kem body</x:v>
      </x:c>
      <x:c r="K45"/>
      <x:c r="L45" t="str">
        <x:v>Công ty TNHH đầu tư thương mại và dịch vụ Thương Tín</x:v>
      </x:c>
      <x:c r="M45" t="str">
        <x:v>Số nhà 17 ngách 351/81/3 thôn Đại Đồng, phường Thụy Phương, quận Bắc Từ Liêm, TP. Hà Nội, Việt Nam. Mã số doanh nghiệp: 0106292176</x:v>
      </x:c>
      <x:c r="N45"/>
      <x:c r="O45" t="str">
        <x:v>Thu hồi số tiếp nhận; đình chỉ lưu hành và thu hồi (QĐ 126/QĐ-QLD)</x:v>
      </x:c>
      <x:c r="P45" t="str">
        <x:v>A++ – Cục Quản lý Dược; company responsibility explicit</x:v>
      </x:c>
      <x:c r="Q45" t="str">
        <x:v>QĐ126/2026, STT 102, trang 11.</x:v>
      </x:c>
      <x:c r="R45" t="str">
        <x:v>https://dav.gov.vn/quyet-dinh-so-126qd-qld-ve-viec-thu-hoi-so-tiep-nhan-phieu-cong-bo-san-pham-my-pham-dinh-chi-luu-hanh-va-thu-hoi-san-pham-my-pham-theo-kl-cua-hd-my-pham-asean-doi-voi-san-pham-my-pham-co-chua-chat-cyclotetrasiloxane-octamethylcyclotetrasiloxane-n5224.html</x:v>
      </x:c>
      <x:c r="S45" t="str">
        <x:v>Hà Nội</x:v>
      </x:c>
      <x:c r="T45" t="str">
        <x:v>01</x:v>
      </x:c>
    </x:row>
    <x:row r="46">
      <x:c r="A46" t="n">
        <x:v>45</x:v>
      </x:c>
      <x:c r="B46" s="330" t="n">
        <x:v>45362</x:v>
      </x:c>
      <x:c r="C46" s="330" t="n">
        <x:v>46080</x:v>
      </x:c>
      <x:c r="D46" t="n">
        <x:v>2024</x:v>
      </x:c>
      <x:c r="E46" t="n">
        <x:v>3</x:v>
      </x:c>
      <x:c r="F46" t="str">
        <x:v>228370/24/CBMP-QLD</x:v>
      </x:c>
      <x:c r="G46"/>
      <x:c r="H46" t="str">
        <x:v>Carebeau Vitamin E Milky Care Strawberry</x:v>
      </x:c>
      <x:c r="I46" t="str">
        <x:v>CAREBEA U</x:v>
      </x:c>
      <x:c r="J46" t="str">
        <x:v>Khác</x:v>
      </x:c>
      <x:c r="K46"/>
      <x:c r="L46" t="str">
        <x:v>Công ty TNHH đầu tư thương mại và dịch vụ Thương Tín</x:v>
      </x:c>
      <x:c r="M46" t="str">
        <x:v>Số nhà 17 ngách 351/81/3 thôn Đại Đồng, phường Thụy Phương, quận Bắc Từ Liêm, TP. Hà Nội, Việt Nam. Mã số doanh nghiệp: 0106292176</x:v>
      </x:c>
      <x:c r="N46"/>
      <x:c r="O46" t="str">
        <x:v>Thu hồi số tiếp nhận; đình chỉ lưu hành và thu hồi (QĐ 126/QĐ-QLD)</x:v>
      </x:c>
      <x:c r="P46" t="str">
        <x:v>A++ – Cục Quản lý Dược; company responsibility explicit</x:v>
      </x:c>
      <x:c r="Q46" t="str">
        <x:v>QĐ126/2026, STT 103, trang 12.</x:v>
      </x:c>
      <x:c r="R46" t="str">
        <x:v>https://dav.gov.vn/quyet-dinh-so-126qd-qld-ve-viec-thu-hoi-so-tiep-nhan-phieu-cong-bo-san-pham-my-pham-dinh-chi-luu-hanh-va-thu-hoi-san-pham-my-pham-theo-kl-cua-hd-my-pham-asean-doi-voi-san-pham-my-pham-co-chua-chat-cyclotetrasiloxane-octamethylcyclotetrasiloxane-n5224.html</x:v>
      </x:c>
      <x:c r="S46" t="str">
        <x:v>Hà Nội</x:v>
      </x:c>
      <x:c r="T46" t="str">
        <x:v>01</x:v>
      </x:c>
    </x:row>
    <x:row r="47">
      <x:c r="A47" t="n">
        <x:v>46</x:v>
      </x:c>
      <x:c r="B47" s="330" t="n">
        <x:v>45362</x:v>
      </x:c>
      <x:c r="C47" s="330" t="n">
        <x:v>46080</x:v>
      </x:c>
      <x:c r="D47" t="n">
        <x:v>2024</x:v>
      </x:c>
      <x:c r="E47" t="n">
        <x:v>3</x:v>
      </x:c>
      <x:c r="F47" t="str">
        <x:v>228380/24/CBMP-QLD</x:v>
      </x:c>
      <x:c r="G47"/>
      <x:c r="H47" t="str">
        <x:v>Deya Body Cream Vitamin C&amp;E 10x</x:v>
      </x:c>
      <x:c r="I47" t="str">
        <x:v>DEYA</x:v>
      </x:c>
      <x:c r="J47" t="str">
        <x:v>Kem body</x:v>
      </x:c>
      <x:c r="K47"/>
      <x:c r="L47" t="str">
        <x:v>Công ty TNHH đầu tư thương mại và dịch vụ Thương Tín</x:v>
      </x:c>
      <x:c r="M47" t="str">
        <x:v>Số nhà 17 ngách 351/81/3 thôn Đại Đồng, phường Thụy Phương, quận Bắc Từ Liêm, TP. Hà Nội, Việt Nam. Mã số doanh nghiệp: 0106292176</x:v>
      </x:c>
      <x:c r="N47"/>
      <x:c r="O47" t="str">
        <x:v>Thu hồi số tiếp nhận; đình chỉ lưu hành và thu hồi (QĐ 126/QĐ-QLD)</x:v>
      </x:c>
      <x:c r="P47" t="str">
        <x:v>A++ – Cục Quản lý Dược; company responsibility explicit</x:v>
      </x:c>
      <x:c r="Q47" t="str">
        <x:v>QĐ126/2026, STT 104, trang 12.</x:v>
      </x:c>
      <x:c r="R47" t="str">
        <x:v>https://dav.gov.vn/quyet-dinh-so-126qd-qld-ve-viec-thu-hoi-so-tiep-nhan-phieu-cong-bo-san-pham-my-pham-dinh-chi-luu-hanh-va-thu-hoi-san-pham-my-pham-theo-kl-cua-hd-my-pham-asean-doi-voi-san-pham-my-pham-co-chua-chat-cyclotetrasiloxane-octamethylcyclotetrasiloxane-n5224.html</x:v>
      </x:c>
      <x:c r="S47" t="str">
        <x:v>Hà Nội</x:v>
      </x:c>
      <x:c r="T47" t="str">
        <x:v>01</x:v>
      </x:c>
    </x:row>
    <x:row r="48">
      <x:c r="A48" t="n">
        <x:v>47</x:v>
      </x:c>
      <x:c r="B48" s="330" t="n">
        <x:v>45363</x:v>
      </x:c>
      <x:c r="C48" s="330" t="n">
        <x:v>46080</x:v>
      </x:c>
      <x:c r="D48" t="n">
        <x:v>2024</x:v>
      </x:c>
      <x:c r="E48" t="n">
        <x:v>3</x:v>
      </x:c>
      <x:c r="F48" t="str">
        <x:v>228408/24/CBMP-QLD</x:v>
      </x:c>
      <x:c r="G48"/>
      <x:c r="H48" t="str">
        <x:v>Carebeau Vitamin E Milky Care Aloe Vera</x:v>
      </x:c>
      <x:c r="I48" t="str">
        <x:v>CAREBEA U</x:v>
      </x:c>
      <x:c r="J48" t="str">
        <x:v>Khác</x:v>
      </x:c>
      <x:c r="K48"/>
      <x:c r="L48" t="str">
        <x:v>Công ty TNHH đầu tư thương mại và dịch vụ Thương Tín</x:v>
      </x:c>
      <x:c r="M48" t="str">
        <x:v>Số nhà 17 ngách 351/81/3 thôn Đại Đồng, phường Thụy Phương, quận Bắc Từ Liêm, TP. Hà Nội, Việt Nam. Mã số doanh nghiệp: 0106292176</x:v>
      </x:c>
      <x:c r="N48"/>
      <x:c r="O48" t="str">
        <x:v>Thu hồi số tiếp nhận; đình chỉ lưu hành và thu hồi (QĐ 126/QĐ-QLD)</x:v>
      </x:c>
      <x:c r="P48" t="str">
        <x:v>A++ – Cục Quản lý Dược; company responsibility explicit</x:v>
      </x:c>
      <x:c r="Q48" t="str">
        <x:v>QĐ126/2026, STT 105, trang 12.</x:v>
      </x:c>
      <x:c r="R48" t="str">
        <x:v>https://dav.gov.vn/quyet-dinh-so-126qd-qld-ve-viec-thu-hoi-so-tiep-nhan-phieu-cong-bo-san-pham-my-pham-dinh-chi-luu-hanh-va-thu-hoi-san-pham-my-pham-theo-kl-cua-hd-my-pham-asean-doi-voi-san-pham-my-pham-co-chua-chat-cyclotetrasiloxane-octamethylcyclotetrasiloxane-n5224.html</x:v>
      </x:c>
      <x:c r="S48" t="str">
        <x:v>Hà Nội</x:v>
      </x:c>
      <x:c r="T48" t="str">
        <x:v>01</x:v>
      </x:c>
    </x:row>
    <x:row r="49">
      <x:c r="A49" t="n">
        <x:v>48</x:v>
      </x:c>
      <x:c r="B49" s="330" t="n">
        <x:v>44872</x:v>
      </x:c>
      <x:c r="C49" s="330" t="n">
        <x:v>46080</x:v>
      </x:c>
      <x:c r="D49" t="n">
        <x:v>2022</x:v>
      </x:c>
      <x:c r="E49" t="n">
        <x:v>11</x:v>
      </x:c>
      <x:c r="F49" t="str">
        <x:v>187710/22/CBMP-QLD</x:v>
      </x:c>
      <x:c r="G49"/>
      <x:c r="H49" t="str">
        <x:v>Pepplus+ Wrinkle Eye Cream</x:v>
      </x:c>
      <x:c r="I49" t="str">
        <x:v>PEPPLUS +</x:v>
      </x:c>
      <x:c r="J49" t="str">
        <x:v>Kem dưỡng da</x:v>
      </x:c>
      <x:c r="K49"/>
      <x:c r="L49" t="str">
        <x:v>Công ty TNHH đầu tư thương mại và sản xuất thiết bị y tế Thiên Phúc</x:v>
      </x:c>
      <x:c r="M49" t="str">
        <x:v>Số nhà 85 hẻm 17/63/173 đường Hoàng Hoa Thám, phường Ngọc Hà, quận Ba Đình, TP. Hà Nội, Việt Nam. Mã số doanh nghiệp: 0108586453</x:v>
      </x:c>
      <x:c r="N49"/>
      <x:c r="O49" t="str">
        <x:v>Thu hồi số tiếp nhận; đình chỉ lưu hành và thu hồi (QĐ 126/QĐ-QLD)</x:v>
      </x:c>
      <x:c r="P49" t="str">
        <x:v>A++ – Cục Quản lý Dược; company responsibility explicit</x:v>
      </x:c>
      <x:c r="Q49" t="str">
        <x:v>QĐ126/2026, STT 106, trang 12.</x:v>
      </x:c>
      <x:c r="R49" t="str">
        <x:v>https://dav.gov.vn/quyet-dinh-so-126qd-qld-ve-viec-thu-hoi-so-tiep-nhan-phieu-cong-bo-san-pham-my-pham-dinh-chi-luu-hanh-va-thu-hoi-san-pham-my-pham-theo-kl-cua-hd-my-pham-asean-doi-voi-san-pham-my-pham-co-chua-chat-cyclotetrasiloxane-octamethylcyclotetrasiloxane-n5224.html</x:v>
      </x:c>
      <x:c r="S49" t="str">
        <x:v>Hà Nội</x:v>
      </x:c>
      <x:c r="T49" t="str">
        <x:v>01</x:v>
      </x:c>
    </x:row>
    <x:row r="50">
      <x:c r="A50" t="n">
        <x:v>49</x:v>
      </x:c>
      <x:c r="B50" s="330" t="n">
        <x:v>45909</x:v>
      </x:c>
      <x:c r="C50" s="330" t="n">
        <x:v>46080</x:v>
      </x:c>
      <x:c r="D50" t="n">
        <x:v>2025</x:v>
      </x:c>
      <x:c r="E50" t="n">
        <x:v>9</x:v>
      </x:c>
      <x:c r="F50" t="str">
        <x:v>289729/25/CBMP-QLD</x:v>
      </x:c>
      <x:c r="G50"/>
      <x:c r="H50" t="str">
        <x:v>Good Green Silk Plant Dandruff Shampoo</x:v>
      </x:c>
      <x:c r="I50" t="str">
        <x:v>Haoqingsi</x:v>
      </x:c>
      <x:c r="J50" t="str">
        <x:v>Dầu gội</x:v>
      </x:c>
      <x:c r="K50"/>
      <x:c r="L50" t="str">
        <x:v>Công ty TNHH đầu tư và phát triển GCOM</x:v>
      </x:c>
      <x:c r="M50" t="str">
        <x:v>Số nhà 2/15 ngõ 380 đường Ngọc Thụy, phường Ngọc Thụy, quận Long Biên, TP. Hà Nội, Việt Nam. Mã số doanh nghiệp: 0110124569</x:v>
      </x:c>
      <x:c r="N50"/>
      <x:c r="O50" t="str">
        <x:v>Thu hồi số tiếp nhận; đình chỉ lưu hành và thu hồi (QĐ 126/QĐ-QLD)</x:v>
      </x:c>
      <x:c r="P50" t="str">
        <x:v>A++ – Cục Quản lý Dược; company responsibility explicit</x:v>
      </x:c>
      <x:c r="Q50" t="str">
        <x:v>QĐ126/2026, STT 107, trang 12.</x:v>
      </x:c>
      <x:c r="R50" t="str">
        <x:v>https://dav.gov.vn/quyet-dinh-so-126qd-qld-ve-viec-thu-hoi-so-tiep-nhan-phieu-cong-bo-san-pham-my-pham-dinh-chi-luu-hanh-va-thu-hoi-san-pham-my-pham-theo-kl-cua-hd-my-pham-asean-doi-voi-san-pham-my-pham-co-chua-chat-cyclotetrasiloxane-octamethylcyclotetrasiloxane-n5224.html</x:v>
      </x:c>
      <x:c r="S50" t="str">
        <x:v>Hà Nội</x:v>
      </x:c>
      <x:c r="T50" t="str">
        <x:v>01</x:v>
      </x:c>
    </x:row>
    <x:row r="51">
      <x:c r="A51" t="n">
        <x:v>50</x:v>
      </x:c>
      <x:c r="B51" s="330" t="n">
        <x:v>44567</x:v>
      </x:c>
      <x:c r="C51" s="330" t="n">
        <x:v>46080</x:v>
      </x:c>
      <x:c r="D51" t="n">
        <x:v>2022</x:v>
      </x:c>
      <x:c r="E51" t="n">
        <x:v>1</x:v>
      </x:c>
      <x:c r="F51" t="str">
        <x:v>164561/22/CBMP-QLD</x:v>
      </x:c>
      <x:c r="G51"/>
      <x:c r="H51" t="str">
        <x:v>Johnhyelee Dr. Cho Blue Recipe+ Peptide Regen Cream Control</x:v>
      </x:c>
      <x:c r="I51" t="str">
        <x:v>Johnhyelee</x:v>
      </x:c>
      <x:c r="J51" t="str">
        <x:v>Kem dưỡng da</x:v>
      </x:c>
      <x:c r="K51"/>
      <x:c r="L51" t="str">
        <x:v>CÔNG TY TNHH DOWOO VIỆT NAM</x:v>
      </x:c>
      <x:c r="M51" t="str">
        <x:v>Tầng 4, tòa nhà HUD3, số 121-123 Tô Hiệu, phường Nguyễn Trãi, quận Hà Đông, TP. Hà Nội, Việt Nam. Mã số doanh nghiệp: 0109394225</x:v>
      </x:c>
      <x:c r="N51"/>
      <x:c r="O51" t="str">
        <x:v>Thu hồi số tiếp nhận; đình chỉ lưu hành và thu hồi (QĐ 126/QĐ-QLD)</x:v>
      </x:c>
      <x:c r="P51" t="str">
        <x:v>A++ – Cục Quản lý Dược; company responsibility explicit</x:v>
      </x:c>
      <x:c r="Q51" t="str">
        <x:v>QĐ126/2026, STT 128, trang 14.</x:v>
      </x:c>
      <x:c r="R51" t="str">
        <x:v>https://dav.gov.vn/quyet-dinh-so-126qd-qld-ve-viec-thu-hoi-so-tiep-nhan-phieu-cong-bo-san-pham-my-pham-dinh-chi-luu-hanh-va-thu-hoi-san-pham-my-pham-theo-kl-cua-hd-my-pham-asean-doi-voi-san-pham-my-pham-co-chua-chat-cyclotetrasiloxane-octamethylcyclotetrasiloxane-n5224.html</x:v>
      </x:c>
      <x:c r="S51" t="str">
        <x:v>Hà Nội</x:v>
      </x:c>
      <x:c r="T51" t="str">
        <x:v>01</x:v>
      </x:c>
    </x:row>
    <x:row r="52">
      <x:c r="A52" t="n">
        <x:v>51</x:v>
      </x:c>
      <x:c r="B52" s="330" t="n">
        <x:v>45321</x:v>
      </x:c>
      <x:c r="C52" s="330" t="n">
        <x:v>46080</x:v>
      </x:c>
      <x:c r="D52" t="n">
        <x:v>2024</x:v>
      </x:c>
      <x:c r="E52" t="n">
        <x:v>1</x:v>
      </x:c>
      <x:c r="F52" t="str">
        <x:v>224779/24/CBMP-QLD</x:v>
      </x:c>
      <x:c r="G52"/>
      <x:c r="H52" t="str">
        <x:v>Duft&amp;Doft Salmonvgene Hydro Active Eye Cream</x:v>
      </x:c>
      <x:c r="I52" t="str">
        <x:v>DUFT&amp;D OFT</x:v>
      </x:c>
      <x:c r="J52" t="str">
        <x:v>Kem dưỡng da</x:v>
      </x:c>
      <x:c r="K52"/>
      <x:c r="L52" t="str">
        <x:v>Công ty TNHH DREAM GLOBAL</x:v>
      </x:c>
      <x:c r="M52" t="str">
        <x:v>TT1-A12 Dự án nhà mặt phố Fivestar Mỹ Đình, phường Mỹ Đình 1, quận Nam Từ Liêm, TP. Hà Nội, Việt Nam. Mã số doanh nghiệp: 0110192248</x:v>
      </x:c>
      <x:c r="N52"/>
      <x:c r="O52" t="str">
        <x:v>Thu hồi số tiếp nhận; đình chỉ lưu hành và thu hồi (QĐ 126/QĐ-QLD)</x:v>
      </x:c>
      <x:c r="P52" t="str">
        <x:v>A++ – Cục Quản lý Dược; company responsibility explicit</x:v>
      </x:c>
      <x:c r="Q52" t="str">
        <x:v>QĐ126/2026, STT 135, trang 14.</x:v>
      </x:c>
      <x:c r="R52" t="str">
        <x:v>https://dav.gov.vn/quyet-dinh-so-126qd-qld-ve-viec-thu-hoi-so-tiep-nhan-phieu-cong-bo-san-pham-my-pham-dinh-chi-luu-hanh-va-thu-hoi-san-pham-my-pham-theo-kl-cua-hd-my-pham-asean-doi-voi-san-pham-my-pham-co-chua-chat-cyclotetrasiloxane-octamethylcyclotetrasiloxane-n5224.html</x:v>
      </x:c>
      <x:c r="S52" t="str">
        <x:v>Hà Nội</x:v>
      </x:c>
      <x:c r="T52" t="str">
        <x:v>01</x:v>
      </x:c>
    </x:row>
    <x:row r="53">
      <x:c r="A53" t="n">
        <x:v>52</x:v>
      </x:c>
      <x:c r="B53" s="330" t="n">
        <x:v>45436</x:v>
      </x:c>
      <x:c r="C53" s="330" t="n">
        <x:v>46080</x:v>
      </x:c>
      <x:c r="D53" t="n">
        <x:v>2024</x:v>
      </x:c>
      <x:c r="E53" t="n">
        <x:v>5</x:v>
      </x:c>
      <x:c r="F53" t="str">
        <x:v>237916/24/CBMP-QLD</x:v>
      </x:c>
      <x:c r="G53"/>
      <x:c r="H53" t="str">
        <x:v>Dways Day Cream</x:v>
      </x:c>
      <x:c r="I53" t="str">
        <x:v>DWAYS</x:v>
      </x:c>
      <x:c r="J53" t="str">
        <x:v>Kem dưỡng da</x:v>
      </x:c>
      <x:c r="K53"/>
      <x:c r="L53" t="str">
        <x:v>Công ty TNHH Dways International Việt Nam</x:v>
      </x:c>
      <x:c r="M53" t="str">
        <x:v>Tầng 2, số 54 ngõ 306 Tây Sơn, phường Ngã Tư Sở, quận Đống Đa, TP. Hà Nội, Việt Nam. Mã số doanh nghiệp: 0110202591</x:v>
      </x:c>
      <x:c r="N53"/>
      <x:c r="O53" t="str">
        <x:v>Thu hồi số tiếp nhận; đình chỉ lưu hành và thu hồi (QĐ 126/QĐ-QLD)</x:v>
      </x:c>
      <x:c r="P53" t="str">
        <x:v>A++ – Cục Quản lý Dược; company responsibility explicit</x:v>
      </x:c>
      <x:c r="Q53" t="str">
        <x:v>QĐ126/2026, STT 138, trang 15.</x:v>
      </x:c>
      <x:c r="R53" t="str">
        <x:v>https://dav.gov.vn/quyet-dinh-so-126qd-qld-ve-viec-thu-hoi-so-tiep-nhan-phieu-cong-bo-san-pham-my-pham-dinh-chi-luu-hanh-va-thu-hoi-san-pham-my-pham-theo-kl-cua-hd-my-pham-asean-doi-voi-san-pham-my-pham-co-chua-chat-cyclotetrasiloxane-octamethylcyclotetrasiloxane-n5224.html</x:v>
      </x:c>
      <x:c r="S53" t="str">
        <x:v>Hà Nội</x:v>
      </x:c>
      <x:c r="T53" t="str">
        <x:v>01</x:v>
      </x:c>
    </x:row>
    <x:row r="54">
      <x:c r="A54" t="n">
        <x:v>53</x:v>
      </x:c>
      <x:c r="B54" s="330" t="n">
        <x:v>44708</x:v>
      </x:c>
      <x:c r="C54" s="330" t="n">
        <x:v>46080</x:v>
      </x:c>
      <x:c r="D54" t="n">
        <x:v>2022</x:v>
      </x:c>
      <x:c r="E54" t="n">
        <x:v>5</x:v>
      </x:c>
      <x:c r="F54" t="str">
        <x:v>171110/22/CBMP-QLD</x:v>
      </x:c>
      <x:c r="G54"/>
      <x:c r="H54" t="str">
        <x:v>Huxley Essence; Brightly Ever After</x:v>
      </x:c>
      <x:c r="I54" t="str">
        <x:v>HUXLEY</x:v>
      </x:c>
      <x:c r="J54" t="str">
        <x:v>Serum/Essence da</x:v>
      </x:c>
      <x:c r="K54"/>
      <x:c r="L54" t="str">
        <x:v>Công ty TNHH GJ INTERNATIONAL VIỆT NAM</x:v>
      </x:c>
      <x:c r="M54" t="str">
        <x:v>Số nhà 152 đường Ỷ La, phường Dương Nội, quận Hà Đông, TP. Hà Nội, Việt Nam. Mã số doanh nghiệp: 0109427008</x:v>
      </x:c>
      <x:c r="N54"/>
      <x:c r="O54" t="str">
        <x:v>Thu hồi số tiếp nhận; đình chỉ lưu hành và thu hồi (QĐ 126/QĐ-QLD)</x:v>
      </x:c>
      <x:c r="P54" t="str">
        <x:v>A++ – Cục Quản lý Dược; company responsibility explicit</x:v>
      </x:c>
      <x:c r="Q54" t="str">
        <x:v>QĐ126/2026, STT 143, trang 15.</x:v>
      </x:c>
      <x:c r="R54" t="str">
        <x:v>https://dav.gov.vn/quyet-dinh-so-126qd-qld-ve-viec-thu-hoi-so-tiep-nhan-phieu-cong-bo-san-pham-my-pham-dinh-chi-luu-hanh-va-thu-hoi-san-pham-my-pham-theo-kl-cua-hd-my-pham-asean-doi-voi-san-pham-my-pham-co-chua-chat-cyclotetrasiloxane-octamethylcyclotetrasiloxane-n5224.html</x:v>
      </x:c>
      <x:c r="S54" t="str">
        <x:v>Hà Nội</x:v>
      </x:c>
      <x:c r="T54" t="str">
        <x:v>01</x:v>
      </x:c>
    </x:row>
    <x:row r="55">
      <x:c r="A55" t="n">
        <x:v>54</x:v>
      </x:c>
      <x:c r="B55" s="330" t="n">
        <x:v>44971</x:v>
      </x:c>
      <x:c r="C55" s="330" t="n">
        <x:v>46080</x:v>
      </x:c>
      <x:c r="D55" t="n">
        <x:v>2023</x:v>
      </x:c>
      <x:c r="E55" t="n">
        <x:v>2</x:v>
      </x:c>
      <x:c r="F55" t="str">
        <x:v>194796/23/CBMP-QLD</x:v>
      </x:c>
      <x:c r="G55"/>
      <x:c r="H55" t="str">
        <x:v>Peripera Ink Airy Velvet 15 Soft Coral</x:v>
      </x:c>
      <x:c r="I55" t="str">
        <x:v>PERIPER A</x:v>
      </x:c>
      <x:c r="J55" t="str">
        <x:v>Khác</x:v>
      </x:c>
      <x:c r="K55"/>
      <x:c r="L55" t="str">
        <x:v>Công ty TNHH GJ INTERNATIONAL VIỆT NAM</x:v>
      </x:c>
      <x:c r="M55" t="str">
        <x:v>Số nhà 152 đường Ỷ La, phường Dương Nội, quận Hà Đông, TP. Hà Nội, Việt Nam. Mã số doanh nghiệp: 0109427008</x:v>
      </x:c>
      <x:c r="N55"/>
      <x:c r="O55" t="str">
        <x:v>Thu hồi số tiếp nhận; đình chỉ lưu hành và thu hồi (QĐ 126/QĐ-QLD)</x:v>
      </x:c>
      <x:c r="P55" t="str">
        <x:v>A++ – Cục Quản lý Dược; company responsibility explicit</x:v>
      </x:c>
      <x:c r="Q55" t="str">
        <x:v>QĐ126/2026, STT 144, trang 15.</x:v>
      </x:c>
      <x:c r="R55" t="str">
        <x:v>https://dav.gov.vn/quyet-dinh-so-126qd-qld-ve-viec-thu-hoi-so-tiep-nhan-phieu-cong-bo-san-pham-my-pham-dinh-chi-luu-hanh-va-thu-hoi-san-pham-my-pham-theo-kl-cua-hd-my-pham-asean-doi-voi-san-pham-my-pham-co-chua-chat-cyclotetrasiloxane-octamethylcyclotetrasiloxane-n5224.html</x:v>
      </x:c>
      <x:c r="S55" t="str">
        <x:v>Hà Nội</x:v>
      </x:c>
      <x:c r="T55" t="str">
        <x:v>01</x:v>
      </x:c>
    </x:row>
    <x:row r="56">
      <x:c r="A56" t="n">
        <x:v>55</x:v>
      </x:c>
      <x:c r="B56" s="330" t="n">
        <x:v>44971</x:v>
      </x:c>
      <x:c r="C56" s="330" t="n">
        <x:v>46080</x:v>
      </x:c>
      <x:c r="D56" t="n">
        <x:v>2023</x:v>
      </x:c>
      <x:c r="E56" t="n">
        <x:v>2</x:v>
      </x:c>
      <x:c r="F56" t="str">
        <x:v>194797/23/CBMP-QLD</x:v>
      </x:c>
      <x:c r="G56"/>
      <x:c r="H56" t="str">
        <x:v>Peripera Ink Airy Velvet 01 Hotspot Red</x:v>
      </x:c>
      <x:c r="I56" t="str">
        <x:v>PERIPER A</x:v>
      </x:c>
      <x:c r="J56" t="str">
        <x:v>Khác</x:v>
      </x:c>
      <x:c r="K56"/>
      <x:c r="L56" t="str">
        <x:v>Công ty TNHH GJ INTERNATIONAL VIỆT NAM</x:v>
      </x:c>
      <x:c r="M56" t="str">
        <x:v>Số nhà 152 đường Ỷ La, phường Dương Nội, quận Hà Đông, TP. Hà Nội, Việt Nam. Mã số doanh nghiệp: 0109427008</x:v>
      </x:c>
      <x:c r="N56"/>
      <x:c r="O56" t="str">
        <x:v>Thu hồi số tiếp nhận; đình chỉ lưu hành và thu hồi (QĐ 126/QĐ-QLD)</x:v>
      </x:c>
      <x:c r="P56" t="str">
        <x:v>A++ – Cục Quản lý Dược; company responsibility explicit</x:v>
      </x:c>
      <x:c r="Q56" t="str">
        <x:v>QĐ126/2026, STT 145, trang 15.</x:v>
      </x:c>
      <x:c r="R56" t="str">
        <x:v>https://dav.gov.vn/quyet-dinh-so-126qd-qld-ve-viec-thu-hoi-so-tiep-nhan-phieu-cong-bo-san-pham-my-pham-dinh-chi-luu-hanh-va-thu-hoi-san-pham-my-pham-theo-kl-cua-hd-my-pham-asean-doi-voi-san-pham-my-pham-co-chua-chat-cyclotetrasiloxane-octamethylcyclotetrasiloxane-n5224.html</x:v>
      </x:c>
      <x:c r="S56" t="str">
        <x:v>Hà Nội</x:v>
      </x:c>
      <x:c r="T56" t="str">
        <x:v>01</x:v>
      </x:c>
    </x:row>
    <x:row r="57">
      <x:c r="A57" t="n">
        <x:v>56</x:v>
      </x:c>
      <x:c r="B57" s="330" t="n">
        <x:v>44971</x:v>
      </x:c>
      <x:c r="C57" s="330" t="n">
        <x:v>46080</x:v>
      </x:c>
      <x:c r="D57" t="n">
        <x:v>2023</x:v>
      </x:c>
      <x:c r="E57" t="n">
        <x:v>2</x:v>
      </x:c>
      <x:c r="F57" t="str">
        <x:v>194812/23/CBMP-QLD</x:v>
      </x:c>
      <x:c r="G57"/>
      <x:c r="H57" t="str">
        <x:v>Peripera Ink Airy Velvet 04 Pretty Pink</x:v>
      </x:c>
      <x:c r="I57" t="str">
        <x:v>PERIPER A</x:v>
      </x:c>
      <x:c r="J57" t="str">
        <x:v>Khác</x:v>
      </x:c>
      <x:c r="K57"/>
      <x:c r="L57" t="str">
        <x:v>Công ty TNHH GJ INTERNATIONAL VIỆT NAM</x:v>
      </x:c>
      <x:c r="M57" t="str">
        <x:v>Số nhà 152 đường Ỷ La, phường Dương Nội, quận Hà Đông, TP. Hà Nội, Việt Nam. Mã số doanh nghiệp: 0109427008</x:v>
      </x:c>
      <x:c r="N57"/>
      <x:c r="O57" t="str">
        <x:v>Thu hồi số tiếp nhận; đình chỉ lưu hành và thu hồi (QĐ 126/QĐ-QLD)</x:v>
      </x:c>
      <x:c r="P57" t="str">
        <x:v>A++ – Cục Quản lý Dược; company responsibility explicit</x:v>
      </x:c>
      <x:c r="Q57" t="str">
        <x:v>QĐ126/2026, STT 146, trang 15.</x:v>
      </x:c>
      <x:c r="R57" t="str">
        <x:v>https://dav.gov.vn/quyet-dinh-so-126qd-qld-ve-viec-thu-hoi-so-tiep-nhan-phieu-cong-bo-san-pham-my-pham-dinh-chi-luu-hanh-va-thu-hoi-san-pham-my-pham-theo-kl-cua-hd-my-pham-asean-doi-voi-san-pham-my-pham-co-chua-chat-cyclotetrasiloxane-octamethylcyclotetrasiloxane-n5224.html</x:v>
      </x:c>
      <x:c r="S57" t="str">
        <x:v>Hà Nội</x:v>
      </x:c>
      <x:c r="T57" t="str">
        <x:v>01</x:v>
      </x:c>
    </x:row>
    <x:row r="58">
      <x:c r="A58" t="n">
        <x:v>57</x:v>
      </x:c>
      <x:c r="B58" s="330" t="n">
        <x:v>44971</x:v>
      </x:c>
      <x:c r="C58" s="330" t="n">
        <x:v>46080</x:v>
      </x:c>
      <x:c r="D58" t="n">
        <x:v>2023</x:v>
      </x:c>
      <x:c r="E58" t="n">
        <x:v>2</x:v>
      </x:c>
      <x:c r="F58" t="str">
        <x:v>194813/23/CBMP-QLD</x:v>
      </x:c>
      <x:c r="G58"/>
      <x:c r="H58" t="str">
        <x:v>Peripera Ink Airy Velvet 07 Heart Grapefruit</x:v>
      </x:c>
      <x:c r="I58" t="str">
        <x:v>PERIPER A</x:v>
      </x:c>
      <x:c r="J58" t="str">
        <x:v>Khác</x:v>
      </x:c>
      <x:c r="K58"/>
      <x:c r="L58" t="str">
        <x:v>Công ty TNHH GJ INTERNATIONAL VIỆT NAM</x:v>
      </x:c>
      <x:c r="M58" t="str">
        <x:v>Số nhà 152 đường Ỷ La, phường Dương Nội, quận Hà Đông, TP. Hà Nội, Việt Nam. Mã số doanh nghiệp: 0109427008</x:v>
      </x:c>
      <x:c r="N58"/>
      <x:c r="O58" t="str">
        <x:v>Thu hồi số tiếp nhận; đình chỉ lưu hành và thu hồi (QĐ 126/QĐ-QLD)</x:v>
      </x:c>
      <x:c r="P58" t="str">
        <x:v>A++ – Cục Quản lý Dược; company responsibility explicit</x:v>
      </x:c>
      <x:c r="Q58" t="str">
        <x:v>QĐ126/2026, STT 147, trang 15.</x:v>
      </x:c>
      <x:c r="R58" t="str">
        <x:v>https://dav.gov.vn/quyet-dinh-so-126qd-qld-ve-viec-thu-hoi-so-tiep-nhan-phieu-cong-bo-san-pham-my-pham-dinh-chi-luu-hanh-va-thu-hoi-san-pham-my-pham-theo-kl-cua-hd-my-pham-asean-doi-voi-san-pham-my-pham-co-chua-chat-cyclotetrasiloxane-octamethylcyclotetrasiloxane-n5224.html</x:v>
      </x:c>
      <x:c r="S58" t="str">
        <x:v>Hà Nội</x:v>
      </x:c>
      <x:c r="T58" t="str">
        <x:v>01</x:v>
      </x:c>
    </x:row>
    <x:row r="59">
      <x:c r="A59" t="n">
        <x:v>58</x:v>
      </x:c>
      <x:c r="B59" s="330" t="n">
        <x:v>44971</x:v>
      </x:c>
      <x:c r="C59" s="330" t="n">
        <x:v>46080</x:v>
      </x:c>
      <x:c r="D59" t="n">
        <x:v>2023</x:v>
      </x:c>
      <x:c r="E59" t="n">
        <x:v>2</x:v>
      </x:c>
      <x:c r="F59" t="str">
        <x:v>194815/23/CBMP-QLD</x:v>
      </x:c>
      <x:c r="G59"/>
      <x:c r="H59" t="str">
        <x:v>Peripera Ink Airy Velvet 02 Selfie Orange Brown</x:v>
      </x:c>
      <x:c r="I59" t="str">
        <x:v>PERIPER A</x:v>
      </x:c>
      <x:c r="J59" t="str">
        <x:v>Khác</x:v>
      </x:c>
      <x:c r="K59"/>
      <x:c r="L59" t="str">
        <x:v>Công ty TNHH GJ INTERNATIONAL VIỆT NAM</x:v>
      </x:c>
      <x:c r="M59" t="str">
        <x:v>Số nhà 152 đường Ỷ La, phường Dương Nội, quận Hà Đông, TP. Hà Nội, Việt Nam. Mã số doanh nghiệp: 0109427008</x:v>
      </x:c>
      <x:c r="N59"/>
      <x:c r="O59" t="str">
        <x:v>Thu hồi số tiếp nhận; đình chỉ lưu hành và thu hồi (QĐ 126/QĐ-QLD)</x:v>
      </x:c>
      <x:c r="P59" t="str">
        <x:v>A++ – Cục Quản lý Dược; company responsibility explicit</x:v>
      </x:c>
      <x:c r="Q59" t="str">
        <x:v>QĐ126/2026, STT 148, trang 15.</x:v>
      </x:c>
      <x:c r="R59" t="str">
        <x:v>https://dav.gov.vn/quyet-dinh-so-126qd-qld-ve-viec-thu-hoi-so-tiep-nhan-phieu-cong-bo-san-pham-my-pham-dinh-chi-luu-hanh-va-thu-hoi-san-pham-my-pham-theo-kl-cua-hd-my-pham-asean-doi-voi-san-pham-my-pham-co-chua-chat-cyclotetrasiloxane-octamethylcyclotetrasiloxane-n5224.html</x:v>
      </x:c>
      <x:c r="S59" t="str">
        <x:v>Hà Nội</x:v>
      </x:c>
      <x:c r="T59" t="str">
        <x:v>01</x:v>
      </x:c>
    </x:row>
    <x:row r="60">
      <x:c r="A60" t="n">
        <x:v>59</x:v>
      </x:c>
      <x:c r="B60" s="330" t="n">
        <x:v>44971</x:v>
      </x:c>
      <x:c r="C60" s="330" t="n">
        <x:v>46080</x:v>
      </x:c>
      <x:c r="D60" t="n">
        <x:v>2023</x:v>
      </x:c>
      <x:c r="E60" t="n">
        <x:v>2</x:v>
      </x:c>
      <x:c r="F60" t="str">
        <x:v>194816/23/CBMP-QLD</x:v>
      </x:c>
      <x:c r="G60"/>
      <x:c r="H60" t="str">
        <x:v>Peripera Ink Airy Velvet 03 Cartoon Coral</x:v>
      </x:c>
      <x:c r="I60" t="str">
        <x:v>PERIPER A</x:v>
      </x:c>
      <x:c r="J60" t="str">
        <x:v>Khác</x:v>
      </x:c>
      <x:c r="K60"/>
      <x:c r="L60" t="str">
        <x:v>Công ty TNHH GJ INTERNATIONAL VIỆT NAM</x:v>
      </x:c>
      <x:c r="M60" t="str">
        <x:v>Số nhà 152 đường Ỷ La, phường Dương Nội, quận Hà Đông, TP. Hà Nội, Việt Nam. Mã số doanh nghiệp: 0109427008</x:v>
      </x:c>
      <x:c r="N60"/>
      <x:c r="O60" t="str">
        <x:v>Thu hồi số tiếp nhận; đình chỉ lưu hành và thu hồi (QĐ 126/QĐ-QLD)</x:v>
      </x:c>
      <x:c r="P60" t="str">
        <x:v>A++ – Cục Quản lý Dược; company responsibility explicit</x:v>
      </x:c>
      <x:c r="Q60" t="str">
        <x:v>QĐ126/2026, STT 149, trang 15.</x:v>
      </x:c>
      <x:c r="R60" t="str">
        <x:v>https://dav.gov.vn/quyet-dinh-so-126qd-qld-ve-viec-thu-hoi-so-tiep-nhan-phieu-cong-bo-san-pham-my-pham-dinh-chi-luu-hanh-va-thu-hoi-san-pham-my-pham-theo-kl-cua-hd-my-pham-asean-doi-voi-san-pham-my-pham-co-chua-chat-cyclotetrasiloxane-octamethylcyclotetrasiloxane-n5224.html</x:v>
      </x:c>
      <x:c r="S60" t="str">
        <x:v>Hà Nội</x:v>
      </x:c>
      <x:c r="T60" t="str">
        <x:v>01</x:v>
      </x:c>
    </x:row>
    <x:row r="61">
      <x:c r="A61" t="n">
        <x:v>60</x:v>
      </x:c>
      <x:c r="B61" s="330" t="n">
        <x:v>44971</x:v>
      </x:c>
      <x:c r="C61" s="330" t="n">
        <x:v>46080</x:v>
      </x:c>
      <x:c r="D61" t="n">
        <x:v>2023</x:v>
      </x:c>
      <x:c r="E61" t="n">
        <x:v>2</x:v>
      </x:c>
      <x:c r="F61" t="str">
        <x:v>194817/23/CBMP-QLD</x:v>
      </x:c>
      <x:c r="G61"/>
      <x:c r="H61" t="str">
        <x:v>Peripera Ink Airy Velvet 14 Rosy Pink</x:v>
      </x:c>
      <x:c r="I61" t="str">
        <x:v>PERIPER A</x:v>
      </x:c>
      <x:c r="J61" t="str">
        <x:v>Khác</x:v>
      </x:c>
      <x:c r="K61"/>
      <x:c r="L61" t="str">
        <x:v>Công ty TNHH GJ INTERNATIONAL VIỆT NAM</x:v>
      </x:c>
      <x:c r="M61" t="str">
        <x:v>Số nhà 152 đường Ỷ La, phường Dương Nội, quận Hà Đông, TP. Hà Nội, Việt Nam. Mã số doanh nghiệp: 0109427008</x:v>
      </x:c>
      <x:c r="N61"/>
      <x:c r="O61" t="str">
        <x:v>Thu hồi số tiếp nhận; đình chỉ lưu hành và thu hồi (QĐ 126/QĐ-QLD)</x:v>
      </x:c>
      <x:c r="P61" t="str">
        <x:v>A++ – Cục Quản lý Dược; company responsibility explicit</x:v>
      </x:c>
      <x:c r="Q61" t="str">
        <x:v>QĐ126/2026, STT 150, trang 16.</x:v>
      </x:c>
      <x:c r="R61" t="str">
        <x:v>https://dav.gov.vn/quyet-dinh-so-126qd-qld-ve-viec-thu-hoi-so-tiep-nhan-phieu-cong-bo-san-pham-my-pham-dinh-chi-luu-hanh-va-thu-hoi-san-pham-my-pham-theo-kl-cua-hd-my-pham-asean-doi-voi-san-pham-my-pham-co-chua-chat-cyclotetrasiloxane-octamethylcyclotetrasiloxane-n5224.html</x:v>
      </x:c>
      <x:c r="S61" t="str">
        <x:v>Hà Nội</x:v>
      </x:c>
      <x:c r="T61" t="str">
        <x:v>01</x:v>
      </x:c>
    </x:row>
    <x:row r="62">
      <x:c r="A62" t="n">
        <x:v>61</x:v>
      </x:c>
      <x:c r="B62" s="330" t="n">
        <x:v>44971</x:v>
      </x:c>
      <x:c r="C62" s="330" t="n">
        <x:v>46080</x:v>
      </x:c>
      <x:c r="D62" t="n">
        <x:v>2023</x:v>
      </x:c>
      <x:c r="E62" t="n">
        <x:v>2</x:v>
      </x:c>
      <x:c r="F62" t="str">
        <x:v>194819/23/CBMP-QLD</x:v>
      </x:c>
      <x:c r="G62"/>
      <x:c r="H62" t="str">
        <x:v>Peripera Ink Airy Velvet 08 Pretty Orange Pink</x:v>
      </x:c>
      <x:c r="I62" t="str">
        <x:v>PERIPER A</x:v>
      </x:c>
      <x:c r="J62" t="str">
        <x:v>Khác</x:v>
      </x:c>
      <x:c r="K62"/>
      <x:c r="L62" t="str">
        <x:v>Công ty TNHH GJ INTERNATIONAL VIỆT NAM</x:v>
      </x:c>
      <x:c r="M62" t="str">
        <x:v>Số nhà 152 đường Ỷ La, phường Dương Nội, quận Hà Đông, TP. Hà Nội, Việt Nam. Mã số doanh nghiệp: 0109427008</x:v>
      </x:c>
      <x:c r="N62"/>
      <x:c r="O62" t="str">
        <x:v>Thu hồi số tiếp nhận; đình chỉ lưu hành và thu hồi (QĐ 126/QĐ-QLD)</x:v>
      </x:c>
      <x:c r="P62" t="str">
        <x:v>A++ – Cục Quản lý Dược; company responsibility explicit</x:v>
      </x:c>
      <x:c r="Q62" t="str">
        <x:v>QĐ126/2026, STT 151, trang 16.</x:v>
      </x:c>
      <x:c r="R62" t="str">
        <x:v>https://dav.gov.vn/quyet-dinh-so-126qd-qld-ve-viec-thu-hoi-so-tiep-nhan-phieu-cong-bo-san-pham-my-pham-dinh-chi-luu-hanh-va-thu-hoi-san-pham-my-pham-theo-kl-cua-hd-my-pham-asean-doi-voi-san-pham-my-pham-co-chua-chat-cyclotetrasiloxane-octamethylcyclotetrasiloxane-n5224.html</x:v>
      </x:c>
      <x:c r="S62" t="str">
        <x:v>Hà Nội</x:v>
      </x:c>
      <x:c r="T62" t="str">
        <x:v>01</x:v>
      </x:c>
    </x:row>
    <x:row r="63">
      <x:c r="A63" t="n">
        <x:v>62</x:v>
      </x:c>
      <x:c r="B63" s="330" t="n">
        <x:v>45309</x:v>
      </x:c>
      <x:c r="C63" s="330" t="n">
        <x:v>46080</x:v>
      </x:c>
      <x:c r="D63" t="n">
        <x:v>2024</x:v>
      </x:c>
      <x:c r="E63" t="n">
        <x:v>1</x:v>
      </x:c>
      <x:c r="F63" t="str">
        <x:v>223077/24/CBMP-QLD</x:v>
      </x:c>
      <x:c r="G63"/>
      <x:c r="H63" t="str">
        <x:v>Dr. C+L Intensive Scalp Shampoo</x:v>
      </x:c>
      <x:c r="I63" t="str">
        <x:v>Dr. C+L</x:v>
      </x:c>
      <x:c r="J63" t="str">
        <x:v>Dầu gội</x:v>
      </x:c>
      <x:c r="K63"/>
      <x:c r="L63" t="str">
        <x:v>Công ty TNHH HAANY QUEEN BEAUTY</x:v>
      </x:c>
      <x:c r="M63" t="str">
        <x:v>Tầng 01 số B17-20 Shophouse Vinhomes Gardenia Mỹ Đình, phường Cầu Diễn, quận Nam Từ Liêm, TP. Hà Nội, Việt Nam. Mã số doanh nghiệp: 0108023940</x:v>
      </x:c>
      <x:c r="N63"/>
      <x:c r="O63" t="str">
        <x:v>Thu hồi số tiếp nhận; đình chỉ lưu hành và thu hồi (QĐ 126/QĐ-QLD)</x:v>
      </x:c>
      <x:c r="P63" t="str">
        <x:v>A++ – Cục Quản lý Dược; company responsibility explicit</x:v>
      </x:c>
      <x:c r="Q63" t="str">
        <x:v>QĐ126/2026, STT 170, trang 17.</x:v>
      </x:c>
      <x:c r="R63" t="str">
        <x:v>https://dav.gov.vn/quyet-dinh-so-126qd-qld-ve-viec-thu-hoi-so-tiep-nhan-phieu-cong-bo-san-pham-my-pham-dinh-chi-luu-hanh-va-thu-hoi-san-pham-my-pham-theo-kl-cua-hd-my-pham-asean-doi-voi-san-pham-my-pham-co-chua-chat-cyclotetrasiloxane-octamethylcyclotetrasiloxane-n5224.html</x:v>
      </x:c>
      <x:c r="S63" t="str">
        <x:v>Hà Nội</x:v>
      </x:c>
      <x:c r="T63" t="str">
        <x:v>01</x:v>
      </x:c>
    </x:row>
    <x:row r="64">
      <x:c r="A64" t="n">
        <x:v>63</x:v>
      </x:c>
      <x:c r="B64" s="330" t="n">
        <x:v>44894</x:v>
      </x:c>
      <x:c r="C64" s="330" t="n">
        <x:v>46080</x:v>
      </x:c>
      <x:c r="D64" t="n">
        <x:v>2022</x:v>
      </x:c>
      <x:c r="E64" t="n">
        <x:v>11</x:v>
      </x:c>
      <x:c r="F64" t="str">
        <x:v>190554/22/CBMP-QLD</x:v>
      </x:c>
      <x:c r="G64"/>
      <x:c r="H64" t="str">
        <x:v>Waterdrop Hydrating Carbonated Cream</x:v>
      </x:c>
      <x:c r="I64" t="str">
        <x:v>Hedison</x:v>
      </x:c>
      <x:c r="J64" t="str">
        <x:v>Kem dưỡng da</x:v>
      </x:c>
      <x:c r="K64"/>
      <x:c r="L64" t="str">
        <x:v>Công ty TNHH MỸ PHẨM IPIA HÀN QUỐC</x:v>
      </x:c>
      <x:c r="M64" t="str">
        <x:v>Số 20, Ngõ 76 Nguyễn Chí Thanh, phường Láng Thượng, quận Đống Đa, TP. Hà Nội, Việt Nam. Mã số doanh nghiệp: 0106803529</x:v>
      </x:c>
      <x:c r="N64"/>
      <x:c r="O64" t="str">
        <x:v>Thu hồi số tiếp nhận; đình chỉ lưu hành và thu hồi (QĐ 126/QĐ-QLD)</x:v>
      </x:c>
      <x:c r="P64" t="str">
        <x:v>A++ – Cục Quản lý Dược; company responsibility explicit</x:v>
      </x:c>
      <x:c r="Q64" t="str">
        <x:v>QĐ126/2026, STT 211, trang 21.</x:v>
      </x:c>
      <x:c r="R64" t="str">
        <x:v>https://dav.gov.vn/quyet-dinh-so-126qd-qld-ve-viec-thu-hoi-so-tiep-nhan-phieu-cong-bo-san-pham-my-pham-dinh-chi-luu-hanh-va-thu-hoi-san-pham-my-pham-theo-kl-cua-hd-my-pham-asean-doi-voi-san-pham-my-pham-co-chua-chat-cyclotetrasiloxane-octamethylcyclotetrasiloxane-n5224.html</x:v>
      </x:c>
      <x:c r="S64" t="str">
        <x:v>Hà Nội</x:v>
      </x:c>
      <x:c r="T64" t="str">
        <x:v>01</x:v>
      </x:c>
    </x:row>
    <x:row r="65">
      <x:c r="A65" t="n">
        <x:v>64</x:v>
      </x:c>
      <x:c r="B65" s="330" t="n">
        <x:v>44714</x:v>
      </x:c>
      <x:c r="C65" s="330" t="n">
        <x:v>46080</x:v>
      </x:c>
      <x:c r="D65" t="n">
        <x:v>2022</x:v>
      </x:c>
      <x:c r="E65" t="n">
        <x:v>6</x:v>
      </x:c>
      <x:c r="F65" t="str">
        <x:v>171470/22/CBMP-QLD</x:v>
      </x:c>
      <x:c r="G65"/>
      <x:c r="H65" t="str">
        <x:v>Arganmidas Sunscreen</x:v>
      </x:c>
      <x:c r="I65" t="str">
        <x:v>Arganmida s</x:v>
      </x:c>
      <x:c r="J65" t="str">
        <x:v>Kem chống nắng</x:v>
      </x:c>
      <x:c r="K65"/>
      <x:c r="L65" t="str">
        <x:v>Công ty TNHH MỸ PHẨM L.A.M</x:v>
      </x:c>
      <x:c r="M65" t="str">
        <x:v>Số 200, Dịch Vụ 07, Khu Đô Thị Xa La, phường Phúc La, quận Hà Đông, TP. Hà Nội, Việt Nam. Mã số doanh nghiệp: 0108432446</x:v>
      </x:c>
      <x:c r="N65"/>
      <x:c r="O65" t="str">
        <x:v>Thu hồi số tiếp nhận; đình chỉ lưu hành và thu hồi (QĐ 126/QĐ-QLD)</x:v>
      </x:c>
      <x:c r="P65" t="str">
        <x:v>A++ – Cục Quản lý Dược; company responsibility explicit</x:v>
      </x:c>
      <x:c r="Q65" t="str">
        <x:v>QĐ126/2026, STT 212, trang 21.</x:v>
      </x:c>
      <x:c r="R65" t="str">
        <x:v>https://dav.gov.vn/quyet-dinh-so-126qd-qld-ve-viec-thu-hoi-so-tiep-nhan-phieu-cong-bo-san-pham-my-pham-dinh-chi-luu-hanh-va-thu-hoi-san-pham-my-pham-theo-kl-cua-hd-my-pham-asean-doi-voi-san-pham-my-pham-co-chua-chat-cyclotetrasiloxane-octamethylcyclotetrasiloxane-n5224.html</x:v>
      </x:c>
      <x:c r="S65" t="str">
        <x:v>Hà Nội</x:v>
      </x:c>
      <x:c r="T65" t="str">
        <x:v>01</x:v>
      </x:c>
    </x:row>
    <x:row r="66">
      <x:c r="A66" t="n">
        <x:v>65</x:v>
      </x:c>
      <x:c r="B66" s="330" t="n">
        <x:v>45096</x:v>
      </x:c>
      <x:c r="C66" s="330" t="n">
        <x:v>46080</x:v>
      </x:c>
      <x:c r="D66" t="n">
        <x:v>2023</x:v>
      </x:c>
      <x:c r="E66" t="n">
        <x:v>6</x:v>
      </x:c>
      <x:c r="F66" t="str">
        <x:v>204037/23/CBMP-QLD</x:v>
      </x:c>
      <x:c r="G66"/>
      <x:c r="H66" t="str">
        <x:v>Muchcare Hair Nutrition Maintain Cream</x:v>
      </x:c>
      <x:c r="I66" t="str">
        <x:v>MUCHCA RE</x:v>
      </x:c>
      <x:c r="J66" t="str">
        <x:v>Kem dưỡng da</x:v>
      </x:c>
      <x:c r="K66"/>
      <x:c r="L66" t="str">
        <x:v>Công ty TNHH MỸ PHẨM L.A.M</x:v>
      </x:c>
      <x:c r="M66" t="str">
        <x:v>Số 200, Dịch Vụ 07, Khu Đô Thị Xa La, phường Phúc La, quận Hà Đông, TP. Hà Nội, Việt Nam. Mã số doanh nghiệp: 0108432446</x:v>
      </x:c>
      <x:c r="N66"/>
      <x:c r="O66" t="str">
        <x:v>Thu hồi số tiếp nhận; đình chỉ lưu hành và thu hồi (QĐ 126/QĐ-QLD)</x:v>
      </x:c>
      <x:c r="P66" t="str">
        <x:v>A++ – Cục Quản lý Dược; company responsibility explicit</x:v>
      </x:c>
      <x:c r="Q66" t="str">
        <x:v>QĐ126/2026, STT 213, trang 21.</x:v>
      </x:c>
      <x:c r="R66" t="str">
        <x:v>https://dav.gov.vn/quyet-dinh-so-126qd-qld-ve-viec-thu-hoi-so-tiep-nhan-phieu-cong-bo-san-pham-my-pham-dinh-chi-luu-hanh-va-thu-hoi-san-pham-my-pham-theo-kl-cua-hd-my-pham-asean-doi-voi-san-pham-my-pham-co-chua-chat-cyclotetrasiloxane-octamethylcyclotetrasiloxane-n5224.html</x:v>
      </x:c>
      <x:c r="S66" t="str">
        <x:v>Hà Nội</x:v>
      </x:c>
      <x:c r="T66" t="str">
        <x:v>01</x:v>
      </x:c>
    </x:row>
    <x:row r="67">
      <x:c r="A67" t="n">
        <x:v>66</x:v>
      </x:c>
      <x:c r="B67" s="330" t="n">
        <x:v>45105</x:v>
      </x:c>
      <x:c r="C67" s="330" t="n">
        <x:v>46080</x:v>
      </x:c>
      <x:c r="D67" t="n">
        <x:v>2023</x:v>
      </x:c>
      <x:c r="E67" t="n">
        <x:v>6</x:v>
      </x:c>
      <x:c r="F67" t="str">
        <x:v>204673/23/CBMP-QLD</x:v>
      </x:c>
      <x:c r="G67"/>
      <x:c r="H67" t="str">
        <x:v>Privia Intense Whitening Serum</x:v>
      </x:c>
      <x:c r="I67" t="str">
        <x:v>PRIVIA</x:v>
      </x:c>
      <x:c r="J67" t="str">
        <x:v>Serum/Essence da</x:v>
      </x:c>
      <x:c r="K67"/>
      <x:c r="L67" t="str">
        <x:v>Công ty TNHH mỹ phẩm Tùng Phát</x:v>
      </x:c>
      <x:c r="M67" t="str">
        <x:v>Số 52/441 Đường Lĩnh Nam, phường Lĩnh Nam, quận Hoàng Mai, TP. Hà Nội, Việt Nam. Mã số doanh nghiệp: 0108319401</x:v>
      </x:c>
      <x:c r="N67"/>
      <x:c r="O67" t="str">
        <x:v>Thu hồi số tiếp nhận; đình chỉ lưu hành và thu hồi (QĐ 126/QĐ-QLD)</x:v>
      </x:c>
      <x:c r="P67" t="str">
        <x:v>A++ – Cục Quản lý Dược; company responsibility explicit</x:v>
      </x:c>
      <x:c r="Q67" t="str">
        <x:v>QĐ126/2026, STT 214, trang 21.</x:v>
      </x:c>
      <x:c r="R67" t="str">
        <x:v>https://dav.gov.vn/quyet-dinh-so-126qd-qld-ve-viec-thu-hoi-so-tiep-nhan-phieu-cong-bo-san-pham-my-pham-dinh-chi-luu-hanh-va-thu-hoi-san-pham-my-pham-theo-kl-cua-hd-my-pham-asean-doi-voi-san-pham-my-pham-co-chua-chat-cyclotetrasiloxane-octamethylcyclotetrasiloxane-n5224.html</x:v>
      </x:c>
      <x:c r="S67" t="str">
        <x:v>Hà Nội</x:v>
      </x:c>
      <x:c r="T67" t="str">
        <x:v>01</x:v>
      </x:c>
    </x:row>
    <x:row r="68">
      <x:c r="A68" t="n">
        <x:v>67</x:v>
      </x:c>
      <x:c r="B68" s="330" t="n">
        <x:v>44916</x:v>
      </x:c>
      <x:c r="C68" s="330" t="n">
        <x:v>46080</x:v>
      </x:c>
      <x:c r="D68" t="n">
        <x:v>2022</x:v>
      </x:c>
      <x:c r="E68" t="n">
        <x:v>12</x:v>
      </x:c>
      <x:c r="F68" t="str">
        <x:v>191687/22/CBMP-QLD</x:v>
      </x:c>
      <x:c r="G68"/>
      <x:c r="H68" t="str">
        <x:v>Mayo Amino Acid Moisturizing And Repairing Hair Mask</x:v>
      </x:c>
      <x:c r="I68" t="str">
        <x:v>MAYO</x:v>
      </x:c>
      <x:c r="J68" t="str">
        <x:v>Mặt nạ</x:v>
      </x:c>
      <x:c r="K68"/>
      <x:c r="L68" t="str">
        <x:v>Công ty TNHH mỹ phẩm VY</x:v>
      </x:c>
      <x:c r="M68" t="str">
        <x:v>Lô C6, ô D6, khu đô thị mới Cầu Giấy, phường Dịch Vọng, quận Cầu Giấy, TP. Hà Nội, Việt Nam. Mã số doanh nghiệp: 0107441568</x:v>
      </x:c>
      <x:c r="N68"/>
      <x:c r="O68" t="str">
        <x:v>Thu hồi số tiếp nhận; đình chỉ lưu hành và thu hồi (QĐ 126/QĐ-QLD)</x:v>
      </x:c>
      <x:c r="P68" t="str">
        <x:v>A++ – Cục Quản lý Dược; company responsibility explicit</x:v>
      </x:c>
      <x:c r="Q68" t="str">
        <x:v>QĐ126/2026, STT 215, trang 21.</x:v>
      </x:c>
      <x:c r="R68" t="str">
        <x:v>https://dav.gov.vn/quyet-dinh-so-126qd-qld-ve-viec-thu-hoi-so-tiep-nhan-phieu-cong-bo-san-pham-my-pham-dinh-chi-luu-hanh-va-thu-hoi-san-pham-my-pham-theo-kl-cua-hd-my-pham-asean-doi-voi-san-pham-my-pham-co-chua-chat-cyclotetrasiloxane-octamethylcyclotetrasiloxane-n5224.html</x:v>
      </x:c>
      <x:c r="S68" t="str">
        <x:v>Hà Nội</x:v>
      </x:c>
      <x:c r="T68" t="str">
        <x:v>01</x:v>
      </x:c>
    </x:row>
    <x:row r="69">
      <x:c r="A69" t="n">
        <x:v>68</x:v>
      </x:c>
      <x:c r="B69" s="330" t="n">
        <x:v>44916</x:v>
      </x:c>
      <x:c r="C69" s="330" t="n">
        <x:v>46080</x:v>
      </x:c>
      <x:c r="D69" t="n">
        <x:v>2022</x:v>
      </x:c>
      <x:c r="E69" t="n">
        <x:v>12</x:v>
      </x:c>
      <x:c r="F69" t="str">
        <x:v>191700/22/CBMP-QLD</x:v>
      </x:c>
      <x:c r="G69"/>
      <x:c r="H69" t="str">
        <x:v>Mayo Amino Acid Keratin Hair Conditioner</x:v>
      </x:c>
      <x:c r="I69" t="str">
        <x:v>MAYO</x:v>
      </x:c>
      <x:c r="J69" t="str">
        <x:v>Dầu xả</x:v>
      </x:c>
      <x:c r="K69"/>
      <x:c r="L69" t="str">
        <x:v>Công ty TNHH mỹ phẩm VY</x:v>
      </x:c>
      <x:c r="M69" t="str">
        <x:v>Lô C6, ô D6, khu đô thị mới Cầu Giấy, phường Dịch Vọng, quận Cầu Giấy, TP. Hà Nội, Việt Nam. Mã số doanh nghiệp: 0107441568</x:v>
      </x:c>
      <x:c r="N69"/>
      <x:c r="O69" t="str">
        <x:v>Thu hồi số tiếp nhận; đình chỉ lưu hành và thu hồi (QĐ 126/QĐ-QLD)</x:v>
      </x:c>
      <x:c r="P69" t="str">
        <x:v>A++ – Cục Quản lý Dược; company responsibility explicit</x:v>
      </x:c>
      <x:c r="Q69" t="str">
        <x:v>QĐ126/2026, STT 216, trang 21.</x:v>
      </x:c>
      <x:c r="R69" t="str">
        <x:v>https://dav.gov.vn/quyet-dinh-so-126qd-qld-ve-viec-thu-hoi-so-tiep-nhan-phieu-cong-bo-san-pham-my-pham-dinh-chi-luu-hanh-va-thu-hoi-san-pham-my-pham-theo-kl-cua-hd-my-pham-asean-doi-voi-san-pham-my-pham-co-chua-chat-cyclotetrasiloxane-octamethylcyclotetrasiloxane-n5224.html</x:v>
      </x:c>
      <x:c r="S69" t="str">
        <x:v>Hà Nội</x:v>
      </x:c>
      <x:c r="T69" t="str">
        <x:v>01</x:v>
      </x:c>
    </x:row>
    <x:row r="70">
      <x:c r="A70" t="n">
        <x:v>69</x:v>
      </x:c>
      <x:c r="B70" s="330" t="n">
        <x:v>45357</x:v>
      </x:c>
      <x:c r="C70" s="330" t="n">
        <x:v>46080</x:v>
      </x:c>
      <x:c r="D70" t="n">
        <x:v>2024</x:v>
      </x:c>
      <x:c r="E70" t="n">
        <x:v>3</x:v>
      </x:c>
      <x:c r="F70" t="str">
        <x:v>227594/24/CBMP-QLD</x:v>
      </x:c>
      <x:c r="G70"/>
      <x:c r="H70" t="str">
        <x:v>Paula's Choice Gentle Touch Makeup Remover</x:v>
      </x:c>
      <x:c r="I70" t="str">
        <x:v>Paula's Choice</x:v>
      </x:c>
      <x:c r="J70" t="str">
        <x:v>Tẩy trang</x:v>
      </x:c>
      <x:c r="K70"/>
      <x:c r="L70" t="str">
        <x:v>Công ty TNHH PAULA'S CHOICE Việt Nam</x:v>
      </x:c>
      <x:c r="M70" t="str">
        <x:v>Tầng 3, Tòa nhà The Sun, số 3 đường Mễ Trì, phường Mễ Trì, quận Nam Từ Liêm, TP. Hà Nội, Việt Nam. Mã số doanh nghiệp: 0110392381</x:v>
      </x:c>
      <x:c r="N70"/>
      <x:c r="O70" t="str">
        <x:v>Thu hồi số tiếp nhận; đình chỉ lưu hành và thu hồi (QĐ 126/QĐ-QLD)</x:v>
      </x:c>
      <x:c r="P70" t="str">
        <x:v>A++ – Cục Quản lý Dược; company responsibility explicit</x:v>
      </x:c>
      <x:c r="Q70" t="str">
        <x:v>QĐ126/2026, STT 217, trang 21.</x:v>
      </x:c>
      <x:c r="R70" t="str">
        <x:v>https://dav.gov.vn/quyet-dinh-so-126qd-qld-ve-viec-thu-hoi-so-tiep-nhan-phieu-cong-bo-san-pham-my-pham-dinh-chi-luu-hanh-va-thu-hoi-san-pham-my-pham-theo-kl-cua-hd-my-pham-asean-doi-voi-san-pham-my-pham-co-chua-chat-cyclotetrasiloxane-octamethylcyclotetrasiloxane-n5224.html</x:v>
      </x:c>
      <x:c r="S70" t="str">
        <x:v>Hà Nội</x:v>
      </x:c>
      <x:c r="T70" t="str">
        <x:v>01</x:v>
      </x:c>
    </x:row>
    <x:row r="71">
      <x:c r="A71" t="n">
        <x:v>70</x:v>
      </x:c>
      <x:c r="B71" s="330" t="n">
        <x:v>44788</x:v>
      </x:c>
      <x:c r="C71" s="330" t="n">
        <x:v>46080</x:v>
      </x:c>
      <x:c r="D71" t="n">
        <x:v>2022</x:v>
      </x:c>
      <x:c r="E71" t="n">
        <x:v>8</x:v>
      </x:c>
      <x:c r="F71" t="str">
        <x:v>177830/22/CBMP-QLD</x:v>
      </x:c>
      <x:c r="G71"/>
      <x:c r="H71" t="str">
        <x:v>Chansawang Age Loc Renewal Skin Cream</x:v>
      </x:c>
      <x:c r="I71" t="str">
        <x:v>CHANSA WANG</x:v>
      </x:c>
      <x:c r="J71" t="str">
        <x:v>Kem dưỡng da</x:v>
      </x:c>
      <x:c r="K71"/>
      <x:c r="L71" t="str">
        <x:v>Công ty TNHH phân phối quốc tế AFAHU</x:v>
      </x:c>
      <x:c r="M71" t="str">
        <x:v>Nhà số 6, Ngõ 77/36 Ngọc Trục, phường Đại Mỗ, quận Nam Từ Liêm, TP. Hà Nội, Việt Nam. Mã số doanh nghiệp: 0108455203</x:v>
      </x:c>
      <x:c r="N71"/>
      <x:c r="O71" t="str">
        <x:v>Thu hồi số tiếp nhận; đình chỉ lưu hành và thu hồi (QĐ 126/QĐ-QLD)</x:v>
      </x:c>
      <x:c r="P71" t="str">
        <x:v>A++ – Cục Quản lý Dược; company responsibility explicit</x:v>
      </x:c>
      <x:c r="Q71" t="str">
        <x:v>QĐ126/2026, STT 218, trang 21.</x:v>
      </x:c>
      <x:c r="R71" t="str">
        <x:v>https://dav.gov.vn/quyet-dinh-so-126qd-qld-ve-viec-thu-hoi-so-tiep-nhan-phieu-cong-bo-san-pham-my-pham-dinh-chi-luu-hanh-va-thu-hoi-san-pham-my-pham-theo-kl-cua-hd-my-pham-asean-doi-voi-san-pham-my-pham-co-chua-chat-cyclotetrasiloxane-octamethylcyclotetrasiloxane-n5224.html</x:v>
      </x:c>
      <x:c r="S71" t="str">
        <x:v>Hà Nội</x:v>
      </x:c>
      <x:c r="T71" t="str">
        <x:v>01</x:v>
      </x:c>
    </x:row>
    <x:row r="72">
      <x:c r="A72" t="n">
        <x:v>71</x:v>
      </x:c>
      <x:c r="B72" s="330" t="n">
        <x:v>45042</x:v>
      </x:c>
      <x:c r="C72" s="330" t="n">
        <x:v>46080</x:v>
      </x:c>
      <x:c r="D72" t="n">
        <x:v>2023</x:v>
      </x:c>
      <x:c r="E72" t="n">
        <x:v>4</x:v>
      </x:c>
      <x:c r="F72" t="str">
        <x:v>200229/23/CBMP-QLD</x:v>
      </x:c>
      <x:c r="G72"/>
      <x:c r="H72" t="str">
        <x:v>Tinchew Vita7 Make Up Primer Base 02 Violet</x:v>
      </x:c>
      <x:c r="I72" t="str">
        <x:v>TINCHEW</x:v>
      </x:c>
      <x:c r="J72" t="str">
        <x:v>Khác</x:v>
      </x:c>
      <x:c r="K72"/>
      <x:c r="L72" t="str">
        <x:v>Công ty TNHH phát triển thương mại TRẦN GIA</x:v>
      </x:c>
      <x:c r="M72" t="str">
        <x:v>Số 149 Xuân Thủy, phường Dịch Vọng Hậu, quận Cầu Giấy, TP. Hà Nội, Việt Nam. Mã số doanh nghiệp: 0106719838</x:v>
      </x:c>
      <x:c r="N72"/>
      <x:c r="O72" t="str">
        <x:v>Thu hồi số tiếp nhận; đình chỉ lưu hành và thu hồi (QĐ 126/QĐ-QLD)</x:v>
      </x:c>
      <x:c r="P72" t="str">
        <x:v>A++ – Cục Quản lý Dược; company responsibility explicit</x:v>
      </x:c>
      <x:c r="Q72" t="str">
        <x:v>QĐ126/2026, STT 219, trang 21.</x:v>
      </x:c>
      <x:c r="R72" t="str">
        <x:v>https://dav.gov.vn/quyet-dinh-so-126qd-qld-ve-viec-thu-hoi-so-tiep-nhan-phieu-cong-bo-san-pham-my-pham-dinh-chi-luu-hanh-va-thu-hoi-san-pham-my-pham-theo-kl-cua-hd-my-pham-asean-doi-voi-san-pham-my-pham-co-chua-chat-cyclotetrasiloxane-octamethylcyclotetrasiloxane-n5224.html</x:v>
      </x:c>
      <x:c r="S72" t="str">
        <x:v>Hà Nội</x:v>
      </x:c>
      <x:c r="T72" t="str">
        <x:v>01</x:v>
      </x:c>
    </x:row>
    <x:row r="73">
      <x:c r="A73" t="n">
        <x:v>72</x:v>
      </x:c>
      <x:c r="B73" s="330" t="n">
        <x:v>45042</x:v>
      </x:c>
      <x:c r="C73" s="330" t="n">
        <x:v>46080</x:v>
      </x:c>
      <x:c r="D73" t="n">
        <x:v>2023</x:v>
      </x:c>
      <x:c r="E73" t="n">
        <x:v>4</x:v>
      </x:c>
      <x:c r="F73" t="str">
        <x:v>200244/23/CBMP-QLD</x:v>
      </x:c>
      <x:c r="G73"/>
      <x:c r="H73" t="str">
        <x:v>Tinchew Long Lasting Perfect Cover Dd Cream #20</x:v>
      </x:c>
      <x:c r="I73" t="str">
        <x:v>TINCHEW</x:v>
      </x:c>
      <x:c r="J73" t="str">
        <x:v>Kem dưỡng da</x:v>
      </x:c>
      <x:c r="K73"/>
      <x:c r="L73" t="str">
        <x:v>Công ty TNHH phát triển thương mại TRẦN GIA</x:v>
      </x:c>
      <x:c r="M73" t="str">
        <x:v>Số 149 Xuân Thủy, phường Dịch Vọng Hậu, quận Cầu Giấy, TP. Hà Nội, Việt Nam. Mã số doanh nghiệp: 0106719838</x:v>
      </x:c>
      <x:c r="N73"/>
      <x:c r="O73" t="str">
        <x:v>Thu hồi số tiếp nhận; đình chỉ lưu hành và thu hồi (QĐ 126/QĐ-QLD)</x:v>
      </x:c>
      <x:c r="P73" t="str">
        <x:v>A++ – Cục Quản lý Dược; company responsibility explicit</x:v>
      </x:c>
      <x:c r="Q73" t="str">
        <x:v>QĐ126/2026, STT 220, trang 21.</x:v>
      </x:c>
      <x:c r="R73" t="str">
        <x:v>https://dav.gov.vn/quyet-dinh-so-126qd-qld-ve-viec-thu-hoi-so-tiep-nhan-phieu-cong-bo-san-pham-my-pham-dinh-chi-luu-hanh-va-thu-hoi-san-pham-my-pham-theo-kl-cua-hd-my-pham-asean-doi-voi-san-pham-my-pham-co-chua-chat-cyclotetrasiloxane-octamethylcyclotetrasiloxane-n5224.html</x:v>
      </x:c>
      <x:c r="S73" t="str">
        <x:v>Hà Nội</x:v>
      </x:c>
      <x:c r="T73" t="str">
        <x:v>01</x:v>
      </x:c>
    </x:row>
    <x:row r="74">
      <x:c r="A74" t="n">
        <x:v>73</x:v>
      </x:c>
      <x:c r="B74" s="330" t="n">
        <x:v>45042</x:v>
      </x:c>
      <x:c r="C74" s="330" t="n">
        <x:v>46080</x:v>
      </x:c>
      <x:c r="D74" t="n">
        <x:v>2023</x:v>
      </x:c>
      <x:c r="E74" t="n">
        <x:v>4</x:v>
      </x:c>
      <x:c r="F74" t="str">
        <x:v>200247/23/CBMP-QLD</x:v>
      </x:c>
      <x:c r="G74"/>
      <x:c r="H74" t="str">
        <x:v>Tinchew Long Lasting Perfect Cover Dd Cream #10</x:v>
      </x:c>
      <x:c r="I74" t="str">
        <x:v>TINCHEW</x:v>
      </x:c>
      <x:c r="J74" t="str">
        <x:v>Kem dưỡng da</x:v>
      </x:c>
      <x:c r="K74"/>
      <x:c r="L74" t="str">
        <x:v>Công ty TNHH phát triển thương mại TRẦN GIA</x:v>
      </x:c>
      <x:c r="M74" t="str">
        <x:v>Số 149 Xuân Thủy, phường Dịch Vọng Hậu, quận Cầu Giấy, TP. Hà Nội, Việt Nam. Mã số doanh nghiệp: 0106719838</x:v>
      </x:c>
      <x:c r="N74"/>
      <x:c r="O74" t="str">
        <x:v>Thu hồi số tiếp nhận; đình chỉ lưu hành và thu hồi (QĐ 126/QĐ-QLD)</x:v>
      </x:c>
      <x:c r="P74" t="str">
        <x:v>A++ – Cục Quản lý Dược; company responsibility explicit</x:v>
      </x:c>
      <x:c r="Q74" t="str">
        <x:v>QĐ126/2026, STT 221, trang 22.</x:v>
      </x:c>
      <x:c r="R74" t="str">
        <x:v>https://dav.gov.vn/quyet-dinh-so-126qd-qld-ve-viec-thu-hoi-so-tiep-nhan-phieu-cong-bo-san-pham-my-pham-dinh-chi-luu-hanh-va-thu-hoi-san-pham-my-pham-theo-kl-cua-hd-my-pham-asean-doi-voi-san-pham-my-pham-co-chua-chat-cyclotetrasiloxane-octamethylcyclotetrasiloxane-n5224.html</x:v>
      </x:c>
      <x:c r="S74" t="str">
        <x:v>Hà Nội</x:v>
      </x:c>
      <x:c r="T74" t="str">
        <x:v>01</x:v>
      </x:c>
    </x:row>
    <x:row r="75">
      <x:c r="A75" t="n">
        <x:v>74</x:v>
      </x:c>
      <x:c r="B75" s="330" t="n">
        <x:v>45149</x:v>
      </x:c>
      <x:c r="C75" s="330" t="n">
        <x:v>46080</x:v>
      </x:c>
      <x:c r="D75" t="n">
        <x:v>2023</x:v>
      </x:c>
      <x:c r="E75" t="n">
        <x:v>8</x:v>
      </x:c>
      <x:c r="F75" t="str">
        <x:v>208576/23/CBMP-QLD</x:v>
      </x:c>
      <x:c r="G75"/>
      <x:c r="H75" t="str">
        <x:v>Tinchew Vita7 Makeup Primer Base 01 White</x:v>
      </x:c>
      <x:c r="I75" t="str">
        <x:v>TINCHEW</x:v>
      </x:c>
      <x:c r="J75" t="str">
        <x:v>Khác</x:v>
      </x:c>
      <x:c r="K75"/>
      <x:c r="L75" t="str">
        <x:v>Công ty TNHH phát triển thương mại TRẦN GIA</x:v>
      </x:c>
      <x:c r="M75" t="str">
        <x:v>Số 149 Xuân Thủy, phường Dịch Vọng Hậu, quận Cầu Giấy, TP. Hà Nội, Việt Nam. Mã số doanh nghiệp: 0106719838</x:v>
      </x:c>
      <x:c r="N75"/>
      <x:c r="O75" t="str">
        <x:v>Thu hồi số tiếp nhận; đình chỉ lưu hành và thu hồi (QĐ 126/QĐ-QLD)</x:v>
      </x:c>
      <x:c r="P75" t="str">
        <x:v>A++ – Cục Quản lý Dược; company responsibility explicit</x:v>
      </x:c>
      <x:c r="Q75" t="str">
        <x:v>QĐ126/2026, STT 222, trang 22.</x:v>
      </x:c>
      <x:c r="R75" t="str">
        <x:v>https://dav.gov.vn/quyet-dinh-so-126qd-qld-ve-viec-thu-hoi-so-tiep-nhan-phieu-cong-bo-san-pham-my-pham-dinh-chi-luu-hanh-va-thu-hoi-san-pham-my-pham-theo-kl-cua-hd-my-pham-asean-doi-voi-san-pham-my-pham-co-chua-chat-cyclotetrasiloxane-octamethylcyclotetrasiloxane-n5224.html</x:v>
      </x:c>
      <x:c r="S75" t="str">
        <x:v>Hà Nội</x:v>
      </x:c>
      <x:c r="T75" t="str">
        <x:v>01</x:v>
      </x:c>
    </x:row>
    <x:row r="76">
      <x:c r="A76" t="n">
        <x:v>75</x:v>
      </x:c>
      <x:c r="B76" s="330" t="n">
        <x:v>45149</x:v>
      </x:c>
      <x:c r="C76" s="330" t="n">
        <x:v>46080</x:v>
      </x:c>
      <x:c r="D76" t="n">
        <x:v>2023</x:v>
      </x:c>
      <x:c r="E76" t="n">
        <x:v>8</x:v>
      </x:c>
      <x:c r="F76" t="str">
        <x:v>208577/23/CBMP-QLD</x:v>
      </x:c>
      <x:c r="G76"/>
      <x:c r="H76" t="str">
        <x:v>Tinchew Vita7 Makeup Primer Base 02 Violet</x:v>
      </x:c>
      <x:c r="I76" t="str">
        <x:v>TINCHEW</x:v>
      </x:c>
      <x:c r="J76" t="str">
        <x:v>Khác</x:v>
      </x:c>
      <x:c r="K76"/>
      <x:c r="L76" t="str">
        <x:v>Công ty TNHH phát triển thương mại TRẦN GIA</x:v>
      </x:c>
      <x:c r="M76" t="str">
        <x:v>Số 149 Xuân Thủy, phường Dịch Vọng Hậu, quận Cầu Giấy, TP. Hà Nội, Việt Nam. Mã số doanh nghiệp: 0106719838</x:v>
      </x:c>
      <x:c r="N76"/>
      <x:c r="O76" t="str">
        <x:v>Thu hồi số tiếp nhận; đình chỉ lưu hành và thu hồi (QĐ 126/QĐ-QLD)</x:v>
      </x:c>
      <x:c r="P76" t="str">
        <x:v>A++ – Cục Quản lý Dược; company responsibility explicit</x:v>
      </x:c>
      <x:c r="Q76" t="str">
        <x:v>QĐ126/2026, STT 223, trang 22.</x:v>
      </x:c>
      <x:c r="R76" t="str">
        <x:v>https://dav.gov.vn/quyet-dinh-so-126qd-qld-ve-viec-thu-hoi-so-tiep-nhan-phieu-cong-bo-san-pham-my-pham-dinh-chi-luu-hanh-va-thu-hoi-san-pham-my-pham-theo-kl-cua-hd-my-pham-asean-doi-voi-san-pham-my-pham-co-chua-chat-cyclotetrasiloxane-octamethylcyclotetrasiloxane-n5224.html</x:v>
      </x:c>
      <x:c r="S76" t="str">
        <x:v>Hà Nội</x:v>
      </x:c>
      <x:c r="T76" t="str">
        <x:v>01</x:v>
      </x:c>
    </x:row>
    <x:row r="77">
      <x:c r="A77" t="n">
        <x:v>76</x:v>
      </x:c>
      <x:c r="B77" s="330" t="n">
        <x:v>45699</x:v>
      </x:c>
      <x:c r="C77" s="330" t="n">
        <x:v>46080</x:v>
      </x:c>
      <x:c r="D77" t="n">
        <x:v>2025</x:v>
      </x:c>
      <x:c r="E77" t="n">
        <x:v>2</x:v>
      </x:c>
      <x:c r="F77" t="str">
        <x:v>265867/25/CBMP-QLD</x:v>
      </x:c>
      <x:c r="G77"/>
      <x:c r="H77" t="str">
        <x:v>Forest Story Water Essence Soap Fragrance</x:v>
      </x:c>
      <x:c r="I77" t="str">
        <x:v>FOREST STORY</x:v>
      </x:c>
      <x:c r="J77" t="str">
        <x:v>Serum/Essence da</x:v>
      </x:c>
      <x:c r="K77"/>
      <x:c r="L77" t="str">
        <x:v>Công ty TNHH Phương Đào</x:v>
      </x:c>
      <x:c r="M77" t="str">
        <x:v>Tổ 3, khu dân cư Bằng A, phường Hoàng Liệt, quận Hoàng Mai, TP. Hà Nội, Việt Nam. Mã số doanh nghiệp: 0101866589</x:v>
      </x:c>
      <x:c r="N77"/>
      <x:c r="O77" t="str">
        <x:v>Thu hồi số tiếp nhận; đình chỉ lưu hành và thu hồi (QĐ 126/QĐ-QLD)</x:v>
      </x:c>
      <x:c r="P77" t="str">
        <x:v>A++ – Cục Quản lý Dược; company responsibility explicit</x:v>
      </x:c>
      <x:c r="Q77" t="str">
        <x:v>QĐ126/2026, STT 225, trang 22.</x:v>
      </x:c>
      <x:c r="R77" t="str">
        <x:v>https://dav.gov.vn/quyet-dinh-so-126qd-qld-ve-viec-thu-hoi-so-tiep-nhan-phieu-cong-bo-san-pham-my-pham-dinh-chi-luu-hanh-va-thu-hoi-san-pham-my-pham-theo-kl-cua-hd-my-pham-asean-doi-voi-san-pham-my-pham-co-chua-chat-cyclotetrasiloxane-octamethylcyclotetrasiloxane-n5224.html</x:v>
      </x:c>
      <x:c r="S77" t="str">
        <x:v>Hà Nội</x:v>
      </x:c>
      <x:c r="T77" t="str">
        <x:v>01</x:v>
      </x:c>
    </x:row>
    <x:row r="78">
      <x:c r="A78" t="n">
        <x:v>77</x:v>
      </x:c>
      <x:c r="B78" s="330" t="n">
        <x:v>45916</x:v>
      </x:c>
      <x:c r="C78" s="330" t="n">
        <x:v>46080</x:v>
      </x:c>
      <x:c r="D78" t="n">
        <x:v>2025</x:v>
      </x:c>
      <x:c r="E78" t="n">
        <x:v>9</x:v>
      </x:c>
      <x:c r="F78" t="str">
        <x:v>290772/25/CBMP-QLD</x:v>
      </x:c>
      <x:c r="G78"/>
      <x:c r="H78" t="str">
        <x:v>Confume Cp Super Hard Hair Gel</x:v>
      </x:c>
      <x:c r="I78" t="str">
        <x:v>Confume</x:v>
      </x:c>
      <x:c r="J78" t="str">
        <x:v>Khác</x:v>
      </x:c>
      <x:c r="K78"/>
      <x:c r="L78" t="str">
        <x:v>Công ty TNHH Phương Đào</x:v>
      </x:c>
      <x:c r="M78" t="str">
        <x:v>Tổ 3, khu dân cư Bằng A, phường Hoàng Liệt, quận Hoàng Mai, TP. Hà Nội, Việt Nam. Mã số doanh nghiệp: 0101866589</x:v>
      </x:c>
      <x:c r="N78"/>
      <x:c r="O78" t="str">
        <x:v>Thu hồi số tiếp nhận; đình chỉ lưu hành và thu hồi (QĐ 126/QĐ-QLD)</x:v>
      </x:c>
      <x:c r="P78" t="str">
        <x:v>A++ – Cục Quản lý Dược; company responsibility explicit</x:v>
      </x:c>
      <x:c r="Q78" t="str">
        <x:v>QĐ126/2026, STT 226, trang 22.</x:v>
      </x:c>
      <x:c r="R78" t="str">
        <x:v>https://dav.gov.vn/quyet-dinh-so-126qd-qld-ve-viec-thu-hoi-so-tiep-nhan-phieu-cong-bo-san-pham-my-pham-dinh-chi-luu-hanh-va-thu-hoi-san-pham-my-pham-theo-kl-cua-hd-my-pham-asean-doi-voi-san-pham-my-pham-co-chua-chat-cyclotetrasiloxane-octamethylcyclotetrasiloxane-n5224.html</x:v>
      </x:c>
      <x:c r="S78" t="str">
        <x:v>Hà Nội</x:v>
      </x:c>
      <x:c r="T78" t="str">
        <x:v>01</x:v>
      </x:c>
    </x:row>
    <x:row r="79">
      <x:c r="A79" t="n">
        <x:v>78</x:v>
      </x:c>
      <x:c r="B79" s="330" t="n">
        <x:v>45916</x:v>
      </x:c>
      <x:c r="C79" s="330" t="n">
        <x:v>46080</x:v>
      </x:c>
      <x:c r="D79" t="n">
        <x:v>2025</x:v>
      </x:c>
      <x:c r="E79" t="n">
        <x:v>9</x:v>
      </x:c>
      <x:c r="F79" t="str">
        <x:v>290774/25/CBMP-QLD</x:v>
      </x:c>
      <x:c r="G79"/>
      <x:c r="H79" t="str">
        <x:v>Confume Cp Hair Glaze</x:v>
      </x:c>
      <x:c r="I79" t="str">
        <x:v>Confume</x:v>
      </x:c>
      <x:c r="J79" t="str">
        <x:v>Khác</x:v>
      </x:c>
      <x:c r="K79"/>
      <x:c r="L79" t="str">
        <x:v>Công ty TNHH Phương Đào</x:v>
      </x:c>
      <x:c r="M79" t="str">
        <x:v>Tổ 3, khu dân cư Bằng A, phường Hoàng Liệt, quận Hoàng Mai, TP. Hà Nội, Việt Nam. Mã số doanh nghiệp: 0101866589</x:v>
      </x:c>
      <x:c r="N79"/>
      <x:c r="O79" t="str">
        <x:v>Thu hồi số tiếp nhận; đình chỉ lưu hành và thu hồi (QĐ 126/QĐ-QLD)</x:v>
      </x:c>
      <x:c r="P79" t="str">
        <x:v>A++ – Cục Quản lý Dược; company responsibility explicit</x:v>
      </x:c>
      <x:c r="Q79" t="str">
        <x:v>QĐ126/2026, STT 227, trang 22.</x:v>
      </x:c>
      <x:c r="R79" t="str">
        <x:v>https://dav.gov.vn/quyet-dinh-so-126qd-qld-ve-viec-thu-hoi-so-tiep-nhan-phieu-cong-bo-san-pham-my-pham-dinh-chi-luu-hanh-va-thu-hoi-san-pham-my-pham-theo-kl-cua-hd-my-pham-asean-doi-voi-san-pham-my-pham-co-chua-chat-cyclotetrasiloxane-octamethylcyclotetrasiloxane-n5224.html</x:v>
      </x:c>
      <x:c r="S79" t="str">
        <x:v>Hà Nội</x:v>
      </x:c>
      <x:c r="T79" t="str">
        <x:v>01</x:v>
      </x:c>
    </x:row>
    <x:row r="80">
      <x:c r="A80" t="n">
        <x:v>79</x:v>
      </x:c>
      <x:c r="B80" s="330" t="n">
        <x:v>44784</x:v>
      </x:c>
      <x:c r="C80" s="330" t="n">
        <x:v>46080</x:v>
      </x:c>
      <x:c r="D80" t="n">
        <x:v>2022</x:v>
      </x:c>
      <x:c r="E80" t="n">
        <x:v>8</x:v>
      </x:c>
      <x:c r="F80" t="str">
        <x:v>177567/22/CBMP-QLD</x:v>
      </x:c>
      <x:c r="G80"/>
      <x:c r="H80" t="str">
        <x:v>Lactus Season Collagen Conditioner For Hair</x:v>
      </x:c>
      <x:c r="I80" t="str">
        <x:v>LACTUS SEASON</x:v>
      </x:c>
      <x:c r="J80" t="str">
        <x:v>Dầu xả</x:v>
      </x:c>
      <x:c r="K80"/>
      <x:c r="L80" t="str">
        <x:v>Công ty TNHH QH Hải Phát</x:v>
      </x:c>
      <x:c r="M80" t="str">
        <x:v>Số 89 ngõ 220 Nam Dư, phường Lĩnh Nam, quận Hoàng Mai, TP. Hà Nội, Việt Nam. Mã số doanh nghiệp: 0109358322</x:v>
      </x:c>
      <x:c r="N80"/>
      <x:c r="O80" t="str">
        <x:v>Thu hồi số tiếp nhận; đình chỉ lưu hành và thu hồi (QĐ 126/QĐ-QLD)</x:v>
      </x:c>
      <x:c r="P80" t="str">
        <x:v>A++ – Cục Quản lý Dược; company responsibility explicit</x:v>
      </x:c>
      <x:c r="Q80" t="str">
        <x:v>QĐ126/2026, STT 228, trang 22.</x:v>
      </x:c>
      <x:c r="R80" t="str">
        <x:v>https://dav.gov.vn/quyet-dinh-so-126qd-qld-ve-viec-thu-hoi-so-tiep-nhan-phieu-cong-bo-san-pham-my-pham-dinh-chi-luu-hanh-va-thu-hoi-san-pham-my-pham-theo-kl-cua-hd-my-pham-asean-doi-voi-san-pham-my-pham-co-chua-chat-cyclotetrasiloxane-octamethylcyclotetrasiloxane-n5224.html</x:v>
      </x:c>
      <x:c r="S80" t="str">
        <x:v>Hà Nội</x:v>
      </x:c>
      <x:c r="T80" t="str">
        <x:v>01</x:v>
      </x:c>
    </x:row>
    <x:row r="81">
      <x:c r="A81" t="n">
        <x:v>80</x:v>
      </x:c>
      <x:c r="B81" s="330" t="n">
        <x:v>44784</x:v>
      </x:c>
      <x:c r="C81" s="330" t="n">
        <x:v>46080</x:v>
      </x:c>
      <x:c r="D81" t="n">
        <x:v>2022</x:v>
      </x:c>
      <x:c r="E81" t="n">
        <x:v>8</x:v>
      </x:c>
      <x:c r="F81" t="str">
        <x:v>177568/22/CBMP-QLD</x:v>
      </x:c>
      <x:c r="G81"/>
      <x:c r="H81" t="str">
        <x:v>Lactus Season Collagen Repair Hair Mask</x:v>
      </x:c>
      <x:c r="I81" t="str">
        <x:v>LACTUS SEASON</x:v>
      </x:c>
      <x:c r="J81" t="str">
        <x:v>Mặt nạ</x:v>
      </x:c>
      <x:c r="K81"/>
      <x:c r="L81" t="str">
        <x:v>Công ty TNHH QH Hải Phát</x:v>
      </x:c>
      <x:c r="M81" t="str">
        <x:v>Số 89 ngõ 220 Nam Dư, phường Lĩnh Nam, quận Hoàng Mai, TP. Hà Nội, Việt Nam. Mã số doanh nghiệp: 0109358322</x:v>
      </x:c>
      <x:c r="N81"/>
      <x:c r="O81" t="str">
        <x:v>Thu hồi số tiếp nhận; đình chỉ lưu hành và thu hồi (QĐ 126/QĐ-QLD)</x:v>
      </x:c>
      <x:c r="P81" t="str">
        <x:v>A++ – Cục Quản lý Dược; company responsibility explicit</x:v>
      </x:c>
      <x:c r="Q81" t="str">
        <x:v>QĐ126/2026, STT 229, trang 22.</x:v>
      </x:c>
      <x:c r="R81" t="str">
        <x:v>https://dav.gov.vn/quyet-dinh-so-126qd-qld-ve-viec-thu-hoi-so-tiep-nhan-phieu-cong-bo-san-pham-my-pham-dinh-chi-luu-hanh-va-thu-hoi-san-pham-my-pham-theo-kl-cua-hd-my-pham-asean-doi-voi-san-pham-my-pham-co-chua-chat-cyclotetrasiloxane-octamethylcyclotetrasiloxane-n5224.html</x:v>
      </x:c>
      <x:c r="S81" t="str">
        <x:v>Hà Nội</x:v>
      </x:c>
      <x:c r="T81" t="str">
        <x:v>01</x:v>
      </x:c>
    </x:row>
    <x:row r="82">
      <x:c r="A82" t="n">
        <x:v>81</x:v>
      </x:c>
      <x:c r="B82" s="330" t="n">
        <x:v>44784</x:v>
      </x:c>
      <x:c r="C82" s="330" t="n">
        <x:v>46080</x:v>
      </x:c>
      <x:c r="D82" t="n">
        <x:v>2022</x:v>
      </x:c>
      <x:c r="E82" t="n">
        <x:v>8</x:v>
      </x:c>
      <x:c r="F82" t="str">
        <x:v>177569/22/CBMP-QLD</x:v>
      </x:c>
      <x:c r="G82"/>
      <x:c r="H82" t="str">
        <x:v>Lactus Season Moisturizing And Smoothing Conditioner</x:v>
      </x:c>
      <x:c r="I82" t="str">
        <x:v>LACTUS SEASON</x:v>
      </x:c>
      <x:c r="J82" t="str">
        <x:v>Dầu xả</x:v>
      </x:c>
      <x:c r="K82"/>
      <x:c r="L82" t="str">
        <x:v>Công ty TNHH QH Hải Phát</x:v>
      </x:c>
      <x:c r="M82" t="str">
        <x:v>Số 89 ngõ 220 Nam Dư, phường Lĩnh Nam, quận Hoàng Mai, TP. Hà Nội, Việt Nam. Mã số doanh nghiệp: 0109358322</x:v>
      </x:c>
      <x:c r="N82"/>
      <x:c r="O82" t="str">
        <x:v>Thu hồi số tiếp nhận; đình chỉ lưu hành và thu hồi (QĐ 126/QĐ-QLD)</x:v>
      </x:c>
      <x:c r="P82" t="str">
        <x:v>A++ – Cục Quản lý Dược; company responsibility explicit</x:v>
      </x:c>
      <x:c r="Q82" t="str">
        <x:v>QĐ126/2026, STT 230, trang 22.</x:v>
      </x:c>
      <x:c r="R82" t="str">
        <x:v>https://dav.gov.vn/quyet-dinh-so-126qd-qld-ve-viec-thu-hoi-so-tiep-nhan-phieu-cong-bo-san-pham-my-pham-dinh-chi-luu-hanh-va-thu-hoi-san-pham-my-pham-theo-kl-cua-hd-my-pham-asean-doi-voi-san-pham-my-pham-co-chua-chat-cyclotetrasiloxane-octamethylcyclotetrasiloxane-n5224.html</x:v>
      </x:c>
      <x:c r="S82" t="str">
        <x:v>Hà Nội</x:v>
      </x:c>
      <x:c r="T82" t="str">
        <x:v>01</x:v>
      </x:c>
    </x:row>
    <x:row r="83">
      <x:c r="A83" t="n">
        <x:v>82</x:v>
      </x:c>
      <x:c r="B83" s="330" t="n">
        <x:v>45306</x:v>
      </x:c>
      <x:c r="C83" s="330" t="n">
        <x:v>46080</x:v>
      </x:c>
      <x:c r="D83" t="n">
        <x:v>2024</x:v>
      </x:c>
      <x:c r="E83" t="n">
        <x:v>1</x:v>
      </x:c>
      <x:c r="F83" t="str">
        <x:v>222676/24/CBMP-QLD</x:v>
      </x:c>
      <x:c r="G83"/>
      <x:c r="H83" t="str">
        <x:v>T8x Intelligent Color Care 8/3</x:v>
      </x:c>
      <x:c r="I83" t="str">
        <x:v>T8X</x:v>
      </x:c>
      <x:c r="J83" t="str">
        <x:v>Khác</x:v>
      </x:c>
      <x:c r="K83"/>
      <x:c r="L83" t="str">
        <x:v>Công ty TNHH sản xuất và thương mại hóa mỹ phẩm WAHA</x:v>
      </x:c>
      <x:c r="M83" t="str">
        <x:v>Số nhà 1C, ngõ 321/21/6 đường Phúc Lợi, phường Phúc Lợi, quận Long Biên, TP. Hà Nội, Việt Nam. Mã số doanh nghiệp: 0110011420</x:v>
      </x:c>
      <x:c r="N83"/>
      <x:c r="O83" t="str">
        <x:v>Thu hồi số tiếp nhận; đình chỉ lưu hành và thu hồi (QĐ 126/QĐ-QLD)</x:v>
      </x:c>
      <x:c r="P83" t="str">
        <x:v>A++ – Cục Quản lý Dược; company responsibility explicit</x:v>
      </x:c>
      <x:c r="Q83" t="str">
        <x:v>QĐ126/2026, STT 247, trang 24.</x:v>
      </x:c>
      <x:c r="R83" t="str">
        <x:v>https://dav.gov.vn/quyet-dinh-so-126qd-qld-ve-viec-thu-hoi-so-tiep-nhan-phieu-cong-bo-san-pham-my-pham-dinh-chi-luu-hanh-va-thu-hoi-san-pham-my-pham-theo-kl-cua-hd-my-pham-asean-doi-voi-san-pham-my-pham-co-chua-chat-cyclotetrasiloxane-octamethylcyclotetrasiloxane-n5224.html</x:v>
      </x:c>
      <x:c r="S83" t="str">
        <x:v>Hà Nội</x:v>
      </x:c>
      <x:c r="T83" t="str">
        <x:v>01</x:v>
      </x:c>
    </x:row>
    <x:row r="84">
      <x:c r="A84" t="n">
        <x:v>83</x:v>
      </x:c>
      <x:c r="B84" s="330" t="n">
        <x:v>45306</x:v>
      </x:c>
      <x:c r="C84" s="330" t="n">
        <x:v>46080</x:v>
      </x:c>
      <x:c r="D84" t="n">
        <x:v>2024</x:v>
      </x:c>
      <x:c r="E84" t="n">
        <x:v>1</x:v>
      </x:c>
      <x:c r="F84" t="str">
        <x:v>222677/24/CBMP-QLD</x:v>
      </x:c>
      <x:c r="G84"/>
      <x:c r="H84" t="str">
        <x:v>T8x Intelligent Color Care C7/45</x:v>
      </x:c>
      <x:c r="I84" t="str">
        <x:v>T8X</x:v>
      </x:c>
      <x:c r="J84" t="str">
        <x:v>Khác</x:v>
      </x:c>
      <x:c r="K84"/>
      <x:c r="L84" t="str">
        <x:v>Công ty TNHH sản xuất và thương mại hóa mỹ phẩm WAHA</x:v>
      </x:c>
      <x:c r="M84" t="str">
        <x:v>Số nhà 1C, ngõ 321/21/6 đường Phúc Lợi, phường Phúc Lợi, quận Long Biên, TP. Hà Nội, Việt Nam. Mã số doanh nghiệp: 0110011420</x:v>
      </x:c>
      <x:c r="N84"/>
      <x:c r="O84" t="str">
        <x:v>Thu hồi số tiếp nhận; đình chỉ lưu hành và thu hồi (QĐ 126/QĐ-QLD)</x:v>
      </x:c>
      <x:c r="P84" t="str">
        <x:v>A++ – Cục Quản lý Dược; company responsibility explicit</x:v>
      </x:c>
      <x:c r="Q84" t="str">
        <x:v>QĐ126/2026, STT 248, trang 24.</x:v>
      </x:c>
      <x:c r="R84" t="str">
        <x:v>https://dav.gov.vn/quyet-dinh-so-126qd-qld-ve-viec-thu-hoi-so-tiep-nhan-phieu-cong-bo-san-pham-my-pham-dinh-chi-luu-hanh-va-thu-hoi-san-pham-my-pham-theo-kl-cua-hd-my-pham-asean-doi-voi-san-pham-my-pham-co-chua-chat-cyclotetrasiloxane-octamethylcyclotetrasiloxane-n5224.html</x:v>
      </x:c>
      <x:c r="S84" t="str">
        <x:v>Hà Nội</x:v>
      </x:c>
      <x:c r="T84" t="str">
        <x:v>01</x:v>
      </x:c>
    </x:row>
    <x:row r="85">
      <x:c r="A85" t="n">
        <x:v>84</x:v>
      </x:c>
      <x:c r="B85" s="330" t="n">
        <x:v>45306</x:v>
      </x:c>
      <x:c r="C85" s="330" t="n">
        <x:v>46080</x:v>
      </x:c>
      <x:c r="D85" t="n">
        <x:v>2024</x:v>
      </x:c>
      <x:c r="E85" t="n">
        <x:v>1</x:v>
      </x:c>
      <x:c r="F85" t="str">
        <x:v>222686/24/CBMP-QLD</x:v>
      </x:c>
      <x:c r="G85"/>
      <x:c r="H85" t="str">
        <x:v>T8x Intelligent Color Care 9/11</x:v>
      </x:c>
      <x:c r="I85" t="str">
        <x:v>T8X</x:v>
      </x:c>
      <x:c r="J85" t="str">
        <x:v>Khác</x:v>
      </x:c>
      <x:c r="K85"/>
      <x:c r="L85" t="str">
        <x:v>Công ty TNHH sản xuất và thương mại hóa mỹ phẩm WAHA</x:v>
      </x:c>
      <x:c r="M85" t="str">
        <x:v>Số nhà 1C, ngõ 321/21/6 đường Phúc Lợi, phường Phúc Lợi, quận Long Biên, TP. Hà Nội, Việt Nam. Mã số doanh nghiệp: 0110011420</x:v>
      </x:c>
      <x:c r="N85"/>
      <x:c r="O85" t="str">
        <x:v>Thu hồi số tiếp nhận; đình chỉ lưu hành và thu hồi (QĐ 126/QĐ-QLD)</x:v>
      </x:c>
      <x:c r="P85" t="str">
        <x:v>A++ – Cục Quản lý Dược; company responsibility explicit</x:v>
      </x:c>
      <x:c r="Q85" t="str">
        <x:v>QĐ126/2026, STT 249, trang 24.</x:v>
      </x:c>
      <x:c r="R85" t="str">
        <x:v>https://dav.gov.vn/quyet-dinh-so-126qd-qld-ve-viec-thu-hoi-so-tiep-nhan-phieu-cong-bo-san-pham-my-pham-dinh-chi-luu-hanh-va-thu-hoi-san-pham-my-pham-theo-kl-cua-hd-my-pham-asean-doi-voi-san-pham-my-pham-co-chua-chat-cyclotetrasiloxane-octamethylcyclotetrasiloxane-n5224.html</x:v>
      </x:c>
      <x:c r="S85" t="str">
        <x:v>Hà Nội</x:v>
      </x:c>
      <x:c r="T85" t="str">
        <x:v>01</x:v>
      </x:c>
    </x:row>
    <x:row r="86">
      <x:c r="A86" t="n">
        <x:v>85</x:v>
      </x:c>
      <x:c r="B86" s="330" t="n">
        <x:v>45306</x:v>
      </x:c>
      <x:c r="C86" s="330" t="n">
        <x:v>46080</x:v>
      </x:c>
      <x:c r="D86" t="n">
        <x:v>2024</x:v>
      </x:c>
      <x:c r="E86" t="n">
        <x:v>1</x:v>
      </x:c>
      <x:c r="F86" t="str">
        <x:v>222690/24/CBMP-QLD</x:v>
      </x:c>
      <x:c r="G86"/>
      <x:c r="H86" t="str">
        <x:v>T8x Intelligent Color Care C6/31</x:v>
      </x:c>
      <x:c r="I86" t="str">
        <x:v>T8X</x:v>
      </x:c>
      <x:c r="J86" t="str">
        <x:v>Khác</x:v>
      </x:c>
      <x:c r="K86"/>
      <x:c r="L86" t="str">
        <x:v>Công ty TNHH sản xuất và thương mại hóa mỹ phẩm WAHA</x:v>
      </x:c>
      <x:c r="M86" t="str">
        <x:v>Số nhà 1C, ngõ 321/21/6 đường Phúc Lợi, phường Phúc Lợi, quận Long Biên, TP. Hà Nội, Việt Nam. Mã số doanh nghiệp: 0110011420</x:v>
      </x:c>
      <x:c r="N86"/>
      <x:c r="O86" t="str">
        <x:v>Thu hồi số tiếp nhận; đình chỉ lưu hành và thu hồi (QĐ 126/QĐ-QLD)</x:v>
      </x:c>
      <x:c r="P86" t="str">
        <x:v>A++ – Cục Quản lý Dược; company responsibility explicit</x:v>
      </x:c>
      <x:c r="Q86" t="str">
        <x:v>QĐ126/2026, STT 250, trang 24.</x:v>
      </x:c>
      <x:c r="R86" t="str">
        <x:v>https://dav.gov.vn/quyet-dinh-so-126qd-qld-ve-viec-thu-hoi-so-tiep-nhan-phieu-cong-bo-san-pham-my-pham-dinh-chi-luu-hanh-va-thu-hoi-san-pham-my-pham-theo-kl-cua-hd-my-pham-asean-doi-voi-san-pham-my-pham-co-chua-chat-cyclotetrasiloxane-octamethylcyclotetrasiloxane-n5224.html</x:v>
      </x:c>
      <x:c r="S86" t="str">
        <x:v>Hà Nội</x:v>
      </x:c>
      <x:c r="T86" t="str">
        <x:v>01</x:v>
      </x:c>
    </x:row>
    <x:row r="87">
      <x:c r="A87" t="n">
        <x:v>86</x:v>
      </x:c>
      <x:c r="B87" s="330" t="n">
        <x:v>45306</x:v>
      </x:c>
      <x:c r="C87" s="330" t="n">
        <x:v>46080</x:v>
      </x:c>
      <x:c r="D87" t="n">
        <x:v>2024</x:v>
      </x:c>
      <x:c r="E87" t="n">
        <x:v>1</x:v>
      </x:c>
      <x:c r="F87" t="str">
        <x:v>222693/24/CBMP-QLD</x:v>
      </x:c>
      <x:c r="G87"/>
      <x:c r="H87" t="str">
        <x:v>T8x Intelligent Color Care C5/66</x:v>
      </x:c>
      <x:c r="I87" t="str">
        <x:v>T8X</x:v>
      </x:c>
      <x:c r="J87" t="str">
        <x:v>Khác</x:v>
      </x:c>
      <x:c r="K87"/>
      <x:c r="L87" t="str">
        <x:v>Công ty TNHH sản xuất và thương mại hóa mỹ phẩm WAHA</x:v>
      </x:c>
      <x:c r="M87" t="str">
        <x:v>Số nhà 1C, ngõ 321/21/6 đường Phúc Lợi, phường Phúc Lợi, quận Long Biên, TP. Hà Nội, Việt Nam. Mã số doanh nghiệp: 0110011420</x:v>
      </x:c>
      <x:c r="N87"/>
      <x:c r="O87" t="str">
        <x:v>Thu hồi số tiếp nhận; đình chỉ lưu hành và thu hồi (QĐ 126/QĐ-QLD)</x:v>
      </x:c>
      <x:c r="P87" t="str">
        <x:v>A++ – Cục Quản lý Dược; company responsibility explicit</x:v>
      </x:c>
      <x:c r="Q87" t="str">
        <x:v>QĐ126/2026, STT 251, trang 24.</x:v>
      </x:c>
      <x:c r="R87" t="str">
        <x:v>https://dav.gov.vn/quyet-dinh-so-126qd-qld-ve-viec-thu-hoi-so-tiep-nhan-phieu-cong-bo-san-pham-my-pham-dinh-chi-luu-hanh-va-thu-hoi-san-pham-my-pham-theo-kl-cua-hd-my-pham-asean-doi-voi-san-pham-my-pham-co-chua-chat-cyclotetrasiloxane-octamethylcyclotetrasiloxane-n5224.html</x:v>
      </x:c>
      <x:c r="S87" t="str">
        <x:v>Hà Nội</x:v>
      </x:c>
      <x:c r="T87" t="str">
        <x:v>01</x:v>
      </x:c>
    </x:row>
    <x:row r="88">
      <x:c r="A88" t="n">
        <x:v>87</x:v>
      </x:c>
      <x:c r="B88" s="330" t="n">
        <x:v>45253</x:v>
      </x:c>
      <x:c r="C88" s="330" t="n">
        <x:v>46080</x:v>
      </x:c>
      <x:c r="D88" t="n">
        <x:v>2023</x:v>
      </x:c>
      <x:c r="E88" t="n">
        <x:v>11</x:v>
      </x:c>
      <x:c r="F88" t="str">
        <x:v>217720/23/CBMP-QLD</x:v>
      </x:c>
      <x:c r="G88"/>
      <x:c r="H88" t="str">
        <x:v>Ats Explex Dermatrick Treatment</x:v>
      </x:c>
      <x:c r="I88" t="str">
        <x:v>ATS</x:v>
      </x:c>
      <x:c r="J88" t="str">
        <x:v>Khác</x:v>
      </x:c>
      <x:c r="K88"/>
      <x:c r="L88" t="str">
        <x:v>Công ty TNHH sáng tạo phong cách sống - LIFE STYLE CREATION CO.</x:v>
      </x:c>
      <x:c r="M88" t="str">
        <x:v>LTD, 79 Nguyễn Công Hoan, phường Ngọc Khánh, quận Ba Đình, TP. Hà Nội, Việt Nam. Mã số doanh nghiệp: 0101756610</x:v>
      </x:c>
      <x:c r="N88"/>
      <x:c r="O88" t="str">
        <x:v>Thu hồi số tiếp nhận; đình chỉ lưu hành và thu hồi (QĐ 126/QĐ-QLD)</x:v>
      </x:c>
      <x:c r="P88" t="str">
        <x:v>A++ – Cục Quản lý Dược; company responsibility explicit</x:v>
      </x:c>
      <x:c r="Q88" t="str">
        <x:v>QĐ126/2026, STT 252, trang 24.</x:v>
      </x:c>
      <x:c r="R88" t="str">
        <x:v>https://dav.gov.vn/quyet-dinh-so-126qd-qld-ve-viec-thu-hoi-so-tiep-nhan-phieu-cong-bo-san-pham-my-pham-dinh-chi-luu-hanh-va-thu-hoi-san-pham-my-pham-theo-kl-cua-hd-my-pham-asean-doi-voi-san-pham-my-pham-co-chua-chat-cyclotetrasiloxane-octamethylcyclotetrasiloxane-n5224.html</x:v>
      </x:c>
      <x:c r="S88" t="str">
        <x:v>Hà Nội</x:v>
      </x:c>
      <x:c r="T88" t="str">
        <x:v>01</x:v>
      </x:c>
    </x:row>
    <x:row r="89">
      <x:c r="A89" t="n">
        <x:v>88</x:v>
      </x:c>
      <x:c r="B89" s="330" t="n">
        <x:v>45424</x:v>
      </x:c>
      <x:c r="C89" s="330" t="n">
        <x:v>46080</x:v>
      </x:c>
      <x:c r="D89" t="n">
        <x:v>2024</x:v>
      </x:c>
      <x:c r="E89" t="n">
        <x:v>5</x:v>
      </x:c>
      <x:c r="F89" t="str">
        <x:v>235771/24/CBMP-QLD</x:v>
      </x:c>
      <x:c r="G89"/>
      <x:c r="H89" t="str">
        <x:v>Uppercut Deluxe Matte Pomade</x:v>
      </x:c>
      <x:c r="I89" t="str">
        <x:v>UPPERCU T DELUXE</x:v>
      </x:c>
      <x:c r="J89" t="str">
        <x:v>Khác</x:v>
      </x:c>
      <x:c r="K89"/>
      <x:c r="L89" t="str">
        <x:v>Công ty TNHH sáng tạo phong cách sống - LIFE STYLE CREATION CO.</x:v>
      </x:c>
      <x:c r="M89" t="str">
        <x:v>LTD, 79 Nguyễn Công Hoan, phường Ngọc Khánh, quận Ba Đình, TP. Hà Nội, Việt Nam. Mã số doanh nghiệp: 0101756610</x:v>
      </x:c>
      <x:c r="N89"/>
      <x:c r="O89" t="str">
        <x:v>Thu hồi số tiếp nhận; đình chỉ lưu hành và thu hồi (QĐ 126/QĐ-QLD)</x:v>
      </x:c>
      <x:c r="P89" t="str">
        <x:v>A++ – Cục Quản lý Dược; company responsibility explicit</x:v>
      </x:c>
      <x:c r="Q89" t="str">
        <x:v>QĐ126/2026, STT 253, trang 24.</x:v>
      </x:c>
      <x:c r="R89" t="str">
        <x:v>https://dav.gov.vn/quyet-dinh-so-126qd-qld-ve-viec-thu-hoi-so-tiep-nhan-phieu-cong-bo-san-pham-my-pham-dinh-chi-luu-hanh-va-thu-hoi-san-pham-my-pham-theo-kl-cua-hd-my-pham-asean-doi-voi-san-pham-my-pham-co-chua-chat-cyclotetrasiloxane-octamethylcyclotetrasiloxane-n5224.html</x:v>
      </x:c>
      <x:c r="S89" t="str">
        <x:v>Hà Nội</x:v>
      </x:c>
      <x:c r="T89" t="str">
        <x:v>01</x:v>
      </x:c>
    </x:row>
    <x:row r="90">
      <x:c r="A90" t="n">
        <x:v>89</x:v>
      </x:c>
      <x:c r="B90" s="330" t="n">
        <x:v>45370</x:v>
      </x:c>
      <x:c r="C90" s="330" t="n">
        <x:v>46080</x:v>
      </x:c>
      <x:c r="D90" t="n">
        <x:v>2024</x:v>
      </x:c>
      <x:c r="E90" t="n">
        <x:v>3</x:v>
      </x:c>
      <x:c r="F90" t="str">
        <x:v>230041/24/CBMP-QLD</x:v>
      </x:c>
      <x:c r="G90"/>
      <x:c r="H90" t="str">
        <x:v>Marini Luminate Eye Gel - 1/2 Oz.</x:v>
      </x:c>
      <x:c r="I90" t="str">
        <x:v>Marini</x:v>
      </x:c>
      <x:c r="J90" t="str">
        <x:v>Khác</x:v>
      </x:c>
      <x:c r="K90"/>
      <x:c r="L90" t="str">
        <x:v>Công ty TNHH thẩm mỹ ZACY</x:v>
      </x:c>
      <x:c r="M90" t="str">
        <x:v>Tầng 3A, 6A Số 69 phố Nguyễn Hy Quang, phường Ô Chợ Dừa, quận Đống Đa, TP. Hà Nội, Việt Nam. Mã số doanh nghiệp: 0107468471</x:v>
      </x:c>
      <x:c r="N90"/>
      <x:c r="O90" t="str">
        <x:v>Thu hồi số tiếp nhận; đình chỉ lưu hành và thu hồi (QĐ 126/QĐ-QLD)</x:v>
      </x:c>
      <x:c r="P90" t="str">
        <x:v>A++ – Cục Quản lý Dược; company responsibility explicit</x:v>
      </x:c>
      <x:c r="Q90" t="str">
        <x:v>QĐ126/2026, STT 258, trang 25.</x:v>
      </x:c>
      <x:c r="R90" t="str">
        <x:v>https://dav.gov.vn/quyet-dinh-so-126qd-qld-ve-viec-thu-hoi-so-tiep-nhan-phieu-cong-bo-san-pham-my-pham-dinh-chi-luu-hanh-va-thu-hoi-san-pham-my-pham-theo-kl-cua-hd-my-pham-asean-doi-voi-san-pham-my-pham-co-chua-chat-cyclotetrasiloxane-octamethylcyclotetrasiloxane-n5224.html</x:v>
      </x:c>
      <x:c r="S90" t="str">
        <x:v>Hà Nội</x:v>
      </x:c>
      <x:c r="T90" t="str">
        <x:v>01</x:v>
      </x:c>
    </x:row>
    <x:row r="91">
      <x:c r="A91" t="n">
        <x:v>90</x:v>
      </x:c>
      <x:c r="B91" s="330" t="n">
        <x:v>44844</x:v>
      </x:c>
      <x:c r="C91" s="330" t="n">
        <x:v>46080</x:v>
      </x:c>
      <x:c r="D91" t="n">
        <x:v>2022</x:v>
      </x:c>
      <x:c r="E91" t="n">
        <x:v>10</x:v>
      </x:c>
      <x:c r="F91" t="str">
        <x:v>185197/22/CBMP-QLD</x:v>
      </x:c>
      <x:c r="G91"/>
      <x:c r="H91" t="str">
        <x:v>Gigi City Nap Urban Sleeping Mask</x:v>
      </x:c>
      <x:c r="I91" t="str">
        <x:v>GIGI</x:v>
      </x:c>
      <x:c r="J91" t="str">
        <x:v>Mặt nạ</x:v>
      </x:c>
      <x:c r="K91"/>
      <x:c r="L91" t="str">
        <x:v>Công ty TNHH thương mại &amp; du lịch VĂN HIẾN</x:v>
      </x:c>
      <x:c r="M91" t="str">
        <x:v>Số 05, ngách 124/32, đường Do Nha, phường Tây Mỗ, quận Nam Từ Liêm, TP. Hà Nội, Việt Nam. Mã số doanh nghiệp: 0108173294</x:v>
      </x:c>
      <x:c r="N91"/>
      <x:c r="O91" t="str">
        <x:v>Thu hồi số tiếp nhận; đình chỉ lưu hành và thu hồi (QĐ 126/QĐ-QLD)</x:v>
      </x:c>
      <x:c r="P91" t="str">
        <x:v>A++ – Cục Quản lý Dược; company responsibility explicit</x:v>
      </x:c>
      <x:c r="Q91" t="str">
        <x:v>QĐ126/2026, STT 260, trang 25.</x:v>
      </x:c>
      <x:c r="R91" t="str">
        <x:v>https://dav.gov.vn/quyet-dinh-so-126qd-qld-ve-viec-thu-hoi-so-tiep-nhan-phieu-cong-bo-san-pham-my-pham-dinh-chi-luu-hanh-va-thu-hoi-san-pham-my-pham-theo-kl-cua-hd-my-pham-asean-doi-voi-san-pham-my-pham-co-chua-chat-cyclotetrasiloxane-octamethylcyclotetrasiloxane-n5224.html</x:v>
      </x:c>
      <x:c r="S91" t="str">
        <x:v>Hà Nội</x:v>
      </x:c>
      <x:c r="T91" t="str">
        <x:v>01</x:v>
      </x:c>
    </x:row>
    <x:row r="92">
      <x:c r="A92" t="n">
        <x:v>91</x:v>
      </x:c>
      <x:c r="B92" s="330" t="n">
        <x:v>45578</x:v>
      </x:c>
      <x:c r="C92" s="330" t="n">
        <x:v>46080</x:v>
      </x:c>
      <x:c r="D92" t="n">
        <x:v>2024</x:v>
      </x:c>
      <x:c r="E92" t="n">
        <x:v>10</x:v>
      </x:c>
      <x:c r="F92" t="str">
        <x:v>252477/24/CBMP-QLD</x:v>
      </x:c>
      <x:c r="G92"/>
      <x:c r="H92" t="str">
        <x:v>Jmella In France Femme Fatale Hair Treatment</x:v>
      </x:c>
      <x:c r="I92" t="str">
        <x:v>JMELLA</x:v>
      </x:c>
      <x:c r="J92" t="str">
        <x:v>Khác</x:v>
      </x:c>
      <x:c r="K92"/>
      <x:c r="L92" t="str">
        <x:v>Công ty TNHH THƯƠNG MẠI EGAO VIỆT NAM</x:v>
      </x:c>
      <x:c r="M92" t="str">
        <x:v>Số 19 Bà Triệu, phường Tràng Tiền, quận Hoàn Kiếm, TP. Hà Nội, Việt Nam. Mã số doanh nghiệp: 0107647946</x:v>
      </x:c>
      <x:c r="N92"/>
      <x:c r="O92" t="str">
        <x:v>Thu hồi số tiếp nhận; đình chỉ lưu hành và thu hồi (QĐ 126/QĐ-QLD)</x:v>
      </x:c>
      <x:c r="P92" t="str">
        <x:v>A++ – Cục Quản lý Dược; company responsibility explicit</x:v>
      </x:c>
      <x:c r="Q92" t="str">
        <x:v>QĐ126/2026, STT 271, trang 26.</x:v>
      </x:c>
      <x:c r="R92" t="str">
        <x:v>https://dav.gov.vn/quyet-dinh-so-126qd-qld-ve-viec-thu-hoi-so-tiep-nhan-phieu-cong-bo-san-pham-my-pham-dinh-chi-luu-hanh-va-thu-hoi-san-pham-my-pham-theo-kl-cua-hd-my-pham-asean-doi-voi-san-pham-my-pham-co-chua-chat-cyclotetrasiloxane-octamethylcyclotetrasiloxane-n5224.html</x:v>
      </x:c>
      <x:c r="S92" t="str">
        <x:v>Hà Nội</x:v>
      </x:c>
      <x:c r="T92" t="str">
        <x:v>01</x:v>
      </x:c>
    </x:row>
    <x:row r="93">
      <x:c r="A93" t="n">
        <x:v>92</x:v>
      </x:c>
      <x:c r="B93" s="330" t="n">
        <x:v>45578</x:v>
      </x:c>
      <x:c r="C93" s="330" t="n">
        <x:v>46080</x:v>
      </x:c>
      <x:c r="D93" t="n">
        <x:v>2024</x:v>
      </x:c>
      <x:c r="E93" t="n">
        <x:v>10</x:v>
      </x:c>
      <x:c r="F93" t="str">
        <x:v>252486/24/CBMP-QLD</x:v>
      </x:c>
      <x:c r="G93"/>
      <x:c r="H93" t="str">
        <x:v>Jmella In France Blooming Peony Hair Treatment</x:v>
      </x:c>
      <x:c r="I93" t="str">
        <x:v>JMELLA</x:v>
      </x:c>
      <x:c r="J93" t="str">
        <x:v>Khác</x:v>
      </x:c>
      <x:c r="K93"/>
      <x:c r="L93" t="str">
        <x:v>Công ty TNHH THƯƠNG MẠI EGAO VIỆT NAM</x:v>
      </x:c>
      <x:c r="M93" t="str">
        <x:v>Số 19 Bà Triệu, phường Tràng Tiền, quận Hoàn Kiếm, TP. Hà Nội, Việt Nam. Mã số doanh nghiệp: 0107647946</x:v>
      </x:c>
      <x:c r="N93"/>
      <x:c r="O93" t="str">
        <x:v>Thu hồi số tiếp nhận; đình chỉ lưu hành và thu hồi (QĐ 126/QĐ-QLD)</x:v>
      </x:c>
      <x:c r="P93" t="str">
        <x:v>A++ – Cục Quản lý Dược; company responsibility explicit</x:v>
      </x:c>
      <x:c r="Q93" t="str">
        <x:v>QĐ126/2026, STT 272, trang 26.</x:v>
      </x:c>
      <x:c r="R93" t="str">
        <x:v>https://dav.gov.vn/quyet-dinh-so-126qd-qld-ve-viec-thu-hoi-so-tiep-nhan-phieu-cong-bo-san-pham-my-pham-dinh-chi-luu-hanh-va-thu-hoi-san-pham-my-pham-theo-kl-cua-hd-my-pham-asean-doi-voi-san-pham-my-pham-co-chua-chat-cyclotetrasiloxane-octamethylcyclotetrasiloxane-n5224.html</x:v>
      </x:c>
      <x:c r="S93" t="str">
        <x:v>Hà Nội</x:v>
      </x:c>
      <x:c r="T93" t="str">
        <x:v>01</x:v>
      </x:c>
    </x:row>
    <x:row r="94">
      <x:c r="A94" t="n">
        <x:v>93</x:v>
      </x:c>
      <x:c r="B94" s="330" t="n">
        <x:v>45578</x:v>
      </x:c>
      <x:c r="C94" s="330" t="n">
        <x:v>46080</x:v>
      </x:c>
      <x:c r="D94" t="n">
        <x:v>2024</x:v>
      </x:c>
      <x:c r="E94" t="n">
        <x:v>10</x:v>
      </x:c>
      <x:c r="F94" t="str">
        <x:v>252511/24/CBMP-QLD</x:v>
      </x:c>
      <x:c r="G94"/>
      <x:c r="H94" t="str">
        <x:v>Jmella In France Sparkling Rose Hair Treatment</x:v>
      </x:c>
      <x:c r="I94" t="str">
        <x:v>JMELLA</x:v>
      </x:c>
      <x:c r="J94" t="str">
        <x:v>Khác</x:v>
      </x:c>
      <x:c r="K94"/>
      <x:c r="L94" t="str">
        <x:v>Công ty TNHH THƯƠNG MẠI EGAO VIỆT NAM</x:v>
      </x:c>
      <x:c r="M94" t="str">
        <x:v>Số 19 Bà Triệu, phường Tràng Tiền, quận Hoàn Kiếm, TP. Hà Nội, Việt Nam. Mã số doanh nghiệp: 0107647946</x:v>
      </x:c>
      <x:c r="N94"/>
      <x:c r="O94" t="str">
        <x:v>Thu hồi số tiếp nhận; đình chỉ lưu hành và thu hồi (QĐ 126/QĐ-QLD)</x:v>
      </x:c>
      <x:c r="P94" t="str">
        <x:v>A++ – Cục Quản lý Dược; company responsibility explicit</x:v>
      </x:c>
      <x:c r="Q94" t="str">
        <x:v>QĐ126/2026, STT 273, trang 26.</x:v>
      </x:c>
      <x:c r="R94" t="str">
        <x:v>https://dav.gov.vn/quyet-dinh-so-126qd-qld-ve-viec-thu-hoi-so-tiep-nhan-phieu-cong-bo-san-pham-my-pham-dinh-chi-luu-hanh-va-thu-hoi-san-pham-my-pham-theo-kl-cua-hd-my-pham-asean-doi-voi-san-pham-my-pham-co-chua-chat-cyclotetrasiloxane-octamethylcyclotetrasiloxane-n5224.html</x:v>
      </x:c>
      <x:c r="S94" t="str">
        <x:v>Hà Nội</x:v>
      </x:c>
      <x:c r="T94" t="str">
        <x:v>01</x:v>
      </x:c>
    </x:row>
    <x:row r="95">
      <x:c r="A95" t="n">
        <x:v>94</x:v>
      </x:c>
      <x:c r="B95" s="330" t="n">
        <x:v>45594</x:v>
      </x:c>
      <x:c r="C95" s="330" t="n">
        <x:v>46080</x:v>
      </x:c>
      <x:c r="D95" t="n">
        <x:v>2024</x:v>
      </x:c>
      <x:c r="E95" t="n">
        <x:v>10</x:v>
      </x:c>
      <x:c r="F95" t="str">
        <x:v>253960/24/CBMP-QLD</x:v>
      </x:c>
      <x:c r="G95"/>
      <x:c r="H95" t="str">
        <x:v>Jmella In France Queen 5 Hair Treatment</x:v>
      </x:c>
      <x:c r="I95" t="str">
        <x:v>JMELLA</x:v>
      </x:c>
      <x:c r="J95" t="str">
        <x:v>Khác</x:v>
      </x:c>
      <x:c r="K95"/>
      <x:c r="L95" t="str">
        <x:v>Công ty TNHH THƯƠNG MẠI EGAO VIỆT NAM</x:v>
      </x:c>
      <x:c r="M95" t="str">
        <x:v>Số 19 Bà Triệu, phường Tràng Tiền, quận Hoàn Kiếm, TP. Hà Nội, Việt Nam. Mã số doanh nghiệp: 0107647946</x:v>
      </x:c>
      <x:c r="N95"/>
      <x:c r="O95" t="str">
        <x:v>Thu hồi số tiếp nhận; đình chỉ lưu hành và thu hồi (QĐ 126/QĐ-QLD)</x:v>
      </x:c>
      <x:c r="P95" t="str">
        <x:v>A++ – Cục Quản lý Dược; company responsibility explicit</x:v>
      </x:c>
      <x:c r="Q95" t="str">
        <x:v>QĐ126/2026, STT 274, trang 26.</x:v>
      </x:c>
      <x:c r="R95" t="str">
        <x:v>https://dav.gov.vn/quyet-dinh-so-126qd-qld-ve-viec-thu-hoi-so-tiep-nhan-phieu-cong-bo-san-pham-my-pham-dinh-chi-luu-hanh-va-thu-hoi-san-pham-my-pham-theo-kl-cua-hd-my-pham-asean-doi-voi-san-pham-my-pham-co-chua-chat-cyclotetrasiloxane-octamethylcyclotetrasiloxane-n5224.html</x:v>
      </x:c>
      <x:c r="S95" t="str">
        <x:v>Hà Nội</x:v>
      </x:c>
      <x:c r="T95" t="str">
        <x:v>01</x:v>
      </x:c>
    </x:row>
    <x:row r="96">
      <x:c r="A96" t="n">
        <x:v>95</x:v>
      </x:c>
      <x:c r="B96" s="330" t="n">
        <x:v>45594</x:v>
      </x:c>
      <x:c r="C96" s="330" t="n">
        <x:v>46080</x:v>
      </x:c>
      <x:c r="D96" t="n">
        <x:v>2024</x:v>
      </x:c>
      <x:c r="E96" t="n">
        <x:v>10</x:v>
      </x:c>
      <x:c r="F96" t="str">
        <x:v>253961/24/CBMP-QLD</x:v>
      </x:c>
      <x:c r="G96"/>
      <x:c r="H96" t="str">
        <x:v>Jmella In France Lime &amp; Basil Hair Treatment</x:v>
      </x:c>
      <x:c r="I96" t="str">
        <x:v>JMELLA</x:v>
      </x:c>
      <x:c r="J96" t="str">
        <x:v>Khác</x:v>
      </x:c>
      <x:c r="K96"/>
      <x:c r="L96" t="str">
        <x:v>Công ty TNHH THƯƠNG MẠI EGAO VIỆT NAM</x:v>
      </x:c>
      <x:c r="M96" t="str">
        <x:v>Số 19 Bà Triệu, phường Tràng Tiền, quận Hoàn Kiếm, TP. Hà Nội, Việt Nam. Mã số doanh nghiệp: 0107647946</x:v>
      </x:c>
      <x:c r="N96"/>
      <x:c r="O96" t="str">
        <x:v>Thu hồi số tiếp nhận; đình chỉ lưu hành và thu hồi (QĐ 126/QĐ-QLD)</x:v>
      </x:c>
      <x:c r="P96" t="str">
        <x:v>A++ – Cục Quản lý Dược; company responsibility explicit</x:v>
      </x:c>
      <x:c r="Q96" t="str">
        <x:v>QĐ126/2026, STT 275, trang 26.</x:v>
      </x:c>
      <x:c r="R96" t="str">
        <x:v>https://dav.gov.vn/quyet-dinh-so-126qd-qld-ve-viec-thu-hoi-so-tiep-nhan-phieu-cong-bo-san-pham-my-pham-dinh-chi-luu-hanh-va-thu-hoi-san-pham-my-pham-theo-kl-cua-hd-my-pham-asean-doi-voi-san-pham-my-pham-co-chua-chat-cyclotetrasiloxane-octamethylcyclotetrasiloxane-n5224.html</x:v>
      </x:c>
      <x:c r="S96" t="str">
        <x:v>Hà Nội</x:v>
      </x:c>
      <x:c r="T96" t="str">
        <x:v>01</x:v>
      </x:c>
    </x:row>
    <x:row r="97">
      <x:c r="A97" t="n">
        <x:v>96</x:v>
      </x:c>
      <x:c r="B97" s="330" t="n">
        <x:v>45566</x:v>
      </x:c>
      <x:c r="C97" s="330" t="n">
        <x:v>46080</x:v>
      </x:c>
      <x:c r="D97" t="n">
        <x:v>2024</x:v>
      </x:c>
      <x:c r="E97" t="n">
        <x:v>10</x:v>
      </x:c>
      <x:c r="F97" t="str">
        <x:v>251770/24/CBMP-QLD</x:v>
      </x:c>
      <x:c r="G97"/>
      <x:c r="H97" t="str">
        <x:v>Ka'fen Ginger Black Ganoderma Conditioner</x:v>
      </x:c>
      <x:c r="I97" t="str">
        <x:v>KA'FEN</x:v>
      </x:c>
      <x:c r="J97" t="str">
        <x:v>Dầu xả</x:v>
      </x:c>
      <x:c r="K97"/>
      <x:c r="L97" t="str">
        <x:v>Công ty TNHH THƯƠNG MẠI LỤA ĐẠT</x:v>
      </x:c>
      <x:c r="M97" t="str">
        <x:v>Số 36A, ngõ 66 đường Triều Khúc, xã Tân Triều, huyện Thanh Trì, TP. Hà Nội, Việt Nam. Mã số doanh nghiệp: 0106988319</x:v>
      </x:c>
      <x:c r="N97"/>
      <x:c r="O97" t="str">
        <x:v>Thu hồi số tiếp nhận; đình chỉ lưu hành và thu hồi (QĐ 126/QĐ-QLD)</x:v>
      </x:c>
      <x:c r="P97" t="str">
        <x:v>A++ – Cục Quản lý Dược; company responsibility explicit</x:v>
      </x:c>
      <x:c r="Q97" t="str">
        <x:v>QĐ126/2026, STT 276, trang 26.</x:v>
      </x:c>
      <x:c r="R97" t="str">
        <x:v>https://dav.gov.vn/quyet-dinh-so-126qd-qld-ve-viec-thu-hoi-so-tiep-nhan-phieu-cong-bo-san-pham-my-pham-dinh-chi-luu-hanh-va-thu-hoi-san-pham-my-pham-theo-kl-cua-hd-my-pham-asean-doi-voi-san-pham-my-pham-co-chua-chat-cyclotetrasiloxane-octamethylcyclotetrasiloxane-n5224.html</x:v>
      </x:c>
      <x:c r="S97" t="str">
        <x:v>Hà Nội</x:v>
      </x:c>
      <x:c r="T97" t="str">
        <x:v>01</x:v>
      </x:c>
    </x:row>
    <x:row r="98">
      <x:c r="A98" t="n">
        <x:v>97</x:v>
      </x:c>
      <x:c r="B98" s="330" t="n">
        <x:v>45208</x:v>
      </x:c>
      <x:c r="C98" s="330" t="n">
        <x:v>46080</x:v>
      </x:c>
      <x:c r="D98" t="n">
        <x:v>2023</x:v>
      </x:c>
      <x:c r="E98" t="n">
        <x:v>10</x:v>
      </x:c>
      <x:c r="F98" t="str">
        <x:v>213878/23/CBMP-QLD</x:v>
      </x:c>
      <x:c r="G98"/>
      <x:c r="H98" t="str">
        <x:v>Michie Tone Uv</x:v>
      </x:c>
      <x:c r="I98" t="str">
        <x:v>Michie</x:v>
      </x:c>
      <x:c r="J98" t="str">
        <x:v>Khác</x:v>
      </x:c>
      <x:c r="K98"/>
      <x:c r="L98" t="str">
        <x:v>Công ty TNHH thương mại và dịch vụ xuất nhập khẩu NGỌC AN KHANG</x:v>
      </x:c>
      <x:c r="M98" t="str">
        <x:v>Tầng 3 Toà nhà An Huy, số 184 Nguyễn Tuân, phường Nhân Chính, quận Thanh Xuân, TP. Hà Nội, Việt Nam. Mã số doanh nghiệp: 0108613788</x:v>
      </x:c>
      <x:c r="N98"/>
      <x:c r="O98" t="str">
        <x:v>Thu hồi số tiếp nhận; đình chỉ lưu hành và thu hồi (QĐ 126/QĐ-QLD)</x:v>
      </x:c>
      <x:c r="P98" t="str">
        <x:v>A++ – Cục Quản lý Dược; company responsibility explicit</x:v>
      </x:c>
      <x:c r="Q98" t="str">
        <x:v>QĐ126/2026, STT 278, trang 26.</x:v>
      </x:c>
      <x:c r="R98" t="str">
        <x:v>https://dav.gov.vn/quyet-dinh-so-126qd-qld-ve-viec-thu-hoi-so-tiep-nhan-phieu-cong-bo-san-pham-my-pham-dinh-chi-luu-hanh-va-thu-hoi-san-pham-my-pham-theo-kl-cua-hd-my-pham-asean-doi-voi-san-pham-my-pham-co-chua-chat-cyclotetrasiloxane-octamethylcyclotetrasiloxane-n5224.html</x:v>
      </x:c>
      <x:c r="S98" t="str">
        <x:v>Hà Nội</x:v>
      </x:c>
      <x:c r="T98" t="str">
        <x:v>01</x:v>
      </x:c>
    </x:row>
    <x:row r="99">
      <x:c r="A99" t="n">
        <x:v>98</x:v>
      </x:c>
      <x:c r="B99" s="330" t="n">
        <x:v>44831</x:v>
      </x:c>
      <x:c r="C99" s="330" t="n">
        <x:v>46080</x:v>
      </x:c>
      <x:c r="D99" t="n">
        <x:v>2022</x:v>
      </x:c>
      <x:c r="E99" t="n">
        <x:v>9</x:v>
      </x:c>
      <x:c r="F99" t="str">
        <x:v>183802/22/CBMP-QLD</x:v>
      </x:c>
      <x:c r="G99"/>
      <x:c r="H99" t="str">
        <x:v>Clearwave Matte De-Bac Concentrate</x:v>
      </x:c>
      <x:c r="I99" t="str">
        <x:v>BELLEW AVE</x:v>
      </x:c>
      <x:c r="J99" t="str">
        <x:v>Khác</x:v>
      </x:c>
      <x:c r="K99"/>
      <x:c r="L99" t="str">
        <x:v>Công ty TNHH Thương mại và phân phối Camellia</x:v>
      </x:c>
      <x:c r="M99" t="str">
        <x:v>Số 444 Hoàng Hoa Thám, phường Thụy Khuê, quận Tây Hồ, TP. Hà Nội, Việt Nam. Mã số doanh nghiệp: 0107644511</x:v>
      </x:c>
      <x:c r="N99"/>
      <x:c r="O99" t="str">
        <x:v>Thu hồi số tiếp nhận; đình chỉ lưu hành và thu hồi (QĐ 126/QĐ-QLD)</x:v>
      </x:c>
      <x:c r="P99" t="str">
        <x:v>A++ – Cục Quản lý Dược; company responsibility explicit</x:v>
      </x:c>
      <x:c r="Q99" t="str">
        <x:v>QĐ126/2026, STT 279, trang 27.</x:v>
      </x:c>
      <x:c r="R99" t="str">
        <x:v>https://dav.gov.vn/quyet-dinh-so-126qd-qld-ve-viec-thu-hoi-so-tiep-nhan-phieu-cong-bo-san-pham-my-pham-dinh-chi-luu-hanh-va-thu-hoi-san-pham-my-pham-theo-kl-cua-hd-my-pham-asean-doi-voi-san-pham-my-pham-co-chua-chat-cyclotetrasiloxane-octamethylcyclotetrasiloxane-n5224.html</x:v>
      </x:c>
      <x:c r="S99" t="str">
        <x:v>Hà Nội</x:v>
      </x:c>
      <x:c r="T99" t="str">
        <x:v>01</x:v>
      </x:c>
    </x:row>
    <x:row r="100">
      <x:c r="A100" t="n">
        <x:v>99</x:v>
      </x:c>
      <x:c r="B100" s="330" t="n">
        <x:v>45383</x:v>
      </x:c>
      <x:c r="C100" s="330" t="n">
        <x:v>46080</x:v>
      </x:c>
      <x:c r="D100" t="n">
        <x:v>2024</x:v>
      </x:c>
      <x:c r="E100" t="n">
        <x:v>4</x:v>
      </x:c>
      <x:c r="F100" t="str">
        <x:v>231274/24/CBMP-QLD</x:v>
      </x:c>
      <x:c r="G100"/>
      <x:c r="H100" t="str">
        <x:v>Clearwave Matte De-Bac Concentrate</x:v>
      </x:c>
      <x:c r="I100" t="str">
        <x:v>BELLEW AVE</x:v>
      </x:c>
      <x:c r="J100" t="str">
        <x:v>Khác</x:v>
      </x:c>
      <x:c r="K100"/>
      <x:c r="L100" t="str">
        <x:v>Công ty TNHH Thương mại và phân phối Camellia</x:v>
      </x:c>
      <x:c r="M100" t="str">
        <x:v>Số 444 Hoàng Hoa Thám, phường Thụy Khuê, quận Tây Hồ, TP. Hà Nội, Việt Nam. Mã số doanh nghiệp: 0107644511</x:v>
      </x:c>
      <x:c r="N100"/>
      <x:c r="O100" t="str">
        <x:v>Thu hồi số tiếp nhận; đình chỉ lưu hành và thu hồi (QĐ 126/QĐ-QLD)</x:v>
      </x:c>
      <x:c r="P100" t="str">
        <x:v>A++ – Cục Quản lý Dược; company responsibility explicit</x:v>
      </x:c>
      <x:c r="Q100" t="str">
        <x:v>QĐ126/2026, STT 280, trang 27.</x:v>
      </x:c>
      <x:c r="R100" t="str">
        <x:v>https://dav.gov.vn/quyet-dinh-so-126qd-qld-ve-viec-thu-hoi-so-tiep-nhan-phieu-cong-bo-san-pham-my-pham-dinh-chi-luu-hanh-va-thu-hoi-san-pham-my-pham-theo-kl-cua-hd-my-pham-asean-doi-voi-san-pham-my-pham-co-chua-chat-cyclotetrasiloxane-octamethylcyclotetrasiloxane-n5224.html</x:v>
      </x:c>
      <x:c r="S100" t="str">
        <x:v>Hà Nội</x:v>
      </x:c>
      <x:c r="T100" t="str">
        <x:v>01</x:v>
      </x:c>
    </x:row>
    <x:row r="101">
      <x:c r="A101" t="n">
        <x:v>100</x:v>
      </x:c>
      <x:c r="B101" s="330" t="n">
        <x:v>45848</x:v>
      </x:c>
      <x:c r="C101" s="330" t="n">
        <x:v>46080</x:v>
      </x:c>
      <x:c r="D101" t="n">
        <x:v>2025</x:v>
      </x:c>
      <x:c r="E101" t="n">
        <x:v>7</x:v>
      </x:c>
      <x:c r="F101" t="str">
        <x:v>280640/25/CBMP-QLD</x:v>
      </x:c>
      <x:c r="G101"/>
      <x:c r="H101" t="str">
        <x:v>It's A 10 Potion Miracle Shampoo</x:v>
      </x:c>
      <x:c r="I101" t="str">
        <x:v>IT'S A 10</x:v>
      </x:c>
      <x:c r="J101" t="str">
        <x:v>Dầu gội</x:v>
      </x:c>
      <x:c r="K101"/>
      <x:c r="L101" t="str">
        <x:v>Công ty TNHH tư vấn làm đẹp trực tuyến - Online Beauty Consultant Company Limited</x:v>
      </x:c>
      <x:c r="M101" t="str">
        <x:v>Số 116 Từ Hoa, phường Quảng An, quận Tây Hồ, TP. Hà Nội, Việt Nam. Mã số doanh nghiệp: 0109742641</x:v>
      </x:c>
      <x:c r="N101"/>
      <x:c r="O101" t="str">
        <x:v>Thu hồi số tiếp nhận; đình chỉ lưu hành và thu hồi (QĐ 126/QĐ-QLD)</x:v>
      </x:c>
      <x:c r="P101" t="str">
        <x:v>A++ – Cục Quản lý Dược; company responsibility explicit</x:v>
      </x:c>
      <x:c r="Q101" t="str">
        <x:v>QĐ126/2026, STT 284, trang 27.</x:v>
      </x:c>
      <x:c r="R101" t="str">
        <x:v>https://dav.gov.vn/quyet-dinh-so-126qd-qld-ve-viec-thu-hoi-so-tiep-nhan-phieu-cong-bo-san-pham-my-pham-dinh-chi-luu-hanh-va-thu-hoi-san-pham-my-pham-theo-kl-cua-hd-my-pham-asean-doi-voi-san-pham-my-pham-co-chua-chat-cyclotetrasiloxane-octamethylcyclotetrasiloxane-n5224.html</x:v>
      </x:c>
      <x:c r="S101" t="str">
        <x:v>Hà Nội</x:v>
      </x:c>
      <x:c r="T101" t="str">
        <x:v>01</x:v>
      </x:c>
    </x:row>
    <x:row r="102">
      <x:c r="A102" t="n">
        <x:v>101</x:v>
      </x:c>
      <x:c r="B102" s="330" t="n">
        <x:v>45194</x:v>
      </x:c>
      <x:c r="C102" s="330" t="n">
        <x:v>46080</x:v>
      </x:c>
      <x:c r="D102" t="n">
        <x:v>2023</x:v>
      </x:c>
      <x:c r="E102" t="n">
        <x:v>9</x:v>
      </x:c>
      <x:c r="F102" t="str">
        <x:v>212424/23/CBMP-QLD</x:v>
      </x:c>
      <x:c r="G102"/>
      <x:c r="H102" t="str">
        <x:v>Nuspa Anti Hair Loss Shampoo</x:v>
      </x:c>
      <x:c r="I102" t="str">
        <x:v>NUSPA</x:v>
      </x:c>
      <x:c r="J102" t="str">
        <x:v>Dầu gội</x:v>
      </x:c>
      <x:c r="K102"/>
      <x:c r="L102" t="str">
        <x:v>Công ty TNHH XUÂN THÌ</x:v>
      </x:c>
      <x:c r="M102" t="str">
        <x:v>Nhà A46-TT3 Khu đô thị Văn Quán, phường Phúc La, quận Hà Đông, TP. Hà Nội, Việt Nam. Mã số doanh nghiệp: 105304125</x:v>
      </x:c>
      <x:c r="N102"/>
      <x:c r="O102" t="str">
        <x:v>Thu hồi số tiếp nhận; đình chỉ lưu hành và thu hồi (QĐ 126/QĐ-QLD)</x:v>
      </x:c>
      <x:c r="P102" t="str">
        <x:v>A++ – Cục Quản lý Dược; company responsibility explicit</x:v>
      </x:c>
      <x:c r="Q102" t="str">
        <x:v>QĐ126/2026, STT 285, trang 27.</x:v>
      </x:c>
      <x:c r="R102" t="str">
        <x:v>https://dav.gov.vn/quyet-dinh-so-126qd-qld-ve-viec-thu-hoi-so-tiep-nhan-phieu-cong-bo-san-pham-my-pham-dinh-chi-luu-hanh-va-thu-hoi-san-pham-my-pham-theo-kl-cua-hd-my-pham-asean-doi-voi-san-pham-my-pham-co-chua-chat-cyclotetrasiloxane-octamethylcyclotetrasiloxane-n5224.html</x:v>
      </x:c>
      <x:c r="S102" t="str">
        <x:v>Hà Nội</x:v>
      </x:c>
      <x:c r="T102" t="str">
        <x:v>01</x:v>
      </x:c>
    </x:row>
    <x:row r="103">
      <x:c r="A103" t="n">
        <x:v>102</x:v>
      </x:c>
      <x:c r="B103" s="330" t="n">
        <x:v>45541</x:v>
      </x:c>
      <x:c r="C103" s="330" t="n">
        <x:v>46080</x:v>
      </x:c>
      <x:c r="D103" t="n">
        <x:v>2024</x:v>
      </x:c>
      <x:c r="E103" t="n">
        <x:v>9</x:v>
      </x:c>
      <x:c r="F103" t="str">
        <x:v>248784/24/CBMP-QLD</x:v>
      </x:c>
      <x:c r="G103"/>
      <x:c r="H103" t="str">
        <x:v>Vemontes Veloof Super Varriel Cream</x:v>
      </x:c>
      <x:c r="I103" t="str">
        <x:v>VEMONT ES</x:v>
      </x:c>
      <x:c r="J103" t="str">
        <x:v>Kem dưỡng da</x:v>
      </x:c>
      <x:c r="K103"/>
      <x:c r="L103" t="str">
        <x:v>Công ty TNHH ZION AND THE BEAUTY VIETNAM</x:v>
      </x:c>
      <x:c r="M103" t="str">
        <x:v>Số 26 phố Dương Đình Nghệ, phường Yên Hoà, quận Cầu Giấy, TP. Hà Nội, Việt Nam. Mã số doanh nghiệp: 0109584089</x:v>
      </x:c>
      <x:c r="N103"/>
      <x:c r="O103" t="str">
        <x:v>Thu hồi số tiếp nhận; đình chỉ lưu hành và thu hồi (QĐ 126/QĐ-QLD)</x:v>
      </x:c>
      <x:c r="P103" t="str">
        <x:v>A++ – Cục Quản lý Dược; company responsibility explicit</x:v>
      </x:c>
      <x:c r="Q103" t="str">
        <x:v>QĐ126/2026, STT 290, trang 28.</x:v>
      </x:c>
      <x:c r="R103" t="str">
        <x:v>https://dav.gov.vn/quyet-dinh-so-126qd-qld-ve-viec-thu-hoi-so-tiep-nhan-phieu-cong-bo-san-pham-my-pham-dinh-chi-luu-hanh-va-thu-hoi-san-pham-my-pham-theo-kl-cua-hd-my-pham-asean-doi-voi-san-pham-my-pham-co-chua-chat-cyclotetrasiloxane-octamethylcyclotetrasiloxane-n5224.html</x:v>
      </x:c>
      <x:c r="S103" t="str">
        <x:v>Hà Nội</x:v>
      </x:c>
      <x:c r="T103" t="str">
        <x:v>01</x:v>
      </x:c>
    </x:row>
    <x:row r="104">
      <x:c r="A104" t="n">
        <x:v>103</x:v>
      </x:c>
      <x:c r="B104" s="330"/>
      <x:c r="C104" s="330" t="n">
        <x:v>46155</x:v>
      </x:c>
      <x:c r="D104" t="n">
        <x:v>2022</x:v>
      </x:c>
      <x:c r="E104"/>
      <x:c r="F104" t="str">
        <x:v>11594/22/CBMP-HN</x:v>
      </x:c>
      <x:c r="G104"/>
      <x:c r="H104" t="str">
        <x:v>Nước tài lộc</x:v>
      </x:c>
      <x:c r="I104"/>
      <x:c r="J104" t="str">
        <x:v>Khác</x:v>
      </x:c>
      <x:c r="K104"/>
      <x:c r="L104" t="str">
        <x:v>Công ty cổ phần sản xuất và thương mại Bio Cosmetics</x:v>
      </x:c>
      <x:c r="M104"/>
      <x:c r="N104" t="str">
        <x:v>Công ty TNHH mỹ phẩm Việt Hương</x:v>
      </x:c>
      <x:c r="O104" t="str">
        <x:v>Đình chỉ lưu hành, thu hồi và tiêu hủy – Công văn 1772/QLD-MP</x:v>
      </x:c>
      <x:c r="P104" t="str">
        <x:v>A++ – Cục Quản lý Dược; tổ chức chịu trách nhiệm explicit</x:v>
      </x:c>
      <x:c r="Q104" t="str">
        <x:v>Phụ lục 511 sản phẩm, STT 11, trang 3. Công ty Việt Hương là cơ sở sản xuất; cột tổ chức chịu trách nhiệm lấy nguyên văn từ phụ lục.</x:v>
      </x:c>
      <x:c r="R104" t="str">
        <x:v>https://dav.gov.vn/cong-van-so-1772qld-mp-ve-viec-dinh-chi-luu-hanh-thu-hoi-va-tieu-huy-my-pham-vi-pham-cong-ty-tnhh-my-pham-viet-huong-n5334.html</x:v>
      </x:c>
      <x:c r="S104" t="str">
        <x:v>Hà Nội</x:v>
      </x:c>
      <x:c r="T104" t="str">
        <x:v>01</x:v>
      </x:c>
    </x:row>
    <x:row r="105">
      <x:c r="A105" t="n">
        <x:v>104</x:v>
      </x:c>
      <x:c r="B105" s="330"/>
      <x:c r="C105" s="330" t="n">
        <x:v>46155</x:v>
      </x:c>
      <x:c r="D105" t="n">
        <x:v>2022</x:v>
      </x:c>
      <x:c r="E105"/>
      <x:c r="F105" t="str">
        <x:v>11595/22/CBMP-HN</x:v>
      </x:c>
      <x:c r="G105"/>
      <x:c r="H105" t="str">
        <x:v>Sữa tắm tài lộc</x:v>
      </x:c>
      <x:c r="I105"/>
      <x:c r="J105" t="str">
        <x:v>Sữa tắm/Gel tắm</x:v>
      </x:c>
      <x:c r="K105"/>
      <x:c r="L105" t="str">
        <x:v>Công ty cổ phần sản xuất và thương mại Bio Cosmetics</x:v>
      </x:c>
      <x:c r="M105"/>
      <x:c r="N105" t="str">
        <x:v>Công ty TNHH mỹ phẩm Việt Hương</x:v>
      </x:c>
      <x:c r="O105" t="str">
        <x:v>Đình chỉ lưu hành, thu hồi và tiêu hủy – Công văn 1772/QLD-MP</x:v>
      </x:c>
      <x:c r="P105" t="str">
        <x:v>A++ – Cục Quản lý Dược; tổ chức chịu trách nhiệm explicit</x:v>
      </x:c>
      <x:c r="Q105" t="str">
        <x:v>Phụ lục 511 sản phẩm, STT 12, trang 3. Công ty Việt Hương là cơ sở sản xuất; cột tổ chức chịu trách nhiệm lấy nguyên văn từ phụ lục.</x:v>
      </x:c>
      <x:c r="R105" t="str">
        <x:v>https://dav.gov.vn/cong-van-so-1772qld-mp-ve-viec-dinh-chi-luu-hanh-thu-hoi-va-tieu-huy-my-pham-vi-pham-cong-ty-tnhh-my-pham-viet-huong-n5334.html</x:v>
      </x:c>
      <x:c r="S105" t="str">
        <x:v>Hà Nội</x:v>
      </x:c>
      <x:c r="T105" t="str">
        <x:v>01</x:v>
      </x:c>
    </x:row>
    <x:row r="106">
      <x:c r="A106" t="n">
        <x:v>105</x:v>
      </x:c>
      <x:c r="B106" s="330"/>
      <x:c r="C106" s="330" t="n">
        <x:v>46155</x:v>
      </x:c>
      <x:c r="D106" t="n">
        <x:v>2022</x:v>
      </x:c>
      <x:c r="E106"/>
      <x:c r="F106" t="str">
        <x:v>11726/22/CBMP-HN</x:v>
      </x:c>
      <x:c r="G106"/>
      <x:c r="H106" t="str">
        <x:v>Serum 9 Days</x:v>
      </x:c>
      <x:c r="I106"/>
      <x:c r="J106" t="str">
        <x:v>Serum/Essence da</x:v>
      </x:c>
      <x:c r="K106"/>
      <x:c r="L106" t="str">
        <x:v>Công ty cổ phần sản xuất và thương mại Bio Cosmetics</x:v>
      </x:c>
      <x:c r="M106"/>
      <x:c r="N106" t="str">
        <x:v>Công ty TNHH mỹ phẩm Việt Hương</x:v>
      </x:c>
      <x:c r="O106" t="str">
        <x:v>Đình chỉ lưu hành, thu hồi và tiêu hủy – Công văn 1772/QLD-MP</x:v>
      </x:c>
      <x:c r="P106" t="str">
        <x:v>A++ – Cục Quản lý Dược; tổ chức chịu trách nhiệm explicit</x:v>
      </x:c>
      <x:c r="Q106" t="str">
        <x:v>Phụ lục 511 sản phẩm, STT 13, trang 3. Công ty Việt Hương là cơ sở sản xuất; cột tổ chức chịu trách nhiệm lấy nguyên văn từ phụ lục.</x:v>
      </x:c>
      <x:c r="R106" t="str">
        <x:v>https://dav.gov.vn/cong-van-so-1772qld-mp-ve-viec-dinh-chi-luu-hanh-thu-hoi-va-tieu-huy-my-pham-vi-pham-cong-ty-tnhh-my-pham-viet-huong-n5334.html</x:v>
      </x:c>
      <x:c r="S106" t="str">
        <x:v>Hà Nội</x:v>
      </x:c>
      <x:c r="T106" t="str">
        <x:v>01</x:v>
      </x:c>
    </x:row>
    <x:row r="107">
      <x:c r="A107" t="n">
        <x:v>106</x:v>
      </x:c>
      <x:c r="B107" s="330"/>
      <x:c r="C107" s="330" t="n">
        <x:v>46155</x:v>
      </x:c>
      <x:c r="D107" t="n">
        <x:v>2022</x:v>
      </x:c>
      <x:c r="E107"/>
      <x:c r="F107" t="str">
        <x:v>12058/22/CBMP-HN</x:v>
      </x:c>
      <x:c r="G107"/>
      <x:c r="H107" t="str">
        <x:v>Tinh chất nám</x:v>
      </x:c>
      <x:c r="I107"/>
      <x:c r="J107" t="str">
        <x:v>Serum/Essence da</x:v>
      </x:c>
      <x:c r="K107"/>
      <x:c r="L107" t="str">
        <x:v>Công ty cổ phần sản xuất và thương mại Bio Cosmetics</x:v>
      </x:c>
      <x:c r="M107"/>
      <x:c r="N107" t="str">
        <x:v>Công ty TNHH mỹ phẩm Việt Hương</x:v>
      </x:c>
      <x:c r="O107" t="str">
        <x:v>Đình chỉ lưu hành, thu hồi và tiêu hủy – Công văn 1772/QLD-MP</x:v>
      </x:c>
      <x:c r="P107" t="str">
        <x:v>A++ – Cục Quản lý Dược; tổ chức chịu trách nhiệm explicit</x:v>
      </x:c>
      <x:c r="Q107" t="str">
        <x:v>Phụ lục 511 sản phẩm, STT 14, trang 3. Công ty Việt Hương là cơ sở sản xuất; cột tổ chức chịu trách nhiệm lấy nguyên văn từ phụ lục.</x:v>
      </x:c>
      <x:c r="R107" t="str">
        <x:v>https://dav.gov.vn/cong-van-so-1772qld-mp-ve-viec-dinh-chi-luu-hanh-thu-hoi-va-tieu-huy-my-pham-vi-pham-cong-ty-tnhh-my-pham-viet-huong-n5334.html</x:v>
      </x:c>
      <x:c r="S107" t="str">
        <x:v>Hà Nội</x:v>
      </x:c>
      <x:c r="T107" t="str">
        <x:v>01</x:v>
      </x:c>
    </x:row>
    <x:row r="108">
      <x:c r="A108" t="n">
        <x:v>107</x:v>
      </x:c>
      <x:c r="B108" s="330"/>
      <x:c r="C108" s="330" t="n">
        <x:v>46155</x:v>
      </x:c>
      <x:c r="D108" t="n">
        <x:v>2022</x:v>
      </x:c>
      <x:c r="E108"/>
      <x:c r="F108" t="str">
        <x:v>12171/22/CBMP-HN</x:v>
      </x:c>
      <x:c r="G108"/>
      <x:c r="H108" t="str">
        <x:v>Kem dưỡng</x:v>
      </x:c>
      <x:c r="I108"/>
      <x:c r="J108" t="str">
        <x:v>Kem dưỡng da</x:v>
      </x:c>
      <x:c r="K108"/>
      <x:c r="L108" t="str">
        <x:v>Công ty cổ phần sản xuất và thương mại Bio Cosmetics</x:v>
      </x:c>
      <x:c r="M108"/>
      <x:c r="N108" t="str">
        <x:v>Công ty TNHH mỹ phẩm Việt Hương</x:v>
      </x:c>
      <x:c r="O108" t="str">
        <x:v>Đình chỉ lưu hành, thu hồi và tiêu hủy – Công văn 1772/QLD-MP</x:v>
      </x:c>
      <x:c r="P108" t="str">
        <x:v>A++ – Cục Quản lý Dược; tổ chức chịu trách nhiệm explicit</x:v>
      </x:c>
      <x:c r="Q108" t="str">
        <x:v>Phụ lục 511 sản phẩm, STT 15, trang 3. Công ty Việt Hương là cơ sở sản xuất; cột tổ chức chịu trách nhiệm lấy nguyên văn từ phụ lục.</x:v>
      </x:c>
      <x:c r="R108" t="str">
        <x:v>https://dav.gov.vn/cong-van-so-1772qld-mp-ve-viec-dinh-chi-luu-hanh-thu-hoi-va-tieu-huy-my-pham-vi-pham-cong-ty-tnhh-my-pham-viet-huong-n5334.html</x:v>
      </x:c>
      <x:c r="S108" t="str">
        <x:v>Hà Nội</x:v>
      </x:c>
      <x:c r="T108" t="str">
        <x:v>01</x:v>
      </x:c>
    </x:row>
    <x:row r="109">
      <x:c r="A109" t="n">
        <x:v>108</x:v>
      </x:c>
      <x:c r="B109" s="330"/>
      <x:c r="C109" s="330" t="n">
        <x:v>46155</x:v>
      </x:c>
      <x:c r="D109" t="n">
        <x:v>2022</x:v>
      </x:c>
      <x:c r="E109"/>
      <x:c r="F109" t="str">
        <x:v>12348/22/CBMP-HN</x:v>
      </x:c>
      <x:c r="G109"/>
      <x:c r="H109" t="str">
        <x:v>Serum hôi nách</x:v>
      </x:c>
      <x:c r="I109"/>
      <x:c r="J109" t="str">
        <x:v>Khử mùi</x:v>
      </x:c>
      <x:c r="K109"/>
      <x:c r="L109" t="str">
        <x:v>Công ty cổ phần sản xuất và thương mại Bio Cosmetics</x:v>
      </x:c>
      <x:c r="M109"/>
      <x:c r="N109" t="str">
        <x:v>Công ty TNHH mỹ phẩm Việt Hương</x:v>
      </x:c>
      <x:c r="O109" t="str">
        <x:v>Đình chỉ lưu hành, thu hồi và tiêu hủy – Công văn 1772/QLD-MP</x:v>
      </x:c>
      <x:c r="P109" t="str">
        <x:v>A++ – Cục Quản lý Dược; tổ chức chịu trách nhiệm explicit</x:v>
      </x:c>
      <x:c r="Q109" t="str">
        <x:v>Phụ lục 511 sản phẩm, STT 16, trang 3. Công ty Việt Hương là cơ sở sản xuất; cột tổ chức chịu trách nhiệm lấy nguyên văn từ phụ lục.</x:v>
      </x:c>
      <x:c r="R109" t="str">
        <x:v>https://dav.gov.vn/cong-van-so-1772qld-mp-ve-viec-dinh-chi-luu-hanh-thu-hoi-va-tieu-huy-my-pham-vi-pham-cong-ty-tnhh-my-pham-viet-huong-n5334.html</x:v>
      </x:c>
      <x:c r="S109" t="str">
        <x:v>Hà Nội</x:v>
      </x:c>
      <x:c r="T109" t="str">
        <x:v>01</x:v>
      </x:c>
    </x:row>
    <x:row r="110">
      <x:c r="A110" t="n">
        <x:v>109</x:v>
      </x:c>
      <x:c r="B110" s="330"/>
      <x:c r="C110" s="330" t="n">
        <x:v>46155</x:v>
      </x:c>
      <x:c r="D110" t="n">
        <x:v>2022</x:v>
      </x:c>
      <x:c r="E110"/>
      <x:c r="F110" t="str">
        <x:v>12349/22/CBMP-HN</x:v>
      </x:c>
      <x:c r="G110"/>
      <x:c r="H110" t="str">
        <x:v>Dầu gội phủ bạc</x:v>
      </x:c>
      <x:c r="I110"/>
      <x:c r="J110" t="str">
        <x:v>Dầu gội</x:v>
      </x:c>
      <x:c r="K110"/>
      <x:c r="L110" t="str">
        <x:v>Công ty cổ phần sản xuất và thương mại Bio Cosmetics</x:v>
      </x:c>
      <x:c r="M110"/>
      <x:c r="N110" t="str">
        <x:v>Công ty TNHH mỹ phẩm Việt Hương</x:v>
      </x:c>
      <x:c r="O110" t="str">
        <x:v>Đình chỉ lưu hành, thu hồi và tiêu hủy – Công văn 1772/QLD-MP</x:v>
      </x:c>
      <x:c r="P110" t="str">
        <x:v>A++ – Cục Quản lý Dược; tổ chức chịu trách nhiệm explicit</x:v>
      </x:c>
      <x:c r="Q110" t="str">
        <x:v>Phụ lục 511 sản phẩm, STT 17, trang 3. Công ty Việt Hương là cơ sở sản xuất; cột tổ chức chịu trách nhiệm lấy nguyên văn từ phụ lục.</x:v>
      </x:c>
      <x:c r="R110" t="str">
        <x:v>https://dav.gov.vn/cong-van-so-1772qld-mp-ve-viec-dinh-chi-luu-hanh-thu-hoi-va-tieu-huy-my-pham-vi-pham-cong-ty-tnhh-my-pham-viet-huong-n5334.html</x:v>
      </x:c>
      <x:c r="S110" t="str">
        <x:v>Hà Nội</x:v>
      </x:c>
      <x:c r="T110" t="str">
        <x:v>01</x:v>
      </x:c>
    </x:row>
    <x:row r="111">
      <x:c r="A111" t="n">
        <x:v>110</x:v>
      </x:c>
      <x:c r="B111" s="330"/>
      <x:c r="C111" s="330" t="n">
        <x:v>46155</x:v>
      </x:c>
      <x:c r="D111" t="n">
        <x:v>2022</x:v>
      </x:c>
      <x:c r="E111"/>
      <x:c r="F111" t="str">
        <x:v>12710/22/CBMP-HN</x:v>
      </x:c>
      <x:c r="G111"/>
      <x:c r="H111" t="str">
        <x:v>Curcumin Mask</x:v>
      </x:c>
      <x:c r="I111"/>
      <x:c r="J111" t="str">
        <x:v>Mặt nạ</x:v>
      </x:c>
      <x:c r="K111"/>
      <x:c r="L111" t="str">
        <x:v>Công ty cổ phần sản xuất và thương mại Bio Cosmetics</x:v>
      </x:c>
      <x:c r="M111"/>
      <x:c r="N111" t="str">
        <x:v>Công ty TNHH mỹ phẩm Việt Hương</x:v>
      </x:c>
      <x:c r="O111" t="str">
        <x:v>Đình chỉ lưu hành, thu hồi và tiêu hủy – Công văn 1772/QLD-MP</x:v>
      </x:c>
      <x:c r="P111" t="str">
        <x:v>A++ – Cục Quản lý Dược; tổ chức chịu trách nhiệm explicit</x:v>
      </x:c>
      <x:c r="Q111" t="str">
        <x:v>Phụ lục 511 sản phẩm, STT 18, trang 3. Công ty Việt Hương là cơ sở sản xuất; cột tổ chức chịu trách nhiệm lấy nguyên văn từ phụ lục.</x:v>
      </x:c>
      <x:c r="R111" t="str">
        <x:v>https://dav.gov.vn/cong-van-so-1772qld-mp-ve-viec-dinh-chi-luu-hanh-thu-hoi-va-tieu-huy-my-pham-vi-pham-cong-ty-tnhh-my-pham-viet-huong-n5334.html</x:v>
      </x:c>
      <x:c r="S111" t="str">
        <x:v>Hà Nội</x:v>
      </x:c>
      <x:c r="T111" t="str">
        <x:v>01</x:v>
      </x:c>
    </x:row>
    <x:row r="112">
      <x:c r="A112" t="n">
        <x:v>111</x:v>
      </x:c>
      <x:c r="B112" s="330"/>
      <x:c r="C112" s="330" t="n">
        <x:v>46155</x:v>
      </x:c>
      <x:c r="D112" t="n">
        <x:v>2022</x:v>
      </x:c>
      <x:c r="E112"/>
      <x:c r="F112" t="str">
        <x:v>12574/22/CBMP-HN</x:v>
      </x:c>
      <x:c r="G112"/>
      <x:c r="H112" t="str">
        <x:v>Serum tái tạo da X2</x:v>
      </x:c>
      <x:c r="I112"/>
      <x:c r="J112" t="str">
        <x:v>Serum/Essence da</x:v>
      </x:c>
      <x:c r="K112"/>
      <x:c r="L112" t="str">
        <x:v>Công ty cổ phần sản xuất và thương mại Bio Cosmetics</x:v>
      </x:c>
      <x:c r="M112"/>
      <x:c r="N112" t="str">
        <x:v>Công ty TNHH mỹ phẩm Việt Hương</x:v>
      </x:c>
      <x:c r="O112" t="str">
        <x:v>Đình chỉ lưu hành, thu hồi và tiêu hủy – Công văn 1772/QLD-MP</x:v>
      </x:c>
      <x:c r="P112" t="str">
        <x:v>A++ – Cục Quản lý Dược; tổ chức chịu trách nhiệm explicit</x:v>
      </x:c>
      <x:c r="Q112" t="str">
        <x:v>Phụ lục 511 sản phẩm, STT 19, trang 3. Công ty Việt Hương là cơ sở sản xuất; cột tổ chức chịu trách nhiệm lấy nguyên văn từ phụ lục.</x:v>
      </x:c>
      <x:c r="R112" t="str">
        <x:v>https://dav.gov.vn/cong-van-so-1772qld-mp-ve-viec-dinh-chi-luu-hanh-thu-hoi-va-tieu-huy-my-pham-vi-pham-cong-ty-tnhh-my-pham-viet-huong-n5334.html</x:v>
      </x:c>
      <x:c r="S112" t="str">
        <x:v>Hà Nội</x:v>
      </x:c>
      <x:c r="T112" t="str">
        <x:v>01</x:v>
      </x:c>
    </x:row>
    <x:row r="113">
      <x:c r="A113" t="n">
        <x:v>112</x:v>
      </x:c>
      <x:c r="B113" s="330"/>
      <x:c r="C113" s="330" t="n">
        <x:v>46155</x:v>
      </x:c>
      <x:c r="D113" t="n">
        <x:v>2022</x:v>
      </x:c>
      <x:c r="E113"/>
      <x:c r="F113" t="str">
        <x:v>13729/22/CBMP-HN</x:v>
      </x:c>
      <x:c r="G113"/>
      <x:c r="H113" t="str">
        <x:v>Xịt thơm miệng</x:v>
      </x:c>
      <x:c r="I113"/>
      <x:c r="J113" t="str">
        <x:v>Chăm sóc răng miệng</x:v>
      </x:c>
      <x:c r="K113"/>
      <x:c r="L113" t="str">
        <x:v>Công ty cổ phần sản xuất và thương mại Bio Cosmetics</x:v>
      </x:c>
      <x:c r="M113"/>
      <x:c r="N113" t="str">
        <x:v>Công ty TNHH mỹ phẩm Việt Hương</x:v>
      </x:c>
      <x:c r="O113" t="str">
        <x:v>Đình chỉ lưu hành, thu hồi và tiêu hủy – Công văn 1772/QLD-MP</x:v>
      </x:c>
      <x:c r="P113" t="str">
        <x:v>A++ – Cục Quản lý Dược; tổ chức chịu trách nhiệm explicit</x:v>
      </x:c>
      <x:c r="Q113" t="str">
        <x:v>Phụ lục 511 sản phẩm, STT 20, trang 3. Công ty Việt Hương là cơ sở sản xuất; cột tổ chức chịu trách nhiệm lấy nguyên văn từ phụ lục.</x:v>
      </x:c>
      <x:c r="R113" t="str">
        <x:v>https://dav.gov.vn/cong-van-so-1772qld-mp-ve-viec-dinh-chi-luu-hanh-thu-hoi-va-tieu-huy-my-pham-vi-pham-cong-ty-tnhh-my-pham-viet-huong-n5334.html</x:v>
      </x:c>
      <x:c r="S113" t="str">
        <x:v>Hà Nội</x:v>
      </x:c>
      <x:c r="T113" t="str">
        <x:v>01</x:v>
      </x:c>
    </x:row>
    <x:row r="114">
      <x:c r="A114" t="n">
        <x:v>113</x:v>
      </x:c>
      <x:c r="B114" s="330"/>
      <x:c r="C114" s="330" t="n">
        <x:v>46155</x:v>
      </x:c>
      <x:c r="D114" t="n">
        <x:v>2022</x:v>
      </x:c>
      <x:c r="E114"/>
      <x:c r="F114" t="str">
        <x:v>14286/22/CBMP-HN</x:v>
      </x:c>
      <x:c r="G114"/>
      <x:c r="H114" t="str">
        <x:v>Meso Therapy B3 Bio</x:v>
      </x:c>
      <x:c r="I114"/>
      <x:c r="J114" t="str">
        <x:v>Khác</x:v>
      </x:c>
      <x:c r="K114"/>
      <x:c r="L114" t="str">
        <x:v>Công ty cổ phần sản xuất và thương mại Bio Cosmetics</x:v>
      </x:c>
      <x:c r="M114"/>
      <x:c r="N114" t="str">
        <x:v>Công ty TNHH mỹ phẩm Việt Hương</x:v>
      </x:c>
      <x:c r="O114" t="str">
        <x:v>Đình chỉ lưu hành, thu hồi và tiêu hủy – Công văn 1772/QLD-MP</x:v>
      </x:c>
      <x:c r="P114" t="str">
        <x:v>A++ – Cục Quản lý Dược; tổ chức chịu trách nhiệm explicit</x:v>
      </x:c>
      <x:c r="Q114" t="str">
        <x:v>Phụ lục 511 sản phẩm, STT 21, trang 3. Công ty Việt Hương là cơ sở sản xuất; cột tổ chức chịu trách nhiệm lấy nguyên văn từ phụ lục.</x:v>
      </x:c>
      <x:c r="R114" t="str">
        <x:v>https://dav.gov.vn/cong-van-so-1772qld-mp-ve-viec-dinh-chi-luu-hanh-thu-hoi-va-tieu-huy-my-pham-vi-pham-cong-ty-tnhh-my-pham-viet-huong-n5334.html</x:v>
      </x:c>
      <x:c r="S114" t="str">
        <x:v>Hà Nội</x:v>
      </x:c>
      <x:c r="T114" t="str">
        <x:v>01</x:v>
      </x:c>
    </x:row>
    <x:row r="115">
      <x:c r="A115" t="n">
        <x:v>114</x:v>
      </x:c>
      <x:c r="B115" s="330"/>
      <x:c r="C115" s="330" t="n">
        <x:v>46155</x:v>
      </x:c>
      <x:c r="D115" t="n">
        <x:v>2022</x:v>
      </x:c>
      <x:c r="E115"/>
      <x:c r="F115" t="str">
        <x:v>14287/22/CBMP-HN</x:v>
      </x:c>
      <x:c r="G115"/>
      <x:c r="H115" t="str">
        <x:v>Meso Therapy Bio</x:v>
      </x:c>
      <x:c r="I115"/>
      <x:c r="J115" t="str">
        <x:v>Khác</x:v>
      </x:c>
      <x:c r="K115"/>
      <x:c r="L115" t="str">
        <x:v>Công ty cổ phần sản xuất và thương mại Bio Cosmetics</x:v>
      </x:c>
      <x:c r="M115"/>
      <x:c r="N115" t="str">
        <x:v>Công ty TNHH mỹ phẩm Việt Hương</x:v>
      </x:c>
      <x:c r="O115" t="str">
        <x:v>Đình chỉ lưu hành, thu hồi và tiêu hủy – Công văn 1772/QLD-MP</x:v>
      </x:c>
      <x:c r="P115" t="str">
        <x:v>A++ – Cục Quản lý Dược; tổ chức chịu trách nhiệm explicit</x:v>
      </x:c>
      <x:c r="Q115" t="str">
        <x:v>Phụ lục 511 sản phẩm, STT 22, trang 3. Công ty Việt Hương là cơ sở sản xuất; cột tổ chức chịu trách nhiệm lấy nguyên văn từ phụ lục.</x:v>
      </x:c>
      <x:c r="R115" t="str">
        <x:v>https://dav.gov.vn/cong-van-so-1772qld-mp-ve-viec-dinh-chi-luu-hanh-thu-hoi-va-tieu-huy-my-pham-vi-pham-cong-ty-tnhh-my-pham-viet-huong-n5334.html</x:v>
      </x:c>
      <x:c r="S115" t="str">
        <x:v>Hà Nội</x:v>
      </x:c>
      <x:c r="T115" t="str">
        <x:v>01</x:v>
      </x:c>
    </x:row>
    <x:row r="116">
      <x:c r="A116" t="n">
        <x:v>115</x:v>
      </x:c>
      <x:c r="B116" s="330"/>
      <x:c r="C116" s="330" t="n">
        <x:v>46155</x:v>
      </x:c>
      <x:c r="D116" t="n">
        <x:v>2022</x:v>
      </x:c>
      <x:c r="E116"/>
      <x:c r="F116" t="str">
        <x:v>14509/22/CBMP-HN</x:v>
      </x:c>
      <x:c r="G116"/>
      <x:c r="H116" t="str">
        <x:v>Peel Bio Dr+</x:v>
      </x:c>
      <x:c r="I116"/>
      <x:c r="J116" t="str">
        <x:v>Khác</x:v>
      </x:c>
      <x:c r="K116"/>
      <x:c r="L116" t="str">
        <x:v>Công ty cổ phần sản xuất và thương mại Bio Cosmetics</x:v>
      </x:c>
      <x:c r="M116"/>
      <x:c r="N116" t="str">
        <x:v>Công ty TNHH mỹ phẩm Việt Hương</x:v>
      </x:c>
      <x:c r="O116" t="str">
        <x:v>Đình chỉ lưu hành, thu hồi và tiêu hủy – Công văn 1772/QLD-MP</x:v>
      </x:c>
      <x:c r="P116" t="str">
        <x:v>A++ – Cục Quản lý Dược; tổ chức chịu trách nhiệm explicit</x:v>
      </x:c>
      <x:c r="Q116" t="str">
        <x:v>Phụ lục 511 sản phẩm, STT 23, trang 3. Công ty Việt Hương là cơ sở sản xuất; cột tổ chức chịu trách nhiệm lấy nguyên văn từ phụ lục.</x:v>
      </x:c>
      <x:c r="R116" t="str">
        <x:v>https://dav.gov.vn/cong-van-so-1772qld-mp-ve-viec-dinh-chi-luu-hanh-thu-hoi-va-tieu-huy-my-pham-vi-pham-cong-ty-tnhh-my-pham-viet-huong-n5334.html</x:v>
      </x:c>
      <x:c r="S116" t="str">
        <x:v>Hà Nội</x:v>
      </x:c>
      <x:c r="T116" t="str">
        <x:v>01</x:v>
      </x:c>
    </x:row>
    <x:row r="117">
      <x:c r="A117" t="n">
        <x:v>116</x:v>
      </x:c>
      <x:c r="B117" s="330"/>
      <x:c r="C117" s="330" t="n">
        <x:v>46155</x:v>
      </x:c>
      <x:c r="D117" t="n">
        <x:v>2022</x:v>
      </x:c>
      <x:c r="E117"/>
      <x:c r="F117" t="str">
        <x:v>14510/22/CBMP-HN</x:v>
      </x:c>
      <x:c r="G117"/>
      <x:c r="H117" t="str">
        <x:v>Stem Cells</x:v>
      </x:c>
      <x:c r="I117"/>
      <x:c r="J117" t="str">
        <x:v>Khác</x:v>
      </x:c>
      <x:c r="K117"/>
      <x:c r="L117" t="str">
        <x:v>Công ty cổ phần sản xuất và thương mại Bio Cosmetics</x:v>
      </x:c>
      <x:c r="M117"/>
      <x:c r="N117" t="str">
        <x:v>Công ty TNHH mỹ phẩm Việt Hương</x:v>
      </x:c>
      <x:c r="O117" t="str">
        <x:v>Đình chỉ lưu hành, thu hồi và tiêu hủy – Công văn 1772/QLD-MP</x:v>
      </x:c>
      <x:c r="P117" t="str">
        <x:v>A++ – Cục Quản lý Dược; tổ chức chịu trách nhiệm explicit</x:v>
      </x:c>
      <x:c r="Q117" t="str">
        <x:v>Phụ lục 511 sản phẩm, STT 24, trang 3. Công ty Việt Hương là cơ sở sản xuất; cột tổ chức chịu trách nhiệm lấy nguyên văn từ phụ lục.</x:v>
      </x:c>
      <x:c r="R117" t="str">
        <x:v>https://dav.gov.vn/cong-van-so-1772qld-mp-ve-viec-dinh-chi-luu-hanh-thu-hoi-va-tieu-huy-my-pham-vi-pham-cong-ty-tnhh-my-pham-viet-huong-n5334.html</x:v>
      </x:c>
      <x:c r="S117" t="str">
        <x:v>Hà Nội</x:v>
      </x:c>
      <x:c r="T117" t="str">
        <x:v>01</x:v>
      </x:c>
    </x:row>
    <x:row r="118">
      <x:c r="A118" t="n">
        <x:v>117</x:v>
      </x:c>
      <x:c r="B118" s="330"/>
      <x:c r="C118" s="330" t="n">
        <x:v>46155</x:v>
      </x:c>
      <x:c r="D118" t="n">
        <x:v>2022</x:v>
      </x:c>
      <x:c r="E118"/>
      <x:c r="F118" t="str">
        <x:v>14511/22/CBMP-HN</x:v>
      </x:c>
      <x:c r="G118"/>
      <x:c r="H118" t="str">
        <x:v>Peel Bio A+</x:v>
      </x:c>
      <x:c r="I118"/>
      <x:c r="J118" t="str">
        <x:v>Khác</x:v>
      </x:c>
      <x:c r="K118"/>
      <x:c r="L118" t="str">
        <x:v>Công ty cổ phần sản xuất và thương mại Bio Cosmetics</x:v>
      </x:c>
      <x:c r="M118"/>
      <x:c r="N118" t="str">
        <x:v>Công ty TNHH mỹ phẩm Việt Hương</x:v>
      </x:c>
      <x:c r="O118" t="str">
        <x:v>Đình chỉ lưu hành, thu hồi và tiêu hủy – Công văn 1772/QLD-MP</x:v>
      </x:c>
      <x:c r="P118" t="str">
        <x:v>A++ – Cục Quản lý Dược; tổ chức chịu trách nhiệm explicit</x:v>
      </x:c>
      <x:c r="Q118" t="str">
        <x:v>Phụ lục 511 sản phẩm, STT 25, trang 3. Công ty Việt Hương là cơ sở sản xuất; cột tổ chức chịu trách nhiệm lấy nguyên văn từ phụ lục.</x:v>
      </x:c>
      <x:c r="R118" t="str">
        <x:v>https://dav.gov.vn/cong-van-so-1772qld-mp-ve-viec-dinh-chi-luu-hanh-thu-hoi-va-tieu-huy-my-pham-vi-pham-cong-ty-tnhh-my-pham-viet-huong-n5334.html</x:v>
      </x:c>
      <x:c r="S118" t="str">
        <x:v>Hà Nội</x:v>
      </x:c>
      <x:c r="T118" t="str">
        <x:v>01</x:v>
      </x:c>
    </x:row>
    <x:row r="119">
      <x:c r="A119" t="n">
        <x:v>118</x:v>
      </x:c>
      <x:c r="B119" s="330"/>
      <x:c r="C119" s="330" t="n">
        <x:v>46155</x:v>
      </x:c>
      <x:c r="D119" t="n">
        <x:v>2023</x:v>
      </x:c>
      <x:c r="E119"/>
      <x:c r="F119" t="str">
        <x:v>18175/23/CBMP-HN</x:v>
      </x:c>
      <x:c r="G119"/>
      <x:c r="H119" t="str">
        <x:v>Happy Gel</x:v>
      </x:c>
      <x:c r="I119"/>
      <x:c r="J119" t="str">
        <x:v>Khác</x:v>
      </x:c>
      <x:c r="K119"/>
      <x:c r="L119" t="str">
        <x:v>Công ty cổ phần sản xuất và thương mại Bio Cosmetics</x:v>
      </x:c>
      <x:c r="M119"/>
      <x:c r="N119" t="str">
        <x:v>Công ty TNHH mỹ phẩm Việt Hương</x:v>
      </x:c>
      <x:c r="O119" t="str">
        <x:v>Đình chỉ lưu hành, thu hồi và tiêu hủy – Công văn 1772/QLD-MP</x:v>
      </x:c>
      <x:c r="P119" t="str">
        <x:v>A++ – Cục Quản lý Dược; tổ chức chịu trách nhiệm explicit</x:v>
      </x:c>
      <x:c r="Q119" t="str">
        <x:v>Phụ lục 511 sản phẩm, STT 26, trang 3. Công ty Việt Hương là cơ sở sản xuất; cột tổ chức chịu trách nhiệm lấy nguyên văn từ phụ lục.</x:v>
      </x:c>
      <x:c r="R119" t="str">
        <x:v>https://dav.gov.vn/cong-van-so-1772qld-mp-ve-viec-dinh-chi-luu-hanh-thu-hoi-va-tieu-huy-my-pham-vi-pham-cong-ty-tnhh-my-pham-viet-huong-n5334.html</x:v>
      </x:c>
      <x:c r="S119" t="str">
        <x:v>Hà Nội</x:v>
      </x:c>
      <x:c r="T119" t="str">
        <x:v>01</x:v>
      </x:c>
    </x:row>
    <x:row r="120">
      <x:c r="A120" t="n">
        <x:v>119</x:v>
      </x:c>
      <x:c r="B120" s="330"/>
      <x:c r="C120" s="330" t="n">
        <x:v>46155</x:v>
      </x:c>
      <x:c r="D120" t="n">
        <x:v>2023</x:v>
      </x:c>
      <x:c r="E120"/>
      <x:c r="F120" t="str">
        <x:v>17857/23/CBMP-HN</x:v>
      </x:c>
      <x:c r="G120"/>
      <x:c r="H120" t="str">
        <x:v>Combo Vip Limited</x:v>
      </x:c>
      <x:c r="I120"/>
      <x:c r="J120" t="str">
        <x:v>Khác</x:v>
      </x:c>
      <x:c r="K120"/>
      <x:c r="L120" t="str">
        <x:v>Công ty cổ phần sản xuất và thương mại Bio Cosmetics</x:v>
      </x:c>
      <x:c r="M120"/>
      <x:c r="N120" t="str">
        <x:v>Công ty TNHH mỹ phẩm Việt Hương</x:v>
      </x:c>
      <x:c r="O120" t="str">
        <x:v>Đình chỉ lưu hành, thu hồi và tiêu hủy – Công văn 1772/QLD-MP</x:v>
      </x:c>
      <x:c r="P120" t="str">
        <x:v>A++ – Cục Quản lý Dược; tổ chức chịu trách nhiệm explicit</x:v>
      </x:c>
      <x:c r="Q120" t="str">
        <x:v>Phụ lục 511 sản phẩm, STT 27, trang 3. Công ty Việt Hương là cơ sở sản xuất; cột tổ chức chịu trách nhiệm lấy nguyên văn từ phụ lục.</x:v>
      </x:c>
      <x:c r="R120" t="str">
        <x:v>https://dav.gov.vn/cong-van-so-1772qld-mp-ve-viec-dinh-chi-luu-hanh-thu-hoi-va-tieu-huy-my-pham-vi-pham-cong-ty-tnhh-my-pham-viet-huong-n5334.html</x:v>
      </x:c>
      <x:c r="S120" t="str">
        <x:v>Hà Nội</x:v>
      </x:c>
      <x:c r="T120" t="str">
        <x:v>01</x:v>
      </x:c>
    </x:row>
    <x:row r="121">
      <x:c r="A121" t="n">
        <x:v>120</x:v>
      </x:c>
      <x:c r="B121" s="330"/>
      <x:c r="C121" s="330" t="n">
        <x:v>46155</x:v>
      </x:c>
      <x:c r="D121" t="n">
        <x:v>2023</x:v>
      </x:c>
      <x:c r="E121"/>
      <x:c r="F121" t="str">
        <x:v>18041/23/CBMP-HN</x:v>
      </x:c>
      <x:c r="G121"/>
      <x:c r="H121" t="str">
        <x:v>Vitamin E Lotion</x:v>
      </x:c>
      <x:c r="I121"/>
      <x:c r="J121" t="str">
        <x:v>Kem dưỡng da</x:v>
      </x:c>
      <x:c r="K121"/>
      <x:c r="L121" t="str">
        <x:v>Công ty cổ phần sản xuất và thương mại Bio Cosmetics</x:v>
      </x:c>
      <x:c r="M121"/>
      <x:c r="N121" t="str">
        <x:v>Công ty TNHH mỹ phẩm Việt Hương</x:v>
      </x:c>
      <x:c r="O121" t="str">
        <x:v>Đình chỉ lưu hành, thu hồi và tiêu hủy – Công văn 1772/QLD-MP</x:v>
      </x:c>
      <x:c r="P121" t="str">
        <x:v>A++ – Cục Quản lý Dược; tổ chức chịu trách nhiệm explicit</x:v>
      </x:c>
      <x:c r="Q121" t="str">
        <x:v>Phụ lục 511 sản phẩm, STT 28, trang 3. Công ty Việt Hương là cơ sở sản xuất; cột tổ chức chịu trách nhiệm lấy nguyên văn từ phụ lục.</x:v>
      </x:c>
      <x:c r="R121" t="str">
        <x:v>https://dav.gov.vn/cong-van-so-1772qld-mp-ve-viec-dinh-chi-luu-hanh-thu-hoi-va-tieu-huy-my-pham-vi-pham-cong-ty-tnhh-my-pham-viet-huong-n5334.html</x:v>
      </x:c>
      <x:c r="S121" t="str">
        <x:v>Hà Nội</x:v>
      </x:c>
      <x:c r="T121" t="str">
        <x:v>01</x:v>
      </x:c>
    </x:row>
    <x:row r="122">
      <x:c r="A122" t="n">
        <x:v>121</x:v>
      </x:c>
      <x:c r="B122" s="330"/>
      <x:c r="C122" s="330" t="n">
        <x:v>46155</x:v>
      </x:c>
      <x:c r="D122" t="n">
        <x:v>2023</x:v>
      </x:c>
      <x:c r="E122"/>
      <x:c r="F122" t="str">
        <x:v>18069/23/CBMP-HN</x:v>
      </x:c>
      <x:c r="G122"/>
      <x:c r="H122" t="str">
        <x:v>Charming Lips</x:v>
      </x:c>
      <x:c r="I122"/>
      <x:c r="J122" t="str">
        <x:v>Sản phẩm môi</x:v>
      </x:c>
      <x:c r="K122"/>
      <x:c r="L122" t="str">
        <x:v>Công ty cổ phần sản xuất và thương mại Bio Cosmetics</x:v>
      </x:c>
      <x:c r="M122"/>
      <x:c r="N122" t="str">
        <x:v>Công ty TNHH mỹ phẩm Việt Hương</x:v>
      </x:c>
      <x:c r="O122" t="str">
        <x:v>Đình chỉ lưu hành, thu hồi và tiêu hủy – Công văn 1772/QLD-MP</x:v>
      </x:c>
      <x:c r="P122" t="str">
        <x:v>A++ – Cục Quản lý Dược; tổ chức chịu trách nhiệm explicit</x:v>
      </x:c>
      <x:c r="Q122" t="str">
        <x:v>Phụ lục 511 sản phẩm, STT 29, trang 3. Công ty Việt Hương là cơ sở sản xuất; cột tổ chức chịu trách nhiệm lấy nguyên văn từ phụ lục.</x:v>
      </x:c>
      <x:c r="R122" t="str">
        <x:v>https://dav.gov.vn/cong-van-so-1772qld-mp-ve-viec-dinh-chi-luu-hanh-thu-hoi-va-tieu-huy-my-pham-vi-pham-cong-ty-tnhh-my-pham-viet-huong-n5334.html</x:v>
      </x:c>
      <x:c r="S122" t="str">
        <x:v>Hà Nội</x:v>
      </x:c>
      <x:c r="T122" t="str">
        <x:v>01</x:v>
      </x:c>
    </x:row>
    <x:row r="123">
      <x:c r="A123" t="n">
        <x:v>122</x:v>
      </x:c>
      <x:c r="B123" s="330"/>
      <x:c r="C123" s="330" t="n">
        <x:v>46155</x:v>
      </x:c>
      <x:c r="D123" t="n">
        <x:v>2023</x:v>
      </x:c>
      <x:c r="E123"/>
      <x:c r="F123" t="str">
        <x:v>16939/23/CBMP-HN</x:v>
      </x:c>
      <x:c r="G123"/>
      <x:c r="H123" t="str">
        <x:v>Tẩy trang</x:v>
      </x:c>
      <x:c r="I123"/>
      <x:c r="J123" t="str">
        <x:v>Tẩy trang</x:v>
      </x:c>
      <x:c r="K123"/>
      <x:c r="L123" t="str">
        <x:v>Công ty cổ phần sản xuất và thương mại Bio Cosmetics</x:v>
      </x:c>
      <x:c r="M123"/>
      <x:c r="N123" t="str">
        <x:v>Công ty TNHH mỹ phẩm Việt Hương</x:v>
      </x:c>
      <x:c r="O123" t="str">
        <x:v>Đình chỉ lưu hành, thu hồi và tiêu hủy – Công văn 1772/QLD-MP</x:v>
      </x:c>
      <x:c r="P123" t="str">
        <x:v>A++ – Cục Quản lý Dược; tổ chức chịu trách nhiệm explicit</x:v>
      </x:c>
      <x:c r="Q123" t="str">
        <x:v>Phụ lục 511 sản phẩm, STT 30, trang 3. Công ty Việt Hương là cơ sở sản xuất; cột tổ chức chịu trách nhiệm lấy nguyên văn từ phụ lục.</x:v>
      </x:c>
      <x:c r="R123" t="str">
        <x:v>https://dav.gov.vn/cong-van-so-1772qld-mp-ve-viec-dinh-chi-luu-hanh-thu-hoi-va-tieu-huy-my-pham-vi-pham-cong-ty-tnhh-my-pham-viet-huong-n5334.html</x:v>
      </x:c>
      <x:c r="S123" t="str">
        <x:v>Hà Nội</x:v>
      </x:c>
      <x:c r="T123" t="str">
        <x:v>01</x:v>
      </x:c>
    </x:row>
    <x:row r="124">
      <x:c r="A124" t="n">
        <x:v>123</x:v>
      </x:c>
      <x:c r="B124" s="330"/>
      <x:c r="C124" s="330" t="n">
        <x:v>46155</x:v>
      </x:c>
      <x:c r="D124" t="n">
        <x:v>2024</x:v>
      </x:c>
      <x:c r="E124"/>
      <x:c r="F124" t="str">
        <x:v>19485/24/CBMP-HN</x:v>
      </x:c>
      <x:c r="G124"/>
      <x:c r="H124" t="str">
        <x:v>Miss Coco</x:v>
      </x:c>
      <x:c r="I124"/>
      <x:c r="J124" t="str">
        <x:v>Khác</x:v>
      </x:c>
      <x:c r="K124"/>
      <x:c r="L124" t="str">
        <x:v>Công ty cổ phần sản xuất và thương mại Bio Cosmetics</x:v>
      </x:c>
      <x:c r="M124"/>
      <x:c r="N124" t="str">
        <x:v>Công ty TNHH mỹ phẩm Việt Hương</x:v>
      </x:c>
      <x:c r="O124" t="str">
        <x:v>Đình chỉ lưu hành, thu hồi và tiêu hủy – Công văn 1772/QLD-MP</x:v>
      </x:c>
      <x:c r="P124" t="str">
        <x:v>A++ – Cục Quản lý Dược; tổ chức chịu trách nhiệm explicit</x:v>
      </x:c>
      <x:c r="Q124" t="str">
        <x:v>Phụ lục 511 sản phẩm, STT 31, trang 3. Công ty Việt Hương là cơ sở sản xuất; cột tổ chức chịu trách nhiệm lấy nguyên văn từ phụ lục.</x:v>
      </x:c>
      <x:c r="R124" t="str">
        <x:v>https://dav.gov.vn/cong-van-so-1772qld-mp-ve-viec-dinh-chi-luu-hanh-thu-hoi-va-tieu-huy-my-pham-vi-pham-cong-ty-tnhh-my-pham-viet-huong-n5334.html</x:v>
      </x:c>
      <x:c r="S124" t="str">
        <x:v>Hà Nội</x:v>
      </x:c>
      <x:c r="T124" t="str">
        <x:v>01</x:v>
      </x:c>
    </x:row>
    <x:row r="125">
      <x:c r="A125" t="n">
        <x:v>124</x:v>
      </x:c>
      <x:c r="B125" s="330"/>
      <x:c r="C125" s="330" t="n">
        <x:v>46155</x:v>
      </x:c>
      <x:c r="D125" t="n">
        <x:v>2024</x:v>
      </x:c>
      <x:c r="E125"/>
      <x:c r="F125" t="str">
        <x:v>19486/24/CBMP-HN</x:v>
      </x:c>
      <x:c r="G125"/>
      <x:c r="H125" t="str">
        <x:v>Good Girl</x:v>
      </x:c>
      <x:c r="I125"/>
      <x:c r="J125" t="str">
        <x:v>Khác</x:v>
      </x:c>
      <x:c r="K125"/>
      <x:c r="L125" t="str">
        <x:v>Công ty cổ phần sản xuất và thương mại Bio Cosmetics</x:v>
      </x:c>
      <x:c r="M125"/>
      <x:c r="N125" t="str">
        <x:v>Công ty TNHH mỹ phẩm Việt Hương</x:v>
      </x:c>
      <x:c r="O125" t="str">
        <x:v>Đình chỉ lưu hành, thu hồi và tiêu hủy – Công văn 1772/QLD-MP</x:v>
      </x:c>
      <x:c r="P125" t="str">
        <x:v>A++ – Cục Quản lý Dược; tổ chức chịu trách nhiệm explicit</x:v>
      </x:c>
      <x:c r="Q125" t="str">
        <x:v>Phụ lục 511 sản phẩm, STT 32, trang 3. Công ty Việt Hương là cơ sở sản xuất; cột tổ chức chịu trách nhiệm lấy nguyên văn từ phụ lục.</x:v>
      </x:c>
      <x:c r="R125" t="str">
        <x:v>https://dav.gov.vn/cong-van-so-1772qld-mp-ve-viec-dinh-chi-luu-hanh-thu-hoi-va-tieu-huy-my-pham-vi-pham-cong-ty-tnhh-my-pham-viet-huong-n5334.html</x:v>
      </x:c>
      <x:c r="S125" t="str">
        <x:v>Hà Nội</x:v>
      </x:c>
      <x:c r="T125" t="str">
        <x:v>01</x:v>
      </x:c>
    </x:row>
    <x:row r="126">
      <x:c r="A126" t="n">
        <x:v>125</x:v>
      </x:c>
      <x:c r="B126" s="330"/>
      <x:c r="C126" s="330" t="n">
        <x:v>46155</x:v>
      </x:c>
      <x:c r="D126" t="n">
        <x:v>2024</x:v>
      </x:c>
      <x:c r="E126"/>
      <x:c r="F126" t="str">
        <x:v>19487/24/CBMP-HN</x:v>
      </x:c>
      <x:c r="G126"/>
      <x:c r="H126" t="str">
        <x:v>Scandal</x:v>
      </x:c>
      <x:c r="I126"/>
      <x:c r="J126" t="str">
        <x:v>Khác</x:v>
      </x:c>
      <x:c r="K126"/>
      <x:c r="L126" t="str">
        <x:v>Công ty cổ phần sản xuất và thương mại Bio Cosmetics</x:v>
      </x:c>
      <x:c r="M126"/>
      <x:c r="N126" t="str">
        <x:v>Công ty TNHH mỹ phẩm Việt Hương</x:v>
      </x:c>
      <x:c r="O126" t="str">
        <x:v>Đình chỉ lưu hành, thu hồi và tiêu hủy – Công văn 1772/QLD-MP</x:v>
      </x:c>
      <x:c r="P126" t="str">
        <x:v>A++ – Cục Quản lý Dược; tổ chức chịu trách nhiệm explicit</x:v>
      </x:c>
      <x:c r="Q126" t="str">
        <x:v>Phụ lục 511 sản phẩm, STT 33, trang 4. Công ty Việt Hương là cơ sở sản xuất; cột tổ chức chịu trách nhiệm lấy nguyên văn từ phụ lục.</x:v>
      </x:c>
      <x:c r="R126" t="str">
        <x:v>https://dav.gov.vn/cong-van-so-1772qld-mp-ve-viec-dinh-chi-luu-hanh-thu-hoi-va-tieu-huy-my-pham-vi-pham-cong-ty-tnhh-my-pham-viet-huong-n5334.html</x:v>
      </x:c>
      <x:c r="S126" t="str">
        <x:v>Hà Nội</x:v>
      </x:c>
      <x:c r="T126" t="str">
        <x:v>01</x:v>
      </x:c>
    </x:row>
    <x:row r="127">
      <x:c r="A127" t="n">
        <x:v>126</x:v>
      </x:c>
      <x:c r="B127" s="330"/>
      <x:c r="C127" s="330" t="n">
        <x:v>46155</x:v>
      </x:c>
      <x:c r="D127" t="n">
        <x:v>2024</x:v>
      </x:c>
      <x:c r="E127"/>
      <x:c r="F127" t="str">
        <x:v>20152/24/CBMP-HN</x:v>
      </x:c>
      <x:c r="G127"/>
      <x:c r="H127" t="str">
        <x:v>Lady Fine</x:v>
      </x:c>
      <x:c r="I127"/>
      <x:c r="J127" t="str">
        <x:v>Khác</x:v>
      </x:c>
      <x:c r="K127"/>
      <x:c r="L127" t="str">
        <x:v>Công ty cổ phần sản xuất và thương mại Bio Cosmetics</x:v>
      </x:c>
      <x:c r="M127"/>
      <x:c r="N127" t="str">
        <x:v>Công ty TNHH mỹ phẩm Việt Hương</x:v>
      </x:c>
      <x:c r="O127" t="str">
        <x:v>Đình chỉ lưu hành, thu hồi và tiêu hủy – Công văn 1772/QLD-MP</x:v>
      </x:c>
      <x:c r="P127" t="str">
        <x:v>A++ – Cục Quản lý Dược; tổ chức chịu trách nhiệm explicit</x:v>
      </x:c>
      <x:c r="Q127" t="str">
        <x:v>Phụ lục 511 sản phẩm, STT 34, trang 4. Công ty Việt Hương là cơ sở sản xuất; cột tổ chức chịu trách nhiệm lấy nguyên văn từ phụ lục.</x:v>
      </x:c>
      <x:c r="R127" t="str">
        <x:v>https://dav.gov.vn/cong-van-so-1772qld-mp-ve-viec-dinh-chi-luu-hanh-thu-hoi-va-tieu-huy-my-pham-vi-pham-cong-ty-tnhh-my-pham-viet-huong-n5334.html</x:v>
      </x:c>
      <x:c r="S127" t="str">
        <x:v>Hà Nội</x:v>
      </x:c>
      <x:c r="T127" t="str">
        <x:v>01</x:v>
      </x:c>
    </x:row>
    <x:row r="128">
      <x:c r="A128" t="n">
        <x:v>127</x:v>
      </x:c>
      <x:c r="B128" s="330"/>
      <x:c r="C128" s="330" t="n">
        <x:v>46155</x:v>
      </x:c>
      <x:c r="D128" t="n">
        <x:v>2024</x:v>
      </x:c>
      <x:c r="E128"/>
      <x:c r="F128" t="str">
        <x:v>20153/24/CBMP-HN</x:v>
      </x:c>
      <x:c r="G128"/>
      <x:c r="H128" t="str">
        <x:v>Melas Luxury Combo</x:v>
      </x:c>
      <x:c r="I128"/>
      <x:c r="J128" t="str">
        <x:v>Khác</x:v>
      </x:c>
      <x:c r="K128"/>
      <x:c r="L128" t="str">
        <x:v>Công ty cổ phần sản xuất và thương mại Bio Cosmetics</x:v>
      </x:c>
      <x:c r="M128"/>
      <x:c r="N128" t="str">
        <x:v>Công ty TNHH mỹ phẩm Việt Hương</x:v>
      </x:c>
      <x:c r="O128" t="str">
        <x:v>Đình chỉ lưu hành, thu hồi và tiêu hủy – Công văn 1772/QLD-MP</x:v>
      </x:c>
      <x:c r="P128" t="str">
        <x:v>A++ – Cục Quản lý Dược; tổ chức chịu trách nhiệm explicit</x:v>
      </x:c>
      <x:c r="Q128" t="str">
        <x:v>Phụ lục 511 sản phẩm, STT 35, trang 4. Công ty Việt Hương là cơ sở sản xuất; cột tổ chức chịu trách nhiệm lấy nguyên văn từ phụ lục.</x:v>
      </x:c>
      <x:c r="R128" t="str">
        <x:v>https://dav.gov.vn/cong-van-so-1772qld-mp-ve-viec-dinh-chi-luu-hanh-thu-hoi-va-tieu-huy-my-pham-vi-pham-cong-ty-tnhh-my-pham-viet-huong-n5334.html</x:v>
      </x:c>
      <x:c r="S128" t="str">
        <x:v>Hà Nội</x:v>
      </x:c>
      <x:c r="T128" t="str">
        <x:v>01</x:v>
      </x:c>
    </x:row>
    <x:row r="129">
      <x:c r="A129" t="n">
        <x:v>128</x:v>
      </x:c>
      <x:c r="B129" s="330"/>
      <x:c r="C129" s="330" t="n">
        <x:v>46155</x:v>
      </x:c>
      <x:c r="D129" t="n">
        <x:v>2024</x:v>
      </x:c>
      <x:c r="E129"/>
      <x:c r="F129" t="str">
        <x:v>20365/24/CBMP-HN</x:v>
      </x:c>
      <x:c r="G129"/>
      <x:c r="H129" t="str">
        <x:v>Spotless Perfect Cleanser</x:v>
      </x:c>
      <x:c r="I129"/>
      <x:c r="J129" t="str">
        <x:v>Sữa rửa mặt</x:v>
      </x:c>
      <x:c r="K129"/>
      <x:c r="L129" t="str">
        <x:v>Công ty cổ phần sản xuất và thương mại Bio Cosmetics</x:v>
      </x:c>
      <x:c r="M129"/>
      <x:c r="N129" t="str">
        <x:v>Công ty TNHH mỹ phẩm Việt Hương</x:v>
      </x:c>
      <x:c r="O129" t="str">
        <x:v>Đình chỉ lưu hành, thu hồi và tiêu hủy – Công văn 1772/QLD-MP</x:v>
      </x:c>
      <x:c r="P129" t="str">
        <x:v>A++ – Cục Quản lý Dược; tổ chức chịu trách nhiệm explicit</x:v>
      </x:c>
      <x:c r="Q129" t="str">
        <x:v>Phụ lục 511 sản phẩm, STT 36, trang 4. Công ty Việt Hương là cơ sở sản xuất; cột tổ chức chịu trách nhiệm lấy nguyên văn từ phụ lục.</x:v>
      </x:c>
      <x:c r="R129" t="str">
        <x:v>https://dav.gov.vn/cong-van-so-1772qld-mp-ve-viec-dinh-chi-luu-hanh-thu-hoi-va-tieu-huy-my-pham-vi-pham-cong-ty-tnhh-my-pham-viet-huong-n5334.html</x:v>
      </x:c>
      <x:c r="S129" t="str">
        <x:v>Hà Nội</x:v>
      </x:c>
      <x:c r="T129" t="str">
        <x:v>01</x:v>
      </x:c>
    </x:row>
    <x:row r="130">
      <x:c r="A130" t="n">
        <x:v>129</x:v>
      </x:c>
      <x:c r="B130" s="330"/>
      <x:c r="C130" s="330" t="n">
        <x:v>46155</x:v>
      </x:c>
      <x:c r="D130" t="n">
        <x:v>2024</x:v>
      </x:c>
      <x:c r="E130"/>
      <x:c r="F130" t="str">
        <x:v>19672/24/CBMP-HN</x:v>
      </x:c>
      <x:c r="G130"/>
      <x:c r="H130" t="str">
        <x:v>Melas Luxury Combo</x:v>
      </x:c>
      <x:c r="I130"/>
      <x:c r="J130" t="str">
        <x:v>Khác</x:v>
      </x:c>
      <x:c r="K130"/>
      <x:c r="L130" t="str">
        <x:v>Công ty cổ phần sản xuất và thương mại Bio Cosmetics</x:v>
      </x:c>
      <x:c r="M130"/>
      <x:c r="N130" t="str">
        <x:v>Công ty TNHH mỹ phẩm Việt Hương</x:v>
      </x:c>
      <x:c r="O130" t="str">
        <x:v>Đình chỉ lưu hành, thu hồi và tiêu hủy – Công văn 1772/QLD-MP</x:v>
      </x:c>
      <x:c r="P130" t="str">
        <x:v>A++ – Cục Quản lý Dược; tổ chức chịu trách nhiệm explicit</x:v>
      </x:c>
      <x:c r="Q130" t="str">
        <x:v>Phụ lục 511 sản phẩm, STT 37, trang 4. Công ty Việt Hương là cơ sở sản xuất; cột tổ chức chịu trách nhiệm lấy nguyên văn từ phụ lục.</x:v>
      </x:c>
      <x:c r="R130" t="str">
        <x:v>https://dav.gov.vn/cong-van-so-1772qld-mp-ve-viec-dinh-chi-luu-hanh-thu-hoi-va-tieu-huy-my-pham-vi-pham-cong-ty-tnhh-my-pham-viet-huong-n5334.html</x:v>
      </x:c>
      <x:c r="S130" t="str">
        <x:v>Hà Nội</x:v>
      </x:c>
      <x:c r="T130" t="str">
        <x:v>01</x:v>
      </x:c>
    </x:row>
    <x:row r="131">
      <x:c r="A131" t="n">
        <x:v>130</x:v>
      </x:c>
      <x:c r="B131" s="330"/>
      <x:c r="C131" s="330" t="n">
        <x:v>46155</x:v>
      </x:c>
      <x:c r="D131" t="n">
        <x:v>2025</x:v>
      </x:c>
      <x:c r="E131"/>
      <x:c r="F131" t="str">
        <x:v>25572/25/CBMP-HN</x:v>
      </x:c>
      <x:c r="G131"/>
      <x:c r="H131" t="str">
        <x:v>Sữa rửa mặt</x:v>
      </x:c>
      <x:c r="I131"/>
      <x:c r="J131" t="str">
        <x:v>Sữa rửa mặt</x:v>
      </x:c>
      <x:c r="K131"/>
      <x:c r="L131" t="str">
        <x:v>Công ty cổ phần sản xuất và thương mại Bio Cosmetics</x:v>
      </x:c>
      <x:c r="M131"/>
      <x:c r="N131" t="str">
        <x:v>Công ty TNHH mỹ phẩm Việt Hương</x:v>
      </x:c>
      <x:c r="O131" t="str">
        <x:v>Đình chỉ lưu hành, thu hồi và tiêu hủy – Công văn 1772/QLD-MP</x:v>
      </x:c>
      <x:c r="P131" t="str">
        <x:v>A++ – Cục Quản lý Dược; tổ chức chịu trách nhiệm explicit</x:v>
      </x:c>
      <x:c r="Q131" t="str">
        <x:v>Phụ lục 511 sản phẩm, STT 38, trang 4. Công ty Việt Hương là cơ sở sản xuất; cột tổ chức chịu trách nhiệm lấy nguyên văn từ phụ lục.</x:v>
      </x:c>
      <x:c r="R131" t="str">
        <x:v>https://dav.gov.vn/cong-van-so-1772qld-mp-ve-viec-dinh-chi-luu-hanh-thu-hoi-va-tieu-huy-my-pham-vi-pham-cong-ty-tnhh-my-pham-viet-huong-n5334.html</x:v>
      </x:c>
      <x:c r="S131" t="str">
        <x:v>Hà Nội</x:v>
      </x:c>
      <x:c r="T131" t="str">
        <x:v>01</x:v>
      </x:c>
    </x:row>
    <x:row r="132">
      <x:c r="A132" t="n">
        <x:v>131</x:v>
      </x:c>
      <x:c r="B132" s="330"/>
      <x:c r="C132" s="330" t="n">
        <x:v>46155</x:v>
      </x:c>
      <x:c r="D132" t="n">
        <x:v>2024</x:v>
      </x:c>
      <x:c r="E132"/>
      <x:c r="F132" t="str">
        <x:v>20837/24/CBMP-HN</x:v>
      </x:c>
      <x:c r="G132"/>
      <x:c r="H132" t="str">
        <x:v>Sữa tắm sáng da</x:v>
      </x:c>
      <x:c r="I132"/>
      <x:c r="J132" t="str">
        <x:v>Sữa tắm/Gel tắm</x:v>
      </x:c>
      <x:c r="K132"/>
      <x:c r="L132" t="str">
        <x:v>Công ty cổ phần sản xuất và thương mại Bio Cosmetics</x:v>
      </x:c>
      <x:c r="M132"/>
      <x:c r="N132" t="str">
        <x:v>Công ty TNHH mỹ phẩm Việt Hương</x:v>
      </x:c>
      <x:c r="O132" t="str">
        <x:v>Đình chỉ lưu hành, thu hồi và tiêu hủy – Công văn 1772/QLD-MP</x:v>
      </x:c>
      <x:c r="P132" t="str">
        <x:v>A++ – Cục Quản lý Dược; tổ chức chịu trách nhiệm explicit</x:v>
      </x:c>
      <x:c r="Q132" t="str">
        <x:v>Phụ lục 511 sản phẩm, STT 39, trang 4. Công ty Việt Hương là cơ sở sản xuất; cột tổ chức chịu trách nhiệm lấy nguyên văn từ phụ lục.</x:v>
      </x:c>
      <x:c r="R132" t="str">
        <x:v>https://dav.gov.vn/cong-van-so-1772qld-mp-ve-viec-dinh-chi-luu-hanh-thu-hoi-va-tieu-huy-my-pham-vi-pham-cong-ty-tnhh-my-pham-viet-huong-n5334.html</x:v>
      </x:c>
      <x:c r="S132" t="str">
        <x:v>Hà Nội</x:v>
      </x:c>
      <x:c r="T132" t="str">
        <x:v>01</x:v>
      </x:c>
    </x:row>
    <x:row r="133">
      <x:c r="A133" t="n">
        <x:v>132</x:v>
      </x:c>
      <x:c r="B133" s="330"/>
      <x:c r="C133" s="330" t="n">
        <x:v>46155</x:v>
      </x:c>
      <x:c r="D133" t="n">
        <x:v>2024</x:v>
      </x:c>
      <x:c r="E133"/>
      <x:c r="F133" t="str">
        <x:v>20838/24/CBMP-HN</x:v>
      </x:c>
      <x:c r="G133"/>
      <x:c r="H133" t="str">
        <x:v>Dầu gội</x:v>
      </x:c>
      <x:c r="I133"/>
      <x:c r="J133" t="str">
        <x:v>Dầu gội</x:v>
      </x:c>
      <x:c r="K133"/>
      <x:c r="L133" t="str">
        <x:v>Công ty cổ phần sản xuất và thương mại Bio Cosmetics</x:v>
      </x:c>
      <x:c r="M133"/>
      <x:c r="N133" t="str">
        <x:v>Công ty TNHH mỹ phẩm Việt Hương</x:v>
      </x:c>
      <x:c r="O133" t="str">
        <x:v>Đình chỉ lưu hành, thu hồi và tiêu hủy – Công văn 1772/QLD-MP</x:v>
      </x:c>
      <x:c r="P133" t="str">
        <x:v>A++ – Cục Quản lý Dược; tổ chức chịu trách nhiệm explicit</x:v>
      </x:c>
      <x:c r="Q133" t="str">
        <x:v>Phụ lục 511 sản phẩm, STT 40, trang 4. Công ty Việt Hương là cơ sở sản xuất; cột tổ chức chịu trách nhiệm lấy nguyên văn từ phụ lục.</x:v>
      </x:c>
      <x:c r="R133" t="str">
        <x:v>https://dav.gov.vn/cong-van-so-1772qld-mp-ve-viec-dinh-chi-luu-hanh-thu-hoi-va-tieu-huy-my-pham-vi-pham-cong-ty-tnhh-my-pham-viet-huong-n5334.html</x:v>
      </x:c>
      <x:c r="S133" t="str">
        <x:v>Hà Nội</x:v>
      </x:c>
      <x:c r="T133" t="str">
        <x:v>01</x:v>
      </x:c>
    </x:row>
    <x:row r="134">
      <x:c r="A134" t="n">
        <x:v>133</x:v>
      </x:c>
      <x:c r="B134" s="330"/>
      <x:c r="C134" s="330" t="n">
        <x:v>46155</x:v>
      </x:c>
      <x:c r="D134" t="n">
        <x:v>2024</x:v>
      </x:c>
      <x:c r="E134"/>
      <x:c r="F134" t="str">
        <x:v>20839/24/CBMP-HN</x:v>
      </x:c>
      <x:c r="G134"/>
      <x:c r="H134" t="str">
        <x:v>Dầu xả</x:v>
      </x:c>
      <x:c r="I134"/>
      <x:c r="J134" t="str">
        <x:v>Dầu xả</x:v>
      </x:c>
      <x:c r="K134"/>
      <x:c r="L134" t="str">
        <x:v>Công ty cổ phần sản xuất và thương mại Bio Cosmetics</x:v>
      </x:c>
      <x:c r="M134"/>
      <x:c r="N134" t="str">
        <x:v>Công ty TNHH mỹ phẩm Việt Hương</x:v>
      </x:c>
      <x:c r="O134" t="str">
        <x:v>Đình chỉ lưu hành, thu hồi và tiêu hủy – Công văn 1772/QLD-MP</x:v>
      </x:c>
      <x:c r="P134" t="str">
        <x:v>A++ – Cục Quản lý Dược; tổ chức chịu trách nhiệm explicit</x:v>
      </x:c>
      <x:c r="Q134" t="str">
        <x:v>Phụ lục 511 sản phẩm, STT 41, trang 4. Công ty Việt Hương là cơ sở sản xuất; cột tổ chức chịu trách nhiệm lấy nguyên văn từ phụ lục.</x:v>
      </x:c>
      <x:c r="R134" t="str">
        <x:v>https://dav.gov.vn/cong-van-so-1772qld-mp-ve-viec-dinh-chi-luu-hanh-thu-hoi-va-tieu-huy-my-pham-vi-pham-cong-ty-tnhh-my-pham-viet-huong-n5334.html</x:v>
      </x:c>
      <x:c r="S134" t="str">
        <x:v>Hà Nội</x:v>
      </x:c>
      <x:c r="T134" t="str">
        <x:v>01</x:v>
      </x:c>
    </x:row>
    <x:row r="135">
      <x:c r="A135" t="n">
        <x:v>134</x:v>
      </x:c>
      <x:c r="B135" s="330"/>
      <x:c r="C135" s="330" t="n">
        <x:v>46155</x:v>
      </x:c>
      <x:c r="D135" t="n">
        <x:v>2024</x:v>
      </x:c>
      <x:c r="E135"/>
      <x:c r="F135" t="str">
        <x:v>20840/24/CBMP-HN</x:v>
      </x:c>
      <x:c r="G135"/>
      <x:c r="H135" t="str">
        <x:v>Sữa tắm hương nước hoa</x:v>
      </x:c>
      <x:c r="I135"/>
      <x:c r="J135" t="str">
        <x:v>Sữa tắm/Gel tắm</x:v>
      </x:c>
      <x:c r="K135"/>
      <x:c r="L135" t="str">
        <x:v>Công ty cổ phần sản xuất và thương mại Bio Cosmetics</x:v>
      </x:c>
      <x:c r="M135"/>
      <x:c r="N135" t="str">
        <x:v>Công ty TNHH mỹ phẩm Việt Hương</x:v>
      </x:c>
      <x:c r="O135" t="str">
        <x:v>Đình chỉ lưu hành, thu hồi và tiêu hủy – Công văn 1772/QLD-MP</x:v>
      </x:c>
      <x:c r="P135" t="str">
        <x:v>A++ – Cục Quản lý Dược; tổ chức chịu trách nhiệm explicit</x:v>
      </x:c>
      <x:c r="Q135" t="str">
        <x:v>Phụ lục 511 sản phẩm, STT 42, trang 4. Công ty Việt Hương là cơ sở sản xuất; cột tổ chức chịu trách nhiệm lấy nguyên văn từ phụ lục.</x:v>
      </x:c>
      <x:c r="R135" t="str">
        <x:v>https://dav.gov.vn/cong-van-so-1772qld-mp-ve-viec-dinh-chi-luu-hanh-thu-hoi-va-tieu-huy-my-pham-vi-pham-cong-ty-tnhh-my-pham-viet-huong-n5334.html</x:v>
      </x:c>
      <x:c r="S135" t="str">
        <x:v>Hà Nội</x:v>
      </x:c>
      <x:c r="T135" t="str">
        <x:v>01</x:v>
      </x:c>
    </x:row>
    <x:row r="136">
      <x:c r="A136" t="n">
        <x:v>135</x:v>
      </x:c>
      <x:c r="B136" s="330"/>
      <x:c r="C136" s="330" t="n">
        <x:v>46155</x:v>
      </x:c>
      <x:c r="D136" t="n">
        <x:v>2024</x:v>
      </x:c>
      <x:c r="E136"/>
      <x:c r="F136" t="str">
        <x:v>20732/24/CBMP-HN</x:v>
      </x:c>
      <x:c r="G136"/>
      <x:c r="H136" t="str">
        <x:v>Sữa tắm hương nước hoa</x:v>
      </x:c>
      <x:c r="I136"/>
      <x:c r="J136" t="str">
        <x:v>Sữa tắm/Gel tắm</x:v>
      </x:c>
      <x:c r="K136"/>
      <x:c r="L136" t="str">
        <x:v>Công ty cổ phần sản xuất và thương mại Bio Cosmetics</x:v>
      </x:c>
      <x:c r="M136"/>
      <x:c r="N136" t="str">
        <x:v>Công ty TNHH mỹ phẩm Việt Hương</x:v>
      </x:c>
      <x:c r="O136" t="str">
        <x:v>Đình chỉ lưu hành, thu hồi và tiêu hủy – Công văn 1772/QLD-MP</x:v>
      </x:c>
      <x:c r="P136" t="str">
        <x:v>A++ – Cục Quản lý Dược; tổ chức chịu trách nhiệm explicit</x:v>
      </x:c>
      <x:c r="Q136" t="str">
        <x:v>Phụ lục 511 sản phẩm, STT 43, trang 4. Công ty Việt Hương là cơ sở sản xuất; cột tổ chức chịu trách nhiệm lấy nguyên văn từ phụ lục.</x:v>
      </x:c>
      <x:c r="R136" t="str">
        <x:v>https://dav.gov.vn/cong-van-so-1772qld-mp-ve-viec-dinh-chi-luu-hanh-thu-hoi-va-tieu-huy-my-pham-vi-pham-cong-ty-tnhh-my-pham-viet-huong-n5334.html</x:v>
      </x:c>
      <x:c r="S136" t="str">
        <x:v>Hà Nội</x:v>
      </x:c>
      <x:c r="T136" t="str">
        <x:v>01</x:v>
      </x:c>
    </x:row>
    <x:row r="137">
      <x:c r="A137" t="n">
        <x:v>136</x:v>
      </x:c>
      <x:c r="B137" s="330"/>
      <x:c r="C137" s="330" t="n">
        <x:v>46155</x:v>
      </x:c>
      <x:c r="D137" t="n">
        <x:v>2024</x:v>
      </x:c>
      <x:c r="E137"/>
      <x:c r="F137" t="str">
        <x:v>20733/24/CBMP-HN</x:v>
      </x:c>
      <x:c r="G137"/>
      <x:c r="H137" t="str">
        <x:v>Dầu xả</x:v>
      </x:c>
      <x:c r="I137"/>
      <x:c r="J137" t="str">
        <x:v>Dầu xả</x:v>
      </x:c>
      <x:c r="K137"/>
      <x:c r="L137" t="str">
        <x:v>Công ty cổ phần sản xuất và thương mại Bio Cosmetics</x:v>
      </x:c>
      <x:c r="M137"/>
      <x:c r="N137" t="str">
        <x:v>Công ty TNHH mỹ phẩm Việt Hương</x:v>
      </x:c>
      <x:c r="O137" t="str">
        <x:v>Đình chỉ lưu hành, thu hồi và tiêu hủy – Công văn 1772/QLD-MP</x:v>
      </x:c>
      <x:c r="P137" t="str">
        <x:v>A++ – Cục Quản lý Dược; tổ chức chịu trách nhiệm explicit</x:v>
      </x:c>
      <x:c r="Q137" t="str">
        <x:v>Phụ lục 511 sản phẩm, STT 44, trang 4. Công ty Việt Hương là cơ sở sản xuất; cột tổ chức chịu trách nhiệm lấy nguyên văn từ phụ lục.</x:v>
      </x:c>
      <x:c r="R137" t="str">
        <x:v>https://dav.gov.vn/cong-van-so-1772qld-mp-ve-viec-dinh-chi-luu-hanh-thu-hoi-va-tieu-huy-my-pham-vi-pham-cong-ty-tnhh-my-pham-viet-huong-n5334.html</x:v>
      </x:c>
      <x:c r="S137" t="str">
        <x:v>Hà Nội</x:v>
      </x:c>
      <x:c r="T137" t="str">
        <x:v>01</x:v>
      </x:c>
    </x:row>
    <x:row r="138">
      <x:c r="A138" t="n">
        <x:v>137</x:v>
      </x:c>
      <x:c r="B138" s="330"/>
      <x:c r="C138" s="330" t="n">
        <x:v>46155</x:v>
      </x:c>
      <x:c r="D138" t="n">
        <x:v>2024</x:v>
      </x:c>
      <x:c r="E138"/>
      <x:c r="F138" t="str">
        <x:v>20734/24/CBMP-HN</x:v>
      </x:c>
      <x:c r="G138"/>
      <x:c r="H138" t="str">
        <x:v>Dầu gội</x:v>
      </x:c>
      <x:c r="I138"/>
      <x:c r="J138" t="str">
        <x:v>Dầu gội</x:v>
      </x:c>
      <x:c r="K138"/>
      <x:c r="L138" t="str">
        <x:v>Công ty cổ phần sản xuất và thương mại Bio Cosmetics</x:v>
      </x:c>
      <x:c r="M138"/>
      <x:c r="N138" t="str">
        <x:v>Công ty TNHH mỹ phẩm Việt Hương</x:v>
      </x:c>
      <x:c r="O138" t="str">
        <x:v>Đình chỉ lưu hành, thu hồi và tiêu hủy – Công văn 1772/QLD-MP</x:v>
      </x:c>
      <x:c r="P138" t="str">
        <x:v>A++ – Cục Quản lý Dược; tổ chức chịu trách nhiệm explicit</x:v>
      </x:c>
      <x:c r="Q138" t="str">
        <x:v>Phụ lục 511 sản phẩm, STT 45, trang 4. Công ty Việt Hương là cơ sở sản xuất; cột tổ chức chịu trách nhiệm lấy nguyên văn từ phụ lục.</x:v>
      </x:c>
      <x:c r="R138" t="str">
        <x:v>https://dav.gov.vn/cong-van-so-1772qld-mp-ve-viec-dinh-chi-luu-hanh-thu-hoi-va-tieu-huy-my-pham-vi-pham-cong-ty-tnhh-my-pham-viet-huong-n5334.html</x:v>
      </x:c>
      <x:c r="S138" t="str">
        <x:v>Hà Nội</x:v>
      </x:c>
      <x:c r="T138" t="str">
        <x:v>01</x:v>
      </x:c>
    </x:row>
    <x:row r="139">
      <x:c r="A139" t="n">
        <x:v>138</x:v>
      </x:c>
      <x:c r="B139" s="330"/>
      <x:c r="C139" s="330" t="n">
        <x:v>46155</x:v>
      </x:c>
      <x:c r="D139" t="n">
        <x:v>2024</x:v>
      </x:c>
      <x:c r="E139"/>
      <x:c r="F139" t="str">
        <x:v>20735/24/CBMP-HN</x:v>
      </x:c>
      <x:c r="G139"/>
      <x:c r="H139" t="str">
        <x:v>Spotless Perfect Toner</x:v>
      </x:c>
      <x:c r="I139"/>
      <x:c r="J139" t="str">
        <x:v>Serum/Essence da</x:v>
      </x:c>
      <x:c r="K139"/>
      <x:c r="L139" t="str">
        <x:v>Công ty cổ phần sản xuất và thương mại Bio Cosmetics</x:v>
      </x:c>
      <x:c r="M139"/>
      <x:c r="N139" t="str">
        <x:v>Công ty TNHH mỹ phẩm Việt Hương</x:v>
      </x:c>
      <x:c r="O139" t="str">
        <x:v>Đình chỉ lưu hành, thu hồi và tiêu hủy – Công văn 1772/QLD-MP</x:v>
      </x:c>
      <x:c r="P139" t="str">
        <x:v>A++ – Cục Quản lý Dược; tổ chức chịu trách nhiệm explicit</x:v>
      </x:c>
      <x:c r="Q139" t="str">
        <x:v>Phụ lục 511 sản phẩm, STT 46, trang 4. Công ty Việt Hương là cơ sở sản xuất; cột tổ chức chịu trách nhiệm lấy nguyên văn từ phụ lục.</x:v>
      </x:c>
      <x:c r="R139" t="str">
        <x:v>https://dav.gov.vn/cong-van-so-1772qld-mp-ve-viec-dinh-chi-luu-hanh-thu-hoi-va-tieu-huy-my-pham-vi-pham-cong-ty-tnhh-my-pham-viet-huong-n5334.html</x:v>
      </x:c>
      <x:c r="S139" t="str">
        <x:v>Hà Nội</x:v>
      </x:c>
      <x:c r="T139" t="str">
        <x:v>01</x:v>
      </x:c>
    </x:row>
    <x:row r="140">
      <x:c r="A140" t="n">
        <x:v>139</x:v>
      </x:c>
      <x:c r="B140" s="330"/>
      <x:c r="C140" s="330" t="n">
        <x:v>46155</x:v>
      </x:c>
      <x:c r="D140" t="n">
        <x:v>2024</x:v>
      </x:c>
      <x:c r="E140"/>
      <x:c r="F140" t="str">
        <x:v>20736/24/CBMP-HN</x:v>
      </x:c>
      <x:c r="G140"/>
      <x:c r="H140" t="str">
        <x:v>Sữa tắm sáng da</x:v>
      </x:c>
      <x:c r="I140"/>
      <x:c r="J140" t="str">
        <x:v>Sữa tắm/Gel tắm</x:v>
      </x:c>
      <x:c r="K140"/>
      <x:c r="L140" t="str">
        <x:v>Công ty cổ phần sản xuất và thương mại Bio Cosmetics</x:v>
      </x:c>
      <x:c r="M140"/>
      <x:c r="N140" t="str">
        <x:v>Công ty TNHH mỹ phẩm Việt Hương</x:v>
      </x:c>
      <x:c r="O140" t="str">
        <x:v>Đình chỉ lưu hành, thu hồi và tiêu hủy – Công văn 1772/QLD-MP</x:v>
      </x:c>
      <x:c r="P140" t="str">
        <x:v>A++ – Cục Quản lý Dược; tổ chức chịu trách nhiệm explicit</x:v>
      </x:c>
      <x:c r="Q140" t="str">
        <x:v>Phụ lục 511 sản phẩm, STT 47, trang 4. Công ty Việt Hương là cơ sở sản xuất; cột tổ chức chịu trách nhiệm lấy nguyên văn từ phụ lục.</x:v>
      </x:c>
      <x:c r="R140" t="str">
        <x:v>https://dav.gov.vn/cong-van-so-1772qld-mp-ve-viec-dinh-chi-luu-hanh-thu-hoi-va-tieu-huy-my-pham-vi-pham-cong-ty-tnhh-my-pham-viet-huong-n5334.html</x:v>
      </x:c>
      <x:c r="S140" t="str">
        <x:v>Hà Nội</x:v>
      </x:c>
      <x:c r="T140" t="str">
        <x:v>01</x:v>
      </x:c>
    </x:row>
    <x:row r="141">
      <x:c r="A141" t="n">
        <x:v>140</x:v>
      </x:c>
      <x:c r="B141" s="330"/>
      <x:c r="C141" s="330" t="n">
        <x:v>46155</x:v>
      </x:c>
      <x:c r="D141" t="n">
        <x:v>2024</x:v>
      </x:c>
      <x:c r="E141"/>
      <x:c r="F141" t="str">
        <x:v>20737/24/CBMP-HN</x:v>
      </x:c>
      <x:c r="G141"/>
      <x:c r="H141" t="str">
        <x:v>Perfect Sun Cream</x:v>
      </x:c>
      <x:c r="I141"/>
      <x:c r="J141" t="str">
        <x:v>Kem chống nắng</x:v>
      </x:c>
      <x:c r="K141"/>
      <x:c r="L141" t="str">
        <x:v>Công ty cổ phần sản xuất và thương mại Bio Cosmetics</x:v>
      </x:c>
      <x:c r="M141"/>
      <x:c r="N141" t="str">
        <x:v>Công ty TNHH mỹ phẩm Việt Hương</x:v>
      </x:c>
      <x:c r="O141" t="str">
        <x:v>Đình chỉ lưu hành, thu hồi và tiêu hủy – Công văn 1772/QLD-MP</x:v>
      </x:c>
      <x:c r="P141" t="str">
        <x:v>A++ – Cục Quản lý Dược; tổ chức chịu trách nhiệm explicit</x:v>
      </x:c>
      <x:c r="Q141" t="str">
        <x:v>Phụ lục 511 sản phẩm, STT 48, trang 4. Công ty Việt Hương là cơ sở sản xuất; cột tổ chức chịu trách nhiệm lấy nguyên văn từ phụ lục.</x:v>
      </x:c>
      <x:c r="R141" t="str">
        <x:v>https://dav.gov.vn/cong-van-so-1772qld-mp-ve-viec-dinh-chi-luu-hanh-thu-hoi-va-tieu-huy-my-pham-vi-pham-cong-ty-tnhh-my-pham-viet-huong-n5334.html</x:v>
      </x:c>
      <x:c r="S141" t="str">
        <x:v>Hà Nội</x:v>
      </x:c>
      <x:c r="T141" t="str">
        <x:v>01</x:v>
      </x:c>
    </x:row>
    <x:row r="142">
      <x:c r="A142" t="n">
        <x:v>141</x:v>
      </x:c>
      <x:c r="B142" s="330"/>
      <x:c r="C142" s="330" t="n">
        <x:v>46155</x:v>
      </x:c>
      <x:c r="D142" t="n">
        <x:v>2024</x:v>
      </x:c>
      <x:c r="E142"/>
      <x:c r="F142" t="str">
        <x:v>20738/24/CBMP-HN</x:v>
      </x:c>
      <x:c r="G142"/>
      <x:c r="H142" t="str">
        <x:v>Spotless Perfect Remover</x:v>
      </x:c>
      <x:c r="I142"/>
      <x:c r="J142" t="str">
        <x:v>Tẩy trang</x:v>
      </x:c>
      <x:c r="K142"/>
      <x:c r="L142" t="str">
        <x:v>Công ty cổ phần sản xuất và thương mại Bio Cosmetics</x:v>
      </x:c>
      <x:c r="M142"/>
      <x:c r="N142" t="str">
        <x:v>Công ty TNHH mỹ phẩm Việt Hương</x:v>
      </x:c>
      <x:c r="O142" t="str">
        <x:v>Đình chỉ lưu hành, thu hồi và tiêu hủy – Công văn 1772/QLD-MP</x:v>
      </x:c>
      <x:c r="P142" t="str">
        <x:v>A++ – Cục Quản lý Dược; tổ chức chịu trách nhiệm explicit</x:v>
      </x:c>
      <x:c r="Q142" t="str">
        <x:v>Phụ lục 511 sản phẩm, STT 49, trang 4. Công ty Việt Hương là cơ sở sản xuất; cột tổ chức chịu trách nhiệm lấy nguyên văn từ phụ lục.</x:v>
      </x:c>
      <x:c r="R142" t="str">
        <x:v>https://dav.gov.vn/cong-van-so-1772qld-mp-ve-viec-dinh-chi-luu-hanh-thu-hoi-va-tieu-huy-my-pham-vi-pham-cong-ty-tnhh-my-pham-viet-huong-n5334.html</x:v>
      </x:c>
      <x:c r="S142" t="str">
        <x:v>Hà Nội</x:v>
      </x:c>
      <x:c r="T142" t="str">
        <x:v>01</x:v>
      </x:c>
    </x:row>
    <x:row r="143">
      <x:c r="A143" t="n">
        <x:v>142</x:v>
      </x:c>
      <x:c r="B143" s="330"/>
      <x:c r="C143" s="330" t="n">
        <x:v>46155</x:v>
      </x:c>
      <x:c r="D143" t="n">
        <x:v>2024</x:v>
      </x:c>
      <x:c r="E143"/>
      <x:c r="F143" t="str">
        <x:v>22314/24/CBMP-HN</x:v>
      </x:c>
      <x:c r="G143"/>
      <x:c r="H143" t="str">
        <x:v>Bio Lip Balm</x:v>
      </x:c>
      <x:c r="I143"/>
      <x:c r="J143" t="str">
        <x:v>Sản phẩm môi</x:v>
      </x:c>
      <x:c r="K143"/>
      <x:c r="L143" t="str">
        <x:v>Công ty cổ phần sản xuất và thương mại Bio Cosmetics</x:v>
      </x:c>
      <x:c r="M143"/>
      <x:c r="N143" t="str">
        <x:v>Công ty TNHH mỹ phẩm Việt Hương</x:v>
      </x:c>
      <x:c r="O143" t="str">
        <x:v>Đình chỉ lưu hành, thu hồi và tiêu hủy – Công văn 1772/QLD-MP</x:v>
      </x:c>
      <x:c r="P143" t="str">
        <x:v>A++ – Cục Quản lý Dược; tổ chức chịu trách nhiệm explicit</x:v>
      </x:c>
      <x:c r="Q143" t="str">
        <x:v>Phụ lục 511 sản phẩm, STT 50, trang 4. Công ty Việt Hương là cơ sở sản xuất; cột tổ chức chịu trách nhiệm lấy nguyên văn từ phụ lục.</x:v>
      </x:c>
      <x:c r="R143" t="str">
        <x:v>https://dav.gov.vn/cong-van-so-1772qld-mp-ve-viec-dinh-chi-luu-hanh-thu-hoi-va-tieu-huy-my-pham-vi-pham-cong-ty-tnhh-my-pham-viet-huong-n5334.html</x:v>
      </x:c>
      <x:c r="S143" t="str">
        <x:v>Hà Nội</x:v>
      </x:c>
      <x:c r="T143" t="str">
        <x:v>01</x:v>
      </x:c>
    </x:row>
    <x:row r="144">
      <x:c r="A144" t="n">
        <x:v>143</x:v>
      </x:c>
      <x:c r="B144" s="330"/>
      <x:c r="C144" s="330" t="n">
        <x:v>46155</x:v>
      </x:c>
      <x:c r="D144" t="n">
        <x:v>2024</x:v>
      </x:c>
      <x:c r="E144"/>
      <x:c r="F144" t="str">
        <x:v>22010/24/CBMP-HN</x:v>
      </x:c>
      <x:c r="G144"/>
      <x:c r="H144" t="str">
        <x:v>Spotless Perfect Serum</x:v>
      </x:c>
      <x:c r="I144"/>
      <x:c r="J144" t="str">
        <x:v>Serum/Essence da</x:v>
      </x:c>
      <x:c r="K144"/>
      <x:c r="L144" t="str">
        <x:v>Công ty cổ phần sản xuất và thương mại Bio Cosmetics</x:v>
      </x:c>
      <x:c r="M144"/>
      <x:c r="N144" t="str">
        <x:v>Công ty TNHH mỹ phẩm Việt Hương</x:v>
      </x:c>
      <x:c r="O144" t="str">
        <x:v>Đình chỉ lưu hành, thu hồi và tiêu hủy – Công văn 1772/QLD-MP</x:v>
      </x:c>
      <x:c r="P144" t="str">
        <x:v>A++ – Cục Quản lý Dược; tổ chức chịu trách nhiệm explicit</x:v>
      </x:c>
      <x:c r="Q144" t="str">
        <x:v>Phụ lục 511 sản phẩm, STT 51, trang 4. Công ty Việt Hương là cơ sở sản xuất; cột tổ chức chịu trách nhiệm lấy nguyên văn từ phụ lục.</x:v>
      </x:c>
      <x:c r="R144" t="str">
        <x:v>https://dav.gov.vn/cong-van-so-1772qld-mp-ve-viec-dinh-chi-luu-hanh-thu-hoi-va-tieu-huy-my-pham-vi-pham-cong-ty-tnhh-my-pham-viet-huong-n5334.html</x:v>
      </x:c>
      <x:c r="S144" t="str">
        <x:v>Hà Nội</x:v>
      </x:c>
      <x:c r="T144" t="str">
        <x:v>01</x:v>
      </x:c>
    </x:row>
    <x:row r="145">
      <x:c r="A145" t="n">
        <x:v>144</x:v>
      </x:c>
      <x:c r="B145" s="330"/>
      <x:c r="C145" s="330" t="n">
        <x:v>46155</x:v>
      </x:c>
      <x:c r="D145" t="n">
        <x:v>2024</x:v>
      </x:c>
      <x:c r="E145"/>
      <x:c r="F145" t="str">
        <x:v>22922/24/CBMP-HN</x:v>
      </x:c>
      <x:c r="G145"/>
      <x:c r="H145" t="str">
        <x:v>Bio Hydration Toner</x:v>
      </x:c>
      <x:c r="I145"/>
      <x:c r="J145" t="str">
        <x:v>Serum/Essence da</x:v>
      </x:c>
      <x:c r="K145"/>
      <x:c r="L145" t="str">
        <x:v>Công ty cổ phần sản xuất và thương mại Bio Cosmetics</x:v>
      </x:c>
      <x:c r="M145"/>
      <x:c r="N145" t="str">
        <x:v>Công ty TNHH mỹ phẩm Việt Hương</x:v>
      </x:c>
      <x:c r="O145" t="str">
        <x:v>Đình chỉ lưu hành, thu hồi và tiêu hủy – Công văn 1772/QLD-MP</x:v>
      </x:c>
      <x:c r="P145" t="str">
        <x:v>A++ – Cục Quản lý Dược; tổ chức chịu trách nhiệm explicit</x:v>
      </x:c>
      <x:c r="Q145" t="str">
        <x:v>Phụ lục 511 sản phẩm, STT 52, trang 4. Công ty Việt Hương là cơ sở sản xuất; cột tổ chức chịu trách nhiệm lấy nguyên văn từ phụ lục.</x:v>
      </x:c>
      <x:c r="R145" t="str">
        <x:v>https://dav.gov.vn/cong-van-so-1772qld-mp-ve-viec-dinh-chi-luu-hanh-thu-hoi-va-tieu-huy-my-pham-vi-pham-cong-ty-tnhh-my-pham-viet-huong-n5334.html</x:v>
      </x:c>
      <x:c r="S145" t="str">
        <x:v>Hà Nội</x:v>
      </x:c>
      <x:c r="T145" t="str">
        <x:v>01</x:v>
      </x:c>
    </x:row>
    <x:row r="146">
      <x:c r="A146" t="n">
        <x:v>145</x:v>
      </x:c>
      <x:c r="B146" s="330"/>
      <x:c r="C146" s="330" t="n">
        <x:v>46155</x:v>
      </x:c>
      <x:c r="D146" t="n">
        <x:v>2025</x:v>
      </x:c>
      <x:c r="E146"/>
      <x:c r="F146" t="str">
        <x:v>24004/25/CBMP-HN</x:v>
      </x:c>
      <x:c r="G146"/>
      <x:c r="H146" t="str">
        <x:v>Lumi white peel</x:v>
      </x:c>
      <x:c r="I146"/>
      <x:c r="J146" t="str">
        <x:v>Khác</x:v>
      </x:c>
      <x:c r="K146"/>
      <x:c r="L146" t="str">
        <x:v>Công ty cổ phần sản xuất và thương mại Bio Cosmetics</x:v>
      </x:c>
      <x:c r="M146"/>
      <x:c r="N146" t="str">
        <x:v>Công ty TNHH mỹ phẩm Việt Hương</x:v>
      </x:c>
      <x:c r="O146" t="str">
        <x:v>Đình chỉ lưu hành, thu hồi và tiêu hủy – Công văn 1772/QLD-MP</x:v>
      </x:c>
      <x:c r="P146" t="str">
        <x:v>A++ – Cục Quản lý Dược; tổ chức chịu trách nhiệm explicit</x:v>
      </x:c>
      <x:c r="Q146" t="str">
        <x:v>Phụ lục 511 sản phẩm, STT 53, trang 4. Công ty Việt Hương là cơ sở sản xuất; cột tổ chức chịu trách nhiệm lấy nguyên văn từ phụ lục.</x:v>
      </x:c>
      <x:c r="R146" t="str">
        <x:v>https://dav.gov.vn/cong-van-so-1772qld-mp-ve-viec-dinh-chi-luu-hanh-thu-hoi-va-tieu-huy-my-pham-vi-pham-cong-ty-tnhh-my-pham-viet-huong-n5334.html</x:v>
      </x:c>
      <x:c r="S146" t="str">
        <x:v>Hà Nội</x:v>
      </x:c>
      <x:c r="T146" t="str">
        <x:v>01</x:v>
      </x:c>
    </x:row>
    <x:row r="147">
      <x:c r="A147" t="n">
        <x:v>146</x:v>
      </x:c>
      <x:c r="B147" s="330"/>
      <x:c r="C147" s="330" t="n">
        <x:v>46155</x:v>
      </x:c>
      <x:c r="D147" t="n">
        <x:v>2025</x:v>
      </x:c>
      <x:c r="E147"/>
      <x:c r="F147" t="str">
        <x:v>24005/25/CBMP-HN</x:v>
      </x:c>
      <x:c r="G147"/>
      <x:c r="H147" t="str">
        <x:v>Dark spot spotless perfect serum</x:v>
      </x:c>
      <x:c r="I147"/>
      <x:c r="J147" t="str">
        <x:v>Serum/Essence da</x:v>
      </x:c>
      <x:c r="K147"/>
      <x:c r="L147" t="str">
        <x:v>Công ty cổ phần sản xuất và thương mại Bio Cosmetics</x:v>
      </x:c>
      <x:c r="M147"/>
      <x:c r="N147" t="str">
        <x:v>Công ty TNHH mỹ phẩm Việt Hương</x:v>
      </x:c>
      <x:c r="O147" t="str">
        <x:v>Đình chỉ lưu hành, thu hồi và tiêu hủy – Công văn 1772/QLD-MP</x:v>
      </x:c>
      <x:c r="P147" t="str">
        <x:v>A++ – Cục Quản lý Dược; tổ chức chịu trách nhiệm explicit</x:v>
      </x:c>
      <x:c r="Q147" t="str">
        <x:v>Phụ lục 511 sản phẩm, STT 54, trang 4. Công ty Việt Hương là cơ sở sản xuất; cột tổ chức chịu trách nhiệm lấy nguyên văn từ phụ lục.</x:v>
      </x:c>
      <x:c r="R147" t="str">
        <x:v>https://dav.gov.vn/cong-van-so-1772qld-mp-ve-viec-dinh-chi-luu-hanh-thu-hoi-va-tieu-huy-my-pham-vi-pham-cong-ty-tnhh-my-pham-viet-huong-n5334.html</x:v>
      </x:c>
      <x:c r="S147" t="str">
        <x:v>Hà Nội</x:v>
      </x:c>
      <x:c r="T147" t="str">
        <x:v>01</x:v>
      </x:c>
    </x:row>
    <x:row r="148">
      <x:c r="A148" t="n">
        <x:v>147</x:v>
      </x:c>
      <x:c r="B148" s="330"/>
      <x:c r="C148" s="330" t="n">
        <x:v>46155</x:v>
      </x:c>
      <x:c r="D148" t="n">
        <x:v>2024</x:v>
      </x:c>
      <x:c r="E148"/>
      <x:c r="F148" t="str">
        <x:v>21767/24/CBMP-HN</x:v>
      </x:c>
      <x:c r="G148"/>
      <x:c r="H148" t="str">
        <x:v>Serum Collagen Peptide</x:v>
      </x:c>
      <x:c r="I148"/>
      <x:c r="J148" t="str">
        <x:v>Serum/Essence da</x:v>
      </x:c>
      <x:c r="K148"/>
      <x:c r="L148" t="str">
        <x:v>Công ty cổ phần sản xuất và thương mại Bio Cosmetics</x:v>
      </x:c>
      <x:c r="M148"/>
      <x:c r="N148" t="str">
        <x:v>Công ty TNHH mỹ phẩm Việt Hương</x:v>
      </x:c>
      <x:c r="O148" t="str">
        <x:v>Đình chỉ lưu hành, thu hồi và tiêu hủy – Công văn 1772/QLD-MP</x:v>
      </x:c>
      <x:c r="P148" t="str">
        <x:v>A++ – Cục Quản lý Dược; tổ chức chịu trách nhiệm explicit</x:v>
      </x:c>
      <x:c r="Q148" t="str">
        <x:v>Phụ lục 511 sản phẩm, STT 55, trang 4. Công ty Việt Hương là cơ sở sản xuất; cột tổ chức chịu trách nhiệm lấy nguyên văn từ phụ lục.</x:v>
      </x:c>
      <x:c r="R148" t="str">
        <x:v>https://dav.gov.vn/cong-van-so-1772qld-mp-ve-viec-dinh-chi-luu-hanh-thu-hoi-va-tieu-huy-my-pham-vi-pham-cong-ty-tnhh-my-pham-viet-huong-n5334.html</x:v>
      </x:c>
      <x:c r="S148" t="str">
        <x:v>Hà Nội</x:v>
      </x:c>
      <x:c r="T148" t="str">
        <x:v>01</x:v>
      </x:c>
    </x:row>
    <x:row r="149">
      <x:c r="A149" t="n">
        <x:v>148</x:v>
      </x:c>
      <x:c r="B149" s="330"/>
      <x:c r="C149" s="330" t="n">
        <x:v>46155</x:v>
      </x:c>
      <x:c r="D149" t="n">
        <x:v>2022</x:v>
      </x:c>
      <x:c r="E149"/>
      <x:c r="F149" t="str">
        <x:v>13384/22/CBMP-HN</x:v>
      </x:c>
      <x:c r="G149"/>
      <x:c r="H149" t="str">
        <x:v>Dung dịch vệ sinh phụ nữ I'm Nature Plus</x:v>
      </x:c>
      <x:c r="I149"/>
      <x:c r="J149" t="str">
        <x:v>Dung dịch vệ sinh</x:v>
      </x:c>
      <x:c r="K149"/>
      <x:c r="L149" t="str">
        <x:v>Công ty tnhh một thành viên Mommy &amp; Baby center</x:v>
      </x:c>
      <x:c r="M149"/>
      <x:c r="N149" t="str">
        <x:v>Công ty TNHH mỹ phẩm Việt Hương</x:v>
      </x:c>
      <x:c r="O149" t="str">
        <x:v>Đình chỉ lưu hành, thu hồi và tiêu hủy – Công văn 1772/QLD-MP</x:v>
      </x:c>
      <x:c r="P149" t="str">
        <x:v>A++ – Cục Quản lý Dược; tổ chức chịu trách nhiệm explicit</x:v>
      </x:c>
      <x:c r="Q149" t="str">
        <x:v>Phụ lục 511 sản phẩm, STT 59, trang 4. Công ty Việt Hương là cơ sở sản xuất; cột tổ chức chịu trách nhiệm lấy nguyên văn từ phụ lục.</x:v>
      </x:c>
      <x:c r="R149" t="str">
        <x:v>https://dav.gov.vn/cong-van-so-1772qld-mp-ve-viec-dinh-chi-luu-hanh-thu-hoi-va-tieu-huy-my-pham-vi-pham-cong-ty-tnhh-my-pham-viet-huong-n5334.html</x:v>
      </x:c>
      <x:c r="S149" t="str">
        <x:v>Hà Nội</x:v>
      </x:c>
      <x:c r="T149" t="str">
        <x:v>01</x:v>
      </x:c>
    </x:row>
    <x:row r="150">
      <x:c r="A150" t="n">
        <x:v>149</x:v>
      </x:c>
      <x:c r="B150" s="330"/>
      <x:c r="C150" s="330" t="n">
        <x:v>46155</x:v>
      </x:c>
      <x:c r="D150" t="n">
        <x:v>2022</x:v>
      </x:c>
      <x:c r="E150"/>
      <x:c r="F150" t="str">
        <x:v>13610/22/CBMP-HN</x:v>
      </x:c>
      <x:c r="G150"/>
      <x:c r="H150" t="str">
        <x:v>Dung dịch vệ sinh phụ nữ I'm Nature Plus</x:v>
      </x:c>
      <x:c r="I150"/>
      <x:c r="J150" t="str">
        <x:v>Dung dịch vệ sinh</x:v>
      </x:c>
      <x:c r="K150"/>
      <x:c r="L150" t="str">
        <x:v>Công ty tnhh một thành viên Mommy &amp; Baby center</x:v>
      </x:c>
      <x:c r="M150"/>
      <x:c r="N150" t="str">
        <x:v>Công ty TNHH mỹ phẩm Việt Hương</x:v>
      </x:c>
      <x:c r="O150" t="str">
        <x:v>Đình chỉ lưu hành, thu hồi và tiêu hủy – Công văn 1772/QLD-MP</x:v>
      </x:c>
      <x:c r="P150" t="str">
        <x:v>A++ – Cục Quản lý Dược; tổ chức chịu trách nhiệm explicit</x:v>
      </x:c>
      <x:c r="Q150" t="str">
        <x:v>Phụ lục 511 sản phẩm, STT 60, trang 4. Công ty Việt Hương là cơ sở sản xuất; cột tổ chức chịu trách nhiệm lấy nguyên văn từ phụ lục.</x:v>
      </x:c>
      <x:c r="R150" t="str">
        <x:v>https://dav.gov.vn/cong-van-so-1772qld-mp-ve-viec-dinh-chi-luu-hanh-thu-hoi-va-tieu-huy-my-pham-vi-pham-cong-ty-tnhh-my-pham-viet-huong-n5334.html</x:v>
      </x:c>
      <x:c r="S150" t="str">
        <x:v>Hà Nội</x:v>
      </x:c>
      <x:c r="T150" t="str">
        <x:v>01</x:v>
      </x:c>
    </x:row>
    <x:row r="151">
      <x:c r="A151" t="n">
        <x:v>150</x:v>
      </x:c>
      <x:c r="B151" s="330"/>
      <x:c r="C151" s="330" t="n">
        <x:v>46155</x:v>
      </x:c>
      <x:c r="D151" t="n">
        <x:v>2022</x:v>
      </x:c>
      <x:c r="E151"/>
      <x:c r="F151" t="str">
        <x:v>14421/22/CBMP-HN</x:v>
      </x:c>
      <x:c r="G151"/>
      <x:c r="H151" t="str">
        <x:v>Dung dịch vệ sinh phụ nữ I'm Nature</x:v>
      </x:c>
      <x:c r="I151"/>
      <x:c r="J151" t="str">
        <x:v>Dung dịch vệ sinh</x:v>
      </x:c>
      <x:c r="K151"/>
      <x:c r="L151" t="str">
        <x:v>Công ty tnhh một thành viên Mommy &amp; Baby center</x:v>
      </x:c>
      <x:c r="M151"/>
      <x:c r="N151" t="str">
        <x:v>Công ty TNHH mỹ phẩm Việt Hương</x:v>
      </x:c>
      <x:c r="O151" t="str">
        <x:v>Đình chỉ lưu hành, thu hồi và tiêu hủy – Công văn 1772/QLD-MP</x:v>
      </x:c>
      <x:c r="P151" t="str">
        <x:v>A++ – Cục Quản lý Dược; tổ chức chịu trách nhiệm explicit</x:v>
      </x:c>
      <x:c r="Q151" t="str">
        <x:v>Phụ lục 511 sản phẩm, STT 61, trang 4. Công ty Việt Hương là cơ sở sản xuất; cột tổ chức chịu trách nhiệm lấy nguyên văn từ phụ lục.</x:v>
      </x:c>
      <x:c r="R151" t="str">
        <x:v>https://dav.gov.vn/cong-van-so-1772qld-mp-ve-viec-dinh-chi-luu-hanh-thu-hoi-va-tieu-huy-my-pham-vi-pham-cong-ty-tnhh-my-pham-viet-huong-n5334.html</x:v>
      </x:c>
      <x:c r="S151" t="str">
        <x:v>Hà Nội</x:v>
      </x:c>
      <x:c r="T151" t="str">
        <x:v>01</x:v>
      </x:c>
    </x:row>
    <x:row r="152">
      <x:c r="A152" t="n">
        <x:v>151</x:v>
      </x:c>
      <x:c r="B152" s="330"/>
      <x:c r="C152" s="330" t="n">
        <x:v>46155</x:v>
      </x:c>
      <x:c r="D152" t="n">
        <x:v>2022</x:v>
      </x:c>
      <x:c r="E152"/>
      <x:c r="F152" t="str">
        <x:v>14882/22/CBMP-HN</x:v>
      </x:c>
      <x:c r="G152"/>
      <x:c r="H152" t="str">
        <x:v>Toner I'm Nature</x:v>
      </x:c>
      <x:c r="I152"/>
      <x:c r="J152" t="str">
        <x:v>Serum/Essence da</x:v>
      </x:c>
      <x:c r="K152"/>
      <x:c r="L152" t="str">
        <x:v>Công ty tnhh một thành viên Mommy &amp; Baby center</x:v>
      </x:c>
      <x:c r="M152"/>
      <x:c r="N152" t="str">
        <x:v>Công ty TNHH mỹ phẩm Việt Hương</x:v>
      </x:c>
      <x:c r="O152" t="str">
        <x:v>Đình chỉ lưu hành, thu hồi và tiêu hủy – Công văn 1772/QLD-MP</x:v>
      </x:c>
      <x:c r="P152" t="str">
        <x:v>A++ – Cục Quản lý Dược; tổ chức chịu trách nhiệm explicit</x:v>
      </x:c>
      <x:c r="Q152" t="str">
        <x:v>Phụ lục 511 sản phẩm, STT 62, trang 4. Công ty Việt Hương là cơ sở sản xuất; cột tổ chức chịu trách nhiệm lấy nguyên văn từ phụ lục.</x:v>
      </x:c>
      <x:c r="R152" t="str">
        <x:v>https://dav.gov.vn/cong-van-so-1772qld-mp-ve-viec-dinh-chi-luu-hanh-thu-hoi-va-tieu-huy-my-pham-vi-pham-cong-ty-tnhh-my-pham-viet-huong-n5334.html</x:v>
      </x:c>
      <x:c r="S152" t="str">
        <x:v>Hà Nội</x:v>
      </x:c>
      <x:c r="T152" t="str">
        <x:v>01</x:v>
      </x:c>
    </x:row>
    <x:row r="153">
      <x:c r="A153" t="n">
        <x:v>152</x:v>
      </x:c>
      <x:c r="B153" s="330"/>
      <x:c r="C153" s="330" t="n">
        <x:v>46155</x:v>
      </x:c>
      <x:c r="D153" t="n">
        <x:v>2022</x:v>
      </x:c>
      <x:c r="E153"/>
      <x:c r="F153" t="str">
        <x:v>14883/22/CBMP-HN</x:v>
      </x:c>
      <x:c r="G153"/>
      <x:c r="H153" t="str">
        <x:v>Oran Baby</x:v>
      </x:c>
      <x:c r="I153"/>
      <x:c r="J153" t="str">
        <x:v>Khác</x:v>
      </x:c>
      <x:c r="K153"/>
      <x:c r="L153" t="str">
        <x:v>Công ty tnhh một thành viên Mommy &amp; Baby center</x:v>
      </x:c>
      <x:c r="M153"/>
      <x:c r="N153" t="str">
        <x:v>Công ty TNHH mỹ phẩm Việt Hương</x:v>
      </x:c>
      <x:c r="O153" t="str">
        <x:v>Đình chỉ lưu hành, thu hồi và tiêu hủy – Công văn 1772/QLD-MP</x:v>
      </x:c>
      <x:c r="P153" t="str">
        <x:v>A++ – Cục Quản lý Dược; tổ chức chịu trách nhiệm explicit</x:v>
      </x:c>
      <x:c r="Q153" t="str">
        <x:v>Phụ lục 511 sản phẩm, STT 63, trang 4. Công ty Việt Hương là cơ sở sản xuất; cột tổ chức chịu trách nhiệm lấy nguyên văn từ phụ lục.</x:v>
      </x:c>
      <x:c r="R153" t="str">
        <x:v>https://dav.gov.vn/cong-van-so-1772qld-mp-ve-viec-dinh-chi-luu-hanh-thu-hoi-va-tieu-huy-my-pham-vi-pham-cong-ty-tnhh-my-pham-viet-huong-n5334.html</x:v>
      </x:c>
      <x:c r="S153" t="str">
        <x:v>Hà Nội</x:v>
      </x:c>
      <x:c r="T153" t="str">
        <x:v>01</x:v>
      </x:c>
    </x:row>
    <x:row r="154">
      <x:c r="A154" t="n">
        <x:v>153</x:v>
      </x:c>
      <x:c r="B154" s="330"/>
      <x:c r="C154" s="330" t="n">
        <x:v>46155</x:v>
      </x:c>
      <x:c r="D154" t="n">
        <x:v>2022</x:v>
      </x:c>
      <x:c r="E154"/>
      <x:c r="F154" t="str">
        <x:v>14884/22/CBMP-HN</x:v>
      </x:c>
      <x:c r="G154"/>
      <x:c r="H154" t="str">
        <x:v>Bath Salt I'm Nature</x:v>
      </x:c>
      <x:c r="I154"/>
      <x:c r="J154" t="str">
        <x:v>Khác</x:v>
      </x:c>
      <x:c r="K154"/>
      <x:c r="L154" t="str">
        <x:v>Công ty tnhh một thành viên Mommy &amp; Baby center</x:v>
      </x:c>
      <x:c r="M154"/>
      <x:c r="N154" t="str">
        <x:v>Công ty TNHH mỹ phẩm Việt Hương</x:v>
      </x:c>
      <x:c r="O154" t="str">
        <x:v>Đình chỉ lưu hành, thu hồi và tiêu hủy – Công văn 1772/QLD-MP</x:v>
      </x:c>
      <x:c r="P154" t="str">
        <x:v>A++ – Cục Quản lý Dược; tổ chức chịu trách nhiệm explicit</x:v>
      </x:c>
      <x:c r="Q154" t="str">
        <x:v>Phụ lục 511 sản phẩm, STT 64, trang 4. Công ty Việt Hương là cơ sở sản xuất; cột tổ chức chịu trách nhiệm lấy nguyên văn từ phụ lục.</x:v>
      </x:c>
      <x:c r="R154" t="str">
        <x:v>https://dav.gov.vn/cong-van-so-1772qld-mp-ve-viec-dinh-chi-luu-hanh-thu-hoi-va-tieu-huy-my-pham-vi-pham-cong-ty-tnhh-my-pham-viet-huong-n5334.html</x:v>
      </x:c>
      <x:c r="S154" t="str">
        <x:v>Hà Nội</x:v>
      </x:c>
      <x:c r="T154" t="str">
        <x:v>01</x:v>
      </x:c>
    </x:row>
    <x:row r="155">
      <x:c r="A155" t="n">
        <x:v>154</x:v>
      </x:c>
      <x:c r="B155" s="330"/>
      <x:c r="C155" s="330" t="n">
        <x:v>46155</x:v>
      </x:c>
      <x:c r="D155" t="n">
        <x:v>2022</x:v>
      </x:c>
      <x:c r="E155"/>
      <x:c r="F155" t="str">
        <x:v>14885/22/CBMP-HN</x:v>
      </x:c>
      <x:c r="G155"/>
      <x:c r="H155" t="str">
        <x:v>Perfect Sunblock Cream I'm Nature</x:v>
      </x:c>
      <x:c r="I155"/>
      <x:c r="J155" t="str">
        <x:v>Kem chống nắng</x:v>
      </x:c>
      <x:c r="K155"/>
      <x:c r="L155" t="str">
        <x:v>Công ty tnhh một thành viên Mommy &amp; Baby center</x:v>
      </x:c>
      <x:c r="M155"/>
      <x:c r="N155" t="str">
        <x:v>Công ty TNHH mỹ phẩm Việt Hương</x:v>
      </x:c>
      <x:c r="O155" t="str">
        <x:v>Đình chỉ lưu hành, thu hồi và tiêu hủy – Công văn 1772/QLD-MP</x:v>
      </x:c>
      <x:c r="P155" t="str">
        <x:v>A++ – Cục Quản lý Dược; tổ chức chịu trách nhiệm explicit</x:v>
      </x:c>
      <x:c r="Q155" t="str">
        <x:v>Phụ lục 511 sản phẩm, STT 65, trang 4. Công ty Việt Hương là cơ sở sản xuất; cột tổ chức chịu trách nhiệm lấy nguyên văn từ phụ lục.</x:v>
      </x:c>
      <x:c r="R155" t="str">
        <x:v>https://dav.gov.vn/cong-van-so-1772qld-mp-ve-viec-dinh-chi-luu-hanh-thu-hoi-va-tieu-huy-my-pham-vi-pham-cong-ty-tnhh-my-pham-viet-huong-n5334.html</x:v>
      </x:c>
      <x:c r="S155" t="str">
        <x:v>Hà Nội</x:v>
      </x:c>
      <x:c r="T155" t="str">
        <x:v>01</x:v>
      </x:c>
    </x:row>
    <x:row r="156">
      <x:c r="A156" t="n">
        <x:v>155</x:v>
      </x:c>
      <x:c r="B156" s="330"/>
      <x:c r="C156" s="330" t="n">
        <x:v>46155</x:v>
      </x:c>
      <x:c r="D156" t="n">
        <x:v>2023</x:v>
      </x:c>
      <x:c r="E156"/>
      <x:c r="F156" t="str">
        <x:v>15709/23/CBMP-HN</x:v>
      </x:c>
      <x:c r="G156"/>
      <x:c r="H156" t="str">
        <x:v>Bath Salt I'm Nature</x:v>
      </x:c>
      <x:c r="I156"/>
      <x:c r="J156" t="str">
        <x:v>Khác</x:v>
      </x:c>
      <x:c r="K156"/>
      <x:c r="L156" t="str">
        <x:v>Công ty tnhh một thành viên Mommy &amp; Baby center</x:v>
      </x:c>
      <x:c r="M156"/>
      <x:c r="N156" t="str">
        <x:v>Công ty TNHH mỹ phẩm Việt Hương</x:v>
      </x:c>
      <x:c r="O156" t="str">
        <x:v>Đình chỉ lưu hành, thu hồi và tiêu hủy – Công văn 1772/QLD-MP</x:v>
      </x:c>
      <x:c r="P156" t="str">
        <x:v>A++ – Cục Quản lý Dược; tổ chức chịu trách nhiệm explicit</x:v>
      </x:c>
      <x:c r="Q156" t="str">
        <x:v>Phụ lục 511 sản phẩm, STT 66, trang 4. Công ty Việt Hương là cơ sở sản xuất; cột tổ chức chịu trách nhiệm lấy nguyên văn từ phụ lục.</x:v>
      </x:c>
      <x:c r="R156" t="str">
        <x:v>https://dav.gov.vn/cong-van-so-1772qld-mp-ve-viec-dinh-chi-luu-hanh-thu-hoi-va-tieu-huy-my-pham-vi-pham-cong-ty-tnhh-my-pham-viet-huong-n5334.html</x:v>
      </x:c>
      <x:c r="S156" t="str">
        <x:v>Hà Nội</x:v>
      </x:c>
      <x:c r="T156" t="str">
        <x:v>01</x:v>
      </x:c>
    </x:row>
    <x:row r="157">
      <x:c r="A157" t="n">
        <x:v>156</x:v>
      </x:c>
      <x:c r="B157" s="330"/>
      <x:c r="C157" s="330" t="n">
        <x:v>46155</x:v>
      </x:c>
      <x:c r="D157" t="n">
        <x:v>2023</x:v>
      </x:c>
      <x:c r="E157"/>
      <x:c r="F157" t="str">
        <x:v>16267/23/CBMP-HN</x:v>
      </x:c>
      <x:c r="G157"/>
      <x:c r="H157" t="str">
        <x:v>Oran Baby</x:v>
      </x:c>
      <x:c r="I157"/>
      <x:c r="J157" t="str">
        <x:v>Khác</x:v>
      </x:c>
      <x:c r="K157"/>
      <x:c r="L157" t="str">
        <x:v>Công ty tnhh một thành viên Mommy &amp; Baby center</x:v>
      </x:c>
      <x:c r="M157"/>
      <x:c r="N157" t="str">
        <x:v>Công ty TNHH mỹ phẩm Việt Hương</x:v>
      </x:c>
      <x:c r="O157" t="str">
        <x:v>Đình chỉ lưu hành, thu hồi và tiêu hủy – Công văn 1772/QLD-MP</x:v>
      </x:c>
      <x:c r="P157" t="str">
        <x:v>A++ – Cục Quản lý Dược; tổ chức chịu trách nhiệm explicit</x:v>
      </x:c>
      <x:c r="Q157" t="str">
        <x:v>Phụ lục 511 sản phẩm, STT 67, trang 4. Công ty Việt Hương là cơ sở sản xuất; cột tổ chức chịu trách nhiệm lấy nguyên văn từ phụ lục.</x:v>
      </x:c>
      <x:c r="R157" t="str">
        <x:v>https://dav.gov.vn/cong-van-so-1772qld-mp-ve-viec-dinh-chi-luu-hanh-thu-hoi-va-tieu-huy-my-pham-vi-pham-cong-ty-tnhh-my-pham-viet-huong-n5334.html</x:v>
      </x:c>
      <x:c r="S157" t="str">
        <x:v>Hà Nội</x:v>
      </x:c>
      <x:c r="T157" t="str">
        <x:v>01</x:v>
      </x:c>
    </x:row>
    <x:row r="158">
      <x:c r="A158" t="n">
        <x:v>157</x:v>
      </x:c>
      <x:c r="B158" s="330"/>
      <x:c r="C158" s="330" t="n">
        <x:v>46155</x:v>
      </x:c>
      <x:c r="D158" t="n">
        <x:v>2023</x:v>
      </x:c>
      <x:c r="E158"/>
      <x:c r="F158" t="str">
        <x:v>17286/23/CBMP-HN</x:v>
      </x:c>
      <x:c r="G158"/>
      <x:c r="H158" t="str">
        <x:v>Sữa rửa mặt I'm Nature</x:v>
      </x:c>
      <x:c r="I158"/>
      <x:c r="J158" t="str">
        <x:v>Sữa rửa mặt</x:v>
      </x:c>
      <x:c r="K158"/>
      <x:c r="L158" t="str">
        <x:v>Công ty tnhh một thành viên Mommy &amp; Baby center</x:v>
      </x:c>
      <x:c r="M158"/>
      <x:c r="N158" t="str">
        <x:v>Công ty TNHH mỹ phẩm Việt Hương</x:v>
      </x:c>
      <x:c r="O158" t="str">
        <x:v>Đình chỉ lưu hành, thu hồi và tiêu hủy – Công văn 1772/QLD-MP</x:v>
      </x:c>
      <x:c r="P158" t="str">
        <x:v>A++ – Cục Quản lý Dược; tổ chức chịu trách nhiệm explicit</x:v>
      </x:c>
      <x:c r="Q158" t="str">
        <x:v>Phụ lục 511 sản phẩm, STT 68, trang 4. Công ty Việt Hương là cơ sở sản xuất; cột tổ chức chịu trách nhiệm lấy nguyên văn từ phụ lục.</x:v>
      </x:c>
      <x:c r="R158" t="str">
        <x:v>https://dav.gov.vn/cong-van-so-1772qld-mp-ve-viec-dinh-chi-luu-hanh-thu-hoi-va-tieu-huy-my-pham-vi-pham-cong-ty-tnhh-my-pham-viet-huong-n5334.html</x:v>
      </x:c>
      <x:c r="S158" t="str">
        <x:v>Hà Nội</x:v>
      </x:c>
      <x:c r="T158" t="str">
        <x:v>01</x:v>
      </x:c>
    </x:row>
    <x:row r="159">
      <x:c r="A159" t="n">
        <x:v>158</x:v>
      </x:c>
      <x:c r="B159" s="330"/>
      <x:c r="C159" s="330" t="n">
        <x:v>46155</x:v>
      </x:c>
      <x:c r="D159" t="n">
        <x:v>2023</x:v>
      </x:c>
      <x:c r="E159"/>
      <x:c r="F159" t="str">
        <x:v>17397/23/CBMP-HN</x:v>
      </x:c>
      <x:c r="G159"/>
      <x:c r="H159" t="str">
        <x:v>Hers</x:v>
      </x:c>
      <x:c r="I159"/>
      <x:c r="J159" t="str">
        <x:v>Khác</x:v>
      </x:c>
      <x:c r="K159"/>
      <x:c r="L159" t="str">
        <x:v>Công ty tnhh một thành viên Mommy &amp; Baby center</x:v>
      </x:c>
      <x:c r="M159"/>
      <x:c r="N159" t="str">
        <x:v>Công ty TNHH mỹ phẩm Việt Hương</x:v>
      </x:c>
      <x:c r="O159" t="str">
        <x:v>Đình chỉ lưu hành, thu hồi và tiêu hủy – Công văn 1772/QLD-MP</x:v>
      </x:c>
      <x:c r="P159" t="str">
        <x:v>A++ – Cục Quản lý Dược; tổ chức chịu trách nhiệm explicit</x:v>
      </x:c>
      <x:c r="Q159" t="str">
        <x:v>Phụ lục 511 sản phẩm, STT 69, trang 5. Công ty Việt Hương là cơ sở sản xuất; cột tổ chức chịu trách nhiệm lấy nguyên văn từ phụ lục.</x:v>
      </x:c>
      <x:c r="R159" t="str">
        <x:v>https://dav.gov.vn/cong-van-so-1772qld-mp-ve-viec-dinh-chi-luu-hanh-thu-hoi-va-tieu-huy-my-pham-vi-pham-cong-ty-tnhh-my-pham-viet-huong-n5334.html</x:v>
      </x:c>
      <x:c r="S159" t="str">
        <x:v>Hà Nội</x:v>
      </x:c>
      <x:c r="T159" t="str">
        <x:v>01</x:v>
      </x:c>
    </x:row>
    <x:row r="160">
      <x:c r="A160" t="n">
        <x:v>159</x:v>
      </x:c>
      <x:c r="B160" s="330"/>
      <x:c r="C160" s="330" t="n">
        <x:v>46155</x:v>
      </x:c>
      <x:c r="D160" t="n">
        <x:v>2023</x:v>
      </x:c>
      <x:c r="E160"/>
      <x:c r="F160" t="str">
        <x:v>18658/23/CBMP-HN</x:v>
      </x:c>
      <x:c r="G160"/>
      <x:c r="H160" t="str">
        <x:v>Dầu gội Argan</x:v>
      </x:c>
      <x:c r="I160"/>
      <x:c r="J160" t="str">
        <x:v>Dầu gội</x:v>
      </x:c>
      <x:c r="K160"/>
      <x:c r="L160" t="str">
        <x:v>Công ty tnhh một thành viên Mommy &amp; Baby center</x:v>
      </x:c>
      <x:c r="M160"/>
      <x:c r="N160" t="str">
        <x:v>Công ty TNHH mỹ phẩm Việt Hương</x:v>
      </x:c>
      <x:c r="O160" t="str">
        <x:v>Đình chỉ lưu hành, thu hồi và tiêu hủy – Công văn 1772/QLD-MP</x:v>
      </x:c>
      <x:c r="P160" t="str">
        <x:v>A++ – Cục Quản lý Dược; tổ chức chịu trách nhiệm explicit</x:v>
      </x:c>
      <x:c r="Q160" t="str">
        <x:v>Phụ lục 511 sản phẩm, STT 70, trang 5. Công ty Việt Hương là cơ sở sản xuất; cột tổ chức chịu trách nhiệm lấy nguyên văn từ phụ lục.</x:v>
      </x:c>
      <x:c r="R160" t="str">
        <x:v>https://dav.gov.vn/cong-van-so-1772qld-mp-ve-viec-dinh-chi-luu-hanh-thu-hoi-va-tieu-huy-my-pham-vi-pham-cong-ty-tnhh-my-pham-viet-huong-n5334.html</x:v>
      </x:c>
      <x:c r="S160" t="str">
        <x:v>Hà Nội</x:v>
      </x:c>
      <x:c r="T160" t="str">
        <x:v>01</x:v>
      </x:c>
    </x:row>
    <x:row r="161">
      <x:c r="A161" t="n">
        <x:v>160</x:v>
      </x:c>
      <x:c r="B161" s="330"/>
      <x:c r="C161" s="330" t="n">
        <x:v>46155</x:v>
      </x:c>
      <x:c r="D161" t="n">
        <x:v>2023</x:v>
      </x:c>
      <x:c r="E161"/>
      <x:c r="F161" t="str">
        <x:v>17432/23/CBMP-HN</x:v>
      </x:c>
      <x:c r="G161"/>
      <x:c r="H161" t="str">
        <x:v>Herb Cushion</x:v>
      </x:c>
      <x:c r="I161"/>
      <x:c r="J161" t="str">
        <x:v>Khác</x:v>
      </x:c>
      <x:c r="K161"/>
      <x:c r="L161" t="str">
        <x:v>Công ty tnhh một thành viên Mommy &amp; Baby center</x:v>
      </x:c>
      <x:c r="M161"/>
      <x:c r="N161" t="str">
        <x:v>Công ty TNHH mỹ phẩm Việt Hương</x:v>
      </x:c>
      <x:c r="O161" t="str">
        <x:v>Đình chỉ lưu hành, thu hồi và tiêu hủy – Công văn 1772/QLD-MP</x:v>
      </x:c>
      <x:c r="P161" t="str">
        <x:v>A++ – Cục Quản lý Dược; tổ chức chịu trách nhiệm explicit</x:v>
      </x:c>
      <x:c r="Q161" t="str">
        <x:v>Phụ lục 511 sản phẩm, STT 71, trang 5. Công ty Việt Hương là cơ sở sản xuất; cột tổ chức chịu trách nhiệm lấy nguyên văn từ phụ lục.</x:v>
      </x:c>
      <x:c r="R161" t="str">
        <x:v>https://dav.gov.vn/cong-van-so-1772qld-mp-ve-viec-dinh-chi-luu-hanh-thu-hoi-va-tieu-huy-my-pham-vi-pham-cong-ty-tnhh-my-pham-viet-huong-n5334.html</x:v>
      </x:c>
      <x:c r="S161" t="str">
        <x:v>Hà Nội</x:v>
      </x:c>
      <x:c r="T161" t="str">
        <x:v>01</x:v>
      </x:c>
    </x:row>
    <x:row r="162">
      <x:c r="A162" t="n">
        <x:v>161</x:v>
      </x:c>
      <x:c r="B162" s="330"/>
      <x:c r="C162" s="330" t="n">
        <x:v>46155</x:v>
      </x:c>
      <x:c r="D162" t="n">
        <x:v>2023</x:v>
      </x:c>
      <x:c r="E162"/>
      <x:c r="F162" t="str">
        <x:v>18723/23/CBMP-HN</x:v>
      </x:c>
      <x:c r="G162"/>
      <x:c r="H162" t="str">
        <x:v>Sữa tắm trẻ em I'm Nature</x:v>
      </x:c>
      <x:c r="I162"/>
      <x:c r="J162" t="str">
        <x:v>Sữa tắm/Gel tắm</x:v>
      </x:c>
      <x:c r="K162"/>
      <x:c r="L162" t="str">
        <x:v>Công ty tnhh một thành viên Mommy &amp; Baby center</x:v>
      </x:c>
      <x:c r="M162"/>
      <x:c r="N162" t="str">
        <x:v>Công ty TNHH mỹ phẩm Việt Hương</x:v>
      </x:c>
      <x:c r="O162" t="str">
        <x:v>Đình chỉ lưu hành, thu hồi và tiêu hủy – Công văn 1772/QLD-MP</x:v>
      </x:c>
      <x:c r="P162" t="str">
        <x:v>A++ – Cục Quản lý Dược; tổ chức chịu trách nhiệm explicit</x:v>
      </x:c>
      <x:c r="Q162" t="str">
        <x:v>Phụ lục 511 sản phẩm, STT 72, trang 5. Công ty Việt Hương là cơ sở sản xuất; cột tổ chức chịu trách nhiệm lấy nguyên văn từ phụ lục.</x:v>
      </x:c>
      <x:c r="R162" t="str">
        <x:v>https://dav.gov.vn/cong-van-so-1772qld-mp-ve-viec-dinh-chi-luu-hanh-thu-hoi-va-tieu-huy-my-pham-vi-pham-cong-ty-tnhh-my-pham-viet-huong-n5334.html</x:v>
      </x:c>
      <x:c r="S162" t="str">
        <x:v>Hà Nội</x:v>
      </x:c>
      <x:c r="T162" t="str">
        <x:v>01</x:v>
      </x:c>
    </x:row>
    <x:row r="163">
      <x:c r="A163" t="n">
        <x:v>162</x:v>
      </x:c>
      <x:c r="B163" s="330"/>
      <x:c r="C163" s="330" t="n">
        <x:v>46155</x:v>
      </x:c>
      <x:c r="D163" t="n">
        <x:v>2024</x:v>
      </x:c>
      <x:c r="E163"/>
      <x:c r="F163" t="str">
        <x:v>19368/24/CBMP-HN</x:v>
      </x:c>
      <x:c r="G163"/>
      <x:c r="H163" t="str">
        <x:v>Perfect Sunblock Cream I'm Nature</x:v>
      </x:c>
      <x:c r="I163"/>
      <x:c r="J163" t="str">
        <x:v>Kem chống nắng</x:v>
      </x:c>
      <x:c r="K163"/>
      <x:c r="L163" t="str">
        <x:v>Công ty tnhh một thành viên Mommy &amp; Baby center</x:v>
      </x:c>
      <x:c r="M163"/>
      <x:c r="N163" t="str">
        <x:v>Công ty TNHH mỹ phẩm Việt Hương</x:v>
      </x:c>
      <x:c r="O163" t="str">
        <x:v>Đình chỉ lưu hành, thu hồi và tiêu hủy – Công văn 1772/QLD-MP</x:v>
      </x:c>
      <x:c r="P163" t="str">
        <x:v>A++ – Cục Quản lý Dược; tổ chức chịu trách nhiệm explicit</x:v>
      </x:c>
      <x:c r="Q163" t="str">
        <x:v>Phụ lục 511 sản phẩm, STT 73, trang 5. Công ty Việt Hương là cơ sở sản xuất; cột tổ chức chịu trách nhiệm lấy nguyên văn từ phụ lục.</x:v>
      </x:c>
      <x:c r="R163" t="str">
        <x:v>https://dav.gov.vn/cong-van-so-1772qld-mp-ve-viec-dinh-chi-luu-hanh-thu-hoi-va-tieu-huy-my-pham-vi-pham-cong-ty-tnhh-my-pham-viet-huong-n5334.html</x:v>
      </x:c>
      <x:c r="S163" t="str">
        <x:v>Hà Nội</x:v>
      </x:c>
      <x:c r="T163" t="str">
        <x:v>01</x:v>
      </x:c>
    </x:row>
    <x:row r="164">
      <x:c r="A164" t="n">
        <x:v>163</x:v>
      </x:c>
      <x:c r="B164" s="330"/>
      <x:c r="C164" s="330" t="n">
        <x:v>46155</x:v>
      </x:c>
      <x:c r="D164" t="n">
        <x:v>2025</x:v>
      </x:c>
      <x:c r="E164"/>
      <x:c r="F164" t="str">
        <x:v>24988/25/CBMP-HN</x:v>
      </x:c>
      <x:c r="G164"/>
      <x:c r="H164" t="str">
        <x:v>Dung dịch vệ sinh phụ nữ I'm Nature</x:v>
      </x:c>
      <x:c r="I164"/>
      <x:c r="J164" t="str">
        <x:v>Dung dịch vệ sinh</x:v>
      </x:c>
      <x:c r="K164"/>
      <x:c r="L164" t="str">
        <x:v>Công ty tnhh một thành viên Mommy &amp; Baby center</x:v>
      </x:c>
      <x:c r="M164"/>
      <x:c r="N164" t="str">
        <x:v>Công ty TNHH mỹ phẩm Việt Hương</x:v>
      </x:c>
      <x:c r="O164" t="str">
        <x:v>Đình chỉ lưu hành, thu hồi và tiêu hủy – Công văn 1772/QLD-MP</x:v>
      </x:c>
      <x:c r="P164" t="str">
        <x:v>A++ – Cục Quản lý Dược; tổ chức chịu trách nhiệm explicit</x:v>
      </x:c>
      <x:c r="Q164" t="str">
        <x:v>Phụ lục 511 sản phẩm, STT 74, trang 5. Công ty Việt Hương là cơ sở sản xuất; cột tổ chức chịu trách nhiệm lấy nguyên văn từ phụ lục.</x:v>
      </x:c>
      <x:c r="R164" t="str">
        <x:v>https://dav.gov.vn/cong-van-so-1772qld-mp-ve-viec-dinh-chi-luu-hanh-thu-hoi-va-tieu-huy-my-pham-vi-pham-cong-ty-tnhh-my-pham-viet-huong-n5334.html</x:v>
      </x:c>
      <x:c r="S164" t="str">
        <x:v>Hà Nội</x:v>
      </x:c>
      <x:c r="T164" t="str">
        <x:v>01</x:v>
      </x:c>
    </x:row>
    <x:row r="165">
      <x:c r="A165" t="n">
        <x:v>164</x:v>
      </x:c>
      <x:c r="B165" s="330"/>
      <x:c r="C165" s="330" t="n">
        <x:v>46155</x:v>
      </x:c>
      <x:c r="D165" t="n">
        <x:v>2023</x:v>
      </x:c>
      <x:c r="E165"/>
      <x:c r="F165" t="str">
        <x:v>18450/23/CBMP-HN</x:v>
      </x:c>
      <x:c r="G165"/>
      <x:c r="H165" t="str">
        <x:v>Daily Facial Cleanser</x:v>
      </x:c>
      <x:c r="I165"/>
      <x:c r="J165" t="str">
        <x:v>Sữa rửa mặt</x:v>
      </x:c>
      <x:c r="K165"/>
      <x:c r="L165" t="str">
        <x:v>Công ty TNHH mỹ phẩm Mộc Tâm Nature</x:v>
      </x:c>
      <x:c r="M165"/>
      <x:c r="N165" t="str">
        <x:v>Công ty TNHH mỹ phẩm Việt Hương</x:v>
      </x:c>
      <x:c r="O165" t="str">
        <x:v>Đình chỉ lưu hành, thu hồi và tiêu hủy – Công văn 1772/QLD-MP</x:v>
      </x:c>
      <x:c r="P165" t="str">
        <x:v>A++ – Cục Quản lý Dược; tổ chức chịu trách nhiệm explicit</x:v>
      </x:c>
      <x:c r="Q165" t="str">
        <x:v>Phụ lục 511 sản phẩm, STT 76, trang 5. Công ty Việt Hương là cơ sở sản xuất; cột tổ chức chịu trách nhiệm lấy nguyên văn từ phụ lục.</x:v>
      </x:c>
      <x:c r="R165" t="str">
        <x:v>https://dav.gov.vn/cong-van-so-1772qld-mp-ve-viec-dinh-chi-luu-hanh-thu-hoi-va-tieu-huy-my-pham-vi-pham-cong-ty-tnhh-my-pham-viet-huong-n5334.html</x:v>
      </x:c>
      <x:c r="S165" t="str">
        <x:v>Hà Nội</x:v>
      </x:c>
      <x:c r="T165" t="str">
        <x:v>01</x:v>
      </x:c>
    </x:row>
    <x:row r="166">
      <x:c r="A166" t="n">
        <x:v>165</x:v>
      </x:c>
      <x:c r="B166" s="330"/>
      <x:c r="C166" s="330" t="n">
        <x:v>46155</x:v>
      </x:c>
      <x:c r="D166" t="n">
        <x:v>2023</x:v>
      </x:c>
      <x:c r="E166"/>
      <x:c r="F166" t="str">
        <x:v>18451/23/CBMP-HN</x:v>
      </x:c>
      <x:c r="G166"/>
      <x:c r="H166" t="str">
        <x:v>Daily Brightening Scrub</x:v>
      </x:c>
      <x:c r="I166"/>
      <x:c r="J166" t="str">
        <x:v>Khác</x:v>
      </x:c>
      <x:c r="K166"/>
      <x:c r="L166" t="str">
        <x:v>Công ty TNHH mỹ phẩm Mộc Tâm Nature</x:v>
      </x:c>
      <x:c r="M166"/>
      <x:c r="N166" t="str">
        <x:v>Công ty TNHH mỹ phẩm Việt Hương</x:v>
      </x:c>
      <x:c r="O166" t="str">
        <x:v>Đình chỉ lưu hành, thu hồi và tiêu hủy – Công văn 1772/QLD-MP</x:v>
      </x:c>
      <x:c r="P166" t="str">
        <x:v>A++ – Cục Quản lý Dược; tổ chức chịu trách nhiệm explicit</x:v>
      </x:c>
      <x:c r="Q166" t="str">
        <x:v>Phụ lục 511 sản phẩm, STT 77, trang 5. Công ty Việt Hương là cơ sở sản xuất; cột tổ chức chịu trách nhiệm lấy nguyên văn từ phụ lục.</x:v>
      </x:c>
      <x:c r="R166" t="str">
        <x:v>https://dav.gov.vn/cong-van-so-1772qld-mp-ve-viec-dinh-chi-luu-hanh-thu-hoi-va-tieu-huy-my-pham-vi-pham-cong-ty-tnhh-my-pham-viet-huong-n5334.html</x:v>
      </x:c>
      <x:c r="S166" t="str">
        <x:v>Hà Nội</x:v>
      </x:c>
      <x:c r="T166" t="str">
        <x:v>01</x:v>
      </x:c>
    </x:row>
    <x:row r="167">
      <x:c r="A167" t="n">
        <x:v>166</x:v>
      </x:c>
      <x:c r="B167" s="330"/>
      <x:c r="C167" s="330" t="n">
        <x:v>46155</x:v>
      </x:c>
      <x:c r="D167" t="n">
        <x:v>2023</x:v>
      </x:c>
      <x:c r="E167"/>
      <x:c r="F167" t="str">
        <x:v>18452/23/CBMP-HN</x:v>
      </x:c>
      <x:c r="G167"/>
      <x:c r="H167" t="str">
        <x:v>Nature Care Shampoo</x:v>
      </x:c>
      <x:c r="I167"/>
      <x:c r="J167" t="str">
        <x:v>Dầu gội</x:v>
      </x:c>
      <x:c r="K167"/>
      <x:c r="L167" t="str">
        <x:v>Công ty TNHH mỹ phẩm Mộc Tâm Nature</x:v>
      </x:c>
      <x:c r="M167"/>
      <x:c r="N167" t="str">
        <x:v>Công ty TNHH mỹ phẩm Việt Hương</x:v>
      </x:c>
      <x:c r="O167" t="str">
        <x:v>Đình chỉ lưu hành, thu hồi và tiêu hủy – Công văn 1772/QLD-MP</x:v>
      </x:c>
      <x:c r="P167" t="str">
        <x:v>A++ – Cục Quản lý Dược; tổ chức chịu trách nhiệm explicit</x:v>
      </x:c>
      <x:c r="Q167" t="str">
        <x:v>Phụ lục 511 sản phẩm, STT 78, trang 5. Công ty Việt Hương là cơ sở sản xuất; cột tổ chức chịu trách nhiệm lấy nguyên văn từ phụ lục.</x:v>
      </x:c>
      <x:c r="R167" t="str">
        <x:v>https://dav.gov.vn/cong-van-so-1772qld-mp-ve-viec-dinh-chi-luu-hanh-thu-hoi-va-tieu-huy-my-pham-vi-pham-cong-ty-tnhh-my-pham-viet-huong-n5334.html</x:v>
      </x:c>
      <x:c r="S167" t="str">
        <x:v>Hà Nội</x:v>
      </x:c>
      <x:c r="T167" t="str">
        <x:v>01</x:v>
      </x:c>
    </x:row>
    <x:row r="168">
      <x:c r="A168" t="n">
        <x:v>167</x:v>
      </x:c>
      <x:c r="B168" s="330"/>
      <x:c r="C168" s="330" t="n">
        <x:v>46155</x:v>
      </x:c>
      <x:c r="D168" t="n">
        <x:v>2023</x:v>
      </x:c>
      <x:c r="E168"/>
      <x:c r="F168" t="str">
        <x:v>18453/23/CBMP-HN</x:v>
      </x:c>
      <x:c r="G168"/>
      <x:c r="H168" t="str">
        <x:v>Nature Care Conditioner</x:v>
      </x:c>
      <x:c r="I168"/>
      <x:c r="J168" t="str">
        <x:v>Dầu xả</x:v>
      </x:c>
      <x:c r="K168"/>
      <x:c r="L168" t="str">
        <x:v>Công ty TNHH mỹ phẩm Mộc Tâm Nature</x:v>
      </x:c>
      <x:c r="M168"/>
      <x:c r="N168" t="str">
        <x:v>Công ty TNHH mỹ phẩm Việt Hương</x:v>
      </x:c>
      <x:c r="O168" t="str">
        <x:v>Đình chỉ lưu hành, thu hồi và tiêu hủy – Công văn 1772/QLD-MP</x:v>
      </x:c>
      <x:c r="P168" t="str">
        <x:v>A++ – Cục Quản lý Dược; tổ chức chịu trách nhiệm explicit</x:v>
      </x:c>
      <x:c r="Q168" t="str">
        <x:v>Phụ lục 511 sản phẩm, STT 79, trang 5. Công ty Việt Hương là cơ sở sản xuất; cột tổ chức chịu trách nhiệm lấy nguyên văn từ phụ lục.</x:v>
      </x:c>
      <x:c r="R168" t="str">
        <x:v>https://dav.gov.vn/cong-van-so-1772qld-mp-ve-viec-dinh-chi-luu-hanh-thu-hoi-va-tieu-huy-my-pham-vi-pham-cong-ty-tnhh-my-pham-viet-huong-n5334.html</x:v>
      </x:c>
      <x:c r="S168" t="str">
        <x:v>Hà Nội</x:v>
      </x:c>
      <x:c r="T168" t="str">
        <x:v>01</x:v>
      </x:c>
    </x:row>
    <x:row r="169">
      <x:c r="A169" t="n">
        <x:v>168</x:v>
      </x:c>
      <x:c r="B169" s="330"/>
      <x:c r="C169" s="330" t="n">
        <x:v>46155</x:v>
      </x:c>
      <x:c r="D169" t="n">
        <x:v>2024</x:v>
      </x:c>
      <x:c r="E169"/>
      <x:c r="F169" t="str">
        <x:v>21677/24/CBMP-HN</x:v>
      </x:c>
      <x:c r="G169"/>
      <x:c r="H169" t="str">
        <x:v>Dầu gội đầu</x:v>
      </x:c>
      <x:c r="I169"/>
      <x:c r="J169" t="str">
        <x:v>Dầu gội</x:v>
      </x:c>
      <x:c r="K169"/>
      <x:c r="L169" t="str">
        <x:v>Công ty TNHH mỹ phẩm Mộc Tâm Nature</x:v>
      </x:c>
      <x:c r="M169"/>
      <x:c r="N169" t="str">
        <x:v>Công ty TNHH mỹ phẩm Việt Hương</x:v>
      </x:c>
      <x:c r="O169" t="str">
        <x:v>Đình chỉ lưu hành, thu hồi và tiêu hủy – Công văn 1772/QLD-MP</x:v>
      </x:c>
      <x:c r="P169" t="str">
        <x:v>A++ – Cục Quản lý Dược; tổ chức chịu trách nhiệm explicit</x:v>
      </x:c>
      <x:c r="Q169" t="str">
        <x:v>Phụ lục 511 sản phẩm, STT 80, trang 5. Công ty Việt Hương là cơ sở sản xuất; cột tổ chức chịu trách nhiệm lấy nguyên văn từ phụ lục.</x:v>
      </x:c>
      <x:c r="R169" t="str">
        <x:v>https://dav.gov.vn/cong-van-so-1772qld-mp-ve-viec-dinh-chi-luu-hanh-thu-hoi-va-tieu-huy-my-pham-vi-pham-cong-ty-tnhh-my-pham-viet-huong-n5334.html</x:v>
      </x:c>
      <x:c r="S169" t="str">
        <x:v>Hà Nội</x:v>
      </x:c>
      <x:c r="T169" t="str">
        <x:v>01</x:v>
      </x:c>
    </x:row>
    <x:row r="170">
      <x:c r="A170" t="n">
        <x:v>169</x:v>
      </x:c>
      <x:c r="B170" s="330"/>
      <x:c r="C170" s="330" t="n">
        <x:v>46155</x:v>
      </x:c>
      <x:c r="D170" t="n">
        <x:v>2024</x:v>
      </x:c>
      <x:c r="E170"/>
      <x:c r="F170" t="str">
        <x:v>21678/24/CBMP-HN</x:v>
      </x:c>
      <x:c r="G170"/>
      <x:c r="H170" t="str">
        <x:v>Ủ tóc</x:v>
      </x:c>
      <x:c r="I170"/>
      <x:c r="J170" t="str">
        <x:v>Khác</x:v>
      </x:c>
      <x:c r="K170"/>
      <x:c r="L170" t="str">
        <x:v>Công ty TNHH mỹ phẩm Mộc Tâm Nature</x:v>
      </x:c>
      <x:c r="M170"/>
      <x:c r="N170" t="str">
        <x:v>Công ty TNHH mỹ phẩm Việt Hương</x:v>
      </x:c>
      <x:c r="O170" t="str">
        <x:v>Đình chỉ lưu hành, thu hồi và tiêu hủy – Công văn 1772/QLD-MP</x:v>
      </x:c>
      <x:c r="P170" t="str">
        <x:v>A++ – Cục Quản lý Dược; tổ chức chịu trách nhiệm explicit</x:v>
      </x:c>
      <x:c r="Q170" t="str">
        <x:v>Phụ lục 511 sản phẩm, STT 81, trang 5. Công ty Việt Hương là cơ sở sản xuất; cột tổ chức chịu trách nhiệm lấy nguyên văn từ phụ lục.</x:v>
      </x:c>
      <x:c r="R170" t="str">
        <x:v>https://dav.gov.vn/cong-van-so-1772qld-mp-ve-viec-dinh-chi-luu-hanh-thu-hoi-va-tieu-huy-my-pham-vi-pham-cong-ty-tnhh-my-pham-viet-huong-n5334.html</x:v>
      </x:c>
      <x:c r="S170" t="str">
        <x:v>Hà Nội</x:v>
      </x:c>
      <x:c r="T170" t="str">
        <x:v>01</x:v>
      </x:c>
    </x:row>
    <x:row r="171">
      <x:c r="A171" t="n">
        <x:v>170</x:v>
      </x:c>
      <x:c r="B171" s="330"/>
      <x:c r="C171" s="330" t="n">
        <x:v>46155</x:v>
      </x:c>
      <x:c r="D171" t="n">
        <x:v>2024</x:v>
      </x:c>
      <x:c r="E171"/>
      <x:c r="F171" t="str">
        <x:v>21679/24/CBMP-HN</x:v>
      </x:c>
      <x:c r="G171"/>
      <x:c r="H171" t="str">
        <x:v>Sữa rửa mặt</x:v>
      </x:c>
      <x:c r="I171"/>
      <x:c r="J171" t="str">
        <x:v>Sữa rửa mặt</x:v>
      </x:c>
      <x:c r="K171"/>
      <x:c r="L171" t="str">
        <x:v>Công ty TNHH mỹ phẩm Mộc Tâm Nature</x:v>
      </x:c>
      <x:c r="M171"/>
      <x:c r="N171" t="str">
        <x:v>Công ty TNHH mỹ phẩm Việt Hương</x:v>
      </x:c>
      <x:c r="O171" t="str">
        <x:v>Đình chỉ lưu hành, thu hồi và tiêu hủy – Công văn 1772/QLD-MP</x:v>
      </x:c>
      <x:c r="P171" t="str">
        <x:v>A++ – Cục Quản lý Dược; tổ chức chịu trách nhiệm explicit</x:v>
      </x:c>
      <x:c r="Q171" t="str">
        <x:v>Phụ lục 511 sản phẩm, STT 82, trang 5. Công ty Việt Hương là cơ sở sản xuất; cột tổ chức chịu trách nhiệm lấy nguyên văn từ phụ lục.</x:v>
      </x:c>
      <x:c r="R171" t="str">
        <x:v>https://dav.gov.vn/cong-van-so-1772qld-mp-ve-viec-dinh-chi-luu-hanh-thu-hoi-va-tieu-huy-my-pham-vi-pham-cong-ty-tnhh-my-pham-viet-huong-n5334.html</x:v>
      </x:c>
      <x:c r="S171" t="str">
        <x:v>Hà Nội</x:v>
      </x:c>
      <x:c r="T171" t="str">
        <x:v>01</x:v>
      </x:c>
    </x:row>
    <x:row r="172">
      <x:c r="A172" t="n">
        <x:v>171</x:v>
      </x:c>
      <x:c r="B172" s="330"/>
      <x:c r="C172" s="330" t="n">
        <x:v>46155</x:v>
      </x:c>
      <x:c r="D172" t="n">
        <x:v>2024</x:v>
      </x:c>
      <x:c r="E172"/>
      <x:c r="F172" t="str">
        <x:v>21896/24/CBMP-HN</x:v>
      </x:c>
      <x:c r="G172"/>
      <x:c r="H172" t="str">
        <x:v>Anna Beauty</x:v>
      </x:c>
      <x:c r="I172"/>
      <x:c r="J172" t="str">
        <x:v>Khác</x:v>
      </x:c>
      <x:c r="K172"/>
      <x:c r="L172" t="str">
        <x:v>Công ty TNHH mỹ phẩm Mộc Tâm Nature</x:v>
      </x:c>
      <x:c r="M172"/>
      <x:c r="N172" t="str">
        <x:v>Công ty TNHH mỹ phẩm Việt Hương</x:v>
      </x:c>
      <x:c r="O172" t="str">
        <x:v>Đình chỉ lưu hành, thu hồi và tiêu hủy – Công văn 1772/QLD-MP</x:v>
      </x:c>
      <x:c r="P172" t="str">
        <x:v>A++ – Cục Quản lý Dược; tổ chức chịu trách nhiệm explicit</x:v>
      </x:c>
      <x:c r="Q172" t="str">
        <x:v>Phụ lục 511 sản phẩm, STT 83, trang 5. Công ty Việt Hương là cơ sở sản xuất; cột tổ chức chịu trách nhiệm lấy nguyên văn từ phụ lục.</x:v>
      </x:c>
      <x:c r="R172" t="str">
        <x:v>https://dav.gov.vn/cong-van-so-1772qld-mp-ve-viec-dinh-chi-luu-hanh-thu-hoi-va-tieu-huy-my-pham-vi-pham-cong-ty-tnhh-my-pham-viet-huong-n5334.html</x:v>
      </x:c>
      <x:c r="S172" t="str">
        <x:v>Hà Nội</x:v>
      </x:c>
      <x:c r="T172" t="str">
        <x:v>01</x:v>
      </x:c>
    </x:row>
    <x:row r="173">
      <x:c r="A173" t="n">
        <x:v>172</x:v>
      </x:c>
      <x:c r="B173" s="330"/>
      <x:c r="C173" s="330" t="n">
        <x:v>46155</x:v>
      </x:c>
      <x:c r="D173" t="n">
        <x:v>2024</x:v>
      </x:c>
      <x:c r="E173"/>
      <x:c r="F173" t="str">
        <x:v>21962/24/CBMP-HN</x:v>
      </x:c>
      <x:c r="G173"/>
      <x:c r="H173" t="str">
        <x:v>Sugar Boss</x:v>
      </x:c>
      <x:c r="I173"/>
      <x:c r="J173" t="str">
        <x:v>Khác</x:v>
      </x:c>
      <x:c r="K173"/>
      <x:c r="L173" t="str">
        <x:v>Công ty TNHH mỹ phẩm Mộc Tâm Nature</x:v>
      </x:c>
      <x:c r="M173"/>
      <x:c r="N173" t="str">
        <x:v>Công ty TNHH mỹ phẩm Việt Hương</x:v>
      </x:c>
      <x:c r="O173" t="str">
        <x:v>Đình chỉ lưu hành, thu hồi và tiêu hủy – Công văn 1772/QLD-MP</x:v>
      </x:c>
      <x:c r="P173" t="str">
        <x:v>A++ – Cục Quản lý Dược; tổ chức chịu trách nhiệm explicit</x:v>
      </x:c>
      <x:c r="Q173" t="str">
        <x:v>Phụ lục 511 sản phẩm, STT 84, trang 5. Công ty Việt Hương là cơ sở sản xuất; cột tổ chức chịu trách nhiệm lấy nguyên văn từ phụ lục.</x:v>
      </x:c>
      <x:c r="R173" t="str">
        <x:v>https://dav.gov.vn/cong-van-so-1772qld-mp-ve-viec-dinh-chi-luu-hanh-thu-hoi-va-tieu-huy-my-pham-vi-pham-cong-ty-tnhh-my-pham-viet-huong-n5334.html</x:v>
      </x:c>
      <x:c r="S173" t="str">
        <x:v>Hà Nội</x:v>
      </x:c>
      <x:c r="T173" t="str">
        <x:v>01</x:v>
      </x:c>
    </x:row>
    <x:row r="174">
      <x:c r="A174" t="n">
        <x:v>173</x:v>
      </x:c>
      <x:c r="B174" s="330"/>
      <x:c r="C174" s="330" t="n">
        <x:v>46155</x:v>
      </x:c>
      <x:c r="D174" t="n">
        <x:v>2024</x:v>
      </x:c>
      <x:c r="E174"/>
      <x:c r="F174" t="str">
        <x:v>21963/24/CBMP-HN</x:v>
      </x:c>
      <x:c r="G174"/>
      <x:c r="H174" t="str">
        <x:v>So Charming</x:v>
      </x:c>
      <x:c r="I174"/>
      <x:c r="J174" t="str">
        <x:v>Khác</x:v>
      </x:c>
      <x:c r="K174"/>
      <x:c r="L174" t="str">
        <x:v>Công ty TNHH mỹ phẩm Mộc Tâm Nature</x:v>
      </x:c>
      <x:c r="M174"/>
      <x:c r="N174" t="str">
        <x:v>Công ty TNHH mỹ phẩm Việt Hương</x:v>
      </x:c>
      <x:c r="O174" t="str">
        <x:v>Đình chỉ lưu hành, thu hồi và tiêu hủy – Công văn 1772/QLD-MP</x:v>
      </x:c>
      <x:c r="P174" t="str">
        <x:v>A++ – Cục Quản lý Dược; tổ chức chịu trách nhiệm explicit</x:v>
      </x:c>
      <x:c r="Q174" t="str">
        <x:v>Phụ lục 511 sản phẩm, STT 85, trang 5. Công ty Việt Hương là cơ sở sản xuất; cột tổ chức chịu trách nhiệm lấy nguyên văn từ phụ lục.</x:v>
      </x:c>
      <x:c r="R174" t="str">
        <x:v>https://dav.gov.vn/cong-van-so-1772qld-mp-ve-viec-dinh-chi-luu-hanh-thu-hoi-va-tieu-huy-my-pham-vi-pham-cong-ty-tnhh-my-pham-viet-huong-n5334.html</x:v>
      </x:c>
      <x:c r="S174" t="str">
        <x:v>Hà Nội</x:v>
      </x:c>
      <x:c r="T174" t="str">
        <x:v>01</x:v>
      </x:c>
    </x:row>
    <x:row r="175">
      <x:c r="A175" t="n">
        <x:v>174</x:v>
      </x:c>
      <x:c r="B175" s="330"/>
      <x:c r="C175" s="330" t="n">
        <x:v>46155</x:v>
      </x:c>
      <x:c r="D175" t="n">
        <x:v>2024</x:v>
      </x:c>
      <x:c r="E175"/>
      <x:c r="F175" t="str">
        <x:v>21964/24/CBMP-HN</x:v>
      </x:c>
      <x:c r="G175"/>
      <x:c r="H175" t="str">
        <x:v>So Sexy</x:v>
      </x:c>
      <x:c r="I175"/>
      <x:c r="J175" t="str">
        <x:v>Khác</x:v>
      </x:c>
      <x:c r="K175"/>
      <x:c r="L175" t="str">
        <x:v>Công ty TNHH mỹ phẩm Mộc Tâm Nature</x:v>
      </x:c>
      <x:c r="M175"/>
      <x:c r="N175" t="str">
        <x:v>Công ty TNHH mỹ phẩm Việt Hương</x:v>
      </x:c>
      <x:c r="O175" t="str">
        <x:v>Đình chỉ lưu hành, thu hồi và tiêu hủy – Công văn 1772/QLD-MP</x:v>
      </x:c>
      <x:c r="P175" t="str">
        <x:v>A++ – Cục Quản lý Dược; tổ chức chịu trách nhiệm explicit</x:v>
      </x:c>
      <x:c r="Q175" t="str">
        <x:v>Phụ lục 511 sản phẩm, STT 86, trang 5. Công ty Việt Hương là cơ sở sản xuất; cột tổ chức chịu trách nhiệm lấy nguyên văn từ phụ lục.</x:v>
      </x:c>
      <x:c r="R175" t="str">
        <x:v>https://dav.gov.vn/cong-van-so-1772qld-mp-ve-viec-dinh-chi-luu-hanh-thu-hoi-va-tieu-huy-my-pham-vi-pham-cong-ty-tnhh-my-pham-viet-huong-n5334.html</x:v>
      </x:c>
      <x:c r="S175" t="str">
        <x:v>Hà Nội</x:v>
      </x:c>
      <x:c r="T175" t="str">
        <x:v>01</x:v>
      </x:c>
    </x:row>
    <x:row r="176">
      <x:c r="A176" t="n">
        <x:v>175</x:v>
      </x:c>
      <x:c r="B176" s="330"/>
      <x:c r="C176" s="330" t="n">
        <x:v>46155</x:v>
      </x:c>
      <x:c r="D176" t="n">
        <x:v>2024</x:v>
      </x:c>
      <x:c r="E176"/>
      <x:c r="F176" t="str">
        <x:v>21965/24/CBMP-HN</x:v>
      </x:c>
      <x:c r="G176"/>
      <x:c r="H176" t="str">
        <x:v>Sugar Star</x:v>
      </x:c>
      <x:c r="I176"/>
      <x:c r="J176" t="str">
        <x:v>Khác</x:v>
      </x:c>
      <x:c r="K176"/>
      <x:c r="L176" t="str">
        <x:v>Công ty TNHH mỹ phẩm Mộc Tâm Nature</x:v>
      </x:c>
      <x:c r="M176"/>
      <x:c r="N176" t="str">
        <x:v>Công ty TNHH mỹ phẩm Việt Hương</x:v>
      </x:c>
      <x:c r="O176" t="str">
        <x:v>Đình chỉ lưu hành, thu hồi và tiêu hủy – Công văn 1772/QLD-MP</x:v>
      </x:c>
      <x:c r="P176" t="str">
        <x:v>A++ – Cục Quản lý Dược; tổ chức chịu trách nhiệm explicit</x:v>
      </x:c>
      <x:c r="Q176" t="str">
        <x:v>Phụ lục 511 sản phẩm, STT 87, trang 5. Công ty Việt Hương là cơ sở sản xuất; cột tổ chức chịu trách nhiệm lấy nguyên văn từ phụ lục.</x:v>
      </x:c>
      <x:c r="R176" t="str">
        <x:v>https://dav.gov.vn/cong-van-so-1772qld-mp-ve-viec-dinh-chi-luu-hanh-thu-hoi-va-tieu-huy-my-pham-vi-pham-cong-ty-tnhh-my-pham-viet-huong-n5334.html</x:v>
      </x:c>
      <x:c r="S176" t="str">
        <x:v>Hà Nội</x:v>
      </x:c>
      <x:c r="T176" t="str">
        <x:v>01</x:v>
      </x:c>
    </x:row>
    <x:row r="177">
      <x:c r="A177" t="n">
        <x:v>176</x:v>
      </x:c>
      <x:c r="B177" s="330"/>
      <x:c r="C177" s="330" t="n">
        <x:v>46155</x:v>
      </x:c>
      <x:c r="D177" t="n">
        <x:v>2024</x:v>
      </x:c>
      <x:c r="E177"/>
      <x:c r="F177" t="str">
        <x:v>21966/24/CBMP-HN</x:v>
      </x:c>
      <x:c r="G177"/>
      <x:c r="H177" t="str">
        <x:v>Sweet Love</x:v>
      </x:c>
      <x:c r="I177"/>
      <x:c r="J177" t="str">
        <x:v>Khác</x:v>
      </x:c>
      <x:c r="K177"/>
      <x:c r="L177" t="str">
        <x:v>Công ty TNHH mỹ phẩm Mộc Tâm Nature</x:v>
      </x:c>
      <x:c r="M177"/>
      <x:c r="N177" t="str">
        <x:v>Công ty TNHH mỹ phẩm Việt Hương</x:v>
      </x:c>
      <x:c r="O177" t="str">
        <x:v>Đình chỉ lưu hành, thu hồi và tiêu hủy – Công văn 1772/QLD-MP</x:v>
      </x:c>
      <x:c r="P177" t="str">
        <x:v>A++ – Cục Quản lý Dược; tổ chức chịu trách nhiệm explicit</x:v>
      </x:c>
      <x:c r="Q177" t="str">
        <x:v>Phụ lục 511 sản phẩm, STT 88, trang 5. Công ty Việt Hương là cơ sở sản xuất; cột tổ chức chịu trách nhiệm lấy nguyên văn từ phụ lục.</x:v>
      </x:c>
      <x:c r="R177" t="str">
        <x:v>https://dav.gov.vn/cong-van-so-1772qld-mp-ve-viec-dinh-chi-luu-hanh-thu-hoi-va-tieu-huy-my-pham-vi-pham-cong-ty-tnhh-my-pham-viet-huong-n5334.html</x:v>
      </x:c>
      <x:c r="S177" t="str">
        <x:v>Hà Nội</x:v>
      </x:c>
      <x:c r="T177" t="str">
        <x:v>01</x:v>
      </x:c>
    </x:row>
    <x:row r="178">
      <x:c r="A178" t="n">
        <x:v>177</x:v>
      </x:c>
      <x:c r="B178" s="330"/>
      <x:c r="C178" s="330" t="n">
        <x:v>46155</x:v>
      </x:c>
      <x:c r="D178" t="n">
        <x:v>2024</x:v>
      </x:c>
      <x:c r="E178"/>
      <x:c r="F178" t="str">
        <x:v>22643/24/CBMP-HN</x:v>
      </x:c>
      <x:c r="G178"/>
      <x:c r="H178" t="str">
        <x:v>Anna Beauty Day Cream</x:v>
      </x:c>
      <x:c r="I178"/>
      <x:c r="J178" t="str">
        <x:v>Kem dưỡng da</x:v>
      </x:c>
      <x:c r="K178"/>
      <x:c r="L178" t="str">
        <x:v>Công ty TNHH mỹ phẩm Mộc Tâm Nature</x:v>
      </x:c>
      <x:c r="M178"/>
      <x:c r="N178" t="str">
        <x:v>Công ty TNHH mỹ phẩm Việt Hương</x:v>
      </x:c>
      <x:c r="O178" t="str">
        <x:v>Đình chỉ lưu hành, thu hồi và tiêu hủy – Công văn 1772/QLD-MP</x:v>
      </x:c>
      <x:c r="P178" t="str">
        <x:v>A++ – Cục Quản lý Dược; tổ chức chịu trách nhiệm explicit</x:v>
      </x:c>
      <x:c r="Q178" t="str">
        <x:v>Phụ lục 511 sản phẩm, STT 89, trang 5. Công ty Việt Hương là cơ sở sản xuất; cột tổ chức chịu trách nhiệm lấy nguyên văn từ phụ lục.</x:v>
      </x:c>
      <x:c r="R178" t="str">
        <x:v>https://dav.gov.vn/cong-van-so-1772qld-mp-ve-viec-dinh-chi-luu-hanh-thu-hoi-va-tieu-huy-my-pham-vi-pham-cong-ty-tnhh-my-pham-viet-huong-n5334.html</x:v>
      </x:c>
      <x:c r="S178" t="str">
        <x:v>Hà Nội</x:v>
      </x:c>
      <x:c r="T178" t="str">
        <x:v>01</x:v>
      </x:c>
    </x:row>
    <x:row r="179">
      <x:c r="A179" t="n">
        <x:v>178</x:v>
      </x:c>
      <x:c r="B179" s="330"/>
      <x:c r="C179" s="330" t="n">
        <x:v>46155</x:v>
      </x:c>
      <x:c r="D179" t="n">
        <x:v>2024</x:v>
      </x:c>
      <x:c r="E179"/>
      <x:c r="F179" t="str">
        <x:v>22644/24/CBMP-HN</x:v>
      </x:c>
      <x:c r="G179"/>
      <x:c r="H179" t="str">
        <x:v>Anna Beauty Night Cream</x:v>
      </x:c>
      <x:c r="I179"/>
      <x:c r="J179" t="str">
        <x:v>Kem dưỡng da</x:v>
      </x:c>
      <x:c r="K179"/>
      <x:c r="L179" t="str">
        <x:v>Công ty TNHH mỹ phẩm Mộc Tâm Nature</x:v>
      </x:c>
      <x:c r="M179"/>
      <x:c r="N179" t="str">
        <x:v>Công ty TNHH mỹ phẩm Việt Hương</x:v>
      </x:c>
      <x:c r="O179" t="str">
        <x:v>Đình chỉ lưu hành, thu hồi và tiêu hủy – Công văn 1772/QLD-MP</x:v>
      </x:c>
      <x:c r="P179" t="str">
        <x:v>A++ – Cục Quản lý Dược; tổ chức chịu trách nhiệm explicit</x:v>
      </x:c>
      <x:c r="Q179" t="str">
        <x:v>Phụ lục 511 sản phẩm, STT 90, trang 5. Công ty Việt Hương là cơ sở sản xuất; cột tổ chức chịu trách nhiệm lấy nguyên văn từ phụ lục.</x:v>
      </x:c>
      <x:c r="R179" t="str">
        <x:v>https://dav.gov.vn/cong-van-so-1772qld-mp-ve-viec-dinh-chi-luu-hanh-thu-hoi-va-tieu-huy-my-pham-vi-pham-cong-ty-tnhh-my-pham-viet-huong-n5334.html</x:v>
      </x:c>
      <x:c r="S179" t="str">
        <x:v>Hà Nội</x:v>
      </x:c>
      <x:c r="T179" t="str">
        <x:v>01</x:v>
      </x:c>
    </x:row>
    <x:row r="180">
      <x:c r="A180" t="n">
        <x:v>179</x:v>
      </x:c>
      <x:c r="B180" s="330"/>
      <x:c r="C180" s="330" t="n">
        <x:v>46155</x:v>
      </x:c>
      <x:c r="D180" t="n">
        <x:v>2022</x:v>
      </x:c>
      <x:c r="E180"/>
      <x:c r="F180" t="str">
        <x:v>12772/22/CBMP-HN</x:v>
      </x:c>
      <x:c r="G180"/>
      <x:c r="H180" t="str">
        <x:v>Locust Pomelo Conditioner</x:v>
      </x:c>
      <x:c r="I180"/>
      <x:c r="J180" t="str">
        <x:v>Dầu xả</x:v>
      </x:c>
      <x:c r="K180"/>
      <x:c r="L180" t="str">
        <x:v>Công ty cổ phần đầu tư Seimy Paris</x:v>
      </x:c>
      <x:c r="M180"/>
      <x:c r="N180" t="str">
        <x:v>Công ty TNHH mỹ phẩm Việt Hương</x:v>
      </x:c>
      <x:c r="O180" t="str">
        <x:v>Đình chỉ lưu hành, thu hồi và tiêu hủy – Công văn 1772/QLD-MP</x:v>
      </x:c>
      <x:c r="P180" t="str">
        <x:v>A++ – Cục Quản lý Dược; tổ chức chịu trách nhiệm explicit</x:v>
      </x:c>
      <x:c r="Q180" t="str">
        <x:v>Phụ lục 511 sản phẩm, STT 98, trang 5. Công ty Việt Hương là cơ sở sản xuất; cột tổ chức chịu trách nhiệm lấy nguyên văn từ phụ lục.</x:v>
      </x:c>
      <x:c r="R180" t="str">
        <x:v>https://dav.gov.vn/cong-van-so-1772qld-mp-ve-viec-dinh-chi-luu-hanh-thu-hoi-va-tieu-huy-my-pham-vi-pham-cong-ty-tnhh-my-pham-viet-huong-n5334.html</x:v>
      </x:c>
      <x:c r="S180" t="str">
        <x:v>Hà Nội</x:v>
      </x:c>
      <x:c r="T180" t="str">
        <x:v>01</x:v>
      </x:c>
    </x:row>
    <x:row r="181">
      <x:c r="A181" t="n">
        <x:v>180</x:v>
      </x:c>
      <x:c r="B181" s="330"/>
      <x:c r="C181" s="330" t="n">
        <x:v>46155</x:v>
      </x:c>
      <x:c r="D181" t="n">
        <x:v>2022</x:v>
      </x:c>
      <x:c r="E181"/>
      <x:c r="F181" t="str">
        <x:v>12826/22/CBMP-HN</x:v>
      </x:c>
      <x:c r="G181"/>
      <x:c r="H181" t="str">
        <x:v>Pomelo Hair Essence</x:v>
      </x:c>
      <x:c r="I181"/>
      <x:c r="J181" t="str">
        <x:v>Serum/Essence da</x:v>
      </x:c>
      <x:c r="K181"/>
      <x:c r="L181" t="str">
        <x:v>Công ty cổ phần đầu tư Seimy Paris</x:v>
      </x:c>
      <x:c r="M181"/>
      <x:c r="N181" t="str">
        <x:v>Công ty TNHH mỹ phẩm Việt Hương</x:v>
      </x:c>
      <x:c r="O181" t="str">
        <x:v>Đình chỉ lưu hành, thu hồi và tiêu hủy – Công văn 1772/QLD-MP</x:v>
      </x:c>
      <x:c r="P181" t="str">
        <x:v>A++ – Cục Quản lý Dược; tổ chức chịu trách nhiệm explicit</x:v>
      </x:c>
      <x:c r="Q181" t="str">
        <x:v>Phụ lục 511 sản phẩm, STT 99, trang 5. Công ty Việt Hương là cơ sở sản xuất; cột tổ chức chịu trách nhiệm lấy nguyên văn từ phụ lục.</x:v>
      </x:c>
      <x:c r="R181" t="str">
        <x:v>https://dav.gov.vn/cong-van-so-1772qld-mp-ve-viec-dinh-chi-luu-hanh-thu-hoi-va-tieu-huy-my-pham-vi-pham-cong-ty-tnhh-my-pham-viet-huong-n5334.html</x:v>
      </x:c>
      <x:c r="S181" t="str">
        <x:v>Hà Nội</x:v>
      </x:c>
      <x:c r="T181" t="str">
        <x:v>01</x:v>
      </x:c>
    </x:row>
    <x:row r="182">
      <x:c r="A182" t="n">
        <x:v>181</x:v>
      </x:c>
      <x:c r="B182" s="330"/>
      <x:c r="C182" s="330" t="n">
        <x:v>46155</x:v>
      </x:c>
      <x:c r="D182" t="n">
        <x:v>2022</x:v>
      </x:c>
      <x:c r="E182"/>
      <x:c r="F182" t="str">
        <x:v>13028/22/CBMP-HN</x:v>
      </x:c>
      <x:c r="G182"/>
      <x:c r="H182" t="str">
        <x:v>Odor Treatment Serum</x:v>
      </x:c>
      <x:c r="I182"/>
      <x:c r="J182" t="str">
        <x:v>Serum/Essence da</x:v>
      </x:c>
      <x:c r="K182"/>
      <x:c r="L182" t="str">
        <x:v>Công ty cổ phần đầu tư Seimy Paris</x:v>
      </x:c>
      <x:c r="M182"/>
      <x:c r="N182" t="str">
        <x:v>Công ty TNHH mỹ phẩm Việt Hương</x:v>
      </x:c>
      <x:c r="O182" t="str">
        <x:v>Đình chỉ lưu hành, thu hồi và tiêu hủy – Công văn 1772/QLD-MP</x:v>
      </x:c>
      <x:c r="P182" t="str">
        <x:v>A++ – Cục Quản lý Dược; tổ chức chịu trách nhiệm explicit</x:v>
      </x:c>
      <x:c r="Q182" t="str">
        <x:v>Phụ lục 511 sản phẩm, STT 100, trang 5. Công ty Việt Hương là cơ sở sản xuất; cột tổ chức chịu trách nhiệm lấy nguyên văn từ phụ lục.</x:v>
      </x:c>
      <x:c r="R182" t="str">
        <x:v>https://dav.gov.vn/cong-van-so-1772qld-mp-ve-viec-dinh-chi-luu-hanh-thu-hoi-va-tieu-huy-my-pham-vi-pham-cong-ty-tnhh-my-pham-viet-huong-n5334.html</x:v>
      </x:c>
      <x:c r="S182" t="str">
        <x:v>Hà Nội</x:v>
      </x:c>
      <x:c r="T182" t="str">
        <x:v>01</x:v>
      </x:c>
    </x:row>
    <x:row r="183">
      <x:c r="A183" t="n">
        <x:v>182</x:v>
      </x:c>
      <x:c r="B183" s="330"/>
      <x:c r="C183" s="330" t="n">
        <x:v>46155</x:v>
      </x:c>
      <x:c r="D183" t="n">
        <x:v>2022</x:v>
      </x:c>
      <x:c r="E183"/>
      <x:c r="F183" t="str">
        <x:v>13385/22/CBMP-HN</x:v>
      </x:c>
      <x:c r="G183"/>
      <x:c r="H183" t="str">
        <x:v>Face Cleanser Foam Collagen</x:v>
      </x:c>
      <x:c r="I183"/>
      <x:c r="J183" t="str">
        <x:v>Sữa rửa mặt</x:v>
      </x:c>
      <x:c r="K183"/>
      <x:c r="L183" t="str">
        <x:v>Công ty cổ phần đầu tư Seimy Paris</x:v>
      </x:c>
      <x:c r="M183"/>
      <x:c r="N183" t="str">
        <x:v>Công ty TNHH mỹ phẩm Việt Hương</x:v>
      </x:c>
      <x:c r="O183" t="str">
        <x:v>Đình chỉ lưu hành, thu hồi và tiêu hủy – Công văn 1772/QLD-MP</x:v>
      </x:c>
      <x:c r="P183" t="str">
        <x:v>A++ – Cục Quản lý Dược; tổ chức chịu trách nhiệm explicit</x:v>
      </x:c>
      <x:c r="Q183" t="str">
        <x:v>Phụ lục 511 sản phẩm, STT 101, trang 5. Công ty Việt Hương là cơ sở sản xuất; cột tổ chức chịu trách nhiệm lấy nguyên văn từ phụ lục.</x:v>
      </x:c>
      <x:c r="R183" t="str">
        <x:v>https://dav.gov.vn/cong-van-so-1772qld-mp-ve-viec-dinh-chi-luu-hanh-thu-hoi-va-tieu-huy-my-pham-vi-pham-cong-ty-tnhh-my-pham-viet-huong-n5334.html</x:v>
      </x:c>
      <x:c r="S183" t="str">
        <x:v>Hà Nội</x:v>
      </x:c>
      <x:c r="T183" t="str">
        <x:v>01</x:v>
      </x:c>
    </x:row>
    <x:row r="184">
      <x:c r="A184" t="n">
        <x:v>183</x:v>
      </x:c>
      <x:c r="B184" s="330"/>
      <x:c r="C184" s="330" t="n">
        <x:v>46155</x:v>
      </x:c>
      <x:c r="D184" t="n">
        <x:v>2022</x:v>
      </x:c>
      <x:c r="E184"/>
      <x:c r="F184" t="str">
        <x:v>13681/22/CBMP-HN</x:v>
      </x:c>
      <x:c r="G184"/>
      <x:c r="H184" t="str">
        <x:v>Avocado Coffee Exfoliate</x:v>
      </x:c>
      <x:c r="I184"/>
      <x:c r="J184" t="str">
        <x:v>Khác</x:v>
      </x:c>
      <x:c r="K184"/>
      <x:c r="L184" t="str">
        <x:v>Công ty cổ phần đầu tư Seimy Paris</x:v>
      </x:c>
      <x:c r="M184"/>
      <x:c r="N184" t="str">
        <x:v>Công ty TNHH mỹ phẩm Việt Hương</x:v>
      </x:c>
      <x:c r="O184" t="str">
        <x:v>Đình chỉ lưu hành, thu hồi và tiêu hủy – Công văn 1772/QLD-MP</x:v>
      </x:c>
      <x:c r="P184" t="str">
        <x:v>A++ – Cục Quản lý Dược; tổ chức chịu trách nhiệm explicit</x:v>
      </x:c>
      <x:c r="Q184" t="str">
        <x:v>Phụ lục 511 sản phẩm, STT 102, trang 5. Công ty Việt Hương là cơ sở sản xuất; cột tổ chức chịu trách nhiệm lấy nguyên văn từ phụ lục.</x:v>
      </x:c>
      <x:c r="R184" t="str">
        <x:v>https://dav.gov.vn/cong-van-so-1772qld-mp-ve-viec-dinh-chi-luu-hanh-thu-hoi-va-tieu-huy-my-pham-vi-pham-cong-ty-tnhh-my-pham-viet-huong-n5334.html</x:v>
      </x:c>
      <x:c r="S184" t="str">
        <x:v>Hà Nội</x:v>
      </x:c>
      <x:c r="T184" t="str">
        <x:v>01</x:v>
      </x:c>
    </x:row>
    <x:row r="185">
      <x:c r="A185" t="n">
        <x:v>184</x:v>
      </x:c>
      <x:c r="B185" s="330"/>
      <x:c r="C185" s="330" t="n">
        <x:v>46155</x:v>
      </x:c>
      <x:c r="D185" t="n">
        <x:v>2022</x:v>
      </x:c>
      <x:c r="E185"/>
      <x:c r="F185" t="str">
        <x:v>13685/22/CBMP-HN</x:v>
      </x:c>
      <x:c r="G185"/>
      <x:c r="H185" t="str">
        <x:v>Gold Skin Cushion</x:v>
      </x:c>
      <x:c r="I185"/>
      <x:c r="J185" t="str">
        <x:v>Khác</x:v>
      </x:c>
      <x:c r="K185"/>
      <x:c r="L185" t="str">
        <x:v>Công ty cổ phần đầu tư Seimy Paris</x:v>
      </x:c>
      <x:c r="M185"/>
      <x:c r="N185" t="str">
        <x:v>Công ty TNHH mỹ phẩm Việt Hương</x:v>
      </x:c>
      <x:c r="O185" t="str">
        <x:v>Đình chỉ lưu hành, thu hồi và tiêu hủy – Công văn 1772/QLD-MP</x:v>
      </x:c>
      <x:c r="P185" t="str">
        <x:v>A++ – Cục Quản lý Dược; tổ chức chịu trách nhiệm explicit</x:v>
      </x:c>
      <x:c r="Q185" t="str">
        <x:v>Phụ lục 511 sản phẩm, STT 103, trang 5. Công ty Việt Hương là cơ sở sản xuất; cột tổ chức chịu trách nhiệm lấy nguyên văn từ phụ lục.</x:v>
      </x:c>
      <x:c r="R185" t="str">
        <x:v>https://dav.gov.vn/cong-van-so-1772qld-mp-ve-viec-dinh-chi-luu-hanh-thu-hoi-va-tieu-huy-my-pham-vi-pham-cong-ty-tnhh-my-pham-viet-huong-n5334.html</x:v>
      </x:c>
      <x:c r="S185" t="str">
        <x:v>Hà Nội</x:v>
      </x:c>
      <x:c r="T185" t="str">
        <x:v>01</x:v>
      </x:c>
    </x:row>
    <x:row r="186">
      <x:c r="A186" t="n">
        <x:v>185</x:v>
      </x:c>
      <x:c r="B186" s="330"/>
      <x:c r="C186" s="330" t="n">
        <x:v>46155</x:v>
      </x:c>
      <x:c r="D186" t="n">
        <x:v>2022</x:v>
      </x:c>
      <x:c r="E186"/>
      <x:c r="F186" t="str">
        <x:v>14053/22/CBMP-HN</x:v>
      </x:c>
      <x:c r="G186"/>
      <x:c r="H186" t="str">
        <x:v>Perfect Concealer</x:v>
      </x:c>
      <x:c r="I186"/>
      <x:c r="J186" t="str">
        <x:v>Khác</x:v>
      </x:c>
      <x:c r="K186"/>
      <x:c r="L186" t="str">
        <x:v>Công ty cổ phần đầu tư Seimy Paris</x:v>
      </x:c>
      <x:c r="M186"/>
      <x:c r="N186" t="str">
        <x:v>Công ty TNHH mỹ phẩm Việt Hương</x:v>
      </x:c>
      <x:c r="O186" t="str">
        <x:v>Đình chỉ lưu hành, thu hồi và tiêu hủy – Công văn 1772/QLD-MP</x:v>
      </x:c>
      <x:c r="P186" t="str">
        <x:v>A++ – Cục Quản lý Dược; tổ chức chịu trách nhiệm explicit</x:v>
      </x:c>
      <x:c r="Q186" t="str">
        <x:v>Phụ lục 511 sản phẩm, STT 104, trang 5. Công ty Việt Hương là cơ sở sản xuất; cột tổ chức chịu trách nhiệm lấy nguyên văn từ phụ lục.</x:v>
      </x:c>
      <x:c r="R186" t="str">
        <x:v>https://dav.gov.vn/cong-van-so-1772qld-mp-ve-viec-dinh-chi-luu-hanh-thu-hoi-va-tieu-huy-my-pham-vi-pham-cong-ty-tnhh-my-pham-viet-huong-n5334.html</x:v>
      </x:c>
      <x:c r="S186" t="str">
        <x:v>Hà Nội</x:v>
      </x:c>
      <x:c r="T186" t="str">
        <x:v>01</x:v>
      </x:c>
    </x:row>
    <x:row r="187">
      <x:c r="A187" t="n">
        <x:v>186</x:v>
      </x:c>
      <x:c r="B187" s="330"/>
      <x:c r="C187" s="330" t="n">
        <x:v>46155</x:v>
      </x:c>
      <x:c r="D187" t="n">
        <x:v>2023</x:v>
      </x:c>
      <x:c r="E187"/>
      <x:c r="F187" t="str">
        <x:v>16496/23/CBMP-HN</x:v>
      </x:c>
      <x:c r="G187"/>
      <x:c r="H187" t="str">
        <x:v>Daisy Skin Cleanser</x:v>
      </x:c>
      <x:c r="I187"/>
      <x:c r="J187" t="str">
        <x:v>Sữa rửa mặt</x:v>
      </x:c>
      <x:c r="K187"/>
      <x:c r="L187" t="str">
        <x:v>Công ty cổ phần đầu tư Seimy Paris</x:v>
      </x:c>
      <x:c r="M187"/>
      <x:c r="N187" t="str">
        <x:v>Công ty TNHH mỹ phẩm Việt Hương</x:v>
      </x:c>
      <x:c r="O187" t="str">
        <x:v>Đình chỉ lưu hành, thu hồi và tiêu hủy – Công văn 1772/QLD-MP</x:v>
      </x:c>
      <x:c r="P187" t="str">
        <x:v>A++ – Cục Quản lý Dược; tổ chức chịu trách nhiệm explicit</x:v>
      </x:c>
      <x:c r="Q187" t="str">
        <x:v>Phụ lục 511 sản phẩm, STT 105, trang 5. Công ty Việt Hương là cơ sở sản xuất; cột tổ chức chịu trách nhiệm lấy nguyên văn từ phụ lục.</x:v>
      </x:c>
      <x:c r="R187" t="str">
        <x:v>https://dav.gov.vn/cong-van-so-1772qld-mp-ve-viec-dinh-chi-luu-hanh-thu-hoi-va-tieu-huy-my-pham-vi-pham-cong-ty-tnhh-my-pham-viet-huong-n5334.html</x:v>
      </x:c>
      <x:c r="S187" t="str">
        <x:v>Hà Nội</x:v>
      </x:c>
      <x:c r="T187" t="str">
        <x:v>01</x:v>
      </x:c>
    </x:row>
    <x:row r="188">
      <x:c r="A188" t="n">
        <x:v>187</x:v>
      </x:c>
      <x:c r="B188" s="330"/>
      <x:c r="C188" s="330" t="n">
        <x:v>46155</x:v>
      </x:c>
      <x:c r="D188" t="n">
        <x:v>2023</x:v>
      </x:c>
      <x:c r="E188"/>
      <x:c r="F188" t="str">
        <x:v>17289/23/CBMP-HN</x:v>
      </x:c>
      <x:c r="G188"/>
      <x:c r="H188" t="str">
        <x:v>Pro Acne Treatment</x:v>
      </x:c>
      <x:c r="I188"/>
      <x:c r="J188" t="str">
        <x:v>Khác</x:v>
      </x:c>
      <x:c r="K188"/>
      <x:c r="L188" t="str">
        <x:v>Công ty cổ phần đầu tư Seimy Paris</x:v>
      </x:c>
      <x:c r="M188"/>
      <x:c r="N188" t="str">
        <x:v>Công ty TNHH mỹ phẩm Việt Hương</x:v>
      </x:c>
      <x:c r="O188" t="str">
        <x:v>Đình chỉ lưu hành, thu hồi và tiêu hủy – Công văn 1772/QLD-MP</x:v>
      </x:c>
      <x:c r="P188" t="str">
        <x:v>A++ – Cục Quản lý Dược; tổ chức chịu trách nhiệm explicit</x:v>
      </x:c>
      <x:c r="Q188" t="str">
        <x:v>Phụ lục 511 sản phẩm, STT 106, trang 5. Công ty Việt Hương là cơ sở sản xuất; cột tổ chức chịu trách nhiệm lấy nguyên văn từ phụ lục.</x:v>
      </x:c>
      <x:c r="R188" t="str">
        <x:v>https://dav.gov.vn/cong-van-so-1772qld-mp-ve-viec-dinh-chi-luu-hanh-thu-hoi-va-tieu-huy-my-pham-vi-pham-cong-ty-tnhh-my-pham-viet-huong-n5334.html</x:v>
      </x:c>
      <x:c r="S188" t="str">
        <x:v>Hà Nội</x:v>
      </x:c>
      <x:c r="T188" t="str">
        <x:v>01</x:v>
      </x:c>
    </x:row>
    <x:row r="189">
      <x:c r="A189" t="n">
        <x:v>188</x:v>
      </x:c>
      <x:c r="B189" s="330"/>
      <x:c r="C189" s="330" t="n">
        <x:v>46155</x:v>
      </x:c>
      <x:c r="D189" t="n">
        <x:v>2024</x:v>
      </x:c>
      <x:c r="E189"/>
      <x:c r="F189" t="str">
        <x:v>20453/24/CBMP-HN</x:v>
      </x:c>
      <x:c r="G189"/>
      <x:c r="H189" t="str">
        <x:v>Diamond Luxury Cream</x:v>
      </x:c>
      <x:c r="I189"/>
      <x:c r="J189" t="str">
        <x:v>Kem dưỡng da</x:v>
      </x:c>
      <x:c r="K189"/>
      <x:c r="L189" t="str">
        <x:v>Công ty cổ phần đầu tư Seimy Paris</x:v>
      </x:c>
      <x:c r="M189"/>
      <x:c r="N189" t="str">
        <x:v>Công ty TNHH mỹ phẩm Việt Hương</x:v>
      </x:c>
      <x:c r="O189" t="str">
        <x:v>Đình chỉ lưu hành, thu hồi và tiêu hủy – Công văn 1772/QLD-MP</x:v>
      </x:c>
      <x:c r="P189" t="str">
        <x:v>A++ – Cục Quản lý Dược; tổ chức chịu trách nhiệm explicit</x:v>
      </x:c>
      <x:c r="Q189" t="str">
        <x:v>Phụ lục 511 sản phẩm, STT 107, trang 5. Công ty Việt Hương là cơ sở sản xuất; cột tổ chức chịu trách nhiệm lấy nguyên văn từ phụ lục.</x:v>
      </x:c>
      <x:c r="R189" t="str">
        <x:v>https://dav.gov.vn/cong-van-so-1772qld-mp-ve-viec-dinh-chi-luu-hanh-thu-hoi-va-tieu-huy-my-pham-vi-pham-cong-ty-tnhh-my-pham-viet-huong-n5334.html</x:v>
      </x:c>
      <x:c r="S189" t="str">
        <x:v>Hà Nội</x:v>
      </x:c>
      <x:c r="T189" t="str">
        <x:v>01</x:v>
      </x:c>
    </x:row>
    <x:row r="190">
      <x:c r="A190" t="n">
        <x:v>189</x:v>
      </x:c>
      <x:c r="B190" s="330"/>
      <x:c r="C190" s="330" t="n">
        <x:v>46155</x:v>
      </x:c>
      <x:c r="D190" t="n">
        <x:v>2024</x:v>
      </x:c>
      <x:c r="E190"/>
      <x:c r="F190" t="str">
        <x:v>20841/24/CBMP-HN</x:v>
      </x:c>
      <x:c r="G190"/>
      <x:c r="H190" t="str">
        <x:v>Skin 7 Days Plus</x:v>
      </x:c>
      <x:c r="I190"/>
      <x:c r="J190" t="str">
        <x:v>Khác</x:v>
      </x:c>
      <x:c r="K190"/>
      <x:c r="L190" t="str">
        <x:v>Công ty cổ phần đầu tư Seimy Paris</x:v>
      </x:c>
      <x:c r="M190"/>
      <x:c r="N190" t="str">
        <x:v>Công ty TNHH mỹ phẩm Việt Hương</x:v>
      </x:c>
      <x:c r="O190" t="str">
        <x:v>Đình chỉ lưu hành, thu hồi và tiêu hủy – Công văn 1772/QLD-MP</x:v>
      </x:c>
      <x:c r="P190" t="str">
        <x:v>A++ – Cục Quản lý Dược; tổ chức chịu trách nhiệm explicit</x:v>
      </x:c>
      <x:c r="Q190" t="str">
        <x:v>Phụ lục 511 sản phẩm, STT 108, trang 5. Công ty Việt Hương là cơ sở sản xuất; cột tổ chức chịu trách nhiệm lấy nguyên văn từ phụ lục.</x:v>
      </x:c>
      <x:c r="R190" t="str">
        <x:v>https://dav.gov.vn/cong-van-so-1772qld-mp-ve-viec-dinh-chi-luu-hanh-thu-hoi-va-tieu-huy-my-pham-vi-pham-cong-ty-tnhh-my-pham-viet-huong-n5334.html</x:v>
      </x:c>
      <x:c r="S190" t="str">
        <x:v>Hà Nội</x:v>
      </x:c>
      <x:c r="T190" t="str">
        <x:v>01</x:v>
      </x:c>
    </x:row>
    <x:row r="191">
      <x:c r="A191" t="n">
        <x:v>190</x:v>
      </x:c>
      <x:c r="B191" s="330"/>
      <x:c r="C191" s="330" t="n">
        <x:v>46155</x:v>
      </x:c>
      <x:c r="D191" t="n">
        <x:v>2024</x:v>
      </x:c>
      <x:c r="E191"/>
      <x:c r="F191" t="str">
        <x:v>22689/24/CBMP-HN</x:v>
      </x:c>
      <x:c r="G191"/>
      <x:c r="H191" t="str">
        <x:v>Pro Melasma Cream</x:v>
      </x:c>
      <x:c r="I191"/>
      <x:c r="J191" t="str">
        <x:v>Kem dưỡng da</x:v>
      </x:c>
      <x:c r="K191"/>
      <x:c r="L191" t="str">
        <x:v>Công ty cổ phần đầu tư Seimy Paris</x:v>
      </x:c>
      <x:c r="M191"/>
      <x:c r="N191" t="str">
        <x:v>Công ty TNHH mỹ phẩm Việt Hương</x:v>
      </x:c>
      <x:c r="O191" t="str">
        <x:v>Đình chỉ lưu hành, thu hồi và tiêu hủy – Công văn 1772/QLD-MP</x:v>
      </x:c>
      <x:c r="P191" t="str">
        <x:v>A++ – Cục Quản lý Dược; tổ chức chịu trách nhiệm explicit</x:v>
      </x:c>
      <x:c r="Q191" t="str">
        <x:v>Phụ lục 511 sản phẩm, STT 109, trang 6. Công ty Việt Hương là cơ sở sản xuất; cột tổ chức chịu trách nhiệm lấy nguyên văn từ phụ lục.</x:v>
      </x:c>
      <x:c r="R191" t="str">
        <x:v>https://dav.gov.vn/cong-van-so-1772qld-mp-ve-viec-dinh-chi-luu-hanh-thu-hoi-va-tieu-huy-my-pham-vi-pham-cong-ty-tnhh-my-pham-viet-huong-n5334.html</x:v>
      </x:c>
      <x:c r="S191" t="str">
        <x:v>Hà Nội</x:v>
      </x:c>
      <x:c r="T191" t="str">
        <x:v>01</x:v>
      </x:c>
    </x:row>
    <x:row r="192">
      <x:c r="A192" t="n">
        <x:v>191</x:v>
      </x:c>
      <x:c r="B192" s="330"/>
      <x:c r="C192" s="330" t="n">
        <x:v>46155</x:v>
      </x:c>
      <x:c r="D192" t="n">
        <x:v>2024</x:v>
      </x:c>
      <x:c r="E192"/>
      <x:c r="F192" t="str">
        <x:v>21024/24/CBMP-HN</x:v>
      </x:c>
      <x:c r="G192"/>
      <x:c r="H192" t="str">
        <x:v>Diamond Luxury Serum</x:v>
      </x:c>
      <x:c r="I192"/>
      <x:c r="J192" t="str">
        <x:v>Serum/Essence da</x:v>
      </x:c>
      <x:c r="K192"/>
      <x:c r="L192" t="str">
        <x:v>Công ty cổ phần đầu tư Seimy Paris</x:v>
      </x:c>
      <x:c r="M192"/>
      <x:c r="N192" t="str">
        <x:v>Công ty TNHH mỹ phẩm Việt Hương</x:v>
      </x:c>
      <x:c r="O192" t="str">
        <x:v>Đình chỉ lưu hành, thu hồi và tiêu hủy – Công văn 1772/QLD-MP</x:v>
      </x:c>
      <x:c r="P192" t="str">
        <x:v>A++ – Cục Quản lý Dược; tổ chức chịu trách nhiệm explicit</x:v>
      </x:c>
      <x:c r="Q192" t="str">
        <x:v>Phụ lục 511 sản phẩm, STT 110, trang 6. Công ty Việt Hương là cơ sở sản xuất; cột tổ chức chịu trách nhiệm lấy nguyên văn từ phụ lục.</x:v>
      </x:c>
      <x:c r="R192" t="str">
        <x:v>https://dav.gov.vn/cong-van-so-1772qld-mp-ve-viec-dinh-chi-luu-hanh-thu-hoi-va-tieu-huy-my-pham-vi-pham-cong-ty-tnhh-my-pham-viet-huong-n5334.html</x:v>
      </x:c>
      <x:c r="S192" t="str">
        <x:v>Hà Nội</x:v>
      </x:c>
      <x:c r="T192" t="str">
        <x:v>01</x:v>
      </x:c>
    </x:row>
    <x:row r="193">
      <x:c r="A193" t="n">
        <x:v>192</x:v>
      </x:c>
      <x:c r="B193" s="330"/>
      <x:c r="C193" s="330" t="n">
        <x:v>46155</x:v>
      </x:c>
      <x:c r="D193" t="n">
        <x:v>2024</x:v>
      </x:c>
      <x:c r="E193"/>
      <x:c r="F193" t="str">
        <x:v>21120/24/CBMP-HN</x:v>
      </x:c>
      <x:c r="G193"/>
      <x:c r="H193" t="str">
        <x:v>Pro Melasma Cream</x:v>
      </x:c>
      <x:c r="I193"/>
      <x:c r="J193" t="str">
        <x:v>Kem dưỡng da</x:v>
      </x:c>
      <x:c r="K193"/>
      <x:c r="L193" t="str">
        <x:v>Công ty cổ phần đầu tư Seimy Paris</x:v>
      </x:c>
      <x:c r="M193"/>
      <x:c r="N193" t="str">
        <x:v>Công ty TNHH mỹ phẩm Việt Hương</x:v>
      </x:c>
      <x:c r="O193" t="str">
        <x:v>Đình chỉ lưu hành, thu hồi và tiêu hủy – Công văn 1772/QLD-MP</x:v>
      </x:c>
      <x:c r="P193" t="str">
        <x:v>A++ – Cục Quản lý Dược; tổ chức chịu trách nhiệm explicit</x:v>
      </x:c>
      <x:c r="Q193" t="str">
        <x:v>Phụ lục 511 sản phẩm, STT 111, trang 6. Công ty Việt Hương là cơ sở sản xuất; cột tổ chức chịu trách nhiệm lấy nguyên văn từ phụ lục.</x:v>
      </x:c>
      <x:c r="R193" t="str">
        <x:v>https://dav.gov.vn/cong-van-so-1772qld-mp-ve-viec-dinh-chi-luu-hanh-thu-hoi-va-tieu-huy-my-pham-vi-pham-cong-ty-tnhh-my-pham-viet-huong-n5334.html</x:v>
      </x:c>
      <x:c r="S193" t="str">
        <x:v>Hà Nội</x:v>
      </x:c>
      <x:c r="T193" t="str">
        <x:v>01</x:v>
      </x:c>
    </x:row>
    <x:row r="194">
      <x:c r="A194" t="n">
        <x:v>193</x:v>
      </x:c>
      <x:c r="B194" s="330"/>
      <x:c r="C194" s="330" t="n">
        <x:v>46155</x:v>
      </x:c>
      <x:c r="D194" t="n">
        <x:v>2025</x:v>
      </x:c>
      <x:c r="E194"/>
      <x:c r="F194" t="str">
        <x:v>25700/25/CBMP-HN</x:v>
      </x:c>
      <x:c r="G194"/>
      <x:c r="H194" t="str">
        <x:v>Toner purehydra</x:v>
      </x:c>
      <x:c r="I194"/>
      <x:c r="J194" t="str">
        <x:v>Serum/Essence da</x:v>
      </x:c>
      <x:c r="K194"/>
      <x:c r="L194" t="str">
        <x:v>Công ty cổ phần đầu tư Seimy Paris</x:v>
      </x:c>
      <x:c r="M194"/>
      <x:c r="N194" t="str">
        <x:v>Công ty TNHH mỹ phẩm Việt Hương</x:v>
      </x:c>
      <x:c r="O194" t="str">
        <x:v>Đình chỉ lưu hành, thu hồi và tiêu hủy – Công văn 1772/QLD-MP</x:v>
      </x:c>
      <x:c r="P194" t="str">
        <x:v>A++ – Cục Quản lý Dược; tổ chức chịu trách nhiệm explicit</x:v>
      </x:c>
      <x:c r="Q194" t="str">
        <x:v>Phụ lục 511 sản phẩm, STT 112, trang 6. Công ty Việt Hương là cơ sở sản xuất; cột tổ chức chịu trách nhiệm lấy nguyên văn từ phụ lục.</x:v>
      </x:c>
      <x:c r="R194" t="str">
        <x:v>https://dav.gov.vn/cong-van-so-1772qld-mp-ve-viec-dinh-chi-luu-hanh-thu-hoi-va-tieu-huy-my-pham-vi-pham-cong-ty-tnhh-my-pham-viet-huong-n5334.html</x:v>
      </x:c>
      <x:c r="S194" t="str">
        <x:v>Hà Nội</x:v>
      </x:c>
      <x:c r="T194" t="str">
        <x:v>01</x:v>
      </x:c>
    </x:row>
    <x:row r="195">
      <x:c r="A195" t="n">
        <x:v>194</x:v>
      </x:c>
      <x:c r="B195" s="330"/>
      <x:c r="C195" s="330" t="n">
        <x:v>46155</x:v>
      </x:c>
      <x:c r="D195" t="n">
        <x:v>2022</x:v>
      </x:c>
      <x:c r="E195"/>
      <x:c r="F195" t="str">
        <x:v>12302/22/CBMP-HN</x:v>
      </x:c>
      <x:c r="G195"/>
      <x:c r="H195" t="str">
        <x:v>Locust Pomelo Shampoo</x:v>
      </x:c>
      <x:c r="I195"/>
      <x:c r="J195" t="str">
        <x:v>Dầu gội</x:v>
      </x:c>
      <x:c r="K195"/>
      <x:c r="L195" t="str">
        <x:v>Công ty cổ phần đầu tư Seimy Paris</x:v>
      </x:c>
      <x:c r="M195"/>
      <x:c r="N195" t="str">
        <x:v>Công ty TNHH mỹ phẩm Việt Hương</x:v>
      </x:c>
      <x:c r="O195" t="str">
        <x:v>Đình chỉ lưu hành, thu hồi và tiêu hủy – Công văn 1772/QLD-MP</x:v>
      </x:c>
      <x:c r="P195" t="str">
        <x:v>A++ – Cục Quản lý Dược; tổ chức chịu trách nhiệm explicit</x:v>
      </x:c>
      <x:c r="Q195" t="str">
        <x:v>Phụ lục 511 sản phẩm, STT 113, trang 6. Công ty Việt Hương là cơ sở sản xuất; cột tổ chức chịu trách nhiệm lấy nguyên văn từ phụ lục.</x:v>
      </x:c>
      <x:c r="R195" t="str">
        <x:v>https://dav.gov.vn/cong-van-so-1772qld-mp-ve-viec-dinh-chi-luu-hanh-thu-hoi-va-tieu-huy-my-pham-vi-pham-cong-ty-tnhh-my-pham-viet-huong-n5334.html</x:v>
      </x:c>
      <x:c r="S195" t="str">
        <x:v>Hà Nội</x:v>
      </x:c>
      <x:c r="T195" t="str">
        <x:v>01</x:v>
      </x:c>
    </x:row>
    <x:row r="196">
      <x:c r="A196" t="n">
        <x:v>195</x:v>
      </x:c>
      <x:c r="B196" s="330"/>
      <x:c r="C196" s="330" t="n">
        <x:v>46155</x:v>
      </x:c>
      <x:c r="D196" t="n">
        <x:v>2023</x:v>
      </x:c>
      <x:c r="E196"/>
      <x:c r="F196" t="str">
        <x:v>17583/23/CBMP-HN</x:v>
      </x:c>
      <x:c r="G196"/>
      <x:c r="H196" t="str">
        <x:v>Calendula Cleansing Gel</x:v>
      </x:c>
      <x:c r="I196"/>
      <x:c r="J196" t="str">
        <x:v>Sữa rửa mặt</x:v>
      </x:c>
      <x:c r="K196"/>
      <x:c r="L196" t="str">
        <x:v>Công ty TNHH Fujiwon</x:v>
      </x:c>
      <x:c r="M196"/>
      <x:c r="N196" t="str">
        <x:v>Công ty TNHH mỹ phẩm Việt Hương</x:v>
      </x:c>
      <x:c r="O196" t="str">
        <x:v>Đình chỉ lưu hành, thu hồi và tiêu hủy – Công văn 1772/QLD-MP</x:v>
      </x:c>
      <x:c r="P196" t="str">
        <x:v>A++ – Cục Quản lý Dược; tổ chức chịu trách nhiệm explicit</x:v>
      </x:c>
      <x:c r="Q196" t="str">
        <x:v>Phụ lục 511 sản phẩm, STT 117, trang 6. Công ty Việt Hương là cơ sở sản xuất; cột tổ chức chịu trách nhiệm lấy nguyên văn từ phụ lục.</x:v>
      </x:c>
      <x:c r="R196" t="str">
        <x:v>https://dav.gov.vn/cong-van-so-1772qld-mp-ve-viec-dinh-chi-luu-hanh-thu-hoi-va-tieu-huy-my-pham-vi-pham-cong-ty-tnhh-my-pham-viet-huong-n5334.html</x:v>
      </x:c>
      <x:c r="S196" t="str">
        <x:v>Hà Nội</x:v>
      </x:c>
      <x:c r="T196" t="str">
        <x:v>01</x:v>
      </x:c>
    </x:row>
    <x:row r="197">
      <x:c r="A197" t="n">
        <x:v>196</x:v>
      </x:c>
      <x:c r="B197" s="330"/>
      <x:c r="C197" s="330" t="n">
        <x:v>46155</x:v>
      </x:c>
      <x:c r="D197" t="n">
        <x:v>2025</x:v>
      </x:c>
      <x:c r="E197"/>
      <x:c r="F197" t="str">
        <x:v>23159/25/CBMP-HN</x:v>
      </x:c>
      <x:c r="G197"/>
      <x:c r="H197" t="str">
        <x:v>Centella acnesafe</x:v>
      </x:c>
      <x:c r="I197"/>
      <x:c r="J197" t="str">
        <x:v>Khác</x:v>
      </x:c>
      <x:c r="K197"/>
      <x:c r="L197" t="str">
        <x:v>Công ty TNHH Fujiwon</x:v>
      </x:c>
      <x:c r="M197"/>
      <x:c r="N197" t="str">
        <x:v>Công ty TNHH mỹ phẩm Việt Hương</x:v>
      </x:c>
      <x:c r="O197" t="str">
        <x:v>Đình chỉ lưu hành, thu hồi và tiêu hủy – Công văn 1772/QLD-MP</x:v>
      </x:c>
      <x:c r="P197" t="str">
        <x:v>A++ – Cục Quản lý Dược; tổ chức chịu trách nhiệm explicit</x:v>
      </x:c>
      <x:c r="Q197" t="str">
        <x:v>Phụ lục 511 sản phẩm, STT 118, trang 6. Công ty Việt Hương là cơ sở sản xuất; cột tổ chức chịu trách nhiệm lấy nguyên văn từ phụ lục.</x:v>
      </x:c>
      <x:c r="R197" t="str">
        <x:v>https://dav.gov.vn/cong-van-so-1772qld-mp-ve-viec-dinh-chi-luu-hanh-thu-hoi-va-tieu-huy-my-pham-vi-pham-cong-ty-tnhh-my-pham-viet-huong-n5334.html</x:v>
      </x:c>
      <x:c r="S197" t="str">
        <x:v>Hà Nội</x:v>
      </x:c>
      <x:c r="T197" t="str">
        <x:v>01</x:v>
      </x:c>
    </x:row>
    <x:row r="198">
      <x:c r="A198" t="n">
        <x:v>197</x:v>
      </x:c>
      <x:c r="B198" s="330"/>
      <x:c r="C198" s="330" t="n">
        <x:v>46155</x:v>
      </x:c>
      <x:c r="D198" t="n">
        <x:v>2022</x:v>
      </x:c>
      <x:c r="E198"/>
      <x:c r="F198" t="str">
        <x:v>11598/22/CBMP-HN</x:v>
      </x:c>
      <x:c r="G198"/>
      <x:c r="H198" t="str">
        <x:v>Tẩy da chết Cafe dành cho mặt</x:v>
      </x:c>
      <x:c r="I198"/>
      <x:c r="J198" t="str">
        <x:v>Khác</x:v>
      </x:c>
      <x:c r="K198"/>
      <x:c r="L198" t="str">
        <x:v>Công ty TNHH thương mại Moore</x:v>
      </x:c>
      <x:c r="M198"/>
      <x:c r="N198" t="str">
        <x:v>Công ty TNHH mỹ phẩm Việt Hương</x:v>
      </x:c>
      <x:c r="O198" t="str">
        <x:v>Đình chỉ lưu hành, thu hồi và tiêu hủy – Công văn 1772/QLD-MP</x:v>
      </x:c>
      <x:c r="P198" t="str">
        <x:v>A++ – Cục Quản lý Dược; tổ chức chịu trách nhiệm explicit</x:v>
      </x:c>
      <x:c r="Q198" t="str">
        <x:v>Phụ lục 511 sản phẩm, STT 124, trang 6. Công ty Việt Hương là cơ sở sản xuất; cột tổ chức chịu trách nhiệm lấy nguyên văn từ phụ lục.</x:v>
      </x:c>
      <x:c r="R198" t="str">
        <x:v>https://dav.gov.vn/cong-van-so-1772qld-mp-ve-viec-dinh-chi-luu-hanh-thu-hoi-va-tieu-huy-my-pham-vi-pham-cong-ty-tnhh-my-pham-viet-huong-n5334.html</x:v>
      </x:c>
      <x:c r="S198" t="str">
        <x:v>Hà Nội</x:v>
      </x:c>
      <x:c r="T198" t="str">
        <x:v>01</x:v>
      </x:c>
    </x:row>
    <x:row r="199">
      <x:c r="A199" t="n">
        <x:v>198</x:v>
      </x:c>
      <x:c r="B199" s="330"/>
      <x:c r="C199" s="330" t="n">
        <x:v>46155</x:v>
      </x:c>
      <x:c r="D199" t="n">
        <x:v>2022</x:v>
      </x:c>
      <x:c r="E199"/>
      <x:c r="F199" t="str">
        <x:v>11801/22/CBMP-HN</x:v>
      </x:c>
      <x:c r="G199"/>
      <x:c r="H199" t="str">
        <x:v>Dầu gội Collagen Bưởi Gừng</x:v>
      </x:c>
      <x:c r="I199"/>
      <x:c r="J199" t="str">
        <x:v>Dầu gội</x:v>
      </x:c>
      <x:c r="K199"/>
      <x:c r="L199" t="str">
        <x:v>Công ty TNHH thương mại Moore</x:v>
      </x:c>
      <x:c r="M199"/>
      <x:c r="N199" t="str">
        <x:v>Công ty TNHH mỹ phẩm Việt Hương</x:v>
      </x:c>
      <x:c r="O199" t="str">
        <x:v>Đình chỉ lưu hành, thu hồi và tiêu hủy – Công văn 1772/QLD-MP</x:v>
      </x:c>
      <x:c r="P199" t="str">
        <x:v>A++ – Cục Quản lý Dược; tổ chức chịu trách nhiệm explicit</x:v>
      </x:c>
      <x:c r="Q199" t="str">
        <x:v>Phụ lục 511 sản phẩm, STT 125, trang 6. Công ty Việt Hương là cơ sở sản xuất; cột tổ chức chịu trách nhiệm lấy nguyên văn từ phụ lục.</x:v>
      </x:c>
      <x:c r="R199" t="str">
        <x:v>https://dav.gov.vn/cong-van-so-1772qld-mp-ve-viec-dinh-chi-luu-hanh-thu-hoi-va-tieu-huy-my-pham-vi-pham-cong-ty-tnhh-my-pham-viet-huong-n5334.html</x:v>
      </x:c>
      <x:c r="S199" t="str">
        <x:v>Hà Nội</x:v>
      </x:c>
      <x:c r="T199" t="str">
        <x:v>01</x:v>
      </x:c>
    </x:row>
    <x:row r="200">
      <x:c r="A200" t="n">
        <x:v>199</x:v>
      </x:c>
      <x:c r="B200" s="330"/>
      <x:c r="C200" s="330" t="n">
        <x:v>46155</x:v>
      </x:c>
      <x:c r="D200" t="n">
        <x:v>2022</x:v>
      </x:c>
      <x:c r="E200"/>
      <x:c r="F200" t="str">
        <x:v>11802/22/CBMP-HN</x:v>
      </x:c>
      <x:c r="G200"/>
      <x:c r="H200" t="str">
        <x:v>Dầu xả Collagen Bưởi Gừng</x:v>
      </x:c>
      <x:c r="I200"/>
      <x:c r="J200" t="str">
        <x:v>Dầu xả</x:v>
      </x:c>
      <x:c r="K200"/>
      <x:c r="L200" t="str">
        <x:v>Công ty TNHH thương mại Moore</x:v>
      </x:c>
      <x:c r="M200"/>
      <x:c r="N200" t="str">
        <x:v>Công ty TNHH mỹ phẩm Việt Hương</x:v>
      </x:c>
      <x:c r="O200" t="str">
        <x:v>Đình chỉ lưu hành, thu hồi và tiêu hủy – Công văn 1772/QLD-MP</x:v>
      </x:c>
      <x:c r="P200" t="str">
        <x:v>A++ – Cục Quản lý Dược; tổ chức chịu trách nhiệm explicit</x:v>
      </x:c>
      <x:c r="Q200" t="str">
        <x:v>Phụ lục 511 sản phẩm, STT 126, trang 6. Công ty Việt Hương là cơ sở sản xuất; cột tổ chức chịu trách nhiệm lấy nguyên văn từ phụ lục.</x:v>
      </x:c>
      <x:c r="R200" t="str">
        <x:v>https://dav.gov.vn/cong-van-so-1772qld-mp-ve-viec-dinh-chi-luu-hanh-thu-hoi-va-tieu-huy-my-pham-vi-pham-cong-ty-tnhh-my-pham-viet-huong-n5334.html</x:v>
      </x:c>
      <x:c r="S200" t="str">
        <x:v>Hà Nội</x:v>
      </x:c>
      <x:c r="T200" t="str">
        <x:v>01</x:v>
      </x:c>
    </x:row>
    <x:row r="201">
      <x:c r="A201" t="n">
        <x:v>200</x:v>
      </x:c>
      <x:c r="B201" s="330"/>
      <x:c r="C201" s="330" t="n">
        <x:v>46155</x:v>
      </x:c>
      <x:c r="D201" t="n">
        <x:v>2022</x:v>
      </x:c>
      <x:c r="E201"/>
      <x:c r="F201" t="str">
        <x:v>11803/22/CBMP-HN</x:v>
      </x:c>
      <x:c r="G201"/>
      <x:c r="H201" t="str">
        <x:v>Xịt dưỡng tóc Collagen Bưởi Gừng</x:v>
      </x:c>
      <x:c r="I201"/>
      <x:c r="J201" t="str">
        <x:v>Khác</x:v>
      </x:c>
      <x:c r="K201"/>
      <x:c r="L201" t="str">
        <x:v>Công ty TNHH thương mại Moore</x:v>
      </x:c>
      <x:c r="M201"/>
      <x:c r="N201" t="str">
        <x:v>Công ty TNHH mỹ phẩm Việt Hương</x:v>
      </x:c>
      <x:c r="O201" t="str">
        <x:v>Đình chỉ lưu hành, thu hồi và tiêu hủy – Công văn 1772/QLD-MP</x:v>
      </x:c>
      <x:c r="P201" t="str">
        <x:v>A++ – Cục Quản lý Dược; tổ chức chịu trách nhiệm explicit</x:v>
      </x:c>
      <x:c r="Q201" t="str">
        <x:v>Phụ lục 511 sản phẩm, STT 127, trang 6. Công ty Việt Hương là cơ sở sản xuất; cột tổ chức chịu trách nhiệm lấy nguyên văn từ phụ lục.</x:v>
      </x:c>
      <x:c r="R201" t="str">
        <x:v>https://dav.gov.vn/cong-van-so-1772qld-mp-ve-viec-dinh-chi-luu-hanh-thu-hoi-va-tieu-huy-my-pham-vi-pham-cong-ty-tnhh-my-pham-viet-huong-n5334.html</x:v>
      </x:c>
      <x:c r="S201" t="str">
        <x:v>Hà Nội</x:v>
      </x:c>
      <x:c r="T201" t="str">
        <x:v>01</x:v>
      </x:c>
    </x:row>
    <x:row r="202">
      <x:c r="A202" t="n">
        <x:v>201</x:v>
      </x:c>
      <x:c r="B202" s="330"/>
      <x:c r="C202" s="330" t="n">
        <x:v>46155</x:v>
      </x:c>
      <x:c r="D202" t="n">
        <x:v>2022</x:v>
      </x:c>
      <x:c r="E202"/>
      <x:c r="F202" t="str">
        <x:v>11804/22/CBMP-HN</x:v>
      </x:c>
      <x:c r="G202"/>
      <x:c r="H202" t="str">
        <x:v>Centella Micellar Water</x:v>
      </x:c>
      <x:c r="I202"/>
      <x:c r="J202" t="str">
        <x:v>Tẩy trang</x:v>
      </x:c>
      <x:c r="K202"/>
      <x:c r="L202" t="str">
        <x:v>Công ty TNHH thương mại Moore</x:v>
      </x:c>
      <x:c r="M202"/>
      <x:c r="N202" t="str">
        <x:v>Công ty TNHH mỹ phẩm Việt Hương</x:v>
      </x:c>
      <x:c r="O202" t="str">
        <x:v>Đình chỉ lưu hành, thu hồi và tiêu hủy – Công văn 1772/QLD-MP</x:v>
      </x:c>
      <x:c r="P202" t="str">
        <x:v>A++ – Cục Quản lý Dược; tổ chức chịu trách nhiệm explicit</x:v>
      </x:c>
      <x:c r="Q202" t="str">
        <x:v>Phụ lục 511 sản phẩm, STT 128, trang 6. Công ty Việt Hương là cơ sở sản xuất; cột tổ chức chịu trách nhiệm lấy nguyên văn từ phụ lục.</x:v>
      </x:c>
      <x:c r="R202" t="str">
        <x:v>https://dav.gov.vn/cong-van-so-1772qld-mp-ve-viec-dinh-chi-luu-hanh-thu-hoi-va-tieu-huy-my-pham-vi-pham-cong-ty-tnhh-my-pham-viet-huong-n5334.html</x:v>
      </x:c>
      <x:c r="S202" t="str">
        <x:v>Hà Nội</x:v>
      </x:c>
      <x:c r="T202" t="str">
        <x:v>01</x:v>
      </x:c>
    </x:row>
    <x:row r="203">
      <x:c r="A203" t="n">
        <x:v>202</x:v>
      </x:c>
      <x:c r="B203" s="330"/>
      <x:c r="C203" s="330" t="n">
        <x:v>46155</x:v>
      </x:c>
      <x:c r="D203" t="n">
        <x:v>2022</x:v>
      </x:c>
      <x:c r="E203"/>
      <x:c r="F203" t="str">
        <x:v>12350/22/CBMP-HN</x:v>
      </x:c>
      <x:c r="G203"/>
      <x:c r="H203" t="str">
        <x:v>Whitening Peptide Mask</x:v>
      </x:c>
      <x:c r="I203"/>
      <x:c r="J203" t="str">
        <x:v>Mặt nạ</x:v>
      </x:c>
      <x:c r="K203"/>
      <x:c r="L203" t="str">
        <x:v>Công ty TNHH thương mại Moore</x:v>
      </x:c>
      <x:c r="M203"/>
      <x:c r="N203" t="str">
        <x:v>Công ty TNHH mỹ phẩm Việt Hương</x:v>
      </x:c>
      <x:c r="O203" t="str">
        <x:v>Đình chỉ lưu hành, thu hồi và tiêu hủy – Công văn 1772/QLD-MP</x:v>
      </x:c>
      <x:c r="P203" t="str">
        <x:v>A++ – Cục Quản lý Dược; tổ chức chịu trách nhiệm explicit</x:v>
      </x:c>
      <x:c r="Q203" t="str">
        <x:v>Phụ lục 511 sản phẩm, STT 129, trang 6. Công ty Việt Hương là cơ sở sản xuất; cột tổ chức chịu trách nhiệm lấy nguyên văn từ phụ lục.</x:v>
      </x:c>
      <x:c r="R203" t="str">
        <x:v>https://dav.gov.vn/cong-van-so-1772qld-mp-ve-viec-dinh-chi-luu-hanh-thu-hoi-va-tieu-huy-my-pham-vi-pham-cong-ty-tnhh-my-pham-viet-huong-n5334.html</x:v>
      </x:c>
      <x:c r="S203" t="str">
        <x:v>Hà Nội</x:v>
      </x:c>
      <x:c r="T203" t="str">
        <x:v>01</x:v>
      </x:c>
    </x:row>
    <x:row r="204">
      <x:c r="A204" t="n">
        <x:v>203</x:v>
      </x:c>
      <x:c r="B204" s="330"/>
      <x:c r="C204" s="330" t="n">
        <x:v>46155</x:v>
      </x:c>
      <x:c r="D204" t="n">
        <x:v>2022</x:v>
      </x:c>
      <x:c r="E204"/>
      <x:c r="F204" t="str">
        <x:v>12351/22/CBMP-HN</x:v>
      </x:c>
      <x:c r="G204"/>
      <x:c r="H204" t="str">
        <x:v>Moisturizing Peptide Mask</x:v>
      </x:c>
      <x:c r="I204"/>
      <x:c r="J204" t="str">
        <x:v>Mặt nạ</x:v>
      </x:c>
      <x:c r="K204"/>
      <x:c r="L204" t="str">
        <x:v>Công ty TNHH thương mại Moore</x:v>
      </x:c>
      <x:c r="M204"/>
      <x:c r="N204" t="str">
        <x:v>Công ty TNHH mỹ phẩm Việt Hương</x:v>
      </x:c>
      <x:c r="O204" t="str">
        <x:v>Đình chỉ lưu hành, thu hồi và tiêu hủy – Công văn 1772/QLD-MP</x:v>
      </x:c>
      <x:c r="P204" t="str">
        <x:v>A++ – Cục Quản lý Dược; tổ chức chịu trách nhiệm explicit</x:v>
      </x:c>
      <x:c r="Q204" t="str">
        <x:v>Phụ lục 511 sản phẩm, STT 130, trang 6. Công ty Việt Hương là cơ sở sản xuất; cột tổ chức chịu trách nhiệm lấy nguyên văn từ phụ lục.</x:v>
      </x:c>
      <x:c r="R204" t="str">
        <x:v>https://dav.gov.vn/cong-van-so-1772qld-mp-ve-viec-dinh-chi-luu-hanh-thu-hoi-va-tieu-huy-my-pham-vi-pham-cong-ty-tnhh-my-pham-viet-huong-n5334.html</x:v>
      </x:c>
      <x:c r="S204" t="str">
        <x:v>Hà Nội</x:v>
      </x:c>
      <x:c r="T204" t="str">
        <x:v>01</x:v>
      </x:c>
    </x:row>
    <x:row r="205">
      <x:c r="A205" t="n">
        <x:v>204</x:v>
      </x:c>
      <x:c r="B205" s="330"/>
      <x:c r="C205" s="330" t="n">
        <x:v>46155</x:v>
      </x:c>
      <x:c r="D205" t="n">
        <x:v>2022</x:v>
      </x:c>
      <x:c r="E205"/>
      <x:c r="F205" t="str">
        <x:v>12773/22/CBMP-HN</x:v>
      </x:c>
      <x:c r="G205"/>
      <x:c r="H205" t="str">
        <x:v>Premium Whitening Body Lotion</x:v>
      </x:c>
      <x:c r="I205"/>
      <x:c r="J205" t="str">
        <x:v>Kem body</x:v>
      </x:c>
      <x:c r="K205"/>
      <x:c r="L205" t="str">
        <x:v>Công ty TNHH thương mại Moore</x:v>
      </x:c>
      <x:c r="M205"/>
      <x:c r="N205" t="str">
        <x:v>Công ty TNHH mỹ phẩm Việt Hương</x:v>
      </x:c>
      <x:c r="O205" t="str">
        <x:v>Đình chỉ lưu hành, thu hồi và tiêu hủy – Công văn 1772/QLD-MP</x:v>
      </x:c>
      <x:c r="P205" t="str">
        <x:v>A++ – Cục Quản lý Dược; tổ chức chịu trách nhiệm explicit</x:v>
      </x:c>
      <x:c r="Q205" t="str">
        <x:v>Phụ lục 511 sản phẩm, STT 131, trang 6. Công ty Việt Hương là cơ sở sản xuất; cột tổ chức chịu trách nhiệm lấy nguyên văn từ phụ lục.</x:v>
      </x:c>
      <x:c r="R205" t="str">
        <x:v>https://dav.gov.vn/cong-van-so-1772qld-mp-ve-viec-dinh-chi-luu-hanh-thu-hoi-va-tieu-huy-my-pham-vi-pham-cong-ty-tnhh-my-pham-viet-huong-n5334.html</x:v>
      </x:c>
      <x:c r="S205" t="str">
        <x:v>Hà Nội</x:v>
      </x:c>
      <x:c r="T205" t="str">
        <x:v>01</x:v>
      </x:c>
    </x:row>
    <x:row r="206">
      <x:c r="A206" t="n">
        <x:v>205</x:v>
      </x:c>
      <x:c r="B206" s="330"/>
      <x:c r="C206" s="330" t="n">
        <x:v>46155</x:v>
      </x:c>
      <x:c r="D206" t="n">
        <x:v>2022</x:v>
      </x:c>
      <x:c r="E206"/>
      <x:c r="F206" t="str">
        <x:v>11599/22/CBMP-HN</x:v>
      </x:c>
      <x:c r="G206"/>
      <x:c r="H206" t="str">
        <x:v>Agarwood Mask</x:v>
      </x:c>
      <x:c r="I206"/>
      <x:c r="J206" t="str">
        <x:v>Mặt nạ</x:v>
      </x:c>
      <x:c r="K206"/>
      <x:c r="L206" t="str">
        <x:v>Công ty cổ phần công nghệ cao Trầm Tuệ</x:v>
      </x:c>
      <x:c r="M206"/>
      <x:c r="N206" t="str">
        <x:v>Công ty TNHH mỹ phẩm Việt Hương</x:v>
      </x:c>
      <x:c r="O206" t="str">
        <x:v>Đình chỉ lưu hành, thu hồi và tiêu hủy – Công văn 1772/QLD-MP</x:v>
      </x:c>
      <x:c r="P206" t="str">
        <x:v>A++ – Cục Quản lý Dược; tổ chức chịu trách nhiệm explicit</x:v>
      </x:c>
      <x:c r="Q206" t="str">
        <x:v>Phụ lục 511 sản phẩm, STT 132, trang 6. Công ty Việt Hương là cơ sở sản xuất; cột tổ chức chịu trách nhiệm lấy nguyên văn từ phụ lục.</x:v>
      </x:c>
      <x:c r="R206" t="str">
        <x:v>https://dav.gov.vn/cong-van-so-1772qld-mp-ve-viec-dinh-chi-luu-hanh-thu-hoi-va-tieu-huy-my-pham-vi-pham-cong-ty-tnhh-my-pham-viet-huong-n5334.html</x:v>
      </x:c>
      <x:c r="S206" t="str">
        <x:v>Hà Nội</x:v>
      </x:c>
      <x:c r="T206" t="str">
        <x:v>01</x:v>
      </x:c>
    </x:row>
    <x:row r="207">
      <x:c r="A207" t="n">
        <x:v>206</x:v>
      </x:c>
      <x:c r="B207" s="330"/>
      <x:c r="C207" s="330" t="n">
        <x:v>46155</x:v>
      </x:c>
      <x:c r="D207" t="n">
        <x:v>2022</x:v>
      </x:c>
      <x:c r="E207"/>
      <x:c r="F207" t="str">
        <x:v>11600/22/CBMP-HN</x:v>
      </x:c>
      <x:c r="G207"/>
      <x:c r="H207" t="str">
        <x:v>Agarwood Serum</x:v>
      </x:c>
      <x:c r="I207"/>
      <x:c r="J207" t="str">
        <x:v>Serum/Essence da</x:v>
      </x:c>
      <x:c r="K207"/>
      <x:c r="L207" t="str">
        <x:v>Công ty cổ phần công nghệ cao Trầm Tuệ</x:v>
      </x:c>
      <x:c r="M207"/>
      <x:c r="N207" t="str">
        <x:v>Công ty TNHH mỹ phẩm Việt Hương</x:v>
      </x:c>
      <x:c r="O207" t="str">
        <x:v>Đình chỉ lưu hành, thu hồi và tiêu hủy – Công văn 1772/QLD-MP</x:v>
      </x:c>
      <x:c r="P207" t="str">
        <x:v>A++ – Cục Quản lý Dược; tổ chức chịu trách nhiệm explicit</x:v>
      </x:c>
      <x:c r="Q207" t="str">
        <x:v>Phụ lục 511 sản phẩm, STT 133, trang 6. Công ty Việt Hương là cơ sở sản xuất; cột tổ chức chịu trách nhiệm lấy nguyên văn từ phụ lục.</x:v>
      </x:c>
      <x:c r="R207" t="str">
        <x:v>https://dav.gov.vn/cong-van-so-1772qld-mp-ve-viec-dinh-chi-luu-hanh-thu-hoi-va-tieu-huy-my-pham-vi-pham-cong-ty-tnhh-my-pham-viet-huong-n5334.html</x:v>
      </x:c>
      <x:c r="S207" t="str">
        <x:v>Hà Nội</x:v>
      </x:c>
      <x:c r="T207" t="str">
        <x:v>01</x:v>
      </x:c>
    </x:row>
    <x:row r="208">
      <x:c r="A208" t="n">
        <x:v>207</x:v>
      </x:c>
      <x:c r="B208" s="330"/>
      <x:c r="C208" s="330" t="n">
        <x:v>46155</x:v>
      </x:c>
      <x:c r="D208" t="n">
        <x:v>2022</x:v>
      </x:c>
      <x:c r="E208"/>
      <x:c r="F208" t="str">
        <x:v>11725/22/CBMP-HN</x:v>
      </x:c>
      <x:c r="G208"/>
      <x:c r="H208" t="str">
        <x:v>Agarwood Cream</x:v>
      </x:c>
      <x:c r="I208"/>
      <x:c r="J208" t="str">
        <x:v>Kem dưỡng da</x:v>
      </x:c>
      <x:c r="K208"/>
      <x:c r="L208" t="str">
        <x:v>Công ty cổ phần công nghệ cao Trầm Tuệ</x:v>
      </x:c>
      <x:c r="M208"/>
      <x:c r="N208" t="str">
        <x:v>Công ty TNHH mỹ phẩm Việt Hương</x:v>
      </x:c>
      <x:c r="O208" t="str">
        <x:v>Đình chỉ lưu hành, thu hồi và tiêu hủy – Công văn 1772/QLD-MP</x:v>
      </x:c>
      <x:c r="P208" t="str">
        <x:v>A++ – Cục Quản lý Dược; tổ chức chịu trách nhiệm explicit</x:v>
      </x:c>
      <x:c r="Q208" t="str">
        <x:v>Phụ lục 511 sản phẩm, STT 134, trang 6. Công ty Việt Hương là cơ sở sản xuất; cột tổ chức chịu trách nhiệm lấy nguyên văn từ phụ lục.</x:v>
      </x:c>
      <x:c r="R208" t="str">
        <x:v>https://dav.gov.vn/cong-van-so-1772qld-mp-ve-viec-dinh-chi-luu-hanh-thu-hoi-va-tieu-huy-my-pham-vi-pham-cong-ty-tnhh-my-pham-viet-huong-n5334.html</x:v>
      </x:c>
      <x:c r="S208" t="str">
        <x:v>Hà Nội</x:v>
      </x:c>
      <x:c r="T208" t="str">
        <x:v>01</x:v>
      </x:c>
    </x:row>
    <x:row r="209">
      <x:c r="A209" t="n">
        <x:v>208</x:v>
      </x:c>
      <x:c r="B209" s="330"/>
      <x:c r="C209" s="330" t="n">
        <x:v>46155</x:v>
      </x:c>
      <x:c r="D209" t="n">
        <x:v>2022</x:v>
      </x:c>
      <x:c r="E209"/>
      <x:c r="F209" t="str">
        <x:v>11805/22/CBMP-HN</x:v>
      </x:c>
      <x:c r="G209"/>
      <x:c r="H209" t="str">
        <x:v>Agarwood Toner</x:v>
      </x:c>
      <x:c r="I209"/>
      <x:c r="J209" t="str">
        <x:v>Serum/Essence da</x:v>
      </x:c>
      <x:c r="K209"/>
      <x:c r="L209" t="str">
        <x:v>Công ty cổ phần công nghệ cao Trầm Tuệ</x:v>
      </x:c>
      <x:c r="M209"/>
      <x:c r="N209" t="str">
        <x:v>Công ty TNHH mỹ phẩm Việt Hương</x:v>
      </x:c>
      <x:c r="O209" t="str">
        <x:v>Đình chỉ lưu hành, thu hồi và tiêu hủy – Công văn 1772/QLD-MP</x:v>
      </x:c>
      <x:c r="P209" t="str">
        <x:v>A++ – Cục Quản lý Dược; tổ chức chịu trách nhiệm explicit</x:v>
      </x:c>
      <x:c r="Q209" t="str">
        <x:v>Phụ lục 511 sản phẩm, STT 135, trang 6. Công ty Việt Hương là cơ sở sản xuất; cột tổ chức chịu trách nhiệm lấy nguyên văn từ phụ lục.</x:v>
      </x:c>
      <x:c r="R209" t="str">
        <x:v>https://dav.gov.vn/cong-van-so-1772qld-mp-ve-viec-dinh-chi-luu-hanh-thu-hoi-va-tieu-huy-my-pham-vi-pham-cong-ty-tnhh-my-pham-viet-huong-n5334.html</x:v>
      </x:c>
      <x:c r="S209" t="str">
        <x:v>Hà Nội</x:v>
      </x:c>
      <x:c r="T209" t="str">
        <x:v>01</x:v>
      </x:c>
    </x:row>
    <x:row r="210">
      <x:c r="A210" t="n">
        <x:v>209</x:v>
      </x:c>
      <x:c r="B210" s="330"/>
      <x:c r="C210" s="330" t="n">
        <x:v>46155</x:v>
      </x:c>
      <x:c r="D210" t="n">
        <x:v>2022</x:v>
      </x:c>
      <x:c r="E210"/>
      <x:c r="F210" t="str">
        <x:v>11921/22/CBMP-HN</x:v>
      </x:c>
      <x:c r="G210"/>
      <x:c r="H210" t="str">
        <x:v>Serum Melasma Collagen</x:v>
      </x:c>
      <x:c r="I210"/>
      <x:c r="J210" t="str">
        <x:v>Serum/Essence da</x:v>
      </x:c>
      <x:c r="K210"/>
      <x:c r="L210" t="str">
        <x:v>Công ty TNHH Gem+ Cometics</x:v>
      </x:c>
      <x:c r="M210"/>
      <x:c r="N210" t="str">
        <x:v>Công ty TNHH mỹ phẩm Việt Hương</x:v>
      </x:c>
      <x:c r="O210" t="str">
        <x:v>Đình chỉ lưu hành, thu hồi và tiêu hủy – Công văn 1772/QLD-MP</x:v>
      </x:c>
      <x:c r="P210" t="str">
        <x:v>A++ – Cục Quản lý Dược; tổ chức chịu trách nhiệm explicit</x:v>
      </x:c>
      <x:c r="Q210" t="str">
        <x:v>Phụ lục 511 sản phẩm, STT 136, trang 6. Công ty Việt Hương là cơ sở sản xuất; cột tổ chức chịu trách nhiệm lấy nguyên văn từ phụ lục.</x:v>
      </x:c>
      <x:c r="R210" t="str">
        <x:v>https://dav.gov.vn/cong-van-so-1772qld-mp-ve-viec-dinh-chi-luu-hanh-thu-hoi-va-tieu-huy-my-pham-vi-pham-cong-ty-tnhh-my-pham-viet-huong-n5334.html</x:v>
      </x:c>
      <x:c r="S210" t="str">
        <x:v>Hà Nội</x:v>
      </x:c>
      <x:c r="T210" t="str">
        <x:v>01</x:v>
      </x:c>
    </x:row>
    <x:row r="211">
      <x:c r="A211" t="n">
        <x:v>210</x:v>
      </x:c>
      <x:c r="B211" s="330"/>
      <x:c r="C211" s="330" t="n">
        <x:v>46155</x:v>
      </x:c>
      <x:c r="D211" t="n">
        <x:v>2022</x:v>
      </x:c>
      <x:c r="E211"/>
      <x:c r="F211" t="str">
        <x:v>12172/22/CBMP-HN</x:v>
      </x:c>
      <x:c r="G211"/>
      <x:c r="H211" t="str">
        <x:v>Whitening Facial Cleanser</x:v>
      </x:c>
      <x:c r="I211"/>
      <x:c r="J211" t="str">
        <x:v>Sữa rửa mặt</x:v>
      </x:c>
      <x:c r="K211"/>
      <x:c r="L211" t="str">
        <x:v>Công ty cổ phần tập đoàn quốc tế HT</x:v>
      </x:c>
      <x:c r="M211"/>
      <x:c r="N211" t="str">
        <x:v>Công ty TNHH mỹ phẩm Việt Hương</x:v>
      </x:c>
      <x:c r="O211" t="str">
        <x:v>Đình chỉ lưu hành, thu hồi và tiêu hủy – Công văn 1772/QLD-MP</x:v>
      </x:c>
      <x:c r="P211" t="str">
        <x:v>A++ – Cục Quản lý Dược; tổ chức chịu trách nhiệm explicit</x:v>
      </x:c>
      <x:c r="Q211" t="str">
        <x:v>Phụ lục 511 sản phẩm, STT 137, trang 6. Công ty Việt Hương là cơ sở sản xuất; cột tổ chức chịu trách nhiệm lấy nguyên văn từ phụ lục.</x:v>
      </x:c>
      <x:c r="R211" t="str">
        <x:v>https://dav.gov.vn/cong-van-so-1772qld-mp-ve-viec-dinh-chi-luu-hanh-thu-hoi-va-tieu-huy-my-pham-vi-pham-cong-ty-tnhh-my-pham-viet-huong-n5334.html</x:v>
      </x:c>
      <x:c r="S211" t="str">
        <x:v>Hà Nội</x:v>
      </x:c>
      <x:c r="T211" t="str">
        <x:v>01</x:v>
      </x:c>
    </x:row>
    <x:row r="212">
      <x:c r="A212" t="n">
        <x:v>211</x:v>
      </x:c>
      <x:c r="B212" s="330"/>
      <x:c r="C212" s="330" t="n">
        <x:v>46155</x:v>
      </x:c>
      <x:c r="D212" t="n">
        <x:v>2022</x:v>
      </x:c>
      <x:c r="E212"/>
      <x:c r="F212" t="str">
        <x:v>12173/22/CBMP-HN</x:v>
      </x:c>
      <x:c r="G212"/>
      <x:c r="H212" t="str">
        <x:v>Sun Plus Cream</x:v>
      </x:c>
      <x:c r="I212"/>
      <x:c r="J212" t="str">
        <x:v>Kem dưỡng da</x:v>
      </x:c>
      <x:c r="K212"/>
      <x:c r="L212" t="str">
        <x:v>Công ty cổ phần tập đoàn quốc tế HT</x:v>
      </x:c>
      <x:c r="M212"/>
      <x:c r="N212" t="str">
        <x:v>Công ty TNHH mỹ phẩm Việt Hương</x:v>
      </x:c>
      <x:c r="O212" t="str">
        <x:v>Đình chỉ lưu hành, thu hồi và tiêu hủy – Công văn 1772/QLD-MP</x:v>
      </x:c>
      <x:c r="P212" t="str">
        <x:v>A++ – Cục Quản lý Dược; tổ chức chịu trách nhiệm explicit</x:v>
      </x:c>
      <x:c r="Q212" t="str">
        <x:v>Phụ lục 511 sản phẩm, STT 138, trang 6. Công ty Việt Hương là cơ sở sản xuất; cột tổ chức chịu trách nhiệm lấy nguyên văn từ phụ lục.</x:v>
      </x:c>
      <x:c r="R212" t="str">
        <x:v>https://dav.gov.vn/cong-van-so-1772qld-mp-ve-viec-dinh-chi-luu-hanh-thu-hoi-va-tieu-huy-my-pham-vi-pham-cong-ty-tnhh-my-pham-viet-huong-n5334.html</x:v>
      </x:c>
      <x:c r="S212" t="str">
        <x:v>Hà Nội</x:v>
      </x:c>
      <x:c r="T212" t="str">
        <x:v>01</x:v>
      </x:c>
    </x:row>
    <x:row r="213">
      <x:c r="A213" t="n">
        <x:v>212</x:v>
      </x:c>
      <x:c r="B213" s="330"/>
      <x:c r="C213" s="330" t="n">
        <x:v>46155</x:v>
      </x:c>
      <x:c r="D213" t="n">
        <x:v>2022</x:v>
      </x:c>
      <x:c r="E213"/>
      <x:c r="F213" t="str">
        <x:v>12301/22/CBMP-HN</x:v>
      </x:c>
      <x:c r="G213"/>
      <x:c r="H213" t="str">
        <x:v>Whitening Facial Serum</x:v>
      </x:c>
      <x:c r="I213"/>
      <x:c r="J213" t="str">
        <x:v>Serum/Essence da</x:v>
      </x:c>
      <x:c r="K213"/>
      <x:c r="L213" t="str">
        <x:v>Công ty cổ phần tập đoàn quốc tế HT</x:v>
      </x:c>
      <x:c r="M213"/>
      <x:c r="N213" t="str">
        <x:v>Công ty TNHH mỹ phẩm Việt Hương</x:v>
      </x:c>
      <x:c r="O213" t="str">
        <x:v>Đình chỉ lưu hành, thu hồi và tiêu hủy – Công văn 1772/QLD-MP</x:v>
      </x:c>
      <x:c r="P213" t="str">
        <x:v>A++ – Cục Quản lý Dược; tổ chức chịu trách nhiệm explicit</x:v>
      </x:c>
      <x:c r="Q213" t="str">
        <x:v>Phụ lục 511 sản phẩm, STT 139, trang 6. Công ty Việt Hương là cơ sở sản xuất; cột tổ chức chịu trách nhiệm lấy nguyên văn từ phụ lục.</x:v>
      </x:c>
      <x:c r="R213" t="str">
        <x:v>https://dav.gov.vn/cong-van-so-1772qld-mp-ve-viec-dinh-chi-luu-hanh-thu-hoi-va-tieu-huy-my-pham-vi-pham-cong-ty-tnhh-my-pham-viet-huong-n5334.html</x:v>
      </x:c>
      <x:c r="S213" t="str">
        <x:v>Hà Nội</x:v>
      </x:c>
      <x:c r="T213" t="str">
        <x:v>01</x:v>
      </x:c>
    </x:row>
    <x:row r="214">
      <x:c r="A214" t="n">
        <x:v>213</x:v>
      </x:c>
      <x:c r="B214" s="330"/>
      <x:c r="C214" s="330" t="n">
        <x:v>46155</x:v>
      </x:c>
      <x:c r="D214" t="n">
        <x:v>2022</x:v>
      </x:c>
      <x:c r="E214"/>
      <x:c r="F214" t="str">
        <x:v>12347/22/CBMP-HN</x:v>
      </x:c>
      <x:c r="G214"/>
      <x:c r="H214" t="str">
        <x:v>Skin Recovery Cream</x:v>
      </x:c>
      <x:c r="I214"/>
      <x:c r="J214" t="str">
        <x:v>Kem dưỡng da</x:v>
      </x:c>
      <x:c r="K214"/>
      <x:c r="L214" t="str">
        <x:v>Công ty cổ phần tập đoàn quốc tế HT</x:v>
      </x:c>
      <x:c r="M214"/>
      <x:c r="N214" t="str">
        <x:v>Công ty TNHH mỹ phẩm Việt Hương</x:v>
      </x:c>
      <x:c r="O214" t="str">
        <x:v>Đình chỉ lưu hành, thu hồi và tiêu hủy – Công văn 1772/QLD-MP</x:v>
      </x:c>
      <x:c r="P214" t="str">
        <x:v>A++ – Cục Quản lý Dược; tổ chức chịu trách nhiệm explicit</x:v>
      </x:c>
      <x:c r="Q214" t="str">
        <x:v>Phụ lục 511 sản phẩm, STT 140, trang 6. Công ty Việt Hương là cơ sở sản xuất; cột tổ chức chịu trách nhiệm lấy nguyên văn từ phụ lục.</x:v>
      </x:c>
      <x:c r="R214" t="str">
        <x:v>https://dav.gov.vn/cong-van-so-1772qld-mp-ve-viec-dinh-chi-luu-hanh-thu-hoi-va-tieu-huy-my-pham-vi-pham-cong-ty-tnhh-my-pham-viet-huong-n5334.html</x:v>
      </x:c>
      <x:c r="S214" t="str">
        <x:v>Hà Nội</x:v>
      </x:c>
      <x:c r="T214" t="str">
        <x:v>01</x:v>
      </x:c>
    </x:row>
    <x:row r="215">
      <x:c r="A215" t="n">
        <x:v>214</x:v>
      </x:c>
      <x:c r="B215" s="330"/>
      <x:c r="C215" s="330" t="n">
        <x:v>46155</x:v>
      </x:c>
      <x:c r="D215" t="n">
        <x:v>2022</x:v>
      </x:c>
      <x:c r="E215"/>
      <x:c r="F215" t="str">
        <x:v>12513/22/CBMP-HN</x:v>
      </x:c>
      <x:c r="G215"/>
      <x:c r="H215" t="str">
        <x:v>Kem nách Ngô Gia</x:v>
      </x:c>
      <x:c r="I215"/>
      <x:c r="J215" t="str">
        <x:v>Khác</x:v>
      </x:c>
      <x:c r="K215"/>
      <x:c r="L215" t="str">
        <x:v>Công ty cổ phần tập đoàn quốc tế HT</x:v>
      </x:c>
      <x:c r="M215"/>
      <x:c r="N215" t="str">
        <x:v>Công ty TNHH mỹ phẩm Việt Hương</x:v>
      </x:c>
      <x:c r="O215" t="str">
        <x:v>Đình chỉ lưu hành, thu hồi và tiêu hủy – Công văn 1772/QLD-MP</x:v>
      </x:c>
      <x:c r="P215" t="str">
        <x:v>A++ – Cục Quản lý Dược; tổ chức chịu trách nhiệm explicit</x:v>
      </x:c>
      <x:c r="Q215" t="str">
        <x:v>Phụ lục 511 sản phẩm, STT 141, trang 6. Công ty Việt Hương là cơ sở sản xuất; cột tổ chức chịu trách nhiệm lấy nguyên văn từ phụ lục.</x:v>
      </x:c>
      <x:c r="R215" t="str">
        <x:v>https://dav.gov.vn/cong-van-so-1772qld-mp-ve-viec-dinh-chi-luu-hanh-thu-hoi-va-tieu-huy-my-pham-vi-pham-cong-ty-tnhh-my-pham-viet-huong-n5334.html</x:v>
      </x:c>
      <x:c r="S215" t="str">
        <x:v>Hà Nội</x:v>
      </x:c>
      <x:c r="T215" t="str">
        <x:v>01</x:v>
      </x:c>
    </x:row>
    <x:row r="216">
      <x:c r="A216" t="n">
        <x:v>215</x:v>
      </x:c>
      <x:c r="B216" s="330"/>
      <x:c r="C216" s="330" t="n">
        <x:v>46155</x:v>
      </x:c>
      <x:c r="D216" t="n">
        <x:v>2022</x:v>
      </x:c>
      <x:c r="E216"/>
      <x:c r="F216" t="str">
        <x:v>14179/22/CBMP-HN</x:v>
      </x:c>
      <x:c r="G216"/>
      <x:c r="H216" t="str">
        <x:v>Rice Toner</x:v>
      </x:c>
      <x:c r="I216"/>
      <x:c r="J216" t="str">
        <x:v>Serum/Essence da</x:v>
      </x:c>
      <x:c r="K216"/>
      <x:c r="L216" t="str">
        <x:v>Công ty cổ phần tập đoàn quốc tế HT</x:v>
      </x:c>
      <x:c r="M216"/>
      <x:c r="N216" t="str">
        <x:v>Công ty TNHH mỹ phẩm Việt Hương</x:v>
      </x:c>
      <x:c r="O216" t="str">
        <x:v>Đình chỉ lưu hành, thu hồi và tiêu hủy – Công văn 1772/QLD-MP</x:v>
      </x:c>
      <x:c r="P216" t="str">
        <x:v>A++ – Cục Quản lý Dược; tổ chức chịu trách nhiệm explicit</x:v>
      </x:c>
      <x:c r="Q216" t="str">
        <x:v>Phụ lục 511 sản phẩm, STT 142, trang 6. Công ty Việt Hương là cơ sở sản xuất; cột tổ chức chịu trách nhiệm lấy nguyên văn từ phụ lục.</x:v>
      </x:c>
      <x:c r="R216" t="str">
        <x:v>https://dav.gov.vn/cong-van-so-1772qld-mp-ve-viec-dinh-chi-luu-hanh-thu-hoi-va-tieu-huy-my-pham-vi-pham-cong-ty-tnhh-my-pham-viet-huong-n5334.html</x:v>
      </x:c>
      <x:c r="S216" t="str">
        <x:v>Hà Nội</x:v>
      </x:c>
      <x:c r="T216" t="str">
        <x:v>01</x:v>
      </x:c>
    </x:row>
    <x:row r="217">
      <x:c r="A217" t="n">
        <x:v>216</x:v>
      </x:c>
      <x:c r="B217" s="330"/>
      <x:c r="C217" s="330" t="n">
        <x:v>46155</x:v>
      </x:c>
      <x:c r="D217" t="n">
        <x:v>2023</x:v>
      </x:c>
      <x:c r="E217"/>
      <x:c r="F217" t="str">
        <x:v>15784/23/CBMP-HN</x:v>
      </x:c>
      <x:c r="G217"/>
      <x:c r="H217" t="str">
        <x:v>Nước tẩy trang Bùn Khoáng</x:v>
      </x:c>
      <x:c r="I217"/>
      <x:c r="J217" t="str">
        <x:v>Tẩy trang</x:v>
      </x:c>
      <x:c r="K217"/>
      <x:c r="L217" t="str">
        <x:v>Công ty cổ phần tập đoàn quốc tế HT</x:v>
      </x:c>
      <x:c r="M217"/>
      <x:c r="N217" t="str">
        <x:v>Công ty TNHH mỹ phẩm Việt Hương</x:v>
      </x:c>
      <x:c r="O217" t="str">
        <x:v>Đình chỉ lưu hành, thu hồi và tiêu hủy – Công văn 1772/QLD-MP</x:v>
      </x:c>
      <x:c r="P217" t="str">
        <x:v>A++ – Cục Quản lý Dược; tổ chức chịu trách nhiệm explicit</x:v>
      </x:c>
      <x:c r="Q217" t="str">
        <x:v>Phụ lục 511 sản phẩm, STT 143, trang 6. Công ty Việt Hương là cơ sở sản xuất; cột tổ chức chịu trách nhiệm lấy nguyên văn từ phụ lục.</x:v>
      </x:c>
      <x:c r="R217" t="str">
        <x:v>https://dav.gov.vn/cong-van-so-1772qld-mp-ve-viec-dinh-chi-luu-hanh-thu-hoi-va-tieu-huy-my-pham-vi-pham-cong-ty-tnhh-my-pham-viet-huong-n5334.html</x:v>
      </x:c>
      <x:c r="S217" t="str">
        <x:v>Hà Nội</x:v>
      </x:c>
      <x:c r="T217" t="str">
        <x:v>01</x:v>
      </x:c>
    </x:row>
    <x:row r="218">
      <x:c r="A218" t="n">
        <x:v>217</x:v>
      </x:c>
      <x:c r="B218" s="330"/>
      <x:c r="C218" s="330" t="n">
        <x:v>46155</x:v>
      </x:c>
      <x:c r="D218" t="n">
        <x:v>2022</x:v>
      </x:c>
      <x:c r="E218"/>
      <x:c r="F218" t="str">
        <x:v>12297/22/CBMP-HN</x:v>
      </x:c>
      <x:c r="G218"/>
      <x:c r="H218" t="str">
        <x:v>Dưỡng mi</x:v>
      </x:c>
      <x:c r="I218"/>
      <x:c r="J218" t="str">
        <x:v>Khác</x:v>
      </x:c>
      <x:c r="K218"/>
      <x:c r="L218" t="str">
        <x:v>Công ty TNHH tập đoàn OHM</x:v>
      </x:c>
      <x:c r="M218"/>
      <x:c r="N218" t="str">
        <x:v>Công ty TNHH mỹ phẩm Việt Hương</x:v>
      </x:c>
      <x:c r="O218" t="str">
        <x:v>Đình chỉ lưu hành, thu hồi và tiêu hủy – Công văn 1772/QLD-MP</x:v>
      </x:c>
      <x:c r="P218" t="str">
        <x:v>A++ – Cục Quản lý Dược; tổ chức chịu trách nhiệm explicit</x:v>
      </x:c>
      <x:c r="Q218" t="str">
        <x:v>Phụ lục 511 sản phẩm, STT 144, trang 6. Công ty Việt Hương là cơ sở sản xuất; cột tổ chức chịu trách nhiệm lấy nguyên văn từ phụ lục.</x:v>
      </x:c>
      <x:c r="R218" t="str">
        <x:v>https://dav.gov.vn/cong-van-so-1772qld-mp-ve-viec-dinh-chi-luu-hanh-thu-hoi-va-tieu-huy-my-pham-vi-pham-cong-ty-tnhh-my-pham-viet-huong-n5334.html</x:v>
      </x:c>
      <x:c r="S218" t="str">
        <x:v>Hà Nội</x:v>
      </x:c>
      <x:c r="T218" t="str">
        <x:v>01</x:v>
      </x:c>
    </x:row>
    <x:row r="219">
      <x:c r="A219" t="n">
        <x:v>218</x:v>
      </x:c>
      <x:c r="B219" s="330"/>
      <x:c r="C219" s="330" t="n">
        <x:v>46155</x:v>
      </x:c>
      <x:c r="D219" t="n">
        <x:v>2022</x:v>
      </x:c>
      <x:c r="E219"/>
      <x:c r="F219" t="str">
        <x:v>12298/22/CBMP-HN</x:v>
      </x:c>
      <x:c r="G219"/>
      <x:c r="H219" t="str">
        <x:v>Hôi nách</x:v>
      </x:c>
      <x:c r="I219"/>
      <x:c r="J219" t="str">
        <x:v>Khử mùi</x:v>
      </x:c>
      <x:c r="K219"/>
      <x:c r="L219" t="str">
        <x:v>Công ty TNHH tập đoàn OHM</x:v>
      </x:c>
      <x:c r="M219"/>
      <x:c r="N219" t="str">
        <x:v>Công ty TNHH mỹ phẩm Việt Hương</x:v>
      </x:c>
      <x:c r="O219" t="str">
        <x:v>Đình chỉ lưu hành, thu hồi và tiêu hủy – Công văn 1772/QLD-MP</x:v>
      </x:c>
      <x:c r="P219" t="str">
        <x:v>A++ – Cục Quản lý Dược; tổ chức chịu trách nhiệm explicit</x:v>
      </x:c>
      <x:c r="Q219" t="str">
        <x:v>Phụ lục 511 sản phẩm, STT 145, trang 6. Công ty Việt Hương là cơ sở sản xuất; cột tổ chức chịu trách nhiệm lấy nguyên văn từ phụ lục.</x:v>
      </x:c>
      <x:c r="R219" t="str">
        <x:v>https://dav.gov.vn/cong-van-so-1772qld-mp-ve-viec-dinh-chi-luu-hanh-thu-hoi-va-tieu-huy-my-pham-vi-pham-cong-ty-tnhh-my-pham-viet-huong-n5334.html</x:v>
      </x:c>
      <x:c r="S219" t="str">
        <x:v>Hà Nội</x:v>
      </x:c>
      <x:c r="T219" t="str">
        <x:v>01</x:v>
      </x:c>
    </x:row>
    <x:row r="220">
      <x:c r="A220" t="n">
        <x:v>219</x:v>
      </x:c>
      <x:c r="B220" s="330"/>
      <x:c r="C220" s="330" t="n">
        <x:v>46155</x:v>
      </x:c>
      <x:c r="D220" t="n">
        <x:v>2022</x:v>
      </x:c>
      <x:c r="E220"/>
      <x:c r="F220" t="str">
        <x:v>12299/22/CBMP-HN</x:v>
      </x:c>
      <x:c r="G220"/>
      <x:c r="H220" t="str">
        <x:v>Phủ bạc Nano</x:v>
      </x:c>
      <x:c r="I220"/>
      <x:c r="J220" t="str">
        <x:v>Nhuộm/tẩy màu tóc</x:v>
      </x:c>
      <x:c r="K220"/>
      <x:c r="L220" t="str">
        <x:v>Công ty TNHH tập đoàn OHM</x:v>
      </x:c>
      <x:c r="M220"/>
      <x:c r="N220" t="str">
        <x:v>Công ty TNHH mỹ phẩm Việt Hương</x:v>
      </x:c>
      <x:c r="O220" t="str">
        <x:v>Đình chỉ lưu hành, thu hồi và tiêu hủy – Công văn 1772/QLD-MP</x:v>
      </x:c>
      <x:c r="P220" t="str">
        <x:v>A++ – Cục Quản lý Dược; tổ chức chịu trách nhiệm explicit</x:v>
      </x:c>
      <x:c r="Q220" t="str">
        <x:v>Phụ lục 511 sản phẩm, STT 146, trang 6. Công ty Việt Hương là cơ sở sản xuất; cột tổ chức chịu trách nhiệm lấy nguyên văn từ phụ lục.</x:v>
      </x:c>
      <x:c r="R220" t="str">
        <x:v>https://dav.gov.vn/cong-van-so-1772qld-mp-ve-viec-dinh-chi-luu-hanh-thu-hoi-va-tieu-huy-my-pham-vi-pham-cong-ty-tnhh-my-pham-viet-huong-n5334.html</x:v>
      </x:c>
      <x:c r="S220" t="str">
        <x:v>Hà Nội</x:v>
      </x:c>
      <x:c r="T220" t="str">
        <x:v>01</x:v>
      </x:c>
    </x:row>
    <x:row r="221">
      <x:c r="A221" t="n">
        <x:v>220</x:v>
      </x:c>
      <x:c r="B221" s="330"/>
      <x:c r="C221" s="330" t="n">
        <x:v>46155</x:v>
      </x:c>
      <x:c r="D221" t="n">
        <x:v>2022</x:v>
      </x:c>
      <x:c r="E221"/>
      <x:c r="F221" t="str">
        <x:v>12300/22/CBMP-HN</x:v>
      </x:c>
      <x:c r="G221"/>
      <x:c r="H221" t="str">
        <x:v>Collagen Whitening Serum</x:v>
      </x:c>
      <x:c r="I221"/>
      <x:c r="J221" t="str">
        <x:v>Serum/Essence da</x:v>
      </x:c>
      <x:c r="K221"/>
      <x:c r="L221" t="str">
        <x:v>Công ty cổ phần mỹ phẩm Hoàng Phát</x:v>
      </x:c>
      <x:c r="M221"/>
      <x:c r="N221" t="str">
        <x:v>Công ty TNHH mỹ phẩm Việt Hương</x:v>
      </x:c>
      <x:c r="O221" t="str">
        <x:v>Đình chỉ lưu hành, thu hồi và tiêu hủy – Công văn 1772/QLD-MP</x:v>
      </x:c>
      <x:c r="P221" t="str">
        <x:v>A++ – Cục Quản lý Dược; tổ chức chịu trách nhiệm explicit</x:v>
      </x:c>
      <x:c r="Q221" t="str">
        <x:v>Phụ lục 511 sản phẩm, STT 147, trang 7. Công ty Việt Hương là cơ sở sản xuất; cột tổ chức chịu trách nhiệm lấy nguyên văn từ phụ lục.</x:v>
      </x:c>
      <x:c r="R221" t="str">
        <x:v>https://dav.gov.vn/cong-van-so-1772qld-mp-ve-viec-dinh-chi-luu-hanh-thu-hoi-va-tieu-huy-my-pham-vi-pham-cong-ty-tnhh-my-pham-viet-huong-n5334.html</x:v>
      </x:c>
      <x:c r="S221" t="str">
        <x:v>Hà Nội</x:v>
      </x:c>
      <x:c r="T221" t="str">
        <x:v>01</x:v>
      </x:c>
    </x:row>
    <x:row r="222">
      <x:c r="A222" t="n">
        <x:v>221</x:v>
      </x:c>
      <x:c r="B222" s="330"/>
      <x:c r="C222" s="330" t="n">
        <x:v>46155</x:v>
      </x:c>
      <x:c r="D222" t="n">
        <x:v>2022</x:v>
      </x:c>
      <x:c r="E222"/>
      <x:c r="F222" t="str">
        <x:v>13835/22/CBMP-HN</x:v>
      </x:c>
      <x:c r="G222"/>
      <x:c r="H222" t="str">
        <x:v>Nano Gold Face Cream Day &amp; Night</x:v>
      </x:c>
      <x:c r="I222"/>
      <x:c r="J222" t="str">
        <x:v>Kem dưỡng da</x:v>
      </x:c>
      <x:c r="K222"/>
      <x:c r="L222" t="str">
        <x:v>Công ty cổ phần mỹ phẩm Hoàng Phát</x:v>
      </x:c>
      <x:c r="M222"/>
      <x:c r="N222" t="str">
        <x:v>Công ty TNHH mỹ phẩm Việt Hương</x:v>
      </x:c>
      <x:c r="O222" t="str">
        <x:v>Đình chỉ lưu hành, thu hồi và tiêu hủy – Công văn 1772/QLD-MP</x:v>
      </x:c>
      <x:c r="P222" t="str">
        <x:v>A++ – Cục Quản lý Dược; tổ chức chịu trách nhiệm explicit</x:v>
      </x:c>
      <x:c r="Q222" t="str">
        <x:v>Phụ lục 511 sản phẩm, STT 148, trang 7. Công ty Việt Hương là cơ sở sản xuất; cột tổ chức chịu trách nhiệm lấy nguyên văn từ phụ lục.</x:v>
      </x:c>
      <x:c r="R222" t="str">
        <x:v>https://dav.gov.vn/cong-van-so-1772qld-mp-ve-viec-dinh-chi-luu-hanh-thu-hoi-va-tieu-huy-my-pham-vi-pham-cong-ty-tnhh-my-pham-viet-huong-n5334.html</x:v>
      </x:c>
      <x:c r="S222" t="str">
        <x:v>Hà Nội</x:v>
      </x:c>
      <x:c r="T222" t="str">
        <x:v>01</x:v>
      </x:c>
    </x:row>
    <x:row r="223">
      <x:c r="A223" t="n">
        <x:v>222</x:v>
      </x:c>
      <x:c r="B223" s="330"/>
      <x:c r="C223" s="330" t="n">
        <x:v>46155</x:v>
      </x:c>
      <x:c r="D223" t="n">
        <x:v>2022</x:v>
      </x:c>
      <x:c r="E223"/>
      <x:c r="F223" t="str">
        <x:v>13836/22/CBMP-HN</x:v>
      </x:c>
      <x:c r="G223"/>
      <x:c r="H223" t="str">
        <x:v>Nano Gold AHA Serum</x:v>
      </x:c>
      <x:c r="I223"/>
      <x:c r="J223" t="str">
        <x:v>Serum/Essence da</x:v>
      </x:c>
      <x:c r="K223"/>
      <x:c r="L223" t="str">
        <x:v>Công ty cổ phần mỹ phẩm Hoàng Phát</x:v>
      </x:c>
      <x:c r="M223"/>
      <x:c r="N223" t="str">
        <x:v>Công ty TNHH mỹ phẩm Việt Hương</x:v>
      </x:c>
      <x:c r="O223" t="str">
        <x:v>Đình chỉ lưu hành, thu hồi và tiêu hủy – Công văn 1772/QLD-MP</x:v>
      </x:c>
      <x:c r="P223" t="str">
        <x:v>A++ – Cục Quản lý Dược; tổ chức chịu trách nhiệm explicit</x:v>
      </x:c>
      <x:c r="Q223" t="str">
        <x:v>Phụ lục 511 sản phẩm, STT 149, trang 7. Công ty Việt Hương là cơ sở sản xuất; cột tổ chức chịu trách nhiệm lấy nguyên văn từ phụ lục.</x:v>
      </x:c>
      <x:c r="R223" t="str">
        <x:v>https://dav.gov.vn/cong-van-so-1772qld-mp-ve-viec-dinh-chi-luu-hanh-thu-hoi-va-tieu-huy-my-pham-vi-pham-cong-ty-tnhh-my-pham-viet-huong-n5334.html</x:v>
      </x:c>
      <x:c r="S223" t="str">
        <x:v>Hà Nội</x:v>
      </x:c>
      <x:c r="T223" t="str">
        <x:v>01</x:v>
      </x:c>
    </x:row>
    <x:row r="224">
      <x:c r="A224" t="n">
        <x:v>223</x:v>
      </x:c>
      <x:c r="B224" s="330"/>
      <x:c r="C224" s="330" t="n">
        <x:v>46155</x:v>
      </x:c>
      <x:c r="D224" t="n">
        <x:v>2022</x:v>
      </x:c>
      <x:c r="E224"/>
      <x:c r="F224" t="str">
        <x:v>13837/22/CBMP-HN</x:v>
      </x:c>
      <x:c r="G224"/>
      <x:c r="H224" t="str">
        <x:v>Nano Gold Detox Mask</x:v>
      </x:c>
      <x:c r="I224"/>
      <x:c r="J224" t="str">
        <x:v>Mặt nạ</x:v>
      </x:c>
      <x:c r="K224"/>
      <x:c r="L224" t="str">
        <x:v>Công ty cổ phần mỹ phẩm Hoàng Phát</x:v>
      </x:c>
      <x:c r="M224"/>
      <x:c r="N224" t="str">
        <x:v>Công ty TNHH mỹ phẩm Việt Hương</x:v>
      </x:c>
      <x:c r="O224" t="str">
        <x:v>Đình chỉ lưu hành, thu hồi và tiêu hủy – Công văn 1772/QLD-MP</x:v>
      </x:c>
      <x:c r="P224" t="str">
        <x:v>A++ – Cục Quản lý Dược; tổ chức chịu trách nhiệm explicit</x:v>
      </x:c>
      <x:c r="Q224" t="str">
        <x:v>Phụ lục 511 sản phẩm, STT 150, trang 7. Công ty Việt Hương là cơ sở sản xuất; cột tổ chức chịu trách nhiệm lấy nguyên văn từ phụ lục.</x:v>
      </x:c>
      <x:c r="R224" t="str">
        <x:v>https://dav.gov.vn/cong-van-so-1772qld-mp-ve-viec-dinh-chi-luu-hanh-thu-hoi-va-tieu-huy-my-pham-vi-pham-cong-ty-tnhh-my-pham-viet-huong-n5334.html</x:v>
      </x:c>
      <x:c r="S224" t="str">
        <x:v>Hà Nội</x:v>
      </x:c>
      <x:c r="T224" t="str">
        <x:v>01</x:v>
      </x:c>
    </x:row>
    <x:row r="225">
      <x:c r="A225" t="n">
        <x:v>224</x:v>
      </x:c>
      <x:c r="B225" s="330"/>
      <x:c r="C225" s="330" t="n">
        <x:v>46155</x:v>
      </x:c>
      <x:c r="D225" t="n">
        <x:v>2023</x:v>
      </x:c>
      <x:c r="E225"/>
      <x:c r="F225" t="str">
        <x:v>18587/23/CBMP-HN</x:v>
      </x:c>
      <x:c r="G225"/>
      <x:c r="H225" t="str">
        <x:v>Lubobo No3</x:v>
      </x:c>
      <x:c r="I225"/>
      <x:c r="J225" t="str">
        <x:v>Khác</x:v>
      </x:c>
      <x:c r="K225"/>
      <x:c r="L225" t="str">
        <x:v>Công ty cổ phần mỹ phẩm Hoàng Phát</x:v>
      </x:c>
      <x:c r="M225"/>
      <x:c r="N225" t="str">
        <x:v>Công ty TNHH mỹ phẩm Việt Hương</x:v>
      </x:c>
      <x:c r="O225" t="str">
        <x:v>Đình chỉ lưu hành, thu hồi và tiêu hủy – Công văn 1772/QLD-MP</x:v>
      </x:c>
      <x:c r="P225" t="str">
        <x:v>A++ – Cục Quản lý Dược; tổ chức chịu trách nhiệm explicit</x:v>
      </x:c>
      <x:c r="Q225" t="str">
        <x:v>Phụ lục 511 sản phẩm, STT 151, trang 7. Công ty Việt Hương là cơ sở sản xuất; cột tổ chức chịu trách nhiệm lấy nguyên văn từ phụ lục.</x:v>
      </x:c>
      <x:c r="R225" t="str">
        <x:v>https://dav.gov.vn/cong-van-so-1772qld-mp-ve-viec-dinh-chi-luu-hanh-thu-hoi-va-tieu-huy-my-pham-vi-pham-cong-ty-tnhh-my-pham-viet-huong-n5334.html</x:v>
      </x:c>
      <x:c r="S225" t="str">
        <x:v>Hà Nội</x:v>
      </x:c>
      <x:c r="T225" t="str">
        <x:v>01</x:v>
      </x:c>
    </x:row>
    <x:row r="226">
      <x:c r="A226" t="n">
        <x:v>225</x:v>
      </x:c>
      <x:c r="B226" s="330"/>
      <x:c r="C226" s="330" t="n">
        <x:v>46155</x:v>
      </x:c>
      <x:c r="D226" t="n">
        <x:v>2024</x:v>
      </x:c>
      <x:c r="E226"/>
      <x:c r="F226" t="str">
        <x:v>19371/24/CBMP-HN</x:v>
      </x:c>
      <x:c r="G226"/>
      <x:c r="H226" t="str">
        <x:v>Nano Gold Face Cream Day Plus</x:v>
      </x:c>
      <x:c r="I226"/>
      <x:c r="J226" t="str">
        <x:v>Kem dưỡng da</x:v>
      </x:c>
      <x:c r="K226"/>
      <x:c r="L226" t="str">
        <x:v>Công ty cổ phần mỹ phẩm Hoàng Phát</x:v>
      </x:c>
      <x:c r="M226"/>
      <x:c r="N226" t="str">
        <x:v>Công ty TNHH mỹ phẩm Việt Hương</x:v>
      </x:c>
      <x:c r="O226" t="str">
        <x:v>Đình chỉ lưu hành, thu hồi và tiêu hủy – Công văn 1772/QLD-MP</x:v>
      </x:c>
      <x:c r="P226" t="str">
        <x:v>A++ – Cục Quản lý Dược; tổ chức chịu trách nhiệm explicit</x:v>
      </x:c>
      <x:c r="Q226" t="str">
        <x:v>Phụ lục 511 sản phẩm, STT 152, trang 7. Công ty Việt Hương là cơ sở sản xuất; cột tổ chức chịu trách nhiệm lấy nguyên văn từ phụ lục.</x:v>
      </x:c>
      <x:c r="R226" t="str">
        <x:v>https://dav.gov.vn/cong-van-so-1772qld-mp-ve-viec-dinh-chi-luu-hanh-thu-hoi-va-tieu-huy-my-pham-vi-pham-cong-ty-tnhh-my-pham-viet-huong-n5334.html</x:v>
      </x:c>
      <x:c r="S226" t="str">
        <x:v>Hà Nội</x:v>
      </x:c>
      <x:c r="T226" t="str">
        <x:v>01</x:v>
      </x:c>
    </x:row>
    <x:row r="227">
      <x:c r="A227" t="n">
        <x:v>226</x:v>
      </x:c>
      <x:c r="B227" s="330"/>
      <x:c r="C227" s="330" t="n">
        <x:v>46155</x:v>
      </x:c>
      <x:c r="D227" t="n">
        <x:v>2023</x:v>
      </x:c>
      <x:c r="E227"/>
      <x:c r="F227" t="str">
        <x:v>18586/23/CBMP-HN</x:v>
      </x:c>
      <x:c r="G227"/>
      <x:c r="H227" t="str">
        <x:v>Lubobo No2</x:v>
      </x:c>
      <x:c r="I227"/>
      <x:c r="J227" t="str">
        <x:v>Khác</x:v>
      </x:c>
      <x:c r="K227"/>
      <x:c r="L227" t="str">
        <x:v>Công ty cổ phần mỹ phẩm Hoàng Phát</x:v>
      </x:c>
      <x:c r="M227"/>
      <x:c r="N227" t="str">
        <x:v>Công ty TNHH mỹ phẩm Việt Hương</x:v>
      </x:c>
      <x:c r="O227" t="str">
        <x:v>Đình chỉ lưu hành, thu hồi và tiêu hủy – Công văn 1772/QLD-MP</x:v>
      </x:c>
      <x:c r="P227" t="str">
        <x:v>A++ – Cục Quản lý Dược; tổ chức chịu trách nhiệm explicit</x:v>
      </x:c>
      <x:c r="Q227" t="str">
        <x:v>Phụ lục 511 sản phẩm, STT 153, trang 7. Công ty Việt Hương là cơ sở sản xuất; cột tổ chức chịu trách nhiệm lấy nguyên văn từ phụ lục.</x:v>
      </x:c>
      <x:c r="R227" t="str">
        <x:v>https://dav.gov.vn/cong-van-so-1772qld-mp-ve-viec-dinh-chi-luu-hanh-thu-hoi-va-tieu-huy-my-pham-vi-pham-cong-ty-tnhh-my-pham-viet-huong-n5334.html</x:v>
      </x:c>
      <x:c r="S227" t="str">
        <x:v>Hà Nội</x:v>
      </x:c>
      <x:c r="T227" t="str">
        <x:v>01</x:v>
      </x:c>
    </x:row>
    <x:row r="228">
      <x:c r="A228" t="n">
        <x:v>227</x:v>
      </x:c>
      <x:c r="B228" s="330"/>
      <x:c r="C228" s="330" t="n">
        <x:v>46155</x:v>
      </x:c>
      <x:c r="D228" t="n">
        <x:v>2022</x:v>
      </x:c>
      <x:c r="E228"/>
      <x:c r="F228" t="str">
        <x:v>12575/22/CBMP-HN</x:v>
      </x:c>
      <x:c r="G228"/>
      <x:c r="H228" t="str">
        <x:v>AHA Serum</x:v>
      </x:c>
      <x:c r="I228"/>
      <x:c r="J228" t="str">
        <x:v>Serum/Essence da</x:v>
      </x:c>
      <x:c r="K228"/>
      <x:c r="L228" t="str">
        <x:v>Công ty cổ phần đầu tư LD</x:v>
      </x:c>
      <x:c r="M228"/>
      <x:c r="N228" t="str">
        <x:v>Công ty TNHH mỹ phẩm Việt Hương</x:v>
      </x:c>
      <x:c r="O228" t="str">
        <x:v>Đình chỉ lưu hành, thu hồi và tiêu hủy – Công văn 1772/QLD-MP</x:v>
      </x:c>
      <x:c r="P228" t="str">
        <x:v>A++ – Cục Quản lý Dược; tổ chức chịu trách nhiệm explicit</x:v>
      </x:c>
      <x:c r="Q228" t="str">
        <x:v>Phụ lục 511 sản phẩm, STT 154, trang 7. Công ty Việt Hương là cơ sở sản xuất; cột tổ chức chịu trách nhiệm lấy nguyên văn từ phụ lục.</x:v>
      </x:c>
      <x:c r="R228" t="str">
        <x:v>https://dav.gov.vn/cong-van-so-1772qld-mp-ve-viec-dinh-chi-luu-hanh-thu-hoi-va-tieu-huy-my-pham-vi-pham-cong-ty-tnhh-my-pham-viet-huong-n5334.html</x:v>
      </x:c>
      <x:c r="S228" t="str">
        <x:v>Hà Nội</x:v>
      </x:c>
      <x:c r="T228" t="str">
        <x:v>01</x:v>
      </x:c>
    </x:row>
    <x:row r="229">
      <x:c r="A229" t="n">
        <x:v>228</x:v>
      </x:c>
      <x:c r="B229" s="330"/>
      <x:c r="C229" s="330" t="n">
        <x:v>46155</x:v>
      </x:c>
      <x:c r="D229" t="n">
        <x:v>2022</x:v>
      </x:c>
      <x:c r="E229"/>
      <x:c r="F229" t="str">
        <x:v>12576/22/CBMP-HN</x:v>
      </x:c>
      <x:c r="G229"/>
      <x:c r="H229" t="str">
        <x:v>Ultracalming Serum Concentrate</x:v>
      </x:c>
      <x:c r="I229"/>
      <x:c r="J229" t="str">
        <x:v>Serum/Essence da</x:v>
      </x:c>
      <x:c r="K229"/>
      <x:c r="L229" t="str">
        <x:v>Công ty cổ phần đầu tư LD</x:v>
      </x:c>
      <x:c r="M229"/>
      <x:c r="N229" t="str">
        <x:v>Công ty TNHH mỹ phẩm Việt Hương</x:v>
      </x:c>
      <x:c r="O229" t="str">
        <x:v>Đình chỉ lưu hành, thu hồi và tiêu hủy – Công văn 1772/QLD-MP</x:v>
      </x:c>
      <x:c r="P229" t="str">
        <x:v>A++ – Cục Quản lý Dược; tổ chức chịu trách nhiệm explicit</x:v>
      </x:c>
      <x:c r="Q229" t="str">
        <x:v>Phụ lục 511 sản phẩm, STT 155, trang 7. Công ty Việt Hương là cơ sở sản xuất; cột tổ chức chịu trách nhiệm lấy nguyên văn từ phụ lục.</x:v>
      </x:c>
      <x:c r="R229" t="str">
        <x:v>https://dav.gov.vn/cong-van-so-1772qld-mp-ve-viec-dinh-chi-luu-hanh-thu-hoi-va-tieu-huy-my-pham-vi-pham-cong-ty-tnhh-my-pham-viet-huong-n5334.html</x:v>
      </x:c>
      <x:c r="S229" t="str">
        <x:v>Hà Nội</x:v>
      </x:c>
      <x:c r="T229" t="str">
        <x:v>01</x:v>
      </x:c>
    </x:row>
    <x:row r="230">
      <x:c r="A230" t="n">
        <x:v>229</x:v>
      </x:c>
      <x:c r="B230" s="330"/>
      <x:c r="C230" s="330" t="n">
        <x:v>46155</x:v>
      </x:c>
      <x:c r="D230" t="n">
        <x:v>2022</x:v>
      </x:c>
      <x:c r="E230"/>
      <x:c r="F230" t="str">
        <x:v>12577/22/CBMP-HN</x:v>
      </x:c>
      <x:c r="G230"/>
      <x:c r="H230" t="str">
        <x:v>Super Serum-Pro Acne</x:v>
      </x:c>
      <x:c r="I230"/>
      <x:c r="J230" t="str">
        <x:v>Serum/Essence da</x:v>
      </x:c>
      <x:c r="K230"/>
      <x:c r="L230" t="str">
        <x:v>Công ty cổ phần đầu tư LD</x:v>
      </x:c>
      <x:c r="M230"/>
      <x:c r="N230" t="str">
        <x:v>Công ty TNHH mỹ phẩm Việt Hương</x:v>
      </x:c>
      <x:c r="O230" t="str">
        <x:v>Đình chỉ lưu hành, thu hồi và tiêu hủy – Công văn 1772/QLD-MP</x:v>
      </x:c>
      <x:c r="P230" t="str">
        <x:v>A++ – Cục Quản lý Dược; tổ chức chịu trách nhiệm explicit</x:v>
      </x:c>
      <x:c r="Q230" t="str">
        <x:v>Phụ lục 511 sản phẩm, STT 156, trang 7. Công ty Việt Hương là cơ sở sản xuất; cột tổ chức chịu trách nhiệm lấy nguyên văn từ phụ lục.</x:v>
      </x:c>
      <x:c r="R230" t="str">
        <x:v>https://dav.gov.vn/cong-van-so-1772qld-mp-ve-viec-dinh-chi-luu-hanh-thu-hoi-va-tieu-huy-my-pham-vi-pham-cong-ty-tnhh-my-pham-viet-huong-n5334.html</x:v>
      </x:c>
      <x:c r="S230" t="str">
        <x:v>Hà Nội</x:v>
      </x:c>
      <x:c r="T230" t="str">
        <x:v>01</x:v>
      </x:c>
    </x:row>
    <x:row r="231">
      <x:c r="A231" t="n">
        <x:v>230</x:v>
      </x:c>
      <x:c r="B231" s="330"/>
      <x:c r="C231" s="330" t="n">
        <x:v>46155</x:v>
      </x:c>
      <x:c r="D231" t="n">
        <x:v>2022</x:v>
      </x:c>
      <x:c r="E231"/>
      <x:c r="F231" t="str">
        <x:v>12578/22/CBMP-HN</x:v>
      </x:c>
      <x:c r="G231"/>
      <x:c r="H231" t="str">
        <x:v>Super Rich Repair</x:v>
      </x:c>
      <x:c r="I231"/>
      <x:c r="J231" t="str">
        <x:v>Khác</x:v>
      </x:c>
      <x:c r="K231"/>
      <x:c r="L231" t="str">
        <x:v>Công ty cổ phần đầu tư LD</x:v>
      </x:c>
      <x:c r="M231"/>
      <x:c r="N231" t="str">
        <x:v>Công ty TNHH mỹ phẩm Việt Hương</x:v>
      </x:c>
      <x:c r="O231" t="str">
        <x:v>Đình chỉ lưu hành, thu hồi và tiêu hủy – Công văn 1772/QLD-MP</x:v>
      </x:c>
      <x:c r="P231" t="str">
        <x:v>A++ – Cục Quản lý Dược; tổ chức chịu trách nhiệm explicit</x:v>
      </x:c>
      <x:c r="Q231" t="str">
        <x:v>Phụ lục 511 sản phẩm, STT 157, trang 7. Công ty Việt Hương là cơ sở sản xuất; cột tổ chức chịu trách nhiệm lấy nguyên văn từ phụ lục.</x:v>
      </x:c>
      <x:c r="R231" t="str">
        <x:v>https://dav.gov.vn/cong-van-so-1772qld-mp-ve-viec-dinh-chi-luu-hanh-thu-hoi-va-tieu-huy-my-pham-vi-pham-cong-ty-tnhh-my-pham-viet-huong-n5334.html</x:v>
      </x:c>
      <x:c r="S231" t="str">
        <x:v>Hà Nội</x:v>
      </x:c>
      <x:c r="T231" t="str">
        <x:v>01</x:v>
      </x:c>
    </x:row>
    <x:row r="232">
      <x:c r="A232" t="n">
        <x:v>231</x:v>
      </x:c>
      <x:c r="B232" s="330"/>
      <x:c r="C232" s="330" t="n">
        <x:v>46155</x:v>
      </x:c>
      <x:c r="D232" t="n">
        <x:v>2022</x:v>
      </x:c>
      <x:c r="E232"/>
      <x:c r="F232" t="str">
        <x:v>12824/22/CBMP-HN</x:v>
      </x:c>
      <x:c r="G232"/>
      <x:c r="H232" t="str">
        <x:v>Mặt nạ ngừa lão hóa da Provitamin B5</x:v>
      </x:c>
      <x:c r="I232"/>
      <x:c r="J232" t="str">
        <x:v>Mặt nạ</x:v>
      </x:c>
      <x:c r="K232"/>
      <x:c r="L232" t="str">
        <x:v>Công ty cổ phần đầu tư LD</x:v>
      </x:c>
      <x:c r="M232"/>
      <x:c r="N232" t="str">
        <x:v>Công ty TNHH mỹ phẩm Việt Hương</x:v>
      </x:c>
      <x:c r="O232" t="str">
        <x:v>Đình chỉ lưu hành, thu hồi và tiêu hủy – Công văn 1772/QLD-MP</x:v>
      </x:c>
      <x:c r="P232" t="str">
        <x:v>A++ – Cục Quản lý Dược; tổ chức chịu trách nhiệm explicit</x:v>
      </x:c>
      <x:c r="Q232" t="str">
        <x:v>Phụ lục 511 sản phẩm, STT 158, trang 7. Công ty Việt Hương là cơ sở sản xuất; cột tổ chức chịu trách nhiệm lấy nguyên văn từ phụ lục.</x:v>
      </x:c>
      <x:c r="R232" t="str">
        <x:v>https://dav.gov.vn/cong-van-so-1772qld-mp-ve-viec-dinh-chi-luu-hanh-thu-hoi-va-tieu-huy-my-pham-vi-pham-cong-ty-tnhh-my-pham-viet-huong-n5334.html</x:v>
      </x:c>
      <x:c r="S232" t="str">
        <x:v>Hà Nội</x:v>
      </x:c>
      <x:c r="T232" t="str">
        <x:v>01</x:v>
      </x:c>
    </x:row>
    <x:row r="233">
      <x:c r="A233" t="n">
        <x:v>232</x:v>
      </x:c>
      <x:c r="B233" s="330"/>
      <x:c r="C233" s="330" t="n">
        <x:v>46155</x:v>
      </x:c>
      <x:c r="D233" t="n">
        <x:v>2022</x:v>
      </x:c>
      <x:c r="E233"/>
      <x:c r="F233" t="str">
        <x:v>12825/22/CBMP-HN</x:v>
      </x:c>
      <x:c r="G233"/>
      <x:c r="H233" t="str">
        <x:v>Serum Peptide</x:v>
      </x:c>
      <x:c r="I233"/>
      <x:c r="J233" t="str">
        <x:v>Serum/Essence da</x:v>
      </x:c>
      <x:c r="K233"/>
      <x:c r="L233" t="str">
        <x:v>Công ty cổ phần đầu tư LD</x:v>
      </x:c>
      <x:c r="M233"/>
      <x:c r="N233" t="str">
        <x:v>Công ty TNHH mỹ phẩm Việt Hương</x:v>
      </x:c>
      <x:c r="O233" t="str">
        <x:v>Đình chỉ lưu hành, thu hồi và tiêu hủy – Công văn 1772/QLD-MP</x:v>
      </x:c>
      <x:c r="P233" t="str">
        <x:v>A++ – Cục Quản lý Dược; tổ chức chịu trách nhiệm explicit</x:v>
      </x:c>
      <x:c r="Q233" t="str">
        <x:v>Phụ lục 511 sản phẩm, STT 159, trang 7. Công ty Việt Hương là cơ sở sản xuất; cột tổ chức chịu trách nhiệm lấy nguyên văn từ phụ lục.</x:v>
      </x:c>
      <x:c r="R233" t="str">
        <x:v>https://dav.gov.vn/cong-van-so-1772qld-mp-ve-viec-dinh-chi-luu-hanh-thu-hoi-va-tieu-huy-my-pham-vi-pham-cong-ty-tnhh-my-pham-viet-huong-n5334.html</x:v>
      </x:c>
      <x:c r="S233" t="str">
        <x:v>Hà Nội</x:v>
      </x:c>
      <x:c r="T233" t="str">
        <x:v>01</x:v>
      </x:c>
    </x:row>
    <x:row r="234">
      <x:c r="A234" t="n">
        <x:v>233</x:v>
      </x:c>
      <x:c r="B234" s="330"/>
      <x:c r="C234" s="330" t="n">
        <x:v>46155</x:v>
      </x:c>
      <x:c r="D234" t="n">
        <x:v>2025</x:v>
      </x:c>
      <x:c r="E234"/>
      <x:c r="F234" t="str">
        <x:v>26079/25/CBMP-HN</x:v>
      </x:c>
      <x:c r="G234"/>
      <x:c r="H234" t="str">
        <x:v>Mask dưỡng ẩm</x:v>
      </x:c>
      <x:c r="I234"/>
      <x:c r="J234" t="str">
        <x:v>Mặt nạ</x:v>
      </x:c>
      <x:c r="K234"/>
      <x:c r="L234" t="str">
        <x:v>Công ty cổ phần đầu tư LD</x:v>
      </x:c>
      <x:c r="M234"/>
      <x:c r="N234" t="str">
        <x:v>Công ty TNHH mỹ phẩm Việt Hương</x:v>
      </x:c>
      <x:c r="O234" t="str">
        <x:v>Đình chỉ lưu hành, thu hồi và tiêu hủy – Công văn 1772/QLD-MP</x:v>
      </x:c>
      <x:c r="P234" t="str">
        <x:v>A++ – Cục Quản lý Dược; tổ chức chịu trách nhiệm explicit</x:v>
      </x:c>
      <x:c r="Q234" t="str">
        <x:v>Phụ lục 511 sản phẩm, STT 160, trang 7. Công ty Việt Hương là cơ sở sản xuất; cột tổ chức chịu trách nhiệm lấy nguyên văn từ phụ lục.</x:v>
      </x:c>
      <x:c r="R234" t="str">
        <x:v>https://dav.gov.vn/cong-van-so-1772qld-mp-ve-viec-dinh-chi-luu-hanh-thu-hoi-va-tieu-huy-my-pham-vi-pham-cong-ty-tnhh-my-pham-viet-huong-n5334.html</x:v>
      </x:c>
      <x:c r="S234" t="str">
        <x:v>Hà Nội</x:v>
      </x:c>
      <x:c r="T234" t="str">
        <x:v>01</x:v>
      </x:c>
    </x:row>
    <x:row r="235">
      <x:c r="A235" t="n">
        <x:v>234</x:v>
      </x:c>
      <x:c r="B235" s="330"/>
      <x:c r="C235" s="330" t="n">
        <x:v>46155</x:v>
      </x:c>
      <x:c r="D235" t="n">
        <x:v>2025</x:v>
      </x:c>
      <x:c r="E235"/>
      <x:c r="F235" t="str">
        <x:v>26080/25/CBMP-HN</x:v>
      </x:c>
      <x:c r="G235"/>
      <x:c r="H235" t="str">
        <x:v>Mặt nạ dưỡng da mềm mượt</x:v>
      </x:c>
      <x:c r="I235"/>
      <x:c r="J235" t="str">
        <x:v>Mặt nạ</x:v>
      </x:c>
      <x:c r="K235"/>
      <x:c r="L235" t="str">
        <x:v>Công ty cổ phần đầu tư LD</x:v>
      </x:c>
      <x:c r="M235"/>
      <x:c r="N235" t="str">
        <x:v>Công ty TNHH mỹ phẩm Việt Hương</x:v>
      </x:c>
      <x:c r="O235" t="str">
        <x:v>Đình chỉ lưu hành, thu hồi và tiêu hủy – Công văn 1772/QLD-MP</x:v>
      </x:c>
      <x:c r="P235" t="str">
        <x:v>A++ – Cục Quản lý Dược; tổ chức chịu trách nhiệm explicit</x:v>
      </x:c>
      <x:c r="Q235" t="str">
        <x:v>Phụ lục 511 sản phẩm, STT 161, trang 7. Công ty Việt Hương là cơ sở sản xuất; cột tổ chức chịu trách nhiệm lấy nguyên văn từ phụ lục.</x:v>
      </x:c>
      <x:c r="R235" t="str">
        <x:v>https://dav.gov.vn/cong-van-so-1772qld-mp-ve-viec-dinh-chi-luu-hanh-thu-hoi-va-tieu-huy-my-pham-vi-pham-cong-ty-tnhh-my-pham-viet-huong-n5334.html</x:v>
      </x:c>
      <x:c r="S235" t="str">
        <x:v>Hà Nội</x:v>
      </x:c>
      <x:c r="T235" t="str">
        <x:v>01</x:v>
      </x:c>
    </x:row>
    <x:row r="236">
      <x:c r="A236" t="n">
        <x:v>235</x:v>
      </x:c>
      <x:c r="B236" s="330"/>
      <x:c r="C236" s="330" t="n">
        <x:v>46155</x:v>
      </x:c>
      <x:c r="D236" t="n">
        <x:v>2022</x:v>
      </x:c>
      <x:c r="E236"/>
      <x:c r="F236" t="str">
        <x:v>12579/22/CBMP-HN</x:v>
      </x:c>
      <x:c r="G236"/>
      <x:c r="H236" t="str">
        <x:v>Tinh dầu thơm vùng kín Beau Lotus HL</x:v>
      </x:c>
      <x:c r="I236"/>
      <x:c r="J236" t="str">
        <x:v>Khác</x:v>
      </x:c>
      <x:c r="K236"/>
      <x:c r="L236" t="str">
        <x:v>Công ty cổ phần tư vấn và đầu tư dịch vụ y tế Hoàng Long</x:v>
      </x:c>
      <x:c r="M236"/>
      <x:c r="N236" t="str">
        <x:v>Công ty TNHH mỹ phẩm Việt Hương</x:v>
      </x:c>
      <x:c r="O236" t="str">
        <x:v>Đình chỉ lưu hành, thu hồi và tiêu hủy – Công văn 1772/QLD-MP</x:v>
      </x:c>
      <x:c r="P236" t="str">
        <x:v>A++ – Cục Quản lý Dược; tổ chức chịu trách nhiệm explicit</x:v>
      </x:c>
      <x:c r="Q236" t="str">
        <x:v>Phụ lục 511 sản phẩm, STT 162, trang 7. Công ty Việt Hương là cơ sở sản xuất; cột tổ chức chịu trách nhiệm lấy nguyên văn từ phụ lục.</x:v>
      </x:c>
      <x:c r="R236" t="str">
        <x:v>https://dav.gov.vn/cong-van-so-1772qld-mp-ve-viec-dinh-chi-luu-hanh-thu-hoi-va-tieu-huy-my-pham-vi-pham-cong-ty-tnhh-my-pham-viet-huong-n5334.html</x:v>
      </x:c>
      <x:c r="S236" t="str">
        <x:v>Hà Nội</x:v>
      </x:c>
      <x:c r="T236" t="str">
        <x:v>01</x:v>
      </x:c>
    </x:row>
    <x:row r="237">
      <x:c r="A237" t="n">
        <x:v>236</x:v>
      </x:c>
      <x:c r="B237" s="330"/>
      <x:c r="C237" s="330" t="n">
        <x:v>46155</x:v>
      </x:c>
      <x:c r="D237" t="n">
        <x:v>2022</x:v>
      </x:c>
      <x:c r="E237"/>
      <x:c r="F237" t="str">
        <x:v>12766/22/CBMP-HN</x:v>
      </x:c>
      <x:c r="G237"/>
      <x:c r="H237" t="str">
        <x:v>Toner phục hồi da</x:v>
      </x:c>
      <x:c r="I237"/>
      <x:c r="J237" t="str">
        <x:v>Serum/Essence da</x:v>
      </x:c>
      <x:c r="K237"/>
      <x:c r="L237" t="str">
        <x:v>Công ty TNHH Sản xuất và thương mại Vinza Cosmetics</x:v>
      </x:c>
      <x:c r="M237"/>
      <x:c r="N237" t="str">
        <x:v>Công ty TNHH mỹ phẩm Việt Hương</x:v>
      </x:c>
      <x:c r="O237" t="str">
        <x:v>Đình chỉ lưu hành, thu hồi và tiêu hủy – Công văn 1772/QLD-MP</x:v>
      </x:c>
      <x:c r="P237" t="str">
        <x:v>A++ – Cục Quản lý Dược; tổ chức chịu trách nhiệm explicit</x:v>
      </x:c>
      <x:c r="Q237" t="str">
        <x:v>Phụ lục 511 sản phẩm, STT 163, trang 7. Công ty Việt Hương là cơ sở sản xuất; cột tổ chức chịu trách nhiệm lấy nguyên văn từ phụ lục.</x:v>
      </x:c>
      <x:c r="R237" t="str">
        <x:v>https://dav.gov.vn/cong-van-so-1772qld-mp-ve-viec-dinh-chi-luu-hanh-thu-hoi-va-tieu-huy-my-pham-vi-pham-cong-ty-tnhh-my-pham-viet-huong-n5334.html</x:v>
      </x:c>
      <x:c r="S237" t="str">
        <x:v>Hà Nội</x:v>
      </x:c>
      <x:c r="T237" t="str">
        <x:v>01</x:v>
      </x:c>
    </x:row>
    <x:row r="238">
      <x:c r="A238" t="n">
        <x:v>237</x:v>
      </x:c>
      <x:c r="B238" s="330"/>
      <x:c r="C238" s="330" t="n">
        <x:v>46155</x:v>
      </x:c>
      <x:c r="D238" t="n">
        <x:v>2022</x:v>
      </x:c>
      <x:c r="E238"/>
      <x:c r="F238" t="str">
        <x:v>12767/22/CBMP-HN</x:v>
      </x:c>
      <x:c r="G238"/>
      <x:c r="H238" t="str">
        <x:v>Nước tẩy trang</x:v>
      </x:c>
      <x:c r="I238"/>
      <x:c r="J238" t="str">
        <x:v>Tẩy trang</x:v>
      </x:c>
      <x:c r="K238"/>
      <x:c r="L238" t="str">
        <x:v>Công ty TNHH Sản xuất và thương mại Vinza Cosmetics</x:v>
      </x:c>
      <x:c r="M238"/>
      <x:c r="N238" t="str">
        <x:v>Công ty TNHH mỹ phẩm Việt Hương</x:v>
      </x:c>
      <x:c r="O238" t="str">
        <x:v>Đình chỉ lưu hành, thu hồi và tiêu hủy – Công văn 1772/QLD-MP</x:v>
      </x:c>
      <x:c r="P238" t="str">
        <x:v>A++ – Cục Quản lý Dược; tổ chức chịu trách nhiệm explicit</x:v>
      </x:c>
      <x:c r="Q238" t="str">
        <x:v>Phụ lục 511 sản phẩm, STT 164, trang 7. Công ty Việt Hương là cơ sở sản xuất; cột tổ chức chịu trách nhiệm lấy nguyên văn từ phụ lục.</x:v>
      </x:c>
      <x:c r="R238" t="str">
        <x:v>https://dav.gov.vn/cong-van-so-1772qld-mp-ve-viec-dinh-chi-luu-hanh-thu-hoi-va-tieu-huy-my-pham-vi-pham-cong-ty-tnhh-my-pham-viet-huong-n5334.html</x:v>
      </x:c>
      <x:c r="S238" t="str">
        <x:v>Hà Nội</x:v>
      </x:c>
      <x:c r="T238" t="str">
        <x:v>01</x:v>
      </x:c>
    </x:row>
    <x:row r="239">
      <x:c r="A239" t="n">
        <x:v>238</x:v>
      </x:c>
      <x:c r="B239" s="330"/>
      <x:c r="C239" s="330" t="n">
        <x:v>46155</x:v>
      </x:c>
      <x:c r="D239" t="n">
        <x:v>2022</x:v>
      </x:c>
      <x:c r="E239"/>
      <x:c r="F239" t="str">
        <x:v>12768/22/CBMP-HN</x:v>
      </x:c>
      <x:c r="G239"/>
      <x:c r="H239" t="str">
        <x:v>Serum Collagen</x:v>
      </x:c>
      <x:c r="I239"/>
      <x:c r="J239" t="str">
        <x:v>Serum/Essence da</x:v>
      </x:c>
      <x:c r="K239"/>
      <x:c r="L239" t="str">
        <x:v>Công ty TNHH Sản xuất và thương mại Vinza Cosmetics</x:v>
      </x:c>
      <x:c r="M239"/>
      <x:c r="N239" t="str">
        <x:v>Công ty TNHH mỹ phẩm Việt Hương</x:v>
      </x:c>
      <x:c r="O239" t="str">
        <x:v>Đình chỉ lưu hành, thu hồi và tiêu hủy – Công văn 1772/QLD-MP</x:v>
      </x:c>
      <x:c r="P239" t="str">
        <x:v>A++ – Cục Quản lý Dược; tổ chức chịu trách nhiệm explicit</x:v>
      </x:c>
      <x:c r="Q239" t="str">
        <x:v>Phụ lục 511 sản phẩm, STT 165, trang 7. Công ty Việt Hương là cơ sở sản xuất; cột tổ chức chịu trách nhiệm lấy nguyên văn từ phụ lục.</x:v>
      </x:c>
      <x:c r="R239" t="str">
        <x:v>https://dav.gov.vn/cong-van-so-1772qld-mp-ve-viec-dinh-chi-luu-hanh-thu-hoi-va-tieu-huy-my-pham-vi-pham-cong-ty-tnhh-my-pham-viet-huong-n5334.html</x:v>
      </x:c>
      <x:c r="S239" t="str">
        <x:v>Hà Nội</x:v>
      </x:c>
      <x:c r="T239" t="str">
        <x:v>01</x:v>
      </x:c>
    </x:row>
    <x:row r="240">
      <x:c r="A240" t="n">
        <x:v>239</x:v>
      </x:c>
      <x:c r="B240" s="330"/>
      <x:c r="C240" s="330" t="n">
        <x:v>46155</x:v>
      </x:c>
      <x:c r="D240" t="n">
        <x:v>2022</x:v>
      </x:c>
      <x:c r="E240"/>
      <x:c r="F240" t="str">
        <x:v>12769/22/CBMP-HN</x:v>
      </x:c>
      <x:c r="G240"/>
      <x:c r="H240" t="str">
        <x:v>Tẩy tế bào da chết</x:v>
      </x:c>
      <x:c r="I240"/>
      <x:c r="J240" t="str">
        <x:v>Khác</x:v>
      </x:c>
      <x:c r="K240"/>
      <x:c r="L240" t="str">
        <x:v>Công ty TNHH Sản xuất và thương mại Vinza Cosmetics</x:v>
      </x:c>
      <x:c r="M240"/>
      <x:c r="N240" t="str">
        <x:v>Công ty TNHH mỹ phẩm Việt Hương</x:v>
      </x:c>
      <x:c r="O240" t="str">
        <x:v>Đình chỉ lưu hành, thu hồi và tiêu hủy – Công văn 1772/QLD-MP</x:v>
      </x:c>
      <x:c r="P240" t="str">
        <x:v>A++ – Cục Quản lý Dược; tổ chức chịu trách nhiệm explicit</x:v>
      </x:c>
      <x:c r="Q240" t="str">
        <x:v>Phụ lục 511 sản phẩm, STT 166, trang 7. Công ty Việt Hương là cơ sở sản xuất; cột tổ chức chịu trách nhiệm lấy nguyên văn từ phụ lục.</x:v>
      </x:c>
      <x:c r="R240" t="str">
        <x:v>https://dav.gov.vn/cong-van-so-1772qld-mp-ve-viec-dinh-chi-luu-hanh-thu-hoi-va-tieu-huy-my-pham-vi-pham-cong-ty-tnhh-my-pham-viet-huong-n5334.html</x:v>
      </x:c>
      <x:c r="S240" t="str">
        <x:v>Hà Nội</x:v>
      </x:c>
      <x:c r="T240" t="str">
        <x:v>01</x:v>
      </x:c>
    </x:row>
    <x:row r="241">
      <x:c r="A241" t="n">
        <x:v>240</x:v>
      </x:c>
      <x:c r="B241" s="330"/>
      <x:c r="C241" s="330" t="n">
        <x:v>46155</x:v>
      </x:c>
      <x:c r="D241" t="n">
        <x:v>2022</x:v>
      </x:c>
      <x:c r="E241"/>
      <x:c r="F241" t="str">
        <x:v>12770/22/CBMP-HN</x:v>
      </x:c>
      <x:c r="G241"/>
      <x:c r="H241" t="str">
        <x:v>Sữa rửa mặt</x:v>
      </x:c>
      <x:c r="I241"/>
      <x:c r="J241" t="str">
        <x:v>Sữa rửa mặt</x:v>
      </x:c>
      <x:c r="K241"/>
      <x:c r="L241" t="str">
        <x:v>Công ty TNHH Sản xuất và thương mại Vinza Cosmetics</x:v>
      </x:c>
      <x:c r="M241"/>
      <x:c r="N241" t="str">
        <x:v>Công ty TNHH mỹ phẩm Việt Hương</x:v>
      </x:c>
      <x:c r="O241" t="str">
        <x:v>Đình chỉ lưu hành, thu hồi và tiêu hủy – Công văn 1772/QLD-MP</x:v>
      </x:c>
      <x:c r="P241" t="str">
        <x:v>A++ – Cục Quản lý Dược; tổ chức chịu trách nhiệm explicit</x:v>
      </x:c>
      <x:c r="Q241" t="str">
        <x:v>Phụ lục 511 sản phẩm, STT 167, trang 7. Công ty Việt Hương là cơ sở sản xuất; cột tổ chức chịu trách nhiệm lấy nguyên văn từ phụ lục.</x:v>
      </x:c>
      <x:c r="R241" t="str">
        <x:v>https://dav.gov.vn/cong-van-so-1772qld-mp-ve-viec-dinh-chi-luu-hanh-thu-hoi-va-tieu-huy-my-pham-vi-pham-cong-ty-tnhh-my-pham-viet-huong-n5334.html</x:v>
      </x:c>
      <x:c r="S241" t="str">
        <x:v>Hà Nội</x:v>
      </x:c>
      <x:c r="T241" t="str">
        <x:v>01</x:v>
      </x:c>
    </x:row>
    <x:row r="242">
      <x:c r="A242" t="n">
        <x:v>241</x:v>
      </x:c>
      <x:c r="B242" s="330"/>
      <x:c r="C242" s="330" t="n">
        <x:v>46155</x:v>
      </x:c>
      <x:c r="D242" t="n">
        <x:v>2022</x:v>
      </x:c>
      <x:c r="E242"/>
      <x:c r="F242" t="str">
        <x:v>12771/22/CBMP-HN</x:v>
      </x:c>
      <x:c r="G242"/>
      <x:c r="H242" t="str">
        <x:v>Dung dịch vệ sinh</x:v>
      </x:c>
      <x:c r="I242"/>
      <x:c r="J242" t="str">
        <x:v>Khác</x:v>
      </x:c>
      <x:c r="K242"/>
      <x:c r="L242" t="str">
        <x:v>Công ty TNHH Sản xuất và thương mại Vinza Cosmetics</x:v>
      </x:c>
      <x:c r="M242"/>
      <x:c r="N242" t="str">
        <x:v>Công ty TNHH mỹ phẩm Việt Hương</x:v>
      </x:c>
      <x:c r="O242" t="str">
        <x:v>Đình chỉ lưu hành, thu hồi và tiêu hủy – Công văn 1772/QLD-MP</x:v>
      </x:c>
      <x:c r="P242" t="str">
        <x:v>A++ – Cục Quản lý Dược; tổ chức chịu trách nhiệm explicit</x:v>
      </x:c>
      <x:c r="Q242" t="str">
        <x:v>Phụ lục 511 sản phẩm, STT 168, trang 7. Công ty Việt Hương là cơ sở sản xuất; cột tổ chức chịu trách nhiệm lấy nguyên văn từ phụ lục.</x:v>
      </x:c>
      <x:c r="R242" t="str">
        <x:v>https://dav.gov.vn/cong-van-so-1772qld-mp-ve-viec-dinh-chi-luu-hanh-thu-hoi-va-tieu-huy-my-pham-vi-pham-cong-ty-tnhh-my-pham-viet-huong-n5334.html</x:v>
      </x:c>
      <x:c r="S242" t="str">
        <x:v>Hà Nội</x:v>
      </x:c>
      <x:c r="T242" t="str">
        <x:v>01</x:v>
      </x:c>
    </x:row>
    <x:row r="243">
      <x:c r="A243" t="n">
        <x:v>242</x:v>
      </x:c>
      <x:c r="B243" s="330"/>
      <x:c r="C243" s="330" t="n">
        <x:v>46155</x:v>
      </x:c>
      <x:c r="D243" t="n">
        <x:v>2022</x:v>
      </x:c>
      <x:c r="E243"/>
      <x:c r="F243" t="str">
        <x:v>12774/22/CBMP-HN</x:v>
      </x:c>
      <x:c r="G243"/>
      <x:c r="H243" t="str">
        <x:v>Serum Oral Cleaning</x:v>
      </x:c>
      <x:c r="I243"/>
      <x:c r="J243" t="str">
        <x:v>Serum/Essence da</x:v>
      </x:c>
      <x:c r="K243"/>
      <x:c r="L243" t="str">
        <x:v>Công ty TNHH đầu tư và thương mại PA</x:v>
      </x:c>
      <x:c r="M243"/>
      <x:c r="N243" t="str">
        <x:v>Công ty TNHH mỹ phẩm Việt Hương</x:v>
      </x:c>
      <x:c r="O243" t="str">
        <x:v>Đình chỉ lưu hành, thu hồi và tiêu hủy – Công văn 1772/QLD-MP</x:v>
      </x:c>
      <x:c r="P243" t="str">
        <x:v>A++ – Cục Quản lý Dược; tổ chức chịu trách nhiệm explicit</x:v>
      </x:c>
      <x:c r="Q243" t="str">
        <x:v>Phụ lục 511 sản phẩm, STT 169, trang 7. Công ty Việt Hương là cơ sở sản xuất; cột tổ chức chịu trách nhiệm lấy nguyên văn từ phụ lục.</x:v>
      </x:c>
      <x:c r="R243" t="str">
        <x:v>https://dav.gov.vn/cong-van-so-1772qld-mp-ve-viec-dinh-chi-luu-hanh-thu-hoi-va-tieu-huy-my-pham-vi-pham-cong-ty-tnhh-my-pham-viet-huong-n5334.html</x:v>
      </x:c>
      <x:c r="S243" t="str">
        <x:v>Hà Nội</x:v>
      </x:c>
      <x:c r="T243" t="str">
        <x:v>01</x:v>
      </x:c>
    </x:row>
    <x:row r="244">
      <x:c r="A244" t="n">
        <x:v>243</x:v>
      </x:c>
      <x:c r="B244" s="330"/>
      <x:c r="C244" s="330" t="n">
        <x:v>46155</x:v>
      </x:c>
      <x:c r="D244" t="n">
        <x:v>2022</x:v>
      </x:c>
      <x:c r="E244"/>
      <x:c r="F244" t="str">
        <x:v>12775/22/CBMP-HN</x:v>
      </x:c>
      <x:c r="G244"/>
      <x:c r="H244" t="str">
        <x:v>Anti-Odor Serum For Body</x:v>
      </x:c>
      <x:c r="I244"/>
      <x:c r="J244" t="str">
        <x:v>Serum/Essence da</x:v>
      </x:c>
      <x:c r="K244"/>
      <x:c r="L244" t="str">
        <x:v>Công ty TNHH đầu tư và thương mại PA</x:v>
      </x:c>
      <x:c r="M244"/>
      <x:c r="N244" t="str">
        <x:v>Công ty TNHH mỹ phẩm Việt Hương</x:v>
      </x:c>
      <x:c r="O244" t="str">
        <x:v>Đình chỉ lưu hành, thu hồi và tiêu hủy – Công văn 1772/QLD-MP</x:v>
      </x:c>
      <x:c r="P244" t="str">
        <x:v>A++ – Cục Quản lý Dược; tổ chức chịu trách nhiệm explicit</x:v>
      </x:c>
      <x:c r="Q244" t="str">
        <x:v>Phụ lục 511 sản phẩm, STT 170, trang 7. Công ty Việt Hương là cơ sở sản xuất; cột tổ chức chịu trách nhiệm lấy nguyên văn từ phụ lục.</x:v>
      </x:c>
      <x:c r="R244" t="str">
        <x:v>https://dav.gov.vn/cong-van-so-1772qld-mp-ve-viec-dinh-chi-luu-hanh-thu-hoi-va-tieu-huy-my-pham-vi-pham-cong-ty-tnhh-my-pham-viet-huong-n5334.html</x:v>
      </x:c>
      <x:c r="S244" t="str">
        <x:v>Hà Nội</x:v>
      </x:c>
      <x:c r="T244" t="str">
        <x:v>01</x:v>
      </x:c>
    </x:row>
    <x:row r="245">
      <x:c r="A245" t="n">
        <x:v>244</x:v>
      </x:c>
      <x:c r="B245" s="330"/>
      <x:c r="C245" s="330" t="n">
        <x:v>46155</x:v>
      </x:c>
      <x:c r="D245" t="n">
        <x:v>2022</x:v>
      </x:c>
      <x:c r="E245"/>
      <x:c r="F245" t="str">
        <x:v>12777/22/CBMP-HN</x:v>
      </x:c>
      <x:c r="G245"/>
      <x:c r="H245" t="str">
        <x:v>Mặt nạ Sữa Tảo Hana</x:v>
      </x:c>
      <x:c r="I245"/>
      <x:c r="J245" t="str">
        <x:v>Mặt nạ</x:v>
      </x:c>
      <x:c r="K245"/>
      <x:c r="L245" t="str">
        <x:v>Công ty TNHH thương mại Hana Cosmetics</x:v>
      </x:c>
      <x:c r="M245"/>
      <x:c r="N245" t="str">
        <x:v>Công ty TNHH mỹ phẩm Việt Hương</x:v>
      </x:c>
      <x:c r="O245" t="str">
        <x:v>Đình chỉ lưu hành, thu hồi và tiêu hủy – Công văn 1772/QLD-MP</x:v>
      </x:c>
      <x:c r="P245" t="str">
        <x:v>A++ – Cục Quản lý Dược; tổ chức chịu trách nhiệm explicit</x:v>
      </x:c>
      <x:c r="Q245" t="str">
        <x:v>Phụ lục 511 sản phẩm, STT 171, trang 7. Công ty Việt Hương là cơ sở sản xuất; cột tổ chức chịu trách nhiệm lấy nguyên văn từ phụ lục.</x:v>
      </x:c>
      <x:c r="R245" t="str">
        <x:v>https://dav.gov.vn/cong-van-so-1772qld-mp-ve-viec-dinh-chi-luu-hanh-thu-hoi-va-tieu-huy-my-pham-vi-pham-cong-ty-tnhh-my-pham-viet-huong-n5334.html</x:v>
      </x:c>
      <x:c r="S245" t="str">
        <x:v>Hà Nội</x:v>
      </x:c>
      <x:c r="T245" t="str">
        <x:v>01</x:v>
      </x:c>
    </x:row>
    <x:row r="246">
      <x:c r="A246" t="n">
        <x:v>245</x:v>
      </x:c>
      <x:c r="B246" s="330"/>
      <x:c r="C246" s="330" t="n">
        <x:v>46155</x:v>
      </x:c>
      <x:c r="D246" t="n">
        <x:v>2022</x:v>
      </x:c>
      <x:c r="E246"/>
      <x:c r="F246" t="str">
        <x:v>12827/22/CBMP-HN</x:v>
      </x:c>
      <x:c r="G246"/>
      <x:c r="H246" t="str">
        <x:v>Natural Whitening Cream</x:v>
      </x:c>
      <x:c r="I246"/>
      <x:c r="J246" t="str">
        <x:v>Kem dưỡng da</x:v>
      </x:c>
      <x:c r="K246"/>
      <x:c r="L246" t="str">
        <x:v>Công ty TNHH quốc tế Mercury</x:v>
      </x:c>
      <x:c r="M246"/>
      <x:c r="N246" t="str">
        <x:v>Công ty TNHH mỹ phẩm Việt Hương</x:v>
      </x:c>
      <x:c r="O246" t="str">
        <x:v>Đình chỉ lưu hành, thu hồi và tiêu hủy – Công văn 1772/QLD-MP</x:v>
      </x:c>
      <x:c r="P246" t="str">
        <x:v>A++ – Cục Quản lý Dược; tổ chức chịu trách nhiệm explicit</x:v>
      </x:c>
      <x:c r="Q246" t="str">
        <x:v>Phụ lục 511 sản phẩm, STT 172, trang 7. Công ty Việt Hương là cơ sở sản xuất; cột tổ chức chịu trách nhiệm lấy nguyên văn từ phụ lục.</x:v>
      </x:c>
      <x:c r="R246" t="str">
        <x:v>https://dav.gov.vn/cong-van-so-1772qld-mp-ve-viec-dinh-chi-luu-hanh-thu-hoi-va-tieu-huy-my-pham-vi-pham-cong-ty-tnhh-my-pham-viet-huong-n5334.html</x:v>
      </x:c>
      <x:c r="S246" t="str">
        <x:v>Hà Nội</x:v>
      </x:c>
      <x:c r="T246" t="str">
        <x:v>01</x:v>
      </x:c>
    </x:row>
    <x:row r="247">
      <x:c r="A247" t="n">
        <x:v>246</x:v>
      </x:c>
      <x:c r="B247" s="330"/>
      <x:c r="C247" s="330" t="n">
        <x:v>46155</x:v>
      </x:c>
      <x:c r="D247" t="n">
        <x:v>2022</x:v>
      </x:c>
      <x:c r="E247"/>
      <x:c r="F247" t="str">
        <x:v>13027/22/CBMP-HN</x:v>
      </x:c>
      <x:c r="G247"/>
      <x:c r="H247" t="str">
        <x:v>Feminine Hygiene Solution</x:v>
      </x:c>
      <x:c r="I247"/>
      <x:c r="J247" t="str">
        <x:v>Dung dịch vệ sinh</x:v>
      </x:c>
      <x:c r="K247"/>
      <x:c r="L247" t="str">
        <x:v>Công ty TNHH Mitudo Việt Nam</x:v>
      </x:c>
      <x:c r="M247"/>
      <x:c r="N247" t="str">
        <x:v>Công ty TNHH mỹ phẩm Việt Hương</x:v>
      </x:c>
      <x:c r="O247" t="str">
        <x:v>Đình chỉ lưu hành, thu hồi và tiêu hủy – Công văn 1772/QLD-MP</x:v>
      </x:c>
      <x:c r="P247" t="str">
        <x:v>A++ – Cục Quản lý Dược; tổ chức chịu trách nhiệm explicit</x:v>
      </x:c>
      <x:c r="Q247" t="str">
        <x:v>Phụ lục 511 sản phẩm, STT 173, trang 7. Công ty Việt Hương là cơ sở sản xuất; cột tổ chức chịu trách nhiệm lấy nguyên văn từ phụ lục.</x:v>
      </x:c>
      <x:c r="R247" t="str">
        <x:v>https://dav.gov.vn/cong-van-so-1772qld-mp-ve-viec-dinh-chi-luu-hanh-thu-hoi-va-tieu-huy-my-pham-vi-pham-cong-ty-tnhh-my-pham-viet-huong-n5334.html</x:v>
      </x:c>
      <x:c r="S247" t="str">
        <x:v>Hà Nội</x:v>
      </x:c>
      <x:c r="T247" t="str">
        <x:v>01</x:v>
      </x:c>
    </x:row>
    <x:row r="248">
      <x:c r="A248" t="n">
        <x:v>247</x:v>
      </x:c>
      <x:c r="B248" s="330"/>
      <x:c r="C248" s="330" t="n">
        <x:v>46155</x:v>
      </x:c>
      <x:c r="D248" t="n">
        <x:v>2022</x:v>
      </x:c>
      <x:c r="E248"/>
      <x:c r="F248" t="str">
        <x:v>13134/22/CBMP-HN</x:v>
      </x:c>
      <x:c r="G248"/>
      <x:c r="H248" t="str">
        <x:v>Senshe</x:v>
      </x:c>
      <x:c r="I248"/>
      <x:c r="J248" t="str">
        <x:v>Khác</x:v>
      </x:c>
      <x:c r="K248"/>
      <x:c r="L248" t="str">
        <x:v>Công ty TNHH Mitudo Việt Nam</x:v>
      </x:c>
      <x:c r="M248"/>
      <x:c r="N248" t="str">
        <x:v>Công ty TNHH mỹ phẩm Việt Hương</x:v>
      </x:c>
      <x:c r="O248" t="str">
        <x:v>Đình chỉ lưu hành, thu hồi và tiêu hủy – Công văn 1772/QLD-MP</x:v>
      </x:c>
      <x:c r="P248" t="str">
        <x:v>A++ – Cục Quản lý Dược; tổ chức chịu trách nhiệm explicit</x:v>
      </x:c>
      <x:c r="Q248" t="str">
        <x:v>Phụ lục 511 sản phẩm, STT 174, trang 7. Công ty Việt Hương là cơ sở sản xuất; cột tổ chức chịu trách nhiệm lấy nguyên văn từ phụ lục.</x:v>
      </x:c>
      <x:c r="R248" t="str">
        <x:v>https://dav.gov.vn/cong-van-so-1772qld-mp-ve-viec-dinh-chi-luu-hanh-thu-hoi-va-tieu-huy-my-pham-vi-pham-cong-ty-tnhh-my-pham-viet-huong-n5334.html</x:v>
      </x:c>
      <x:c r="S248" t="str">
        <x:v>Hà Nội</x:v>
      </x:c>
      <x:c r="T248" t="str">
        <x:v>01</x:v>
      </x:c>
    </x:row>
    <x:row r="249">
      <x:c r="A249" t="n">
        <x:v>248</x:v>
      </x:c>
      <x:c r="B249" s="330"/>
      <x:c r="C249" s="330" t="n">
        <x:v>46155</x:v>
      </x:c>
      <x:c r="D249" t="n">
        <x:v>2022</x:v>
      </x:c>
      <x:c r="E249"/>
      <x:c r="F249" t="str">
        <x:v>13959/22/CBMP-HN</x:v>
      </x:c>
      <x:c r="G249"/>
      <x:c r="H249" t="str">
        <x:v>Senshe</x:v>
      </x:c>
      <x:c r="I249"/>
      <x:c r="J249" t="str">
        <x:v>Khác</x:v>
      </x:c>
      <x:c r="K249"/>
      <x:c r="L249" t="str">
        <x:v>Công ty TNHH Mitudo Việt Nam</x:v>
      </x:c>
      <x:c r="M249"/>
      <x:c r="N249" t="str">
        <x:v>Công ty TNHH mỹ phẩm Việt Hương</x:v>
      </x:c>
      <x:c r="O249" t="str">
        <x:v>Đình chỉ lưu hành, thu hồi và tiêu hủy – Công văn 1772/QLD-MP</x:v>
      </x:c>
      <x:c r="P249" t="str">
        <x:v>A++ – Cục Quản lý Dược; tổ chức chịu trách nhiệm explicit</x:v>
      </x:c>
      <x:c r="Q249" t="str">
        <x:v>Phụ lục 511 sản phẩm, STT 175, trang 7. Công ty Việt Hương là cơ sở sản xuất; cột tổ chức chịu trách nhiệm lấy nguyên văn từ phụ lục.</x:v>
      </x:c>
      <x:c r="R249" t="str">
        <x:v>https://dav.gov.vn/cong-van-so-1772qld-mp-ve-viec-dinh-chi-luu-hanh-thu-hoi-va-tieu-huy-my-pham-vi-pham-cong-ty-tnhh-my-pham-viet-huong-n5334.html</x:v>
      </x:c>
      <x:c r="S249" t="str">
        <x:v>Hà Nội</x:v>
      </x:c>
      <x:c r="T249" t="str">
        <x:v>01</x:v>
      </x:c>
    </x:row>
    <x:row r="250">
      <x:c r="A250" t="n">
        <x:v>249</x:v>
      </x:c>
      <x:c r="B250" s="330"/>
      <x:c r="C250" s="330" t="n">
        <x:v>46155</x:v>
      </x:c>
      <x:c r="D250" t="n">
        <x:v>2022</x:v>
      </x:c>
      <x:c r="E250"/>
      <x:c r="F250" t="str">
        <x:v>13066/22/CBMP-HN</x:v>
      </x:c>
      <x:c r="G250"/>
      <x:c r="H250" t="str">
        <x:v>Hôi nách Mộc Tâm</x:v>
      </x:c>
      <x:c r="I250"/>
      <x:c r="J250" t="str">
        <x:v>Khử mùi</x:v>
      </x:c>
      <x:c r="K250"/>
      <x:c r="L250" t="str">
        <x:v>Công ty TNHH Dược mỹ phẩm quốc tế Onaga</x:v>
      </x:c>
      <x:c r="M250"/>
      <x:c r="N250" t="str">
        <x:v>Công ty TNHH mỹ phẩm Việt Hương</x:v>
      </x:c>
      <x:c r="O250" t="str">
        <x:v>Đình chỉ lưu hành, thu hồi và tiêu hủy – Công văn 1772/QLD-MP</x:v>
      </x:c>
      <x:c r="P250" t="str">
        <x:v>A++ – Cục Quản lý Dược; tổ chức chịu trách nhiệm explicit</x:v>
      </x:c>
      <x:c r="Q250" t="str">
        <x:v>Phụ lục 511 sản phẩm, STT 176, trang 7. Công ty Việt Hương là cơ sở sản xuất; cột tổ chức chịu trách nhiệm lấy nguyên văn từ phụ lục.</x:v>
      </x:c>
      <x:c r="R250" t="str">
        <x:v>https://dav.gov.vn/cong-van-so-1772qld-mp-ve-viec-dinh-chi-luu-hanh-thu-hoi-va-tieu-huy-my-pham-vi-pham-cong-ty-tnhh-my-pham-viet-huong-n5334.html</x:v>
      </x:c>
      <x:c r="S250" t="str">
        <x:v>Hà Nội</x:v>
      </x:c>
      <x:c r="T250" t="str">
        <x:v>01</x:v>
      </x:c>
    </x:row>
    <x:row r="251">
      <x:c r="A251" t="n">
        <x:v>250</x:v>
      </x:c>
      <x:c r="B251" s="330"/>
      <x:c r="C251" s="330" t="n">
        <x:v>46155</x:v>
      </x:c>
      <x:c r="D251" t="n">
        <x:v>2022</x:v>
      </x:c>
      <x:c r="E251"/>
      <x:c r="F251" t="str">
        <x:v>13253/22/CBMP-HN</x:v>
      </x:c>
      <x:c r="G251"/>
      <x:c r="H251" t="str">
        <x:v>Skin Protection</x:v>
      </x:c>
      <x:c r="I251"/>
      <x:c r="J251" t="str">
        <x:v>Khác</x:v>
      </x:c>
      <x:c r="K251"/>
      <x:c r="L251" t="str">
        <x:v>Công ty TNHH Dược mỹ phẩm quốc tế Onaga</x:v>
      </x:c>
      <x:c r="M251"/>
      <x:c r="N251" t="str">
        <x:v>Công ty TNHH mỹ phẩm Việt Hương</x:v>
      </x:c>
      <x:c r="O251" t="str">
        <x:v>Đình chỉ lưu hành, thu hồi và tiêu hủy – Công văn 1772/QLD-MP</x:v>
      </x:c>
      <x:c r="P251" t="str">
        <x:v>A++ – Cục Quản lý Dược; tổ chức chịu trách nhiệm explicit</x:v>
      </x:c>
      <x:c r="Q251" t="str">
        <x:v>Phụ lục 511 sản phẩm, STT 177, trang 7. Công ty Việt Hương là cơ sở sản xuất; cột tổ chức chịu trách nhiệm lấy nguyên văn từ phụ lục.</x:v>
      </x:c>
      <x:c r="R251" t="str">
        <x:v>https://dav.gov.vn/cong-van-so-1772qld-mp-ve-viec-dinh-chi-luu-hanh-thu-hoi-va-tieu-huy-my-pham-vi-pham-cong-ty-tnhh-my-pham-viet-huong-n5334.html</x:v>
      </x:c>
      <x:c r="S251" t="str">
        <x:v>Hà Nội</x:v>
      </x:c>
      <x:c r="T251" t="str">
        <x:v>01</x:v>
      </x:c>
    </x:row>
    <x:row r="252">
      <x:c r="A252" t="n">
        <x:v>251</x:v>
      </x:c>
      <x:c r="B252" s="330"/>
      <x:c r="C252" s="330" t="n">
        <x:v>46155</x:v>
      </x:c>
      <x:c r="D252" t="n">
        <x:v>2022</x:v>
      </x:c>
      <x:c r="E252"/>
      <x:c r="F252" t="str">
        <x:v>13380/22/CBMP-HN</x:v>
      </x:c>
      <x:c r="G252"/>
      <x:c r="H252" t="str">
        <x:v>Kem Face đêm</x:v>
      </x:c>
      <x:c r="I252"/>
      <x:c r="J252" t="str">
        <x:v>Khác</x:v>
      </x:c>
      <x:c r="K252"/>
      <x:c r="L252" t="str">
        <x:v>Công ty TNHH Dược mỹ phẩm quốc tế Onaga</x:v>
      </x:c>
      <x:c r="M252"/>
      <x:c r="N252" t="str">
        <x:v>Công ty TNHH mỹ phẩm Việt Hương</x:v>
      </x:c>
      <x:c r="O252" t="str">
        <x:v>Đình chỉ lưu hành, thu hồi và tiêu hủy – Công văn 1772/QLD-MP</x:v>
      </x:c>
      <x:c r="P252" t="str">
        <x:v>A++ – Cục Quản lý Dược; tổ chức chịu trách nhiệm explicit</x:v>
      </x:c>
      <x:c r="Q252" t="str">
        <x:v>Phụ lục 511 sản phẩm, STT 178, trang 7. Công ty Việt Hương là cơ sở sản xuất; cột tổ chức chịu trách nhiệm lấy nguyên văn từ phụ lục.</x:v>
      </x:c>
      <x:c r="R252" t="str">
        <x:v>https://dav.gov.vn/cong-van-so-1772qld-mp-ve-viec-dinh-chi-luu-hanh-thu-hoi-va-tieu-huy-my-pham-vi-pham-cong-ty-tnhh-my-pham-viet-huong-n5334.html</x:v>
      </x:c>
      <x:c r="S252" t="str">
        <x:v>Hà Nội</x:v>
      </x:c>
      <x:c r="T252" t="str">
        <x:v>01</x:v>
      </x:c>
    </x:row>
    <x:row r="253">
      <x:c r="A253" t="n">
        <x:v>252</x:v>
      </x:c>
      <x:c r="B253" s="330"/>
      <x:c r="C253" s="330" t="n">
        <x:v>46155</x:v>
      </x:c>
      <x:c r="D253" t="n">
        <x:v>2022</x:v>
      </x:c>
      <x:c r="E253"/>
      <x:c r="F253" t="str">
        <x:v>13252/22/CBMP-HN</x:v>
      </x:c>
      <x:c r="G253"/>
      <x:c r="H253" t="str">
        <x:v>Kem Face ngày</x:v>
      </x:c>
      <x:c r="I253"/>
      <x:c r="J253" t="str">
        <x:v>Khác</x:v>
      </x:c>
      <x:c r="K253"/>
      <x:c r="L253" t="str">
        <x:v>Công ty TNHH Dược mỹ phẩm quốc tế Onaga</x:v>
      </x:c>
      <x:c r="M253"/>
      <x:c r="N253" t="str">
        <x:v>Công ty TNHH mỹ phẩm Việt Hương</x:v>
      </x:c>
      <x:c r="O253" t="str">
        <x:v>Đình chỉ lưu hành, thu hồi và tiêu hủy – Công văn 1772/QLD-MP</x:v>
      </x:c>
      <x:c r="P253" t="str">
        <x:v>A++ – Cục Quản lý Dược; tổ chức chịu trách nhiệm explicit</x:v>
      </x:c>
      <x:c r="Q253" t="str">
        <x:v>Phụ lục 511 sản phẩm, STT 179, trang 7. Công ty Việt Hương là cơ sở sản xuất; cột tổ chức chịu trách nhiệm lấy nguyên văn từ phụ lục.</x:v>
      </x:c>
      <x:c r="R253" t="str">
        <x:v>https://dav.gov.vn/cong-van-so-1772qld-mp-ve-viec-dinh-chi-luu-hanh-thu-hoi-va-tieu-huy-my-pham-vi-pham-cong-ty-tnhh-my-pham-viet-huong-n5334.html</x:v>
      </x:c>
      <x:c r="S253" t="str">
        <x:v>Hà Nội</x:v>
      </x:c>
      <x:c r="T253" t="str">
        <x:v>01</x:v>
      </x:c>
    </x:row>
    <x:row r="254">
      <x:c r="A254" t="n">
        <x:v>253</x:v>
      </x:c>
      <x:c r="B254" s="330"/>
      <x:c r="C254" s="330" t="n">
        <x:v>46155</x:v>
      </x:c>
      <x:c r="D254" t="n">
        <x:v>2022</x:v>
      </x:c>
      <x:c r="E254"/>
      <x:c r="F254" t="str">
        <x:v>13067/22/CBMP-HN</x:v>
      </x:c>
      <x:c r="G254"/>
      <x:c r="H254" t="str">
        <x:v>Armpit Serum</x:v>
      </x:c>
      <x:c r="I254"/>
      <x:c r="J254" t="str">
        <x:v>Serum/Essence da</x:v>
      </x:c>
      <x:c r="K254"/>
      <x:c r="L254" t="str">
        <x:v>Công ty TNHH thương mại dịch vụ Go.Era</x:v>
      </x:c>
      <x:c r="M254"/>
      <x:c r="N254" t="str">
        <x:v>Công ty TNHH mỹ phẩm Việt Hương</x:v>
      </x:c>
      <x:c r="O254" t="str">
        <x:v>Đình chỉ lưu hành, thu hồi và tiêu hủy – Công văn 1772/QLD-MP</x:v>
      </x:c>
      <x:c r="P254" t="str">
        <x:v>A++ – Cục Quản lý Dược; tổ chức chịu trách nhiệm explicit</x:v>
      </x:c>
      <x:c r="Q254" t="str">
        <x:v>Phụ lục 511 sản phẩm, STT 180, trang 7. Công ty Việt Hương là cơ sở sản xuất; cột tổ chức chịu trách nhiệm lấy nguyên văn từ phụ lục.</x:v>
      </x:c>
      <x:c r="R254" t="str">
        <x:v>https://dav.gov.vn/cong-van-so-1772qld-mp-ve-viec-dinh-chi-luu-hanh-thu-hoi-va-tieu-huy-my-pham-vi-pham-cong-ty-tnhh-my-pham-viet-huong-n5334.html</x:v>
      </x:c>
      <x:c r="S254" t="str">
        <x:v>Hà Nội</x:v>
      </x:c>
      <x:c r="T254" t="str">
        <x:v>01</x:v>
      </x:c>
    </x:row>
    <x:row r="255">
      <x:c r="A255" t="n">
        <x:v>254</x:v>
      </x:c>
      <x:c r="B255" s="330"/>
      <x:c r="C255" s="330" t="n">
        <x:v>46155</x:v>
      </x:c>
      <x:c r="D255" t="n">
        <x:v>2022</x:v>
      </x:c>
      <x:c r="E255"/>
      <x:c r="F255" t="str">
        <x:v>13068/22/CBMP-HN</x:v>
      </x:c>
      <x:c r="G255"/>
      <x:c r="H255" t="str">
        <x:v>Hôi nách Thảo Mộc Xanh</x:v>
      </x:c>
      <x:c r="I255"/>
      <x:c r="J255" t="str">
        <x:v>Khử mùi</x:v>
      </x:c>
      <x:c r="K255"/>
      <x:c r="L255" t="str">
        <x:v>Công ty cổ phần tinh dầu và hương liệu Family</x:v>
      </x:c>
      <x:c r="M255"/>
      <x:c r="N255" t="str">
        <x:v>Công ty TNHH mỹ phẩm Việt Hương</x:v>
      </x:c>
      <x:c r="O255" t="str">
        <x:v>Đình chỉ lưu hành, thu hồi và tiêu hủy – Công văn 1772/QLD-MP</x:v>
      </x:c>
      <x:c r="P255" t="str">
        <x:v>A++ – Cục Quản lý Dược; tổ chức chịu trách nhiệm explicit</x:v>
      </x:c>
      <x:c r="Q255" t="str">
        <x:v>Phụ lục 511 sản phẩm, STT 181, trang 8. Công ty Việt Hương là cơ sở sản xuất; cột tổ chức chịu trách nhiệm lấy nguyên văn từ phụ lục.</x:v>
      </x:c>
      <x:c r="R255" t="str">
        <x:v>https://dav.gov.vn/cong-van-so-1772qld-mp-ve-viec-dinh-chi-luu-hanh-thu-hoi-va-tieu-huy-my-pham-vi-pham-cong-ty-tnhh-my-pham-viet-huong-n5334.html</x:v>
      </x:c>
      <x:c r="S255" t="str">
        <x:v>Hà Nội</x:v>
      </x:c>
      <x:c r="T255" t="str">
        <x:v>01</x:v>
      </x:c>
    </x:row>
    <x:row r="256">
      <x:c r="A256" t="n">
        <x:v>255</x:v>
      </x:c>
      <x:c r="B256" s="330"/>
      <x:c r="C256" s="330" t="n">
        <x:v>46155</x:v>
      </x:c>
      <x:c r="D256" t="n">
        <x:v>2022</x:v>
      </x:c>
      <x:c r="E256"/>
      <x:c r="F256" t="str">
        <x:v>14978/22/CBMP-HN</x:v>
      </x:c>
      <x:c r="G256"/>
      <x:c r="H256" t="str">
        <x:v>Mesotherapy Aura</x:v>
      </x:c>
      <x:c r="I256"/>
      <x:c r="J256" t="str">
        <x:v>Khác</x:v>
      </x:c>
      <x:c r="K256"/>
      <x:c r="L256" t="str">
        <x:v>Công ty TNHH xuất nhập khẩu và sản xuất MK</x:v>
      </x:c>
      <x:c r="M256"/>
      <x:c r="N256" t="str">
        <x:v>Công ty TNHH mỹ phẩm Việt Hương</x:v>
      </x:c>
      <x:c r="O256" t="str">
        <x:v>Đình chỉ lưu hành, thu hồi và tiêu hủy – Công văn 1772/QLD-MP</x:v>
      </x:c>
      <x:c r="P256" t="str">
        <x:v>A++ – Cục Quản lý Dược; tổ chức chịu trách nhiệm explicit</x:v>
      </x:c>
      <x:c r="Q256" t="str">
        <x:v>Phụ lục 511 sản phẩm, STT 182, trang 8. Công ty Việt Hương là cơ sở sản xuất; cột tổ chức chịu trách nhiệm lấy nguyên văn từ phụ lục.</x:v>
      </x:c>
      <x:c r="R256" t="str">
        <x:v>https://dav.gov.vn/cong-van-so-1772qld-mp-ve-viec-dinh-chi-luu-hanh-thu-hoi-va-tieu-huy-my-pham-vi-pham-cong-ty-tnhh-my-pham-viet-huong-n5334.html</x:v>
      </x:c>
      <x:c r="S256" t="str">
        <x:v>Hà Nội</x:v>
      </x:c>
      <x:c r="T256" t="str">
        <x:v>01</x:v>
      </x:c>
    </x:row>
    <x:row r="257">
      <x:c r="A257" t="n">
        <x:v>256</x:v>
      </x:c>
      <x:c r="B257" s="330"/>
      <x:c r="C257" s="330" t="n">
        <x:v>46155</x:v>
      </x:c>
      <x:c r="D257" t="n">
        <x:v>2023</x:v>
      </x:c>
      <x:c r="E257"/>
      <x:c r="F257" t="str">
        <x:v>15271/23/CBMP-HN</x:v>
      </x:c>
      <x:c r="G257"/>
      <x:c r="H257" t="str">
        <x:v>MK Skin Recovery Cream</x:v>
      </x:c>
      <x:c r="I257"/>
      <x:c r="J257" t="str">
        <x:v>Kem dưỡng da</x:v>
      </x:c>
      <x:c r="K257"/>
      <x:c r="L257" t="str">
        <x:v>Công ty TNHH xuất nhập khẩu và sản xuất MK</x:v>
      </x:c>
      <x:c r="M257"/>
      <x:c r="N257" t="str">
        <x:v>Công ty TNHH mỹ phẩm Việt Hương</x:v>
      </x:c>
      <x:c r="O257" t="str">
        <x:v>Đình chỉ lưu hành, thu hồi và tiêu hủy – Công văn 1772/QLD-MP</x:v>
      </x:c>
      <x:c r="P257" t="str">
        <x:v>A++ – Cục Quản lý Dược; tổ chức chịu trách nhiệm explicit</x:v>
      </x:c>
      <x:c r="Q257" t="str">
        <x:v>Phụ lục 511 sản phẩm, STT 183, trang 8. Công ty Việt Hương là cơ sở sản xuất; cột tổ chức chịu trách nhiệm lấy nguyên văn từ phụ lục.</x:v>
      </x:c>
      <x:c r="R257" t="str">
        <x:v>https://dav.gov.vn/cong-van-so-1772qld-mp-ve-viec-dinh-chi-luu-hanh-thu-hoi-va-tieu-huy-my-pham-vi-pham-cong-ty-tnhh-my-pham-viet-huong-n5334.html</x:v>
      </x:c>
      <x:c r="S257" t="str">
        <x:v>Hà Nội</x:v>
      </x:c>
      <x:c r="T257" t="str">
        <x:v>01</x:v>
      </x:c>
    </x:row>
    <x:row r="258">
      <x:c r="A258" t="n">
        <x:v>257</x:v>
      </x:c>
      <x:c r="B258" s="330"/>
      <x:c r="C258" s="330" t="n">
        <x:v>46155</x:v>
      </x:c>
      <x:c r="D258" t="n">
        <x:v>2023</x:v>
      </x:c>
      <x:c r="E258"/>
      <x:c r="F258" t="str">
        <x:v>15272/23/CBMP-HN</x:v>
      </x:c>
      <x:c r="G258"/>
      <x:c r="H258" t="str">
        <x:v>MK Spot Essence</x:v>
      </x:c>
      <x:c r="I258"/>
      <x:c r="J258" t="str">
        <x:v>Serum/Essence da</x:v>
      </x:c>
      <x:c r="K258"/>
      <x:c r="L258" t="str">
        <x:v>Công ty TNHH xuất nhập khẩu và sản xuất MK</x:v>
      </x:c>
      <x:c r="M258"/>
      <x:c r="N258" t="str">
        <x:v>Công ty TNHH mỹ phẩm Việt Hương</x:v>
      </x:c>
      <x:c r="O258" t="str">
        <x:v>Đình chỉ lưu hành, thu hồi và tiêu hủy – Công văn 1772/QLD-MP</x:v>
      </x:c>
      <x:c r="P258" t="str">
        <x:v>A++ – Cục Quản lý Dược; tổ chức chịu trách nhiệm explicit</x:v>
      </x:c>
      <x:c r="Q258" t="str">
        <x:v>Phụ lục 511 sản phẩm, STT 184, trang 8. Công ty Việt Hương là cơ sở sản xuất; cột tổ chức chịu trách nhiệm lấy nguyên văn từ phụ lục.</x:v>
      </x:c>
      <x:c r="R258" t="str">
        <x:v>https://dav.gov.vn/cong-van-so-1772qld-mp-ve-viec-dinh-chi-luu-hanh-thu-hoi-va-tieu-huy-my-pham-vi-pham-cong-ty-tnhh-my-pham-viet-huong-n5334.html</x:v>
      </x:c>
      <x:c r="S258" t="str">
        <x:v>Hà Nội</x:v>
      </x:c>
      <x:c r="T258" t="str">
        <x:v>01</x:v>
      </x:c>
    </x:row>
    <x:row r="259">
      <x:c r="A259" t="n">
        <x:v>258</x:v>
      </x:c>
      <x:c r="B259" s="330"/>
      <x:c r="C259" s="330" t="n">
        <x:v>46155</x:v>
      </x:c>
      <x:c r="D259" t="n">
        <x:v>2023</x:v>
      </x:c>
      <x:c r="E259"/>
      <x:c r="F259" t="str">
        <x:v>16268/23/CBMP-HN</x:v>
      </x:c>
      <x:c r="G259"/>
      <x:c r="H259" t="str">
        <x:v>MK Uv Plus</x:v>
      </x:c>
      <x:c r="I259"/>
      <x:c r="J259" t="str">
        <x:v>Khác</x:v>
      </x:c>
      <x:c r="K259"/>
      <x:c r="L259" t="str">
        <x:v>Công ty TNHH xuất nhập khẩu và sản xuất MK</x:v>
      </x:c>
      <x:c r="M259"/>
      <x:c r="N259" t="str">
        <x:v>Công ty TNHH mỹ phẩm Việt Hương</x:v>
      </x:c>
      <x:c r="O259" t="str">
        <x:v>Đình chỉ lưu hành, thu hồi và tiêu hủy – Công văn 1772/QLD-MP</x:v>
      </x:c>
      <x:c r="P259" t="str">
        <x:v>A++ – Cục Quản lý Dược; tổ chức chịu trách nhiệm explicit</x:v>
      </x:c>
      <x:c r="Q259" t="str">
        <x:v>Phụ lục 511 sản phẩm, STT 185, trang 8. Công ty Việt Hương là cơ sở sản xuất; cột tổ chức chịu trách nhiệm lấy nguyên văn từ phụ lục.</x:v>
      </x:c>
      <x:c r="R259" t="str">
        <x:v>https://dav.gov.vn/cong-van-so-1772qld-mp-ve-viec-dinh-chi-luu-hanh-thu-hoi-va-tieu-huy-my-pham-vi-pham-cong-ty-tnhh-my-pham-viet-huong-n5334.html</x:v>
      </x:c>
      <x:c r="S259" t="str">
        <x:v>Hà Nội</x:v>
      </x:c>
      <x:c r="T259" t="str">
        <x:v>01</x:v>
      </x:c>
    </x:row>
    <x:row r="260">
      <x:c r="A260" t="n">
        <x:v>259</x:v>
      </x:c>
      <x:c r="B260" s="330"/>
      <x:c r="C260" s="330" t="n">
        <x:v>46155</x:v>
      </x:c>
      <x:c r="D260" t="n">
        <x:v>2022</x:v>
      </x:c>
      <x:c r="E260"/>
      <x:c r="F260" t="str">
        <x:v>13137/22/CBMP-HN</x:v>
      </x:c>
      <x:c r="G260"/>
      <x:c r="H260" t="str">
        <x:v>Feeling</x:v>
      </x:c>
      <x:c r="I260"/>
      <x:c r="J260" t="str">
        <x:v>Khác</x:v>
      </x:c>
      <x:c r="K260"/>
      <x:c r="L260" t="str">
        <x:v>Công ty TNHH xuất nhập khẩu và sản xuất MK</x:v>
      </x:c>
      <x:c r="M260"/>
      <x:c r="N260" t="str">
        <x:v>Công ty TNHH mỹ phẩm Việt Hương</x:v>
      </x:c>
      <x:c r="O260" t="str">
        <x:v>Đình chỉ lưu hành, thu hồi và tiêu hủy – Công văn 1772/QLD-MP</x:v>
      </x:c>
      <x:c r="P260" t="str">
        <x:v>A++ – Cục Quản lý Dược; tổ chức chịu trách nhiệm explicit</x:v>
      </x:c>
      <x:c r="Q260" t="str">
        <x:v>Phụ lục 511 sản phẩm, STT 186, trang 8. Công ty Việt Hương là cơ sở sản xuất; cột tổ chức chịu trách nhiệm lấy nguyên văn từ phụ lục.</x:v>
      </x:c>
      <x:c r="R260" t="str">
        <x:v>https://dav.gov.vn/cong-van-so-1772qld-mp-ve-viec-dinh-chi-luu-hanh-thu-hoi-va-tieu-huy-my-pham-vi-pham-cong-ty-tnhh-my-pham-viet-huong-n5334.html</x:v>
      </x:c>
      <x:c r="S260" t="str">
        <x:v>Hà Nội</x:v>
      </x:c>
      <x:c r="T260" t="str">
        <x:v>01</x:v>
      </x:c>
    </x:row>
    <x:row r="261">
      <x:c r="A261" t="n">
        <x:v>260</x:v>
      </x:c>
      <x:c r="B261" s="330"/>
      <x:c r="C261" s="330" t="n">
        <x:v>46155</x:v>
      </x:c>
      <x:c r="D261" t="n">
        <x:v>2022</x:v>
      </x:c>
      <x:c r="E261"/>
      <x:c r="F261" t="str">
        <x:v>13838/22/CBMP-HN</x:v>
      </x:c>
      <x:c r="G261"/>
      <x:c r="H261" t="str">
        <x:v>Muki</x:v>
      </x:c>
      <x:c r="I261"/>
      <x:c r="J261" t="str">
        <x:v>Khác</x:v>
      </x:c>
      <x:c r="K261"/>
      <x:c r="L261" t="str">
        <x:v>Công ty TNHH xuất nhập khẩu và sản xuất MK</x:v>
      </x:c>
      <x:c r="M261"/>
      <x:c r="N261" t="str">
        <x:v>Công ty TNHH mỹ phẩm Việt Hương</x:v>
      </x:c>
      <x:c r="O261" t="str">
        <x:v>Đình chỉ lưu hành, thu hồi và tiêu hủy – Công văn 1772/QLD-MP</x:v>
      </x:c>
      <x:c r="P261" t="str">
        <x:v>A++ – Cục Quản lý Dược; tổ chức chịu trách nhiệm explicit</x:v>
      </x:c>
      <x:c r="Q261" t="str">
        <x:v>Phụ lục 511 sản phẩm, STT 187, trang 8. Công ty Việt Hương là cơ sở sản xuất; cột tổ chức chịu trách nhiệm lấy nguyên văn từ phụ lục.</x:v>
      </x:c>
      <x:c r="R261" t="str">
        <x:v>https://dav.gov.vn/cong-van-so-1772qld-mp-ve-viec-dinh-chi-luu-hanh-thu-hoi-va-tieu-huy-my-pham-vi-pham-cong-ty-tnhh-my-pham-viet-huong-n5334.html</x:v>
      </x:c>
      <x:c r="S261" t="str">
        <x:v>Hà Nội</x:v>
      </x:c>
      <x:c r="T261" t="str">
        <x:v>01</x:v>
      </x:c>
    </x:row>
    <x:row r="262">
      <x:c r="A262" t="n">
        <x:v>261</x:v>
      </x:c>
      <x:c r="B262" s="330"/>
      <x:c r="C262" s="330" t="n">
        <x:v>46155</x:v>
      </x:c>
      <x:c r="D262" t="n">
        <x:v>2022</x:v>
      </x:c>
      <x:c r="E262"/>
      <x:c r="F262" t="str">
        <x:v>13138/22/CBMP-HN</x:v>
      </x:c>
      <x:c r="G262"/>
      <x:c r="H262" t="str">
        <x:v>Pink Love</x:v>
      </x:c>
      <x:c r="I262"/>
      <x:c r="J262" t="str">
        <x:v>Khác</x:v>
      </x:c>
      <x:c r="K262"/>
      <x:c r="L262" t="str">
        <x:v>Công ty TNHH thương mại và dịch vụ Ly Ly Lê</x:v>
      </x:c>
      <x:c r="M262"/>
      <x:c r="N262" t="str">
        <x:v>Công ty TNHH mỹ phẩm Việt Hương</x:v>
      </x:c>
      <x:c r="O262" t="str">
        <x:v>Đình chỉ lưu hành, thu hồi và tiêu hủy – Công văn 1772/QLD-MP</x:v>
      </x:c>
      <x:c r="P262" t="str">
        <x:v>A++ – Cục Quản lý Dược; tổ chức chịu trách nhiệm explicit</x:v>
      </x:c>
      <x:c r="Q262" t="str">
        <x:v>Phụ lục 511 sản phẩm, STT 188, trang 8. Công ty Việt Hương là cơ sở sản xuất; cột tổ chức chịu trách nhiệm lấy nguyên văn từ phụ lục.</x:v>
      </x:c>
      <x:c r="R262" t="str">
        <x:v>https://dav.gov.vn/cong-van-so-1772qld-mp-ve-viec-dinh-chi-luu-hanh-thu-hoi-va-tieu-huy-my-pham-vi-pham-cong-ty-tnhh-my-pham-viet-huong-n5334.html</x:v>
      </x:c>
      <x:c r="S262" t="str">
        <x:v>Hà Nội</x:v>
      </x:c>
      <x:c r="T262" t="str">
        <x:v>01</x:v>
      </x:c>
    </x:row>
    <x:row r="263">
      <x:c r="A263" t="n">
        <x:v>262</x:v>
      </x:c>
      <x:c r="B263" s="330"/>
      <x:c r="C263" s="330" t="n">
        <x:v>46155</x:v>
      </x:c>
      <x:c r="D263" t="n">
        <x:v>2022</x:v>
      </x:c>
      <x:c r="E263"/>
      <x:c r="F263" t="str">
        <x:v>13139/22/CBMP-HN</x:v>
      </x:c>
      <x:c r="G263"/>
      <x:c r="H263" t="str">
        <x:v>Summer Love</x:v>
      </x:c>
      <x:c r="I263"/>
      <x:c r="J263" t="str">
        <x:v>Khác</x:v>
      </x:c>
      <x:c r="K263"/>
      <x:c r="L263" t="str">
        <x:v>Công ty TNHH thương mại và dịch vụ Ly Ly Lê</x:v>
      </x:c>
      <x:c r="M263"/>
      <x:c r="N263" t="str">
        <x:v>Công ty TNHH mỹ phẩm Việt Hương</x:v>
      </x:c>
      <x:c r="O263" t="str">
        <x:v>Đình chỉ lưu hành, thu hồi và tiêu hủy – Công văn 1772/QLD-MP</x:v>
      </x:c>
      <x:c r="P263" t="str">
        <x:v>A++ – Cục Quản lý Dược; tổ chức chịu trách nhiệm explicit</x:v>
      </x:c>
      <x:c r="Q263" t="str">
        <x:v>Phụ lục 511 sản phẩm, STT 189, trang 8. Công ty Việt Hương là cơ sở sản xuất; cột tổ chức chịu trách nhiệm lấy nguyên văn từ phụ lục.</x:v>
      </x:c>
      <x:c r="R263" t="str">
        <x:v>https://dav.gov.vn/cong-van-so-1772qld-mp-ve-viec-dinh-chi-luu-hanh-thu-hoi-va-tieu-huy-my-pham-vi-pham-cong-ty-tnhh-my-pham-viet-huong-n5334.html</x:v>
      </x:c>
      <x:c r="S263" t="str">
        <x:v>Hà Nội</x:v>
      </x:c>
      <x:c r="T263" t="str">
        <x:v>01</x:v>
      </x:c>
    </x:row>
    <x:row r="264">
      <x:c r="A264" t="n">
        <x:v>263</x:v>
      </x:c>
      <x:c r="B264" s="330"/>
      <x:c r="C264" s="330" t="n">
        <x:v>46155</x:v>
      </x:c>
      <x:c r="D264" t="n">
        <x:v>2022</x:v>
      </x:c>
      <x:c r="E264"/>
      <x:c r="F264" t="str">
        <x:v>13140/22/CBMP-HN</x:v>
      </x:c>
      <x:c r="G264"/>
      <x:c r="H264" t="str">
        <x:v>Perfect Sun Cream</x:v>
      </x:c>
      <x:c r="I264"/>
      <x:c r="J264" t="str">
        <x:v>Kem chống nắng</x:v>
      </x:c>
      <x:c r="K264"/>
      <x:c r="L264" t="str">
        <x:v>Công ty TNHH đầu tư quốc tế HQ Global Việt Nam</x:v>
      </x:c>
      <x:c r="M264"/>
      <x:c r="N264" t="str">
        <x:v>Công ty TNHH mỹ phẩm Việt Hương</x:v>
      </x:c>
      <x:c r="O264" t="str">
        <x:v>Đình chỉ lưu hành, thu hồi và tiêu hủy – Công văn 1772/QLD-MP</x:v>
      </x:c>
      <x:c r="P264" t="str">
        <x:v>A++ – Cục Quản lý Dược; tổ chức chịu trách nhiệm explicit</x:v>
      </x:c>
      <x:c r="Q264" t="str">
        <x:v>Phụ lục 511 sản phẩm, STT 190, trang 8. Công ty Việt Hương là cơ sở sản xuất; cột tổ chức chịu trách nhiệm lấy nguyên văn từ phụ lục.</x:v>
      </x:c>
      <x:c r="R264" t="str">
        <x:v>https://dav.gov.vn/cong-van-so-1772qld-mp-ve-viec-dinh-chi-luu-hanh-thu-hoi-va-tieu-huy-my-pham-vi-pham-cong-ty-tnhh-my-pham-viet-huong-n5334.html</x:v>
      </x:c>
      <x:c r="S264" t="str">
        <x:v>Hà Nội</x:v>
      </x:c>
      <x:c r="T264" t="str">
        <x:v>01</x:v>
      </x:c>
    </x:row>
    <x:row r="265">
      <x:c r="A265" t="n">
        <x:v>264</x:v>
      </x:c>
      <x:c r="B265" s="330"/>
      <x:c r="C265" s="330" t="n">
        <x:v>46155</x:v>
      </x:c>
      <x:c r="D265" t="n">
        <x:v>2022</x:v>
      </x:c>
      <x:c r="E265"/>
      <x:c r="F265" t="str">
        <x:v>13141/22/CBMP-HN</x:v>
      </x:c>
      <x:c r="G265"/>
      <x:c r="H265" t="str">
        <x:v>Perfect Body Lotion</x:v>
      </x:c>
      <x:c r="I265"/>
      <x:c r="J265" t="str">
        <x:v>Kem body</x:v>
      </x:c>
      <x:c r="K265"/>
      <x:c r="L265" t="str">
        <x:v>Công ty TNHH đầu tư quốc tế HQ Global Việt Nam</x:v>
      </x:c>
      <x:c r="M265"/>
      <x:c r="N265" t="str">
        <x:v>Công ty TNHH mỹ phẩm Việt Hương</x:v>
      </x:c>
      <x:c r="O265" t="str">
        <x:v>Đình chỉ lưu hành, thu hồi và tiêu hủy – Công văn 1772/QLD-MP</x:v>
      </x:c>
      <x:c r="P265" t="str">
        <x:v>A++ – Cục Quản lý Dược; tổ chức chịu trách nhiệm explicit</x:v>
      </x:c>
      <x:c r="Q265" t="str">
        <x:v>Phụ lục 511 sản phẩm, STT 191, trang 8. Công ty Việt Hương là cơ sở sản xuất; cột tổ chức chịu trách nhiệm lấy nguyên văn từ phụ lục.</x:v>
      </x:c>
      <x:c r="R265" t="str">
        <x:v>https://dav.gov.vn/cong-van-so-1772qld-mp-ve-viec-dinh-chi-luu-hanh-thu-hoi-va-tieu-huy-my-pham-vi-pham-cong-ty-tnhh-my-pham-viet-huong-n5334.html</x:v>
      </x:c>
      <x:c r="S265" t="str">
        <x:v>Hà Nội</x:v>
      </x:c>
      <x:c r="T265" t="str">
        <x:v>01</x:v>
      </x:c>
    </x:row>
    <x:row r="266">
      <x:c r="A266" t="n">
        <x:v>265</x:v>
      </x:c>
      <x:c r="B266" s="330"/>
      <x:c r="C266" s="330" t="n">
        <x:v>46155</x:v>
      </x:c>
      <x:c r="D266" t="n">
        <x:v>2022</x:v>
      </x:c>
      <x:c r="E266"/>
      <x:c r="F266" t="str">
        <x:v>13249/22/CBMP-HN</x:v>
      </x:c>
      <x:c r="G266"/>
      <x:c r="H266" t="str">
        <x:v>Dầu gội Hà Thủ Ô</x:v>
      </x:c>
      <x:c r="I266"/>
      <x:c r="J266" t="str">
        <x:v>Dầu gội</x:v>
      </x:c>
      <x:c r="K266"/>
      <x:c r="L266" t="str">
        <x:v>Công ty TNHH đào tạo và phát triển Spa Miền Nam</x:v>
      </x:c>
      <x:c r="M266"/>
      <x:c r="N266" t="str">
        <x:v>Công ty TNHH mỹ phẩm Việt Hương</x:v>
      </x:c>
      <x:c r="O266" t="str">
        <x:v>Đình chỉ lưu hành, thu hồi và tiêu hủy – Công văn 1772/QLD-MP</x:v>
      </x:c>
      <x:c r="P266" t="str">
        <x:v>A++ – Cục Quản lý Dược; tổ chức chịu trách nhiệm explicit</x:v>
      </x:c>
      <x:c r="Q266" t="str">
        <x:v>Phụ lục 511 sản phẩm, STT 192, trang 8. Công ty Việt Hương là cơ sở sản xuất; cột tổ chức chịu trách nhiệm lấy nguyên văn từ phụ lục.</x:v>
      </x:c>
      <x:c r="R266" t="str">
        <x:v>https://dav.gov.vn/cong-van-so-1772qld-mp-ve-viec-dinh-chi-luu-hanh-thu-hoi-va-tieu-huy-my-pham-vi-pham-cong-ty-tnhh-my-pham-viet-huong-n5334.html</x:v>
      </x:c>
      <x:c r="S266" t="str">
        <x:v>Hà Nội</x:v>
      </x:c>
      <x:c r="T266" t="str">
        <x:v>01</x:v>
      </x:c>
    </x:row>
    <x:row r="267">
      <x:c r="A267" t="n">
        <x:v>266</x:v>
      </x:c>
      <x:c r="B267" s="330"/>
      <x:c r="C267" s="330" t="n">
        <x:v>46155</x:v>
      </x:c>
      <x:c r="D267" t="n">
        <x:v>2022</x:v>
      </x:c>
      <x:c r="E267"/>
      <x:c r="F267" t="str">
        <x:v>13383/22/CBMP-HN</x:v>
      </x:c>
      <x:c r="G267"/>
      <x:c r="H267" t="str">
        <x:v>Intimate Perfume</x:v>
      </x:c>
      <x:c r="I267"/>
      <x:c r="J267" t="str">
        <x:v>Nước hoa</x:v>
      </x:c>
      <x:c r="K267"/>
      <x:c r="L267" t="str">
        <x:v>Công ty TNHH Reviewty</x:v>
      </x:c>
      <x:c r="M267"/>
      <x:c r="N267" t="str">
        <x:v>Công ty TNHH mỹ phẩm Việt Hương</x:v>
      </x:c>
      <x:c r="O267" t="str">
        <x:v>Đình chỉ lưu hành, thu hồi và tiêu hủy – Công văn 1772/QLD-MP</x:v>
      </x:c>
      <x:c r="P267" t="str">
        <x:v>A++ – Cục Quản lý Dược; tổ chức chịu trách nhiệm explicit</x:v>
      </x:c>
      <x:c r="Q267" t="str">
        <x:v>Phụ lục 511 sản phẩm, STT 193, trang 8. Công ty Việt Hương là cơ sở sản xuất; cột tổ chức chịu trách nhiệm lấy nguyên văn từ phụ lục.</x:v>
      </x:c>
      <x:c r="R267" t="str">
        <x:v>https://dav.gov.vn/cong-van-so-1772qld-mp-ve-viec-dinh-chi-luu-hanh-thu-hoi-va-tieu-huy-my-pham-vi-pham-cong-ty-tnhh-my-pham-viet-huong-n5334.html</x:v>
      </x:c>
      <x:c r="S267" t="str">
        <x:v>Hà Nội</x:v>
      </x:c>
      <x:c r="T267" t="str">
        <x:v>01</x:v>
      </x:c>
    </x:row>
    <x:row r="268">
      <x:c r="A268" t="n">
        <x:v>267</x:v>
      </x:c>
      <x:c r="B268" s="330"/>
      <x:c r="C268" s="330" t="n">
        <x:v>46155</x:v>
      </x:c>
      <x:c r="D268" t="n">
        <x:v>2022</x:v>
      </x:c>
      <x:c r="E268"/>
      <x:c r="F268" t="str">
        <x:v>13486/22/CBMP-HN</x:v>
      </x:c>
      <x:c r="G268"/>
      <x:c r="H268" t="str">
        <x:v>Muối tắm</x:v>
      </x:c>
      <x:c r="I268"/>
      <x:c r="J268" t="str">
        <x:v>Khác</x:v>
      </x:c>
      <x:c r="K268"/>
      <x:c r="L268" t="str">
        <x:v>Công ty TNHH thương mại DLC</x:v>
      </x:c>
      <x:c r="M268"/>
      <x:c r="N268" t="str">
        <x:v>Công ty TNHH mỹ phẩm Việt Hương</x:v>
      </x:c>
      <x:c r="O268" t="str">
        <x:v>Đình chỉ lưu hành, thu hồi và tiêu hủy – Công văn 1772/QLD-MP</x:v>
      </x:c>
      <x:c r="P268" t="str">
        <x:v>A++ – Cục Quản lý Dược; tổ chức chịu trách nhiệm explicit</x:v>
      </x:c>
      <x:c r="Q268" t="str">
        <x:v>Phụ lục 511 sản phẩm, STT 194, trang 8. Công ty Việt Hương là cơ sở sản xuất; cột tổ chức chịu trách nhiệm lấy nguyên văn từ phụ lục.</x:v>
      </x:c>
      <x:c r="R268" t="str">
        <x:v>https://dav.gov.vn/cong-van-so-1772qld-mp-ve-viec-dinh-chi-luu-hanh-thu-hoi-va-tieu-huy-my-pham-vi-pham-cong-ty-tnhh-my-pham-viet-huong-n5334.html</x:v>
      </x:c>
      <x:c r="S268" t="str">
        <x:v>Hà Nội</x:v>
      </x:c>
      <x:c r="T268" t="str">
        <x:v>01</x:v>
      </x:c>
    </x:row>
    <x:row r="269">
      <x:c r="A269" t="n">
        <x:v>268</x:v>
      </x:c>
      <x:c r="B269" s="330"/>
      <x:c r="C269" s="330" t="n">
        <x:v>46155</x:v>
      </x:c>
      <x:c r="D269" t="n">
        <x:v>2022</x:v>
      </x:c>
      <x:c r="E269"/>
      <x:c r="F269" t="str">
        <x:v>13601/22/CBMP-HN</x:v>
      </x:c>
      <x:c r="G269"/>
      <x:c r="H269" t="str">
        <x:v>Revive Day Cream</x:v>
      </x:c>
      <x:c r="I269"/>
      <x:c r="J269" t="str">
        <x:v>Kem dưỡng da</x:v>
      </x:c>
      <x:c r="K269"/>
      <x:c r="L269" t="str">
        <x:v>Công ty TNHH Organic DTL Việt Nam</x:v>
      </x:c>
      <x:c r="M269"/>
      <x:c r="N269" t="str">
        <x:v>Công ty TNHH mỹ phẩm Việt Hương</x:v>
      </x:c>
      <x:c r="O269" t="str">
        <x:v>Đình chỉ lưu hành, thu hồi và tiêu hủy – Công văn 1772/QLD-MP</x:v>
      </x:c>
      <x:c r="P269" t="str">
        <x:v>A++ – Cục Quản lý Dược; tổ chức chịu trách nhiệm explicit</x:v>
      </x:c>
      <x:c r="Q269" t="str">
        <x:v>Phụ lục 511 sản phẩm, STT 195, trang 8. Công ty Việt Hương là cơ sở sản xuất; cột tổ chức chịu trách nhiệm lấy nguyên văn từ phụ lục.</x:v>
      </x:c>
      <x:c r="R269" t="str">
        <x:v>https://dav.gov.vn/cong-van-so-1772qld-mp-ve-viec-dinh-chi-luu-hanh-thu-hoi-va-tieu-huy-my-pham-vi-pham-cong-ty-tnhh-my-pham-viet-huong-n5334.html</x:v>
      </x:c>
      <x:c r="S269" t="str">
        <x:v>Hà Nội</x:v>
      </x:c>
      <x:c r="T269" t="str">
        <x:v>01</x:v>
      </x:c>
    </x:row>
    <x:row r="270">
      <x:c r="A270" t="n">
        <x:v>269</x:v>
      </x:c>
      <x:c r="B270" s="330"/>
      <x:c r="C270" s="330" t="n">
        <x:v>46155</x:v>
      </x:c>
      <x:c r="D270" t="n">
        <x:v>2022</x:v>
      </x:c>
      <x:c r="E270"/>
      <x:c r="F270" t="str">
        <x:v>13730/22/CBMP-HN</x:v>
      </x:c>
      <x:c r="G270"/>
      <x:c r="H270" t="str">
        <x:v>Revive Collagen Mask</x:v>
      </x:c>
      <x:c r="I270"/>
      <x:c r="J270" t="str">
        <x:v>Mặt nạ</x:v>
      </x:c>
      <x:c r="K270"/>
      <x:c r="L270" t="str">
        <x:v>Công ty TNHH Organic DTL Việt Nam</x:v>
      </x:c>
      <x:c r="M270"/>
      <x:c r="N270" t="str">
        <x:v>Công ty TNHH mỹ phẩm Việt Hương</x:v>
      </x:c>
      <x:c r="O270" t="str">
        <x:v>Đình chỉ lưu hành, thu hồi và tiêu hủy – Công văn 1772/QLD-MP</x:v>
      </x:c>
      <x:c r="P270" t="str">
        <x:v>A++ – Cục Quản lý Dược; tổ chức chịu trách nhiệm explicit</x:v>
      </x:c>
      <x:c r="Q270" t="str">
        <x:v>Phụ lục 511 sản phẩm, STT 196, trang 8. Công ty Việt Hương là cơ sở sản xuất; cột tổ chức chịu trách nhiệm lấy nguyên văn từ phụ lục.</x:v>
      </x:c>
      <x:c r="R270" t="str">
        <x:v>https://dav.gov.vn/cong-van-so-1772qld-mp-ve-viec-dinh-chi-luu-hanh-thu-hoi-va-tieu-huy-my-pham-vi-pham-cong-ty-tnhh-my-pham-viet-huong-n5334.html</x:v>
      </x:c>
      <x:c r="S270" t="str">
        <x:v>Hà Nội</x:v>
      </x:c>
      <x:c r="T270" t="str">
        <x:v>01</x:v>
      </x:c>
    </x:row>
    <x:row r="271">
      <x:c r="A271" t="n">
        <x:v>270</x:v>
      </x:c>
      <x:c r="B271" s="330"/>
      <x:c r="C271" s="330" t="n">
        <x:v>46155</x:v>
      </x:c>
      <x:c r="D271" t="n">
        <x:v>2022</x:v>
      </x:c>
      <x:c r="E271"/>
      <x:c r="F271" t="str">
        <x:v>13731/22/CBMP-HN</x:v>
      </x:c>
      <x:c r="G271"/>
      <x:c r="H271" t="str">
        <x:v>Revive Collagen Serum</x:v>
      </x:c>
      <x:c r="I271"/>
      <x:c r="J271" t="str">
        <x:v>Serum/Essence da</x:v>
      </x:c>
      <x:c r="K271"/>
      <x:c r="L271" t="str">
        <x:v>Công ty TNHH Organic DTL Việt Nam</x:v>
      </x:c>
      <x:c r="M271"/>
      <x:c r="N271" t="str">
        <x:v>Công ty TNHH mỹ phẩm Việt Hương</x:v>
      </x:c>
      <x:c r="O271" t="str">
        <x:v>Đình chỉ lưu hành, thu hồi và tiêu hủy – Công văn 1772/QLD-MP</x:v>
      </x:c>
      <x:c r="P271" t="str">
        <x:v>A++ – Cục Quản lý Dược; tổ chức chịu trách nhiệm explicit</x:v>
      </x:c>
      <x:c r="Q271" t="str">
        <x:v>Phụ lục 511 sản phẩm, STT 197, trang 8. Công ty Việt Hương là cơ sở sản xuất; cột tổ chức chịu trách nhiệm lấy nguyên văn từ phụ lục.</x:v>
      </x:c>
      <x:c r="R271" t="str">
        <x:v>https://dav.gov.vn/cong-van-so-1772qld-mp-ve-viec-dinh-chi-luu-hanh-thu-hoi-va-tieu-huy-my-pham-vi-pham-cong-ty-tnhh-my-pham-viet-huong-n5334.html</x:v>
      </x:c>
      <x:c r="S271" t="str">
        <x:v>Hà Nội</x:v>
      </x:c>
      <x:c r="T271" t="str">
        <x:v>01</x:v>
      </x:c>
    </x:row>
    <x:row r="272">
      <x:c r="A272" t="n">
        <x:v>271</x:v>
      </x:c>
      <x:c r="B272" s="330"/>
      <x:c r="C272" s="330" t="n">
        <x:v>46155</x:v>
      </x:c>
      <x:c r="D272" t="n">
        <x:v>2022</x:v>
      </x:c>
      <x:c r="E272"/>
      <x:c r="F272" t="str">
        <x:v>14176/22/CBMP-HN</x:v>
      </x:c>
      <x:c r="G272"/>
      <x:c r="H272" t="str">
        <x:v>Revive Collagen Cleanser</x:v>
      </x:c>
      <x:c r="I272"/>
      <x:c r="J272" t="str">
        <x:v>Sữa rửa mặt</x:v>
      </x:c>
      <x:c r="K272"/>
      <x:c r="L272" t="str">
        <x:v>Công ty TNHH Organic DTL Việt Nam</x:v>
      </x:c>
      <x:c r="M272"/>
      <x:c r="N272" t="str">
        <x:v>Công ty TNHH mỹ phẩm Việt Hương</x:v>
      </x:c>
      <x:c r="O272" t="str">
        <x:v>Đình chỉ lưu hành, thu hồi và tiêu hủy – Công văn 1772/QLD-MP</x:v>
      </x:c>
      <x:c r="P272" t="str">
        <x:v>A++ – Cục Quản lý Dược; tổ chức chịu trách nhiệm explicit</x:v>
      </x:c>
      <x:c r="Q272" t="str">
        <x:v>Phụ lục 511 sản phẩm, STT 198, trang 8. Công ty Việt Hương là cơ sở sản xuất; cột tổ chức chịu trách nhiệm lấy nguyên văn từ phụ lục.</x:v>
      </x:c>
      <x:c r="R272" t="str">
        <x:v>https://dav.gov.vn/cong-van-so-1772qld-mp-ve-viec-dinh-chi-luu-hanh-thu-hoi-va-tieu-huy-my-pham-vi-pham-cong-ty-tnhh-my-pham-viet-huong-n5334.html</x:v>
      </x:c>
      <x:c r="S272" t="str">
        <x:v>Hà Nội</x:v>
      </x:c>
      <x:c r="T272" t="str">
        <x:v>01</x:v>
      </x:c>
    </x:row>
    <x:row r="273">
      <x:c r="A273" t="n">
        <x:v>272</x:v>
      </x:c>
      <x:c r="B273" s="330"/>
      <x:c r="C273" s="330" t="n">
        <x:v>46155</x:v>
      </x:c>
      <x:c r="D273" t="n">
        <x:v>2022</x:v>
      </x:c>
      <x:c r="E273"/>
      <x:c r="F273" t="str">
        <x:v>14177/22/CBMP-HN</x:v>
      </x:c>
      <x:c r="G273"/>
      <x:c r="H273" t="str">
        <x:v>Revive Night Cream</x:v>
      </x:c>
      <x:c r="I273"/>
      <x:c r="J273" t="str">
        <x:v>Kem dưỡng da</x:v>
      </x:c>
      <x:c r="K273"/>
      <x:c r="L273" t="str">
        <x:v>Công ty TNHH Organic DTL Việt Nam</x:v>
      </x:c>
      <x:c r="M273"/>
      <x:c r="N273" t="str">
        <x:v>Công ty TNHH mỹ phẩm Việt Hương</x:v>
      </x:c>
      <x:c r="O273" t="str">
        <x:v>Đình chỉ lưu hành, thu hồi và tiêu hủy – Công văn 1772/QLD-MP</x:v>
      </x:c>
      <x:c r="P273" t="str">
        <x:v>A++ – Cục Quản lý Dược; tổ chức chịu trách nhiệm explicit</x:v>
      </x:c>
      <x:c r="Q273" t="str">
        <x:v>Phụ lục 511 sản phẩm, STT 199, trang 8. Công ty Việt Hương là cơ sở sản xuất; cột tổ chức chịu trách nhiệm lấy nguyên văn từ phụ lục.</x:v>
      </x:c>
      <x:c r="R273" t="str">
        <x:v>https://dav.gov.vn/cong-van-so-1772qld-mp-ve-viec-dinh-chi-luu-hanh-thu-hoi-va-tieu-huy-my-pham-vi-pham-cong-ty-tnhh-my-pham-viet-huong-n5334.html</x:v>
      </x:c>
      <x:c r="S273" t="str">
        <x:v>Hà Nội</x:v>
      </x:c>
      <x:c r="T273" t="str">
        <x:v>01</x:v>
      </x:c>
    </x:row>
    <x:row r="274">
      <x:c r="A274" t="n">
        <x:v>273</x:v>
      </x:c>
      <x:c r="B274" s="330"/>
      <x:c r="C274" s="330" t="n">
        <x:v>46155</x:v>
      </x:c>
      <x:c r="D274" t="n">
        <x:v>2022</x:v>
      </x:c>
      <x:c r="E274"/>
      <x:c r="F274" t="str">
        <x:v>14178/22/CBMP-HN</x:v>
      </x:c>
      <x:c r="G274"/>
      <x:c r="H274" t="str">
        <x:v>Revive Coffee Scrub</x:v>
      </x:c>
      <x:c r="I274"/>
      <x:c r="J274" t="str">
        <x:v>Khác</x:v>
      </x:c>
      <x:c r="K274"/>
      <x:c r="L274" t="str">
        <x:v>Công ty TNHH Organic DTL Việt Nam</x:v>
      </x:c>
      <x:c r="M274"/>
      <x:c r="N274" t="str">
        <x:v>Công ty TNHH mỹ phẩm Việt Hương</x:v>
      </x:c>
      <x:c r="O274" t="str">
        <x:v>Đình chỉ lưu hành, thu hồi và tiêu hủy – Công văn 1772/QLD-MP</x:v>
      </x:c>
      <x:c r="P274" t="str">
        <x:v>A++ – Cục Quản lý Dược; tổ chức chịu trách nhiệm explicit</x:v>
      </x:c>
      <x:c r="Q274" t="str">
        <x:v>Phụ lục 511 sản phẩm, STT 200, trang 8. Công ty Việt Hương là cơ sở sản xuất; cột tổ chức chịu trách nhiệm lấy nguyên văn từ phụ lục.</x:v>
      </x:c>
      <x:c r="R274" t="str">
        <x:v>https://dav.gov.vn/cong-van-so-1772qld-mp-ve-viec-dinh-chi-luu-hanh-thu-hoi-va-tieu-huy-my-pham-vi-pham-cong-ty-tnhh-my-pham-viet-huong-n5334.html</x:v>
      </x:c>
      <x:c r="S274" t="str">
        <x:v>Hà Nội</x:v>
      </x:c>
      <x:c r="T274" t="str">
        <x:v>01</x:v>
      </x:c>
    </x:row>
    <x:row r="275">
      <x:c r="A275" t="n">
        <x:v>274</x:v>
      </x:c>
      <x:c r="B275" s="330"/>
      <x:c r="C275" s="330" t="n">
        <x:v>46155</x:v>
      </x:c>
      <x:c r="D275" t="n">
        <x:v>2023</x:v>
      </x:c>
      <x:c r="E275"/>
      <x:c r="F275" t="str">
        <x:v>16185/23/CBMP-HN</x:v>
      </x:c>
      <x:c r="G275"/>
      <x:c r="H275" t="str">
        <x:v>Revive Centella Makeup Remover</x:v>
      </x:c>
      <x:c r="I275"/>
      <x:c r="J275" t="str">
        <x:v>Tẩy trang</x:v>
      </x:c>
      <x:c r="K275"/>
      <x:c r="L275" t="str">
        <x:v>Công ty TNHH Organic DTL Việt Nam</x:v>
      </x:c>
      <x:c r="M275"/>
      <x:c r="N275" t="str">
        <x:v>Công ty TNHH mỹ phẩm Việt Hương</x:v>
      </x:c>
      <x:c r="O275" t="str">
        <x:v>Đình chỉ lưu hành, thu hồi và tiêu hủy – Công văn 1772/QLD-MP</x:v>
      </x:c>
      <x:c r="P275" t="str">
        <x:v>A++ – Cục Quản lý Dược; tổ chức chịu trách nhiệm explicit</x:v>
      </x:c>
      <x:c r="Q275" t="str">
        <x:v>Phụ lục 511 sản phẩm, STT 201, trang 8. Công ty Việt Hương là cơ sở sản xuất; cột tổ chức chịu trách nhiệm lấy nguyên văn từ phụ lục.</x:v>
      </x:c>
      <x:c r="R275" t="str">
        <x:v>https://dav.gov.vn/cong-van-so-1772qld-mp-ve-viec-dinh-chi-luu-hanh-thu-hoi-va-tieu-huy-my-pham-vi-pham-cong-ty-tnhh-my-pham-viet-huong-n5334.html</x:v>
      </x:c>
      <x:c r="S275" t="str">
        <x:v>Hà Nội</x:v>
      </x:c>
      <x:c r="T275" t="str">
        <x:v>01</x:v>
      </x:c>
    </x:row>
    <x:row r="276">
      <x:c r="A276" t="n">
        <x:v>275</x:v>
      </x:c>
      <x:c r="B276" s="330"/>
      <x:c r="C276" s="330" t="n">
        <x:v>46155</x:v>
      </x:c>
      <x:c r="D276" t="n">
        <x:v>2022</x:v>
      </x:c>
      <x:c r="E276"/>
      <x:c r="F276" t="str">
        <x:v>13602/22/CBMP-HN</x:v>
      </x:c>
      <x:c r="G276"/>
      <x:c r="H276" t="str">
        <x:v>Fresh 18</x:v>
      </x:c>
      <x:c r="I276"/>
      <x:c r="J276" t="str">
        <x:v>Khác</x:v>
      </x:c>
      <x:c r="K276"/>
      <x:c r="L276" t="str">
        <x:v>Công ty TNHH thương mại và dịch vụ Vitalight</x:v>
      </x:c>
      <x:c r="M276"/>
      <x:c r="N276" t="str">
        <x:v>Công ty TNHH mỹ phẩm Việt Hương</x:v>
      </x:c>
      <x:c r="O276" t="str">
        <x:v>Đình chỉ lưu hành, thu hồi và tiêu hủy – Công văn 1772/QLD-MP</x:v>
      </x:c>
      <x:c r="P276" t="str">
        <x:v>A++ – Cục Quản lý Dược; tổ chức chịu trách nhiệm explicit</x:v>
      </x:c>
      <x:c r="Q276" t="str">
        <x:v>Phụ lục 511 sản phẩm, STT 202, trang 8. Công ty Việt Hương là cơ sở sản xuất; cột tổ chức chịu trách nhiệm lấy nguyên văn từ phụ lục.</x:v>
      </x:c>
      <x:c r="R276" t="str">
        <x:v>https://dav.gov.vn/cong-van-so-1772qld-mp-ve-viec-dinh-chi-luu-hanh-thu-hoi-va-tieu-huy-my-pham-vi-pham-cong-ty-tnhh-my-pham-viet-huong-n5334.html</x:v>
      </x:c>
      <x:c r="S276" t="str">
        <x:v>Hà Nội</x:v>
      </x:c>
      <x:c r="T276" t="str">
        <x:v>01</x:v>
      </x:c>
    </x:row>
    <x:row r="277">
      <x:c r="A277" t="n">
        <x:v>276</x:v>
      </x:c>
      <x:c r="B277" s="330"/>
      <x:c r="C277" s="330" t="n">
        <x:v>46155</x:v>
      </x:c>
      <x:c r="D277" t="n">
        <x:v>2022</x:v>
      </x:c>
      <x:c r="E277"/>
      <x:c r="F277" t="str">
        <x:v>13603/22/CBMP-HN</x:v>
      </x:c>
      <x:c r="G277"/>
      <x:c r="H277" t="str">
        <x:v>Goodgirl-Glamor</x:v>
      </x:c>
      <x:c r="I277"/>
      <x:c r="J277" t="str">
        <x:v>Khác</x:v>
      </x:c>
      <x:c r="K277"/>
      <x:c r="L277" t="str">
        <x:v>Công ty TNHH thương mại và dịch vụ Vitalight</x:v>
      </x:c>
      <x:c r="M277"/>
      <x:c r="N277" t="str">
        <x:v>Công ty TNHH mỹ phẩm Việt Hương</x:v>
      </x:c>
      <x:c r="O277" t="str">
        <x:v>Đình chỉ lưu hành, thu hồi và tiêu hủy – Công văn 1772/QLD-MP</x:v>
      </x:c>
      <x:c r="P277" t="str">
        <x:v>A++ – Cục Quản lý Dược; tổ chức chịu trách nhiệm explicit</x:v>
      </x:c>
      <x:c r="Q277" t="str">
        <x:v>Phụ lục 511 sản phẩm, STT 203, trang 8. Công ty Việt Hương là cơ sở sản xuất; cột tổ chức chịu trách nhiệm lấy nguyên văn từ phụ lục.</x:v>
      </x:c>
      <x:c r="R277" t="str">
        <x:v>https://dav.gov.vn/cong-van-so-1772qld-mp-ve-viec-dinh-chi-luu-hanh-thu-hoi-va-tieu-huy-my-pham-vi-pham-cong-ty-tnhh-my-pham-viet-huong-n5334.html</x:v>
      </x:c>
      <x:c r="S277" t="str">
        <x:v>Hà Nội</x:v>
      </x:c>
      <x:c r="T277" t="str">
        <x:v>01</x:v>
      </x:c>
    </x:row>
    <x:row r="278">
      <x:c r="A278" t="n">
        <x:v>277</x:v>
      </x:c>
      <x:c r="B278" s="330"/>
      <x:c r="C278" s="330" t="n">
        <x:v>46155</x:v>
      </x:c>
      <x:c r="D278" t="n">
        <x:v>2022</x:v>
      </x:c>
      <x:c r="E278"/>
      <x:c r="F278" t="str">
        <x:v>13604/22/CBMP-HN</x:v>
      </x:c>
      <x:c r="G278"/>
      <x:c r="H278" t="str">
        <x:v>Scandal In Paris</x:v>
      </x:c>
      <x:c r="I278"/>
      <x:c r="J278" t="str">
        <x:v>Khác</x:v>
      </x:c>
      <x:c r="K278"/>
      <x:c r="L278" t="str">
        <x:v>Công ty TNHH thương mại và dịch vụ Vitalight</x:v>
      </x:c>
      <x:c r="M278"/>
      <x:c r="N278" t="str">
        <x:v>Công ty TNHH mỹ phẩm Việt Hương</x:v>
      </x:c>
      <x:c r="O278" t="str">
        <x:v>Đình chỉ lưu hành, thu hồi và tiêu hủy – Công văn 1772/QLD-MP</x:v>
      </x:c>
      <x:c r="P278" t="str">
        <x:v>A++ – Cục Quản lý Dược; tổ chức chịu trách nhiệm explicit</x:v>
      </x:c>
      <x:c r="Q278" t="str">
        <x:v>Phụ lục 511 sản phẩm, STT 204, trang 8. Công ty Việt Hương là cơ sở sản xuất; cột tổ chức chịu trách nhiệm lấy nguyên văn từ phụ lục.</x:v>
      </x:c>
      <x:c r="R278" t="str">
        <x:v>https://dav.gov.vn/cong-van-so-1772qld-mp-ve-viec-dinh-chi-luu-hanh-thu-hoi-va-tieu-huy-my-pham-vi-pham-cong-ty-tnhh-my-pham-viet-huong-n5334.html</x:v>
      </x:c>
      <x:c r="S278" t="str">
        <x:v>Hà Nội</x:v>
      </x:c>
      <x:c r="T278" t="str">
        <x:v>01</x:v>
      </x:c>
    </x:row>
    <x:row r="279">
      <x:c r="A279" t="n">
        <x:v>278</x:v>
      </x:c>
      <x:c r="B279" s="330"/>
      <x:c r="C279" s="330" t="n">
        <x:v>46155</x:v>
      </x:c>
      <x:c r="D279" t="n">
        <x:v>2022</x:v>
      </x:c>
      <x:c r="E279"/>
      <x:c r="F279" t="str">
        <x:v>13605/22/CBMP-HN</x:v>
      </x:c>
      <x:c r="G279"/>
      <x:c r="H279" t="str">
        <x:v>Bleu Man</x:v>
      </x:c>
      <x:c r="I279"/>
      <x:c r="J279" t="str">
        <x:v>Khác</x:v>
      </x:c>
      <x:c r="K279"/>
      <x:c r="L279" t="str">
        <x:v>Công ty TNHH thương mại và dịch vụ Vitalight</x:v>
      </x:c>
      <x:c r="M279"/>
      <x:c r="N279" t="str">
        <x:v>Công ty TNHH mỹ phẩm Việt Hương</x:v>
      </x:c>
      <x:c r="O279" t="str">
        <x:v>Đình chỉ lưu hành, thu hồi và tiêu hủy – Công văn 1772/QLD-MP</x:v>
      </x:c>
      <x:c r="P279" t="str">
        <x:v>A++ – Cục Quản lý Dược; tổ chức chịu trách nhiệm explicit</x:v>
      </x:c>
      <x:c r="Q279" t="str">
        <x:v>Phụ lục 511 sản phẩm, STT 205, trang 8. Công ty Việt Hương là cơ sở sản xuất; cột tổ chức chịu trách nhiệm lấy nguyên văn từ phụ lục.</x:v>
      </x:c>
      <x:c r="R279" t="str">
        <x:v>https://dav.gov.vn/cong-van-so-1772qld-mp-ve-viec-dinh-chi-luu-hanh-thu-hoi-va-tieu-huy-my-pham-vi-pham-cong-ty-tnhh-my-pham-viet-huong-n5334.html</x:v>
      </x:c>
      <x:c r="S279" t="str">
        <x:v>Hà Nội</x:v>
      </x:c>
      <x:c r="T279" t="str">
        <x:v>01</x:v>
      </x:c>
    </x:row>
    <x:row r="280">
      <x:c r="A280" t="n">
        <x:v>279</x:v>
      </x:c>
      <x:c r="B280" s="330"/>
      <x:c r="C280" s="330" t="n">
        <x:v>46155</x:v>
      </x:c>
      <x:c r="D280" t="n">
        <x:v>2022</x:v>
      </x:c>
      <x:c r="E280"/>
      <x:c r="F280" t="str">
        <x:v>13606/22/CBMP-HN</x:v>
      </x:c>
      <x:c r="G280"/>
      <x:c r="H280" t="str">
        <x:v>Sexy CK</x:v>
      </x:c>
      <x:c r="I280"/>
      <x:c r="J280" t="str">
        <x:v>Khác</x:v>
      </x:c>
      <x:c r="K280"/>
      <x:c r="L280" t="str">
        <x:v>Công ty TNHH thương mại và dịch vụ Vitalight</x:v>
      </x:c>
      <x:c r="M280"/>
      <x:c r="N280" t="str">
        <x:v>Công ty TNHH mỹ phẩm Việt Hương</x:v>
      </x:c>
      <x:c r="O280" t="str">
        <x:v>Đình chỉ lưu hành, thu hồi và tiêu hủy – Công văn 1772/QLD-MP</x:v>
      </x:c>
      <x:c r="P280" t="str">
        <x:v>A++ – Cục Quản lý Dược; tổ chức chịu trách nhiệm explicit</x:v>
      </x:c>
      <x:c r="Q280" t="str">
        <x:v>Phụ lục 511 sản phẩm, STT 206, trang 8. Công ty Việt Hương là cơ sở sản xuất; cột tổ chức chịu trách nhiệm lấy nguyên văn từ phụ lục.</x:v>
      </x:c>
      <x:c r="R280" t="str">
        <x:v>https://dav.gov.vn/cong-van-so-1772qld-mp-ve-viec-dinh-chi-luu-hanh-thu-hoi-va-tieu-huy-my-pham-vi-pham-cong-ty-tnhh-my-pham-viet-huong-n5334.html</x:v>
      </x:c>
      <x:c r="S280" t="str">
        <x:v>Hà Nội</x:v>
      </x:c>
      <x:c r="T280" t="str">
        <x:v>01</x:v>
      </x:c>
    </x:row>
    <x:row r="281">
      <x:c r="A281" t="n">
        <x:v>280</x:v>
      </x:c>
      <x:c r="B281" s="330"/>
      <x:c r="C281" s="330" t="n">
        <x:v>46155</x:v>
      </x:c>
      <x:c r="D281" t="n">
        <x:v>2022</x:v>
      </x:c>
      <x:c r="E281"/>
      <x:c r="F281" t="str">
        <x:v>13607/22/CBMP-HN</x:v>
      </x:c>
      <x:c r="G281"/>
      <x:c r="H281" t="str">
        <x:v>Sweet Angel</x:v>
      </x:c>
      <x:c r="I281"/>
      <x:c r="J281" t="str">
        <x:v>Khác</x:v>
      </x:c>
      <x:c r="K281"/>
      <x:c r="L281" t="str">
        <x:v>Công ty TNHH thương mại và dịch vụ Vitalight</x:v>
      </x:c>
      <x:c r="M281"/>
      <x:c r="N281" t="str">
        <x:v>Công ty TNHH mỹ phẩm Việt Hương</x:v>
      </x:c>
      <x:c r="O281" t="str">
        <x:v>Đình chỉ lưu hành, thu hồi và tiêu hủy – Công văn 1772/QLD-MP</x:v>
      </x:c>
      <x:c r="P281" t="str">
        <x:v>A++ – Cục Quản lý Dược; tổ chức chịu trách nhiệm explicit</x:v>
      </x:c>
      <x:c r="Q281" t="str">
        <x:v>Phụ lục 511 sản phẩm, STT 207, trang 8. Công ty Việt Hương là cơ sở sản xuất; cột tổ chức chịu trách nhiệm lấy nguyên văn từ phụ lục.</x:v>
      </x:c>
      <x:c r="R281" t="str">
        <x:v>https://dav.gov.vn/cong-van-so-1772qld-mp-ve-viec-dinh-chi-luu-hanh-thu-hoi-va-tieu-huy-my-pham-vi-pham-cong-ty-tnhh-my-pham-viet-huong-n5334.html</x:v>
      </x:c>
      <x:c r="S281" t="str">
        <x:v>Hà Nội</x:v>
      </x:c>
      <x:c r="T281" t="str">
        <x:v>01</x:v>
      </x:c>
    </x:row>
    <x:row r="282">
      <x:c r="A282" t="n">
        <x:v>281</x:v>
      </x:c>
      <x:c r="B282" s="330"/>
      <x:c r="C282" s="330" t="n">
        <x:v>46155</x:v>
      </x:c>
      <x:c r="D282" t="n">
        <x:v>2022</x:v>
      </x:c>
      <x:c r="E282"/>
      <x:c r="F282" t="str">
        <x:v>13608/22/CBMP-HN</x:v>
      </x:c>
      <x:c r="G282"/>
      <x:c r="H282" t="str">
        <x:v>Coco Miss</x:v>
      </x:c>
      <x:c r="I282"/>
      <x:c r="J282" t="str">
        <x:v>Khác</x:v>
      </x:c>
      <x:c r="K282"/>
      <x:c r="L282" t="str">
        <x:v>Công ty TNHH thương mại và dịch vụ Vitalight</x:v>
      </x:c>
      <x:c r="M282"/>
      <x:c r="N282" t="str">
        <x:v>Công ty TNHH mỹ phẩm Việt Hương</x:v>
      </x:c>
      <x:c r="O282" t="str">
        <x:v>Đình chỉ lưu hành, thu hồi và tiêu hủy – Công văn 1772/QLD-MP</x:v>
      </x:c>
      <x:c r="P282" t="str">
        <x:v>A++ – Cục Quản lý Dược; tổ chức chịu trách nhiệm explicit</x:v>
      </x:c>
      <x:c r="Q282" t="str">
        <x:v>Phụ lục 511 sản phẩm, STT 208, trang 8. Công ty Việt Hương là cơ sở sản xuất; cột tổ chức chịu trách nhiệm lấy nguyên văn từ phụ lục.</x:v>
      </x:c>
      <x:c r="R282" t="str">
        <x:v>https://dav.gov.vn/cong-van-so-1772qld-mp-ve-viec-dinh-chi-luu-hanh-thu-hoi-va-tieu-huy-my-pham-vi-pham-cong-ty-tnhh-my-pham-viet-huong-n5334.html</x:v>
      </x:c>
      <x:c r="S282" t="str">
        <x:v>Hà Nội</x:v>
      </x:c>
      <x:c r="T282" t="str">
        <x:v>01</x:v>
      </x:c>
    </x:row>
    <x:row r="283">
      <x:c r="A283" t="n">
        <x:v>282</x:v>
      </x:c>
      <x:c r="B283" s="330"/>
      <x:c r="C283" s="330" t="n">
        <x:v>46155</x:v>
      </x:c>
      <x:c r="D283" t="n">
        <x:v>2022</x:v>
      </x:c>
      <x:c r="E283"/>
      <x:c r="F283" t="str">
        <x:v>13609/22/CBMP-HN</x:v>
      </x:c>
      <x:c r="G283"/>
      <x:c r="H283" t="str">
        <x:v>Granactive Retinoid 1%</x:v>
      </x:c>
      <x:c r="I283"/>
      <x:c r="J283" t="str">
        <x:v>Khác</x:v>
      </x:c>
      <x:c r="K283"/>
      <x:c r="L283" t="str">
        <x:v>Công ty TNHH mỹ phẩm Skinlab</x:v>
      </x:c>
      <x:c r="M283"/>
      <x:c r="N283" t="str">
        <x:v>Công ty TNHH mỹ phẩm Việt Hương</x:v>
      </x:c>
      <x:c r="O283" t="str">
        <x:v>Đình chỉ lưu hành, thu hồi và tiêu hủy – Công văn 1772/QLD-MP</x:v>
      </x:c>
      <x:c r="P283" t="str">
        <x:v>A++ – Cục Quản lý Dược; tổ chức chịu trách nhiệm explicit</x:v>
      </x:c>
      <x:c r="Q283" t="str">
        <x:v>Phụ lục 511 sản phẩm, STT 209, trang 8. Công ty Việt Hương là cơ sở sản xuất; cột tổ chức chịu trách nhiệm lấy nguyên văn từ phụ lục.</x:v>
      </x:c>
      <x:c r="R283" t="str">
        <x:v>https://dav.gov.vn/cong-van-so-1772qld-mp-ve-viec-dinh-chi-luu-hanh-thu-hoi-va-tieu-huy-my-pham-vi-pham-cong-ty-tnhh-my-pham-viet-huong-n5334.html</x:v>
      </x:c>
      <x:c r="S283" t="str">
        <x:v>Hà Nội</x:v>
      </x:c>
      <x:c r="T283" t="str">
        <x:v>01</x:v>
      </x:c>
    </x:row>
    <x:row r="284">
      <x:c r="A284" t="n">
        <x:v>283</x:v>
      </x:c>
      <x:c r="B284" s="330"/>
      <x:c r="C284" s="330" t="n">
        <x:v>46155</x:v>
      </x:c>
      <x:c r="D284" t="n">
        <x:v>2022</x:v>
      </x:c>
      <x:c r="E284"/>
      <x:c r="F284" t="str">
        <x:v>13611/22/CBMP-HN</x:v>
      </x:c>
      <x:c r="G284"/>
      <x:c r="H284" t="str">
        <x:v>Slim</x:v>
      </x:c>
      <x:c r="I284"/>
      <x:c r="J284" t="str">
        <x:v>Khác</x:v>
      </x:c>
      <x:c r="K284"/>
      <x:c r="L284" t="str">
        <x:v>Công ty cổ phần thương mại và dịch vụ QPC Teams</x:v>
      </x:c>
      <x:c r="M284"/>
      <x:c r="N284" t="str">
        <x:v>Công ty TNHH mỹ phẩm Việt Hương</x:v>
      </x:c>
      <x:c r="O284" t="str">
        <x:v>Đình chỉ lưu hành, thu hồi và tiêu hủy – Công văn 1772/QLD-MP</x:v>
      </x:c>
      <x:c r="P284" t="str">
        <x:v>A++ – Cục Quản lý Dược; tổ chức chịu trách nhiệm explicit</x:v>
      </x:c>
      <x:c r="Q284" t="str">
        <x:v>Phụ lục 511 sản phẩm, STT 210, trang 8. Công ty Việt Hương là cơ sở sản xuất; cột tổ chức chịu trách nhiệm lấy nguyên văn từ phụ lục.</x:v>
      </x:c>
      <x:c r="R284" t="str">
        <x:v>https://dav.gov.vn/cong-van-so-1772qld-mp-ve-viec-dinh-chi-luu-hanh-thu-hoi-va-tieu-huy-my-pham-vi-pham-cong-ty-tnhh-my-pham-viet-huong-n5334.html</x:v>
      </x:c>
      <x:c r="S284" t="str">
        <x:v>Hà Nội</x:v>
      </x:c>
      <x:c r="T284" t="str">
        <x:v>01</x:v>
      </x:c>
    </x:row>
    <x:row r="285">
      <x:c r="A285" t="n">
        <x:v>284</x:v>
      </x:c>
      <x:c r="B285" s="330"/>
      <x:c r="C285" s="330" t="n">
        <x:v>46155</x:v>
      </x:c>
      <x:c r="D285" t="n">
        <x:v>2022</x:v>
      </x:c>
      <x:c r="E285"/>
      <x:c r="F285" t="str">
        <x:v>13726/22/CBMP-HN</x:v>
      </x:c>
      <x:c r="G285"/>
      <x:c r="H285" t="str">
        <x:v>Coffee Scrub</x:v>
      </x:c>
      <x:c r="I285"/>
      <x:c r="J285" t="str">
        <x:v>Khác</x:v>
      </x:c>
      <x:c r="K285"/>
      <x:c r="L285" t="str">
        <x:v>Công ty TNHH BTB International</x:v>
      </x:c>
      <x:c r="M285"/>
      <x:c r="N285" t="str">
        <x:v>Công ty TNHH mỹ phẩm Việt Hương</x:v>
      </x:c>
      <x:c r="O285" t="str">
        <x:v>Đình chỉ lưu hành, thu hồi và tiêu hủy – Công văn 1772/QLD-MP</x:v>
      </x:c>
      <x:c r="P285" t="str">
        <x:v>A++ – Cục Quản lý Dược; tổ chức chịu trách nhiệm explicit</x:v>
      </x:c>
      <x:c r="Q285" t="str">
        <x:v>Phụ lục 511 sản phẩm, STT 211, trang 8. Công ty Việt Hương là cơ sở sản xuất; cột tổ chức chịu trách nhiệm lấy nguyên văn từ phụ lục.</x:v>
      </x:c>
      <x:c r="R285" t="str">
        <x:v>https://dav.gov.vn/cong-van-so-1772qld-mp-ve-viec-dinh-chi-luu-hanh-thu-hoi-va-tieu-huy-my-pham-vi-pham-cong-ty-tnhh-my-pham-viet-huong-n5334.html</x:v>
      </x:c>
      <x:c r="S285" t="str">
        <x:v>Hà Nội</x:v>
      </x:c>
      <x:c r="T285" t="str">
        <x:v>01</x:v>
      </x:c>
    </x:row>
    <x:row r="286">
      <x:c r="A286" t="n">
        <x:v>285</x:v>
      </x:c>
      <x:c r="B286" s="330"/>
      <x:c r="C286" s="330" t="n">
        <x:v>46155</x:v>
      </x:c>
      <x:c r="D286" t="n">
        <x:v>2022</x:v>
      </x:c>
      <x:c r="E286"/>
      <x:c r="F286" t="str">
        <x:v>13956/22/CBMP-HN</x:v>
      </x:c>
      <x:c r="G286"/>
      <x:c r="H286" t="str">
        <x:v>Trap Girl</x:v>
      </x:c>
      <x:c r="I286"/>
      <x:c r="J286" t="str">
        <x:v>Khác</x:v>
      </x:c>
      <x:c r="K286"/>
      <x:c r="L286" t="str">
        <x:v>Công ty TNHH Global Health Life</x:v>
      </x:c>
      <x:c r="M286"/>
      <x:c r="N286" t="str">
        <x:v>Công ty TNHH mỹ phẩm Việt Hương</x:v>
      </x:c>
      <x:c r="O286" t="str">
        <x:v>Đình chỉ lưu hành, thu hồi và tiêu hủy – Công văn 1772/QLD-MP</x:v>
      </x:c>
      <x:c r="P286" t="str">
        <x:v>A++ – Cục Quản lý Dược; tổ chức chịu trách nhiệm explicit</x:v>
      </x:c>
      <x:c r="Q286" t="str">
        <x:v>Phụ lục 511 sản phẩm, STT 212, trang 8. Công ty Việt Hương là cơ sở sản xuất; cột tổ chức chịu trách nhiệm lấy nguyên văn từ phụ lục.</x:v>
      </x:c>
      <x:c r="R286" t="str">
        <x:v>https://dav.gov.vn/cong-van-so-1772qld-mp-ve-viec-dinh-chi-luu-hanh-thu-hoi-va-tieu-huy-my-pham-vi-pham-cong-ty-tnhh-my-pham-viet-huong-n5334.html</x:v>
      </x:c>
      <x:c r="S286" t="str">
        <x:v>Hà Nội</x:v>
      </x:c>
      <x:c r="T286" t="str">
        <x:v>01</x:v>
      </x:c>
    </x:row>
    <x:row r="287">
      <x:c r="A287" t="n">
        <x:v>286</x:v>
      </x:c>
      <x:c r="B287" s="330"/>
      <x:c r="C287" s="330" t="n">
        <x:v>46155</x:v>
      </x:c>
      <x:c r="D287" t="n">
        <x:v>2022</x:v>
      </x:c>
      <x:c r="E287"/>
      <x:c r="F287" t="str">
        <x:v>14881/22/CBMP-HN</x:v>
      </x:c>
      <x:c r="G287"/>
      <x:c r="H287" t="str">
        <x:v>Body Trap Girl</x:v>
      </x:c>
      <x:c r="I287"/>
      <x:c r="J287" t="str">
        <x:v>Khác</x:v>
      </x:c>
      <x:c r="K287"/>
      <x:c r="L287" t="str">
        <x:v>Công ty TNHH Global Health Life</x:v>
      </x:c>
      <x:c r="M287"/>
      <x:c r="N287" t="str">
        <x:v>Công ty TNHH mỹ phẩm Việt Hương</x:v>
      </x:c>
      <x:c r="O287" t="str">
        <x:v>Đình chỉ lưu hành, thu hồi và tiêu hủy – Công văn 1772/QLD-MP</x:v>
      </x:c>
      <x:c r="P287" t="str">
        <x:v>A++ – Cục Quản lý Dược; tổ chức chịu trách nhiệm explicit</x:v>
      </x:c>
      <x:c r="Q287" t="str">
        <x:v>Phụ lục 511 sản phẩm, STT 213, trang 8. Công ty Việt Hương là cơ sở sản xuất; cột tổ chức chịu trách nhiệm lấy nguyên văn từ phụ lục.</x:v>
      </x:c>
      <x:c r="R287" t="str">
        <x:v>https://dav.gov.vn/cong-van-so-1772qld-mp-ve-viec-dinh-chi-luu-hanh-thu-hoi-va-tieu-huy-my-pham-vi-pham-cong-ty-tnhh-my-pham-viet-huong-n5334.html</x:v>
      </x:c>
      <x:c r="S287" t="str">
        <x:v>Hà Nội</x:v>
      </x:c>
      <x:c r="T287" t="str">
        <x:v>01</x:v>
      </x:c>
    </x:row>
    <x:row r="288">
      <x:c r="A288" t="n">
        <x:v>287</x:v>
      </x:c>
      <x:c r="B288" s="330"/>
      <x:c r="C288" s="330" t="n">
        <x:v>46155</x:v>
      </x:c>
      <x:c r="D288" t="n">
        <x:v>2023</x:v>
      </x:c>
      <x:c r="E288"/>
      <x:c r="F288" t="str">
        <x:v>15570/23/CBMP-HN</x:v>
      </x:c>
      <x:c r="G288"/>
      <x:c r="H288" t="str">
        <x:v>Gmior</x:v>
      </x:c>
      <x:c r="I288"/>
      <x:c r="J288" t="str">
        <x:v>Khác</x:v>
      </x:c>
      <x:c r="K288"/>
      <x:c r="L288" t="str">
        <x:v>Công ty TNHH Global Health Life</x:v>
      </x:c>
      <x:c r="M288"/>
      <x:c r="N288" t="str">
        <x:v>Công ty TNHH mỹ phẩm Việt Hương</x:v>
      </x:c>
      <x:c r="O288" t="str">
        <x:v>Đình chỉ lưu hành, thu hồi và tiêu hủy – Công văn 1772/QLD-MP</x:v>
      </x:c>
      <x:c r="P288" t="str">
        <x:v>A++ – Cục Quản lý Dược; tổ chức chịu trách nhiệm explicit</x:v>
      </x:c>
      <x:c r="Q288" t="str">
        <x:v>Phụ lục 511 sản phẩm, STT 214, trang 8. Công ty Việt Hương là cơ sở sản xuất; cột tổ chức chịu trách nhiệm lấy nguyên văn từ phụ lục.</x:v>
      </x:c>
      <x:c r="R288" t="str">
        <x:v>https://dav.gov.vn/cong-van-so-1772qld-mp-ve-viec-dinh-chi-luu-hanh-thu-hoi-va-tieu-huy-my-pham-vi-pham-cong-ty-tnhh-my-pham-viet-huong-n5334.html</x:v>
      </x:c>
      <x:c r="S288" t="str">
        <x:v>Hà Nội</x:v>
      </x:c>
      <x:c r="T288" t="str">
        <x:v>01</x:v>
      </x:c>
    </x:row>
    <x:row r="289">
      <x:c r="A289" t="n">
        <x:v>288</x:v>
      </x:c>
      <x:c r="B289" s="330"/>
      <x:c r="C289" s="330" t="n">
        <x:v>46155</x:v>
      </x:c>
      <x:c r="D289" t="n">
        <x:v>2023</x:v>
      </x:c>
      <x:c r="E289"/>
      <x:c r="F289" t="str">
        <x:v>15571/23/CBMP-HN</x:v>
      </x:c>
      <x:c r="G289"/>
      <x:c r="H289" t="str">
        <x:v>Gmio</x:v>
      </x:c>
      <x:c r="I289"/>
      <x:c r="J289" t="str">
        <x:v>Khác</x:v>
      </x:c>
      <x:c r="K289"/>
      <x:c r="L289" t="str">
        <x:v>Công ty TNHH Global Health Life</x:v>
      </x:c>
      <x:c r="M289"/>
      <x:c r="N289" t="str">
        <x:v>Công ty TNHH mỹ phẩm Việt Hương</x:v>
      </x:c>
      <x:c r="O289" t="str">
        <x:v>Đình chỉ lưu hành, thu hồi và tiêu hủy – Công văn 1772/QLD-MP</x:v>
      </x:c>
      <x:c r="P289" t="str">
        <x:v>A++ – Cục Quản lý Dược; tổ chức chịu trách nhiệm explicit</x:v>
      </x:c>
      <x:c r="Q289" t="str">
        <x:v>Phụ lục 511 sản phẩm, STT 215, trang 8. Công ty Việt Hương là cơ sở sản xuất; cột tổ chức chịu trách nhiệm lấy nguyên văn từ phụ lục.</x:v>
      </x:c>
      <x:c r="R289" t="str">
        <x:v>https://dav.gov.vn/cong-van-so-1772qld-mp-ve-viec-dinh-chi-luu-hanh-thu-hoi-va-tieu-huy-my-pham-vi-pham-cong-ty-tnhh-my-pham-viet-huong-n5334.html</x:v>
      </x:c>
      <x:c r="S289" t="str">
        <x:v>Hà Nội</x:v>
      </x:c>
      <x:c r="T289" t="str">
        <x:v>01</x:v>
      </x:c>
    </x:row>
    <x:row r="290">
      <x:c r="A290" t="n">
        <x:v>289</x:v>
      </x:c>
      <x:c r="B290" s="330"/>
      <x:c r="C290" s="330" t="n">
        <x:v>46155</x:v>
      </x:c>
      <x:c r="D290" t="n">
        <x:v>2023</x:v>
      </x:c>
      <x:c r="E290"/>
      <x:c r="F290" t="str">
        <x:v>16960/23/CBMP-HN</x:v>
      </x:c>
      <x:c r="G290"/>
      <x:c r="H290" t="str">
        <x:v>Good Girl Love</x:v>
      </x:c>
      <x:c r="I290"/>
      <x:c r="J290" t="str">
        <x:v>Khác</x:v>
      </x:c>
      <x:c r="K290"/>
      <x:c r="L290" t="str">
        <x:v>Công ty TNHH Global Health Life</x:v>
      </x:c>
      <x:c r="M290"/>
      <x:c r="N290" t="str">
        <x:v>Công ty TNHH mỹ phẩm Việt Hương</x:v>
      </x:c>
      <x:c r="O290" t="str">
        <x:v>Đình chỉ lưu hành, thu hồi và tiêu hủy – Công văn 1772/QLD-MP</x:v>
      </x:c>
      <x:c r="P290" t="str">
        <x:v>A++ – Cục Quản lý Dược; tổ chức chịu trách nhiệm explicit</x:v>
      </x:c>
      <x:c r="Q290" t="str">
        <x:v>Phụ lục 511 sản phẩm, STT 216, trang 8. Công ty Việt Hương là cơ sở sản xuất; cột tổ chức chịu trách nhiệm lấy nguyên văn từ phụ lục.</x:v>
      </x:c>
      <x:c r="R290" t="str">
        <x:v>https://dav.gov.vn/cong-van-so-1772qld-mp-ve-viec-dinh-chi-luu-hanh-thu-hoi-va-tieu-huy-my-pham-vi-pham-cong-ty-tnhh-my-pham-viet-huong-n5334.html</x:v>
      </x:c>
      <x:c r="S290" t="str">
        <x:v>Hà Nội</x:v>
      </x:c>
      <x:c r="T290" t="str">
        <x:v>01</x:v>
      </x:c>
    </x:row>
    <x:row r="291">
      <x:c r="A291" t="n">
        <x:v>290</x:v>
      </x:c>
      <x:c r="B291" s="330"/>
      <x:c r="C291" s="330" t="n">
        <x:v>46155</x:v>
      </x:c>
      <x:c r="D291" t="n">
        <x:v>2023</x:v>
      </x:c>
      <x:c r="E291"/>
      <x:c r="F291" t="str">
        <x:v>17287/23/CBMP-HN</x:v>
      </x:c>
      <x:c r="G291"/>
      <x:c r="H291" t="str">
        <x:v>In Love</x:v>
      </x:c>
      <x:c r="I291"/>
      <x:c r="J291" t="str">
        <x:v>Khác</x:v>
      </x:c>
      <x:c r="K291"/>
      <x:c r="L291" t="str">
        <x:v>Công ty TNHH Global Health Life</x:v>
      </x:c>
      <x:c r="M291"/>
      <x:c r="N291" t="str">
        <x:v>Công ty TNHH mỹ phẩm Việt Hương</x:v>
      </x:c>
      <x:c r="O291" t="str">
        <x:v>Đình chỉ lưu hành, thu hồi và tiêu hủy – Công văn 1772/QLD-MP</x:v>
      </x:c>
      <x:c r="P291" t="str">
        <x:v>A++ – Cục Quản lý Dược; tổ chức chịu trách nhiệm explicit</x:v>
      </x:c>
      <x:c r="Q291" t="str">
        <x:v>Phụ lục 511 sản phẩm, STT 217, trang 9. Công ty Việt Hương là cơ sở sản xuất; cột tổ chức chịu trách nhiệm lấy nguyên văn từ phụ lục.</x:v>
      </x:c>
      <x:c r="R291" t="str">
        <x:v>https://dav.gov.vn/cong-van-so-1772qld-mp-ve-viec-dinh-chi-luu-hanh-thu-hoi-va-tieu-huy-my-pham-vi-pham-cong-ty-tnhh-my-pham-viet-huong-n5334.html</x:v>
      </x:c>
      <x:c r="S291" t="str">
        <x:v>Hà Nội</x:v>
      </x:c>
      <x:c r="T291" t="str">
        <x:v>01</x:v>
      </x:c>
    </x:row>
    <x:row r="292">
      <x:c r="A292" t="n">
        <x:v>291</x:v>
      </x:c>
      <x:c r="B292" s="330"/>
      <x:c r="C292" s="330" t="n">
        <x:v>46155</x:v>
      </x:c>
      <x:c r="D292" t="n">
        <x:v>2023</x:v>
      </x:c>
      <x:c r="E292"/>
      <x:c r="F292" t="str">
        <x:v>17288/23/CBMP-HN</x:v>
      </x:c>
      <x:c r="G292"/>
      <x:c r="H292" t="str">
        <x:v>Good Girl Luxury</x:v>
      </x:c>
      <x:c r="I292"/>
      <x:c r="J292" t="str">
        <x:v>Khác</x:v>
      </x:c>
      <x:c r="K292"/>
      <x:c r="L292" t="str">
        <x:v>Công ty TNHH Global Health Life</x:v>
      </x:c>
      <x:c r="M292"/>
      <x:c r="N292" t="str">
        <x:v>Công ty TNHH mỹ phẩm Việt Hương</x:v>
      </x:c>
      <x:c r="O292" t="str">
        <x:v>Đình chỉ lưu hành, thu hồi và tiêu hủy – Công văn 1772/QLD-MP</x:v>
      </x:c>
      <x:c r="P292" t="str">
        <x:v>A++ – Cục Quản lý Dược; tổ chức chịu trách nhiệm explicit</x:v>
      </x:c>
      <x:c r="Q292" t="str">
        <x:v>Phụ lục 511 sản phẩm, STT 218, trang 9. Công ty Việt Hương là cơ sở sản xuất; cột tổ chức chịu trách nhiệm lấy nguyên văn từ phụ lục.</x:v>
      </x:c>
      <x:c r="R292" t="str">
        <x:v>https://dav.gov.vn/cong-van-so-1772qld-mp-ve-viec-dinh-chi-luu-hanh-thu-hoi-va-tieu-huy-my-pham-vi-pham-cong-ty-tnhh-my-pham-viet-huong-n5334.html</x:v>
      </x:c>
      <x:c r="S292" t="str">
        <x:v>Hà Nội</x:v>
      </x:c>
      <x:c r="T292" t="str">
        <x:v>01</x:v>
      </x:c>
    </x:row>
    <x:row r="293">
      <x:c r="A293" t="n">
        <x:v>292</x:v>
      </x:c>
      <x:c r="B293" s="330"/>
      <x:c r="C293" s="330" t="n">
        <x:v>46155</x:v>
      </x:c>
      <x:c r="D293" t="n">
        <x:v>2023</x:v>
      </x:c>
      <x:c r="E293"/>
      <x:c r="F293" t="str">
        <x:v>18040/23/CBMP-HN</x:v>
      </x:c>
      <x:c r="G293"/>
      <x:c r="H293" t="str">
        <x:v>Bad Boy Plus</x:v>
      </x:c>
      <x:c r="I293"/>
      <x:c r="J293" t="str">
        <x:v>Khác</x:v>
      </x:c>
      <x:c r="K293"/>
      <x:c r="L293" t="str">
        <x:v>Công ty TNHH Global Health Life</x:v>
      </x:c>
      <x:c r="M293"/>
      <x:c r="N293" t="str">
        <x:v>Công ty TNHH mỹ phẩm Việt Hương</x:v>
      </x:c>
      <x:c r="O293" t="str">
        <x:v>Đình chỉ lưu hành, thu hồi và tiêu hủy – Công văn 1772/QLD-MP</x:v>
      </x:c>
      <x:c r="P293" t="str">
        <x:v>A++ – Cục Quản lý Dược; tổ chức chịu trách nhiệm explicit</x:v>
      </x:c>
      <x:c r="Q293" t="str">
        <x:v>Phụ lục 511 sản phẩm, STT 219, trang 9. Công ty Việt Hương là cơ sở sản xuất; cột tổ chức chịu trách nhiệm lấy nguyên văn từ phụ lục.</x:v>
      </x:c>
      <x:c r="R293" t="str">
        <x:v>https://dav.gov.vn/cong-van-so-1772qld-mp-ve-viec-dinh-chi-luu-hanh-thu-hoi-va-tieu-huy-my-pham-vi-pham-cong-ty-tnhh-my-pham-viet-huong-n5334.html</x:v>
      </x:c>
      <x:c r="S293" t="str">
        <x:v>Hà Nội</x:v>
      </x:c>
      <x:c r="T293" t="str">
        <x:v>01</x:v>
      </x:c>
    </x:row>
    <x:row r="294">
      <x:c r="A294" t="n">
        <x:v>293</x:v>
      </x:c>
      <x:c r="B294" s="330"/>
      <x:c r="C294" s="330" t="n">
        <x:v>46155</x:v>
      </x:c>
      <x:c r="D294" t="n">
        <x:v>2022</x:v>
      </x:c>
      <x:c r="E294"/>
      <x:c r="F294" t="str">
        <x:v>13957/22/CBMP-HN</x:v>
      </x:c>
      <x:c r="G294"/>
      <x:c r="H294" t="str">
        <x:v>Dầu gội phủ bạc</x:v>
      </x:c>
      <x:c r="I294"/>
      <x:c r="J294" t="str">
        <x:v>Dầu gội</x:v>
      </x:c>
      <x:c r="K294"/>
      <x:c r="L294" t="str">
        <x:v>Công ty cổ phần Triệu Sơn</x:v>
      </x:c>
      <x:c r="M294"/>
      <x:c r="N294" t="str">
        <x:v>Công ty TNHH mỹ phẩm Việt Hương</x:v>
      </x:c>
      <x:c r="O294" t="str">
        <x:v>Đình chỉ lưu hành, thu hồi và tiêu hủy – Công văn 1772/QLD-MP</x:v>
      </x:c>
      <x:c r="P294" t="str">
        <x:v>A++ – Cục Quản lý Dược; tổ chức chịu trách nhiệm explicit</x:v>
      </x:c>
      <x:c r="Q294" t="str">
        <x:v>Phụ lục 511 sản phẩm, STT 220, trang 9. Công ty Việt Hương là cơ sở sản xuất; cột tổ chức chịu trách nhiệm lấy nguyên văn từ phụ lục.</x:v>
      </x:c>
      <x:c r="R294" t="str">
        <x:v>https://dav.gov.vn/cong-van-so-1772qld-mp-ve-viec-dinh-chi-luu-hanh-thu-hoi-va-tieu-huy-my-pham-vi-pham-cong-ty-tnhh-my-pham-viet-huong-n5334.html</x:v>
      </x:c>
      <x:c r="S294" t="str">
        <x:v>Hà Nội</x:v>
      </x:c>
      <x:c r="T294" t="str">
        <x:v>01</x:v>
      </x:c>
    </x:row>
    <x:row r="295">
      <x:c r="A295" t="n">
        <x:v>294</x:v>
      </x:c>
      <x:c r="B295" s="330"/>
      <x:c r="C295" s="330" t="n">
        <x:v>46155</x:v>
      </x:c>
      <x:c r="D295" t="n">
        <x:v>2022</x:v>
      </x:c>
      <x:c r="E295"/>
      <x:c r="F295" t="str">
        <x:v>13958/22/CBMP-HN</x:v>
      </x:c>
      <x:c r="G295"/>
      <x:c r="H295" t="str">
        <x:v>Serum hôi nách</x:v>
      </x:c>
      <x:c r="I295"/>
      <x:c r="J295" t="str">
        <x:v>Khử mùi</x:v>
      </x:c>
      <x:c r="K295"/>
      <x:c r="L295" t="str">
        <x:v>Công ty cổ phần Triệu Sơn</x:v>
      </x:c>
      <x:c r="M295"/>
      <x:c r="N295" t="str">
        <x:v>Công ty TNHH mỹ phẩm Việt Hương</x:v>
      </x:c>
      <x:c r="O295" t="str">
        <x:v>Đình chỉ lưu hành, thu hồi và tiêu hủy – Công văn 1772/QLD-MP</x:v>
      </x:c>
      <x:c r="P295" t="str">
        <x:v>A++ – Cục Quản lý Dược; tổ chức chịu trách nhiệm explicit</x:v>
      </x:c>
      <x:c r="Q295" t="str">
        <x:v>Phụ lục 511 sản phẩm, STT 221, trang 9. Công ty Việt Hương là cơ sở sản xuất; cột tổ chức chịu trách nhiệm lấy nguyên văn từ phụ lục.</x:v>
      </x:c>
      <x:c r="R295" t="str">
        <x:v>https://dav.gov.vn/cong-van-so-1772qld-mp-ve-viec-dinh-chi-luu-hanh-thu-hoi-va-tieu-huy-my-pham-vi-pham-cong-ty-tnhh-my-pham-viet-huong-n5334.html</x:v>
      </x:c>
      <x:c r="S295" t="str">
        <x:v>Hà Nội</x:v>
      </x:c>
      <x:c r="T295" t="str">
        <x:v>01</x:v>
      </x:c>
    </x:row>
    <x:row r="296">
      <x:c r="A296" t="n">
        <x:v>295</x:v>
      </x:c>
      <x:c r="B296" s="330"/>
      <x:c r="C296" s="330" t="n">
        <x:v>46155</x:v>
      </x:c>
      <x:c r="D296" t="n">
        <x:v>2022</x:v>
      </x:c>
      <x:c r="E296"/>
      <x:c r="F296" t="str">
        <x:v>13961/22/CBMP-HN</x:v>
      </x:c>
      <x:c r="G296"/>
      <x:c r="H296" t="str">
        <x:v>Dầu gội phủ bạc</x:v>
      </x:c>
      <x:c r="I296"/>
      <x:c r="J296" t="str">
        <x:v>Dầu gội</x:v>
      </x:c>
      <x:c r="K296"/>
      <x:c r="L296" t="str">
        <x:v>Công ty cổ phần phát triển Huy Hoàng</x:v>
      </x:c>
      <x:c r="M296"/>
      <x:c r="N296" t="str">
        <x:v>Công ty TNHH mỹ phẩm Việt Hương</x:v>
      </x:c>
      <x:c r="O296" t="str">
        <x:v>Đình chỉ lưu hành, thu hồi và tiêu hủy – Công văn 1772/QLD-MP</x:v>
      </x:c>
      <x:c r="P296" t="str">
        <x:v>A++ – Cục Quản lý Dược; tổ chức chịu trách nhiệm explicit</x:v>
      </x:c>
      <x:c r="Q296" t="str">
        <x:v>Phụ lục 511 sản phẩm, STT 222, trang 9. Công ty Việt Hương là cơ sở sản xuất; cột tổ chức chịu trách nhiệm lấy nguyên văn từ phụ lục.</x:v>
      </x:c>
      <x:c r="R296" t="str">
        <x:v>https://dav.gov.vn/cong-van-so-1772qld-mp-ve-viec-dinh-chi-luu-hanh-thu-hoi-va-tieu-huy-my-pham-vi-pham-cong-ty-tnhh-my-pham-viet-huong-n5334.html</x:v>
      </x:c>
      <x:c r="S296" t="str">
        <x:v>Hà Nội</x:v>
      </x:c>
      <x:c r="T296" t="str">
        <x:v>01</x:v>
      </x:c>
    </x:row>
    <x:row r="297">
      <x:c r="A297" t="n">
        <x:v>296</x:v>
      </x:c>
      <x:c r="B297" s="330"/>
      <x:c r="C297" s="330" t="n">
        <x:v>46155</x:v>
      </x:c>
      <x:c r="D297" t="n">
        <x:v>2023</x:v>
      </x:c>
      <x:c r="E297"/>
      <x:c r="F297" t="str">
        <x:v>15710/23/CBMP-HN</x:v>
      </x:c>
      <x:c r="G297"/>
      <x:c r="H297" t="str">
        <x:v>Dầu gội sạch gàu</x:v>
      </x:c>
      <x:c r="I297"/>
      <x:c r="J297" t="str">
        <x:v>Dầu gội</x:v>
      </x:c>
      <x:c r="K297"/>
      <x:c r="L297" t="str">
        <x:v>Công ty cổ phần phát triển Huy Hoàng</x:v>
      </x:c>
      <x:c r="M297"/>
      <x:c r="N297" t="str">
        <x:v>Công ty TNHH mỹ phẩm Việt Hương</x:v>
      </x:c>
      <x:c r="O297" t="str">
        <x:v>Đình chỉ lưu hành, thu hồi và tiêu hủy – Công văn 1772/QLD-MP</x:v>
      </x:c>
      <x:c r="P297" t="str">
        <x:v>A++ – Cục Quản lý Dược; tổ chức chịu trách nhiệm explicit</x:v>
      </x:c>
      <x:c r="Q297" t="str">
        <x:v>Phụ lục 511 sản phẩm, STT 223, trang 9. Công ty Việt Hương là cơ sở sản xuất; cột tổ chức chịu trách nhiệm lấy nguyên văn từ phụ lục.</x:v>
      </x:c>
      <x:c r="R297" t="str">
        <x:v>https://dav.gov.vn/cong-van-so-1772qld-mp-ve-viec-dinh-chi-luu-hanh-thu-hoi-va-tieu-huy-my-pham-vi-pham-cong-ty-tnhh-my-pham-viet-huong-n5334.html</x:v>
      </x:c>
      <x:c r="S297" t="str">
        <x:v>Hà Nội</x:v>
      </x:c>
      <x:c r="T297" t="str">
        <x:v>01</x:v>
      </x:c>
    </x:row>
    <x:row r="298">
      <x:c r="A298" t="n">
        <x:v>297</x:v>
      </x:c>
      <x:c r="B298" s="330"/>
      <x:c r="C298" s="330" t="n">
        <x:v>46155</x:v>
      </x:c>
      <x:c r="D298" t="n">
        <x:v>2022</x:v>
      </x:c>
      <x:c r="E298"/>
      <x:c r="F298" t="str">
        <x:v>13962/22/CBMP-HN</x:v>
      </x:c>
      <x:c r="G298"/>
      <x:c r="H298" t="str">
        <x:v>Cira Lipbalm</x:v>
      </x:c>
      <x:c r="I298"/>
      <x:c r="J298" t="str">
        <x:v>Sản phẩm môi</x:v>
      </x:c>
      <x:c r="K298"/>
      <x:c r="L298" t="str">
        <x:v>Công ty cổ phần Saffron Việt Nam</x:v>
      </x:c>
      <x:c r="M298"/>
      <x:c r="N298" t="str">
        <x:v>Công ty TNHH mỹ phẩm Việt Hương</x:v>
      </x:c>
      <x:c r="O298" t="str">
        <x:v>Đình chỉ lưu hành, thu hồi và tiêu hủy – Công văn 1772/QLD-MP</x:v>
      </x:c>
      <x:c r="P298" t="str">
        <x:v>A++ – Cục Quản lý Dược; tổ chức chịu trách nhiệm explicit</x:v>
      </x:c>
      <x:c r="Q298" t="str">
        <x:v>Phụ lục 511 sản phẩm, STT 224, trang 9. Công ty Việt Hương là cơ sở sản xuất; cột tổ chức chịu trách nhiệm lấy nguyên văn từ phụ lục.</x:v>
      </x:c>
      <x:c r="R298" t="str">
        <x:v>https://dav.gov.vn/cong-van-so-1772qld-mp-ve-viec-dinh-chi-luu-hanh-thu-hoi-va-tieu-huy-my-pham-vi-pham-cong-ty-tnhh-my-pham-viet-huong-n5334.html</x:v>
      </x:c>
      <x:c r="S298" t="str">
        <x:v>Hà Nội</x:v>
      </x:c>
      <x:c r="T298" t="str">
        <x:v>01</x:v>
      </x:c>
    </x:row>
    <x:row r="299">
      <x:c r="A299" t="n">
        <x:v>298</x:v>
      </x:c>
      <x:c r="B299" s="330"/>
      <x:c r="C299" s="330" t="n">
        <x:v>46155</x:v>
      </x:c>
      <x:c r="D299" t="n">
        <x:v>2022</x:v>
      </x:c>
      <x:c r="E299"/>
      <x:c r="F299" t="str">
        <x:v>13988/22/CBMP-HN</x:v>
      </x:c>
      <x:c r="G299"/>
      <x:c r="H299" t="str">
        <x:v>Premium Coffee Scrub</x:v>
      </x:c>
      <x:c r="I299"/>
      <x:c r="J299" t="str">
        <x:v>Khác</x:v>
      </x:c>
      <x:c r="K299"/>
      <x:c r="L299" t="str">
        <x:v>Công ty TNHH 1 thành viên Maya Kim</x:v>
      </x:c>
      <x:c r="M299"/>
      <x:c r="N299" t="str">
        <x:v>Công ty TNHH mỹ phẩm Việt Hương</x:v>
      </x:c>
      <x:c r="O299" t="str">
        <x:v>Đình chỉ lưu hành, thu hồi và tiêu hủy – Công văn 1772/QLD-MP</x:v>
      </x:c>
      <x:c r="P299" t="str">
        <x:v>A++ – Cục Quản lý Dược; tổ chức chịu trách nhiệm explicit</x:v>
      </x:c>
      <x:c r="Q299" t="str">
        <x:v>Phụ lục 511 sản phẩm, STT 225, trang 9. Công ty Việt Hương là cơ sở sản xuất; cột tổ chức chịu trách nhiệm lấy nguyên văn từ phụ lục.</x:v>
      </x:c>
      <x:c r="R299" t="str">
        <x:v>https://dav.gov.vn/cong-van-so-1772qld-mp-ve-viec-dinh-chi-luu-hanh-thu-hoi-va-tieu-huy-my-pham-vi-pham-cong-ty-tnhh-my-pham-viet-huong-n5334.html</x:v>
      </x:c>
      <x:c r="S299" t="str">
        <x:v>Hà Nội</x:v>
      </x:c>
      <x:c r="T299" t="str">
        <x:v>01</x:v>
      </x:c>
    </x:row>
    <x:row r="300">
      <x:c r="A300" t="n">
        <x:v>299</x:v>
      </x:c>
      <x:c r="B300" s="330"/>
      <x:c r="C300" s="330" t="n">
        <x:v>46155</x:v>
      </x:c>
      <x:c r="D300" t="n">
        <x:v>2026</x:v>
      </x:c>
      <x:c r="E300"/>
      <x:c r="F300" t="str">
        <x:v>26556/26/CBMP-HN</x:v>
      </x:c>
      <x:c r="G300"/>
      <x:c r="H300" t="str">
        <x:v>PREMI COFFEE SCRUB</x:v>
      </x:c>
      <x:c r="I300"/>
      <x:c r="J300" t="str">
        <x:v>Khác</x:v>
      </x:c>
      <x:c r="K300"/>
      <x:c r="L300" t="str">
        <x:v>Công ty TNHH 1 thành viên Maya Kim</x:v>
      </x:c>
      <x:c r="M300"/>
      <x:c r="N300" t="str">
        <x:v>Công ty TNHH mỹ phẩm Việt Hương</x:v>
      </x:c>
      <x:c r="O300" t="str">
        <x:v>Đình chỉ lưu hành, thu hồi và tiêu hủy – Công văn 1772/QLD-MP</x:v>
      </x:c>
      <x:c r="P300" t="str">
        <x:v>A++ – Cục Quản lý Dược; tổ chức chịu trách nhiệm explicit</x:v>
      </x:c>
      <x:c r="Q300" t="str">
        <x:v>Phụ lục 511 sản phẩm, STT 226, trang 9. Công ty Việt Hương là cơ sở sản xuất; cột tổ chức chịu trách nhiệm lấy nguyên văn từ phụ lục.</x:v>
      </x:c>
      <x:c r="R300" t="str">
        <x:v>https://dav.gov.vn/cong-van-so-1772qld-mp-ve-viec-dinh-chi-luu-hanh-thu-hoi-va-tieu-huy-my-pham-vi-pham-cong-ty-tnhh-my-pham-viet-huong-n5334.html</x:v>
      </x:c>
      <x:c r="S300" t="str">
        <x:v>Hà Nội</x:v>
      </x:c>
      <x:c r="T300" t="str">
        <x:v>01</x:v>
      </x:c>
    </x:row>
    <x:row r="301">
      <x:c r="A301" t="n">
        <x:v>300</x:v>
      </x:c>
      <x:c r="B301" s="330"/>
      <x:c r="C301" s="330" t="n">
        <x:v>46155</x:v>
      </x:c>
      <x:c r="D301" t="n">
        <x:v>2022</x:v>
      </x:c>
      <x:c r="E301"/>
      <x:c r="F301" t="str">
        <x:v>14512/22/CBMP-HN</x:v>
      </x:c>
      <x:c r="G301"/>
      <x:c r="H301" t="str">
        <x:v>Marvelous</x:v>
      </x:c>
      <x:c r="I301"/>
      <x:c r="J301" t="str">
        <x:v>Khác</x:v>
      </x:c>
      <x:c r="K301"/>
      <x:c r="L301" t="str">
        <x:v>Công ty TNHH 1 thành viên Rusty Lab</x:v>
      </x:c>
      <x:c r="M301"/>
      <x:c r="N301" t="str">
        <x:v>Công ty TNHH mỹ phẩm Việt Hương</x:v>
      </x:c>
      <x:c r="O301" t="str">
        <x:v>Đình chỉ lưu hành, thu hồi và tiêu hủy – Công văn 1772/QLD-MP</x:v>
      </x:c>
      <x:c r="P301" t="str">
        <x:v>A++ – Cục Quản lý Dược; tổ chức chịu trách nhiệm explicit</x:v>
      </x:c>
      <x:c r="Q301" t="str">
        <x:v>Phụ lục 511 sản phẩm, STT 227, trang 9. Công ty Việt Hương là cơ sở sản xuất; cột tổ chức chịu trách nhiệm lấy nguyên văn từ phụ lục.</x:v>
      </x:c>
      <x:c r="R301" t="str">
        <x:v>https://dav.gov.vn/cong-van-so-1772qld-mp-ve-viec-dinh-chi-luu-hanh-thu-hoi-va-tieu-huy-my-pham-vi-pham-cong-ty-tnhh-my-pham-viet-huong-n5334.html</x:v>
      </x:c>
      <x:c r="S301" t="str">
        <x:v>Hà Nội</x:v>
      </x:c>
      <x:c r="T301" t="str">
        <x:v>01</x:v>
      </x:c>
    </x:row>
    <x:row r="302">
      <x:c r="A302" t="n">
        <x:v>301</x:v>
      </x:c>
      <x:c r="B302" s="330"/>
      <x:c r="C302" s="330" t="n">
        <x:v>46155</x:v>
      </x:c>
      <x:c r="D302" t="n">
        <x:v>2022</x:v>
      </x:c>
      <x:c r="E302"/>
      <x:c r="F302" t="str">
        <x:v>14516/22/CBMP-HN</x:v>
      </x:c>
      <x:c r="G302"/>
      <x:c r="H302" t="str">
        <x:v>Goodgirl</x:v>
      </x:c>
      <x:c r="I302"/>
      <x:c r="J302" t="str">
        <x:v>Khác</x:v>
      </x:c>
      <x:c r="K302"/>
      <x:c r="L302" t="str">
        <x:v>Công ty TNHH DTL Homechef</x:v>
      </x:c>
      <x:c r="M302"/>
      <x:c r="N302" t="str">
        <x:v>Công ty TNHH mỹ phẩm Việt Hương</x:v>
      </x:c>
      <x:c r="O302" t="str">
        <x:v>Đình chỉ lưu hành, thu hồi và tiêu hủy – Công văn 1772/QLD-MP</x:v>
      </x:c>
      <x:c r="P302" t="str">
        <x:v>A++ – Cục Quản lý Dược; tổ chức chịu trách nhiệm explicit</x:v>
      </x:c>
      <x:c r="Q302" t="str">
        <x:v>Phụ lục 511 sản phẩm, STT 228, trang 9. Công ty Việt Hương là cơ sở sản xuất; cột tổ chức chịu trách nhiệm lấy nguyên văn từ phụ lục.</x:v>
      </x:c>
      <x:c r="R302" t="str">
        <x:v>https://dav.gov.vn/cong-van-so-1772qld-mp-ve-viec-dinh-chi-luu-hanh-thu-hoi-va-tieu-huy-my-pham-vi-pham-cong-ty-tnhh-my-pham-viet-huong-n5334.html</x:v>
      </x:c>
      <x:c r="S302" t="str">
        <x:v>Hà Nội</x:v>
      </x:c>
      <x:c r="T302" t="str">
        <x:v>01</x:v>
      </x:c>
    </x:row>
    <x:row r="303">
      <x:c r="A303" t="n">
        <x:v>302</x:v>
      </x:c>
      <x:c r="B303" s="330"/>
      <x:c r="C303" s="330" t="n">
        <x:v>46155</x:v>
      </x:c>
      <x:c r="D303" t="n">
        <x:v>2022</x:v>
      </x:c>
      <x:c r="E303"/>
      <x:c r="F303" t="str">
        <x:v>14700/22/CBMP-HN</x:v>
      </x:c>
      <x:c r="G303"/>
      <x:c r="H303" t="str">
        <x:v>Son dưỡng Trái Bơ Hoa Hồng Thơm</x:v>
      </x:c>
      <x:c r="I303"/>
      <x:c r="J303" t="str">
        <x:v>Khác</x:v>
      </x:c>
      <x:c r="K303"/>
      <x:c r="L303" t="str">
        <x:v>Công ty TNHH mỹ phẩm thiên nhiên Dalat De Beauté</x:v>
      </x:c>
      <x:c r="M303"/>
      <x:c r="N303" t="str">
        <x:v>Công ty TNHH mỹ phẩm Việt Hương</x:v>
      </x:c>
      <x:c r="O303" t="str">
        <x:v>Đình chỉ lưu hành, thu hồi và tiêu hủy – Công văn 1772/QLD-MP</x:v>
      </x:c>
      <x:c r="P303" t="str">
        <x:v>A++ – Cục Quản lý Dược; tổ chức chịu trách nhiệm explicit</x:v>
      </x:c>
      <x:c r="Q303" t="str">
        <x:v>Phụ lục 511 sản phẩm, STT 229, trang 9. Công ty Việt Hương là cơ sở sản xuất; cột tổ chức chịu trách nhiệm lấy nguyên văn từ phụ lục.</x:v>
      </x:c>
      <x:c r="R303" t="str">
        <x:v>https://dav.gov.vn/cong-van-so-1772qld-mp-ve-viec-dinh-chi-luu-hanh-thu-hoi-va-tieu-huy-my-pham-vi-pham-cong-ty-tnhh-my-pham-viet-huong-n5334.html</x:v>
      </x:c>
      <x:c r="S303" t="str">
        <x:v>Hà Nội</x:v>
      </x:c>
      <x:c r="T303" t="str">
        <x:v>01</x:v>
      </x:c>
    </x:row>
    <x:row r="304">
      <x:c r="A304" t="n">
        <x:v>303</x:v>
      </x:c>
      <x:c r="B304" s="330"/>
      <x:c r="C304" s="330" t="n">
        <x:v>46155</x:v>
      </x:c>
      <x:c r="D304" t="n">
        <x:v>2022</x:v>
      </x:c>
      <x:c r="E304"/>
      <x:c r="F304" t="str">
        <x:v>14701/22/CBMP-HN</x:v>
      </x:c>
      <x:c r="G304"/>
      <x:c r="H304" t="str">
        <x:v>Son dưỡng Trái Bơ</x:v>
      </x:c>
      <x:c r="I304"/>
      <x:c r="J304" t="str">
        <x:v>Khác</x:v>
      </x:c>
      <x:c r="K304"/>
      <x:c r="L304" t="str">
        <x:v>Công ty TNHH mỹ phẩm thiên nhiên Dalat De Beauté</x:v>
      </x:c>
      <x:c r="M304"/>
      <x:c r="N304" t="str">
        <x:v>Công ty TNHH mỹ phẩm Việt Hương</x:v>
      </x:c>
      <x:c r="O304" t="str">
        <x:v>Đình chỉ lưu hành, thu hồi và tiêu hủy – Công văn 1772/QLD-MP</x:v>
      </x:c>
      <x:c r="P304" t="str">
        <x:v>A++ – Cục Quản lý Dược; tổ chức chịu trách nhiệm explicit</x:v>
      </x:c>
      <x:c r="Q304" t="str">
        <x:v>Phụ lục 511 sản phẩm, STT 230, trang 9. Công ty Việt Hương là cơ sở sản xuất; cột tổ chức chịu trách nhiệm lấy nguyên văn từ phụ lục.</x:v>
      </x:c>
      <x:c r="R304" t="str">
        <x:v>https://dav.gov.vn/cong-van-so-1772qld-mp-ve-viec-dinh-chi-luu-hanh-thu-hoi-va-tieu-huy-my-pham-vi-pham-cong-ty-tnhh-my-pham-viet-huong-n5334.html</x:v>
      </x:c>
      <x:c r="S304" t="str">
        <x:v>Hà Nội</x:v>
      </x:c>
      <x:c r="T304" t="str">
        <x:v>01</x:v>
      </x:c>
    </x:row>
    <x:row r="305">
      <x:c r="A305" t="n">
        <x:v>304</x:v>
      </x:c>
      <x:c r="B305" s="330"/>
      <x:c r="C305" s="330" t="n">
        <x:v>46155</x:v>
      </x:c>
      <x:c r="D305" t="n">
        <x:v>2022</x:v>
      </x:c>
      <x:c r="E305"/>
      <x:c r="F305" t="str">
        <x:v>14702/22/CBMP-HN</x:v>
      </x:c>
      <x:c r="G305"/>
      <x:c r="H305" t="str">
        <x:v>Forget Me Not</x:v>
      </x:c>
      <x:c r="I305"/>
      <x:c r="J305" t="str">
        <x:v>Khác</x:v>
      </x:c>
      <x:c r="K305"/>
      <x:c r="L305" t="str">
        <x:v>Công ty TNHH mỹ phẩm thiên nhiên Dalat De Beauté</x:v>
      </x:c>
      <x:c r="M305"/>
      <x:c r="N305" t="str">
        <x:v>Công ty TNHH mỹ phẩm Việt Hương</x:v>
      </x:c>
      <x:c r="O305" t="str">
        <x:v>Đình chỉ lưu hành, thu hồi và tiêu hủy – Công văn 1772/QLD-MP</x:v>
      </x:c>
      <x:c r="P305" t="str">
        <x:v>A++ – Cục Quản lý Dược; tổ chức chịu trách nhiệm explicit</x:v>
      </x:c>
      <x:c r="Q305" t="str">
        <x:v>Phụ lục 511 sản phẩm, STT 231, trang 9. Công ty Việt Hương là cơ sở sản xuất; cột tổ chức chịu trách nhiệm lấy nguyên văn từ phụ lục.</x:v>
      </x:c>
      <x:c r="R305" t="str">
        <x:v>https://dav.gov.vn/cong-van-so-1772qld-mp-ve-viec-dinh-chi-luu-hanh-thu-hoi-va-tieu-huy-my-pham-vi-pham-cong-ty-tnhh-my-pham-viet-huong-n5334.html</x:v>
      </x:c>
      <x:c r="S305" t="str">
        <x:v>Hà Nội</x:v>
      </x:c>
      <x:c r="T305" t="str">
        <x:v>01</x:v>
      </x:c>
    </x:row>
    <x:row r="306">
      <x:c r="A306" t="n">
        <x:v>305</x:v>
      </x:c>
      <x:c r="B306" s="330"/>
      <x:c r="C306" s="330" t="n">
        <x:v>46155</x:v>
      </x:c>
      <x:c r="D306" t="n">
        <x:v>2022</x:v>
      </x:c>
      <x:c r="E306"/>
      <x:c r="F306" t="str">
        <x:v>14778/22/CBMP-HN</x:v>
      </x:c>
      <x:c r="G306"/>
      <x:c r="H306" t="str">
        <x:v>Serum</x:v>
      </x:c>
      <x:c r="I306"/>
      <x:c r="J306" t="str">
        <x:v>Serum/Essence da</x:v>
      </x:c>
      <x:c r="K306"/>
      <x:c r="L306" t="str">
        <x:v>Công ty TNHH MH Authentic</x:v>
      </x:c>
      <x:c r="M306"/>
      <x:c r="N306" t="str">
        <x:v>Công ty TNHH mỹ phẩm Việt Hương</x:v>
      </x:c>
      <x:c r="O306" t="str">
        <x:v>Đình chỉ lưu hành, thu hồi và tiêu hủy – Công văn 1772/QLD-MP</x:v>
      </x:c>
      <x:c r="P306" t="str">
        <x:v>A++ – Cục Quản lý Dược; tổ chức chịu trách nhiệm explicit</x:v>
      </x:c>
      <x:c r="Q306" t="str">
        <x:v>Phụ lục 511 sản phẩm, STT 232, trang 9. Công ty Việt Hương là cơ sở sản xuất; cột tổ chức chịu trách nhiệm lấy nguyên văn từ phụ lục.</x:v>
      </x:c>
      <x:c r="R306" t="str">
        <x:v>https://dav.gov.vn/cong-van-so-1772qld-mp-ve-viec-dinh-chi-luu-hanh-thu-hoi-va-tieu-huy-my-pham-vi-pham-cong-ty-tnhh-my-pham-viet-huong-n5334.html</x:v>
      </x:c>
      <x:c r="S306" t="str">
        <x:v>Hà Nội</x:v>
      </x:c>
      <x:c r="T306" t="str">
        <x:v>01</x:v>
      </x:c>
    </x:row>
    <x:row r="307">
      <x:c r="A307" t="n">
        <x:v>306</x:v>
      </x:c>
      <x:c r="B307" s="330"/>
      <x:c r="C307" s="330" t="n">
        <x:v>46155</x:v>
      </x:c>
      <x:c r="D307" t="n">
        <x:v>2022</x:v>
      </x:c>
      <x:c r="E307"/>
      <x:c r="F307" t="str">
        <x:v>14779/22/CBMP-HN</x:v>
      </x:c>
      <x:c r="G307"/>
      <x:c r="H307" t="str">
        <x:v>Kem bôi da</x:v>
      </x:c>
      <x:c r="I307"/>
      <x:c r="J307" t="str">
        <x:v>Khác</x:v>
      </x:c>
      <x:c r="K307"/>
      <x:c r="L307" t="str">
        <x:v>Công ty TNHH MH Authentic</x:v>
      </x:c>
      <x:c r="M307"/>
      <x:c r="N307" t="str">
        <x:v>Công ty TNHH mỹ phẩm Việt Hương</x:v>
      </x:c>
      <x:c r="O307" t="str">
        <x:v>Đình chỉ lưu hành, thu hồi và tiêu hủy – Công văn 1772/QLD-MP</x:v>
      </x:c>
      <x:c r="P307" t="str">
        <x:v>A++ – Cục Quản lý Dược; tổ chức chịu trách nhiệm explicit</x:v>
      </x:c>
      <x:c r="Q307" t="str">
        <x:v>Phụ lục 511 sản phẩm, STT 233, trang 9. Công ty Việt Hương là cơ sở sản xuất; cột tổ chức chịu trách nhiệm lấy nguyên văn từ phụ lục.</x:v>
      </x:c>
      <x:c r="R307" t="str">
        <x:v>https://dav.gov.vn/cong-van-so-1772qld-mp-ve-viec-dinh-chi-luu-hanh-thu-hoi-va-tieu-huy-my-pham-vi-pham-cong-ty-tnhh-my-pham-viet-huong-n5334.html</x:v>
      </x:c>
      <x:c r="S307" t="str">
        <x:v>Hà Nội</x:v>
      </x:c>
      <x:c r="T307" t="str">
        <x:v>01</x:v>
      </x:c>
    </x:row>
    <x:row r="308">
      <x:c r="A308" t="n">
        <x:v>307</x:v>
      </x:c>
      <x:c r="B308" s="330"/>
      <x:c r="C308" s="330" t="n">
        <x:v>46155</x:v>
      </x:c>
      <x:c r="D308" t="n">
        <x:v>2022</x:v>
      </x:c>
      <x:c r="E308"/>
      <x:c r="F308" t="str">
        <x:v>14788/22/CBMP-HN</x:v>
      </x:c>
      <x:c r="G308"/>
      <x:c r="H308" t="str">
        <x:v>Glossy Skin Serum</x:v>
      </x:c>
      <x:c r="I308"/>
      <x:c r="J308" t="str">
        <x:v>Serum/Essence da</x:v>
      </x:c>
      <x:c r="K308"/>
      <x:c r="L308" t="str">
        <x:v>Công ty TNHH mỹ phẩm Amoon</x:v>
      </x:c>
      <x:c r="M308"/>
      <x:c r="N308" t="str">
        <x:v>Công ty TNHH mỹ phẩm Việt Hương</x:v>
      </x:c>
      <x:c r="O308" t="str">
        <x:v>Đình chỉ lưu hành, thu hồi và tiêu hủy – Công văn 1772/QLD-MP</x:v>
      </x:c>
      <x:c r="P308" t="str">
        <x:v>A++ – Cục Quản lý Dược; tổ chức chịu trách nhiệm explicit</x:v>
      </x:c>
      <x:c r="Q308" t="str">
        <x:v>Phụ lục 511 sản phẩm, STT 234, trang 9. Công ty Việt Hương là cơ sở sản xuất; cột tổ chức chịu trách nhiệm lấy nguyên văn từ phụ lục.</x:v>
      </x:c>
      <x:c r="R308" t="str">
        <x:v>https://dav.gov.vn/cong-van-so-1772qld-mp-ve-viec-dinh-chi-luu-hanh-thu-hoi-va-tieu-huy-my-pham-vi-pham-cong-ty-tnhh-my-pham-viet-huong-n5334.html</x:v>
      </x:c>
      <x:c r="S308" t="str">
        <x:v>Hà Nội</x:v>
      </x:c>
      <x:c r="T308" t="str">
        <x:v>01</x:v>
      </x:c>
    </x:row>
    <x:row r="309">
      <x:c r="A309" t="n">
        <x:v>308</x:v>
      </x:c>
      <x:c r="B309" s="330"/>
      <x:c r="C309" s="330" t="n">
        <x:v>46155</x:v>
      </x:c>
      <x:c r="D309" t="n">
        <x:v>2023</x:v>
      </x:c>
      <x:c r="E309"/>
      <x:c r="F309" t="str">
        <x:v>15269/23/CBMP-HN</x:v>
      </x:c>
      <x:c r="G309"/>
      <x:c r="H309" t="str">
        <x:v>Day Cream</x:v>
      </x:c>
      <x:c r="I309"/>
      <x:c r="J309" t="str">
        <x:v>Kem dưỡng da</x:v>
      </x:c>
      <x:c r="K309"/>
      <x:c r="L309" t="str">
        <x:v>Công ty CP đầu tư quốc tế Dược mỹ phẩm An Phát</x:v>
      </x:c>
      <x:c r="M309"/>
      <x:c r="N309" t="str">
        <x:v>Công ty TNHH mỹ phẩm Việt Hương</x:v>
      </x:c>
      <x:c r="O309" t="str">
        <x:v>Đình chỉ lưu hành, thu hồi và tiêu hủy – Công văn 1772/QLD-MP</x:v>
      </x:c>
      <x:c r="P309" t="str">
        <x:v>A++ – Cục Quản lý Dược; tổ chức chịu trách nhiệm explicit</x:v>
      </x:c>
      <x:c r="Q309" t="str">
        <x:v>Phụ lục 511 sản phẩm, STT 235, trang 9. Công ty Việt Hương là cơ sở sản xuất; cột tổ chức chịu trách nhiệm lấy nguyên văn từ phụ lục.</x:v>
      </x:c>
      <x:c r="R309" t="str">
        <x:v>https://dav.gov.vn/cong-van-so-1772qld-mp-ve-viec-dinh-chi-luu-hanh-thu-hoi-va-tieu-huy-my-pham-vi-pham-cong-ty-tnhh-my-pham-viet-huong-n5334.html</x:v>
      </x:c>
      <x:c r="S309" t="str">
        <x:v>Hà Nội</x:v>
      </x:c>
      <x:c r="T309" t="str">
        <x:v>01</x:v>
      </x:c>
    </x:row>
    <x:row r="310">
      <x:c r="A310" t="n">
        <x:v>309</x:v>
      </x:c>
      <x:c r="B310" s="330"/>
      <x:c r="C310" s="330" t="n">
        <x:v>46155</x:v>
      </x:c>
      <x:c r="D310" t="n">
        <x:v>2023</x:v>
      </x:c>
      <x:c r="E310"/>
      <x:c r="F310" t="str">
        <x:v>15270/23/CBMP-HN</x:v>
      </x:c>
      <x:c r="G310"/>
      <x:c r="H310" t="str">
        <x:v>Night Cream</x:v>
      </x:c>
      <x:c r="I310"/>
      <x:c r="J310" t="str">
        <x:v>Kem dưỡng da</x:v>
      </x:c>
      <x:c r="K310"/>
      <x:c r="L310" t="str">
        <x:v>Công ty CP đầu tư quốc tế Dược mỹ phẩm An Phát</x:v>
      </x:c>
      <x:c r="M310"/>
      <x:c r="N310" t="str">
        <x:v>Công ty TNHH mỹ phẩm Việt Hương</x:v>
      </x:c>
      <x:c r="O310" t="str">
        <x:v>Đình chỉ lưu hành, thu hồi và tiêu hủy – Công văn 1772/QLD-MP</x:v>
      </x:c>
      <x:c r="P310" t="str">
        <x:v>A++ – Cục Quản lý Dược; tổ chức chịu trách nhiệm explicit</x:v>
      </x:c>
      <x:c r="Q310" t="str">
        <x:v>Phụ lục 511 sản phẩm, STT 236, trang 9. Công ty Việt Hương là cơ sở sản xuất; cột tổ chức chịu trách nhiệm lấy nguyên văn từ phụ lục.</x:v>
      </x:c>
      <x:c r="R310" t="str">
        <x:v>https://dav.gov.vn/cong-van-so-1772qld-mp-ve-viec-dinh-chi-luu-hanh-thu-hoi-va-tieu-huy-my-pham-vi-pham-cong-ty-tnhh-my-pham-viet-huong-n5334.html</x:v>
      </x:c>
      <x:c r="S310" t="str">
        <x:v>Hà Nội</x:v>
      </x:c>
      <x:c r="T310" t="str">
        <x:v>01</x:v>
      </x:c>
    </x:row>
    <x:row r="311">
      <x:c r="A311" t="n">
        <x:v>310</x:v>
      </x:c>
      <x:c r="B311" s="330"/>
      <x:c r="C311" s="330" t="n">
        <x:v>46155</x:v>
      </x:c>
      <x:c r="D311" t="n">
        <x:v>2023</x:v>
      </x:c>
      <x:c r="E311"/>
      <x:c r="F311" t="str">
        <x:v>15273/23/CBMP-HN</x:v>
      </x:c>
      <x:c r="G311"/>
      <x:c r="H311" t="str">
        <x:v>Hair Lotion</x:v>
      </x:c>
      <x:c r="I311"/>
      <x:c r="J311" t="str">
        <x:v>Kem dưỡng da</x:v>
      </x:c>
      <x:c r="K311"/>
      <x:c r="L311" t="str">
        <x:v>Công ty cổ phần quốc tế Danis Group</x:v>
      </x:c>
      <x:c r="M311"/>
      <x:c r="N311" t="str">
        <x:v>Công ty TNHH mỹ phẩm Việt Hương</x:v>
      </x:c>
      <x:c r="O311" t="str">
        <x:v>Đình chỉ lưu hành, thu hồi và tiêu hủy – Công văn 1772/QLD-MP</x:v>
      </x:c>
      <x:c r="P311" t="str">
        <x:v>A++ – Cục Quản lý Dược; tổ chức chịu trách nhiệm explicit</x:v>
      </x:c>
      <x:c r="Q311" t="str">
        <x:v>Phụ lục 511 sản phẩm, STT 237, trang 9. Công ty Việt Hương là cơ sở sản xuất; cột tổ chức chịu trách nhiệm lấy nguyên văn từ phụ lục.</x:v>
      </x:c>
      <x:c r="R311" t="str">
        <x:v>https://dav.gov.vn/cong-van-so-1772qld-mp-ve-viec-dinh-chi-luu-hanh-thu-hoi-va-tieu-huy-my-pham-vi-pham-cong-ty-tnhh-my-pham-viet-huong-n5334.html</x:v>
      </x:c>
      <x:c r="S311" t="str">
        <x:v>Hà Nội</x:v>
      </x:c>
      <x:c r="T311" t="str">
        <x:v>01</x:v>
      </x:c>
    </x:row>
    <x:row r="312">
      <x:c r="A312" t="n">
        <x:v>311</x:v>
      </x:c>
      <x:c r="B312" s="330"/>
      <x:c r="C312" s="330" t="n">
        <x:v>46155</x:v>
      </x:c>
      <x:c r="D312" t="n">
        <x:v>2023</x:v>
      </x:c>
      <x:c r="E312"/>
      <x:c r="F312" t="str">
        <x:v>16495/23/CBMP-HN</x:v>
      </x:c>
      <x:c r="G312"/>
      <x:c r="H312" t="str">
        <x:v>Dung dịch vệ sinh Nhân Sâm</x:v>
      </x:c>
      <x:c r="I312"/>
      <x:c r="J312" t="str">
        <x:v>Khác</x:v>
      </x:c>
      <x:c r="K312"/>
      <x:c r="L312" t="str">
        <x:v>Công ty cổ phần quốc tế Danis Group</x:v>
      </x:c>
      <x:c r="M312"/>
      <x:c r="N312" t="str">
        <x:v>Công ty TNHH mỹ phẩm Việt Hương</x:v>
      </x:c>
      <x:c r="O312" t="str">
        <x:v>Đình chỉ lưu hành, thu hồi và tiêu hủy – Công văn 1772/QLD-MP</x:v>
      </x:c>
      <x:c r="P312" t="str">
        <x:v>A++ – Cục Quản lý Dược; tổ chức chịu trách nhiệm explicit</x:v>
      </x:c>
      <x:c r="Q312" t="str">
        <x:v>Phụ lục 511 sản phẩm, STT 238, trang 9. Công ty Việt Hương là cơ sở sản xuất; cột tổ chức chịu trách nhiệm lấy nguyên văn từ phụ lục.</x:v>
      </x:c>
      <x:c r="R312" t="str">
        <x:v>https://dav.gov.vn/cong-van-so-1772qld-mp-ve-viec-dinh-chi-luu-hanh-thu-hoi-va-tieu-huy-my-pham-vi-pham-cong-ty-tnhh-my-pham-viet-huong-n5334.html</x:v>
      </x:c>
      <x:c r="S312" t="str">
        <x:v>Hà Nội</x:v>
      </x:c>
      <x:c r="T312" t="str">
        <x:v>01</x:v>
      </x:c>
    </x:row>
    <x:row r="313">
      <x:c r="A313" t="n">
        <x:v>312</x:v>
      </x:c>
      <x:c r="B313" s="330"/>
      <x:c r="C313" s="330" t="n">
        <x:v>46155</x:v>
      </x:c>
      <x:c r="D313" t="n">
        <x:v>2023</x:v>
      </x:c>
      <x:c r="E313"/>
      <x:c r="F313" t="str">
        <x:v>16659/23/CBMP-HN</x:v>
      </x:c>
      <x:c r="G313"/>
      <x:c r="H313" t="str">
        <x:v>Lipstick</x:v>
      </x:c>
      <x:c r="I313"/>
      <x:c r="J313" t="str">
        <x:v>Sản phẩm môi</x:v>
      </x:c>
      <x:c r="K313"/>
      <x:c r="L313" t="str">
        <x:v>Công ty cổ phần quốc tế Danis Group</x:v>
      </x:c>
      <x:c r="M313"/>
      <x:c r="N313" t="str">
        <x:v>Công ty TNHH mỹ phẩm Việt Hương</x:v>
      </x:c>
      <x:c r="O313" t="str">
        <x:v>Đình chỉ lưu hành, thu hồi và tiêu hủy – Công văn 1772/QLD-MP</x:v>
      </x:c>
      <x:c r="P313" t="str">
        <x:v>A++ – Cục Quản lý Dược; tổ chức chịu trách nhiệm explicit</x:v>
      </x:c>
      <x:c r="Q313" t="str">
        <x:v>Phụ lục 511 sản phẩm, STT 239, trang 9. Công ty Việt Hương là cơ sở sản xuất; cột tổ chức chịu trách nhiệm lấy nguyên văn từ phụ lục.</x:v>
      </x:c>
      <x:c r="R313" t="str">
        <x:v>https://dav.gov.vn/cong-van-so-1772qld-mp-ve-viec-dinh-chi-luu-hanh-thu-hoi-va-tieu-huy-my-pham-vi-pham-cong-ty-tnhh-my-pham-viet-huong-n5334.html</x:v>
      </x:c>
      <x:c r="S313" t="str">
        <x:v>Hà Nội</x:v>
      </x:c>
      <x:c r="T313" t="str">
        <x:v>01</x:v>
      </x:c>
    </x:row>
    <x:row r="314">
      <x:c r="A314" t="n">
        <x:v>313</x:v>
      </x:c>
      <x:c r="B314" s="330"/>
      <x:c r="C314" s="330" t="n">
        <x:v>46155</x:v>
      </x:c>
      <x:c r="D314" t="n">
        <x:v>2024</x:v>
      </x:c>
      <x:c r="E314"/>
      <x:c r="F314" t="str">
        <x:v>18982/24/CBMP-HN</x:v>
      </x:c>
      <x:c r="G314"/>
      <x:c r="H314" t="str">
        <x:v>Essence Toner</x:v>
      </x:c>
      <x:c r="I314"/>
      <x:c r="J314" t="str">
        <x:v>Serum/Essence da</x:v>
      </x:c>
      <x:c r="K314"/>
      <x:c r="L314" t="str">
        <x:v>Công ty cổ phần quốc tế Danis Group</x:v>
      </x:c>
      <x:c r="M314"/>
      <x:c r="N314" t="str">
        <x:v>Công ty TNHH mỹ phẩm Việt Hương</x:v>
      </x:c>
      <x:c r="O314" t="str">
        <x:v>Đình chỉ lưu hành, thu hồi và tiêu hủy – Công văn 1772/QLD-MP</x:v>
      </x:c>
      <x:c r="P314" t="str">
        <x:v>A++ – Cục Quản lý Dược; tổ chức chịu trách nhiệm explicit</x:v>
      </x:c>
      <x:c r="Q314" t="str">
        <x:v>Phụ lục 511 sản phẩm, STT 240, trang 9. Công ty Việt Hương là cơ sở sản xuất; cột tổ chức chịu trách nhiệm lấy nguyên văn từ phụ lục.</x:v>
      </x:c>
      <x:c r="R314" t="str">
        <x:v>https://dav.gov.vn/cong-van-so-1772qld-mp-ve-viec-dinh-chi-luu-hanh-thu-hoi-va-tieu-huy-my-pham-vi-pham-cong-ty-tnhh-my-pham-viet-huong-n5334.html</x:v>
      </x:c>
      <x:c r="S314" t="str">
        <x:v>Hà Nội</x:v>
      </x:c>
      <x:c r="T314" t="str">
        <x:v>01</x:v>
      </x:c>
    </x:row>
    <x:row r="315">
      <x:c r="A315" t="n">
        <x:v>314</x:v>
      </x:c>
      <x:c r="B315" s="330"/>
      <x:c r="C315" s="330" t="n">
        <x:v>46155</x:v>
      </x:c>
      <x:c r="D315" t="n">
        <x:v>2024</x:v>
      </x:c>
      <x:c r="E315"/>
      <x:c r="F315" t="str">
        <x:v>18983/24/CBMP-HN</x:v>
      </x:c>
      <x:c r="G315"/>
      <x:c r="H315" t="str">
        <x:v>Micellar Water</x:v>
      </x:c>
      <x:c r="I315"/>
      <x:c r="J315" t="str">
        <x:v>Tẩy trang</x:v>
      </x:c>
      <x:c r="K315"/>
      <x:c r="L315" t="str">
        <x:v>Công ty cổ phần quốc tế Danis Group</x:v>
      </x:c>
      <x:c r="M315"/>
      <x:c r="N315" t="str">
        <x:v>Công ty TNHH mỹ phẩm Việt Hương</x:v>
      </x:c>
      <x:c r="O315" t="str">
        <x:v>Đình chỉ lưu hành, thu hồi và tiêu hủy – Công văn 1772/QLD-MP</x:v>
      </x:c>
      <x:c r="P315" t="str">
        <x:v>A++ – Cục Quản lý Dược; tổ chức chịu trách nhiệm explicit</x:v>
      </x:c>
      <x:c r="Q315" t="str">
        <x:v>Phụ lục 511 sản phẩm, STT 241, trang 9. Công ty Việt Hương là cơ sở sản xuất; cột tổ chức chịu trách nhiệm lấy nguyên văn từ phụ lục.</x:v>
      </x:c>
      <x:c r="R315" t="str">
        <x:v>https://dav.gov.vn/cong-van-so-1772qld-mp-ve-viec-dinh-chi-luu-hanh-thu-hoi-va-tieu-huy-my-pham-vi-pham-cong-ty-tnhh-my-pham-viet-huong-n5334.html</x:v>
      </x:c>
      <x:c r="S315" t="str">
        <x:v>Hà Nội</x:v>
      </x:c>
      <x:c r="T315" t="str">
        <x:v>01</x:v>
      </x:c>
    </x:row>
    <x:row r="316">
      <x:c r="A316" t="n">
        <x:v>315</x:v>
      </x:c>
      <x:c r="B316" s="330"/>
      <x:c r="C316" s="330" t="n">
        <x:v>46155</x:v>
      </x:c>
      <x:c r="D316" t="n">
        <x:v>2024</x:v>
      </x:c>
      <x:c r="E316"/>
      <x:c r="F316" t="str">
        <x:v>19907/24/CBMP-HN</x:v>
      </x:c>
      <x:c r="G316"/>
      <x:c r="H316" t="str">
        <x:v>Acne Removing Essence</x:v>
      </x:c>
      <x:c r="I316"/>
      <x:c r="J316" t="str">
        <x:v>Serum/Essence da</x:v>
      </x:c>
      <x:c r="K316"/>
      <x:c r="L316" t="str">
        <x:v>Công ty cổ phần quốc tế Danis Group</x:v>
      </x:c>
      <x:c r="M316"/>
      <x:c r="N316" t="str">
        <x:v>Công ty TNHH mỹ phẩm Việt Hương</x:v>
      </x:c>
      <x:c r="O316" t="str">
        <x:v>Đình chỉ lưu hành, thu hồi và tiêu hủy – Công văn 1772/QLD-MP</x:v>
      </x:c>
      <x:c r="P316" t="str">
        <x:v>A++ – Cục Quản lý Dược; tổ chức chịu trách nhiệm explicit</x:v>
      </x:c>
      <x:c r="Q316" t="str">
        <x:v>Phụ lục 511 sản phẩm, STT 242, trang 9. Công ty Việt Hương là cơ sở sản xuất; cột tổ chức chịu trách nhiệm lấy nguyên văn từ phụ lục.</x:v>
      </x:c>
      <x:c r="R316" t="str">
        <x:v>https://dav.gov.vn/cong-van-so-1772qld-mp-ve-viec-dinh-chi-luu-hanh-thu-hoi-va-tieu-huy-my-pham-vi-pham-cong-ty-tnhh-my-pham-viet-huong-n5334.html</x:v>
      </x:c>
      <x:c r="S316" t="str">
        <x:v>Hà Nội</x:v>
      </x:c>
      <x:c r="T316" t="str">
        <x:v>01</x:v>
      </x:c>
    </x:row>
    <x:row r="317">
      <x:c r="A317" t="n">
        <x:v>316</x:v>
      </x:c>
      <x:c r="B317" s="330"/>
      <x:c r="C317" s="330" t="n">
        <x:v>46155</x:v>
      </x:c>
      <x:c r="D317" t="n">
        <x:v>2023</x:v>
      </x:c>
      <x:c r="E317"/>
      <x:c r="F317" t="str">
        <x:v>15419/23/CBMP-HN</x:v>
      </x:c>
      <x:c r="G317"/>
      <x:c r="H317" t="str">
        <x:v>Lipstick</x:v>
      </x:c>
      <x:c r="I317"/>
      <x:c r="J317" t="str">
        <x:v>Sản phẩm môi</x:v>
      </x:c>
      <x:c r="K317"/>
      <x:c r="L317" t="str">
        <x:v>Công ty TNHH Dược mỹ phẩm quốc tế Haulink Group</x:v>
      </x:c>
      <x:c r="M317"/>
      <x:c r="N317" t="str">
        <x:v>Công ty TNHH mỹ phẩm Việt Hương</x:v>
      </x:c>
      <x:c r="O317" t="str">
        <x:v>Đình chỉ lưu hành, thu hồi và tiêu hủy – Công văn 1772/QLD-MP</x:v>
      </x:c>
      <x:c r="P317" t="str">
        <x:v>A++ – Cục Quản lý Dược; tổ chức chịu trách nhiệm explicit</x:v>
      </x:c>
      <x:c r="Q317" t="str">
        <x:v>Phụ lục 511 sản phẩm, STT 243, trang 9. Công ty Việt Hương là cơ sở sản xuất; cột tổ chức chịu trách nhiệm lấy nguyên văn từ phụ lục.</x:v>
      </x:c>
      <x:c r="R317" t="str">
        <x:v>https://dav.gov.vn/cong-van-so-1772qld-mp-ve-viec-dinh-chi-luu-hanh-thu-hoi-va-tieu-huy-my-pham-vi-pham-cong-ty-tnhh-my-pham-viet-huong-n5334.html</x:v>
      </x:c>
      <x:c r="S317" t="str">
        <x:v>Hà Nội</x:v>
      </x:c>
      <x:c r="T317" t="str">
        <x:v>01</x:v>
      </x:c>
    </x:row>
    <x:row r="318">
      <x:c r="A318" t="n">
        <x:v>317</x:v>
      </x:c>
      <x:c r="B318" s="330"/>
      <x:c r="C318" s="330" t="n">
        <x:v>46155</x:v>
      </x:c>
      <x:c r="D318" t="n">
        <x:v>2023</x:v>
      </x:c>
      <x:c r="E318"/>
      <x:c r="F318" t="str">
        <x:v>15487/23/CBMP-HN</x:v>
      </x:c>
      <x:c r="G318"/>
      <x:c r="H318" t="str">
        <x:v>Rose Body Lotion</x:v>
      </x:c>
      <x:c r="I318"/>
      <x:c r="J318" t="str">
        <x:v>Kem body</x:v>
      </x:c>
      <x:c r="K318"/>
      <x:c r="L318" t="str">
        <x:v>Công ty TNHH thương mại và dịch vụ mỹ phẩm Mộc Tuyết</x:v>
      </x:c>
      <x:c r="M318"/>
      <x:c r="N318" t="str">
        <x:v>Công ty TNHH mỹ phẩm Việt Hương</x:v>
      </x:c>
      <x:c r="O318" t="str">
        <x:v>Đình chỉ lưu hành, thu hồi và tiêu hủy – Công văn 1772/QLD-MP</x:v>
      </x:c>
      <x:c r="P318" t="str">
        <x:v>A++ – Cục Quản lý Dược; tổ chức chịu trách nhiệm explicit</x:v>
      </x:c>
      <x:c r="Q318" t="str">
        <x:v>Phụ lục 511 sản phẩm, STT 244, trang 9. Công ty Việt Hương là cơ sở sản xuất; cột tổ chức chịu trách nhiệm lấy nguyên văn từ phụ lục.</x:v>
      </x:c>
      <x:c r="R318" t="str">
        <x:v>https://dav.gov.vn/cong-van-so-1772qld-mp-ve-viec-dinh-chi-luu-hanh-thu-hoi-va-tieu-huy-my-pham-vi-pham-cong-ty-tnhh-my-pham-viet-huong-n5334.html</x:v>
      </x:c>
      <x:c r="S318" t="str">
        <x:v>Hà Nội</x:v>
      </x:c>
      <x:c r="T318" t="str">
        <x:v>01</x:v>
      </x:c>
    </x:row>
    <x:row r="319">
      <x:c r="A319" t="n">
        <x:v>318</x:v>
      </x:c>
      <x:c r="B319" s="330"/>
      <x:c r="C319" s="330" t="n">
        <x:v>46155</x:v>
      </x:c>
      <x:c r="D319" t="n">
        <x:v>2023</x:v>
      </x:c>
      <x:c r="E319"/>
      <x:c r="F319" t="str">
        <x:v>15488/23/CBMP-HN</x:v>
      </x:c>
      <x:c r="G319"/>
      <x:c r="H319" t="str">
        <x:v>Rose Body White Bath</x:v>
      </x:c>
      <x:c r="I319"/>
      <x:c r="J319" t="str">
        <x:v>Khác</x:v>
      </x:c>
      <x:c r="K319"/>
      <x:c r="L319" t="str">
        <x:v>Công ty TNHH thương mại và dịch vụ mỹ phẩm Mộc Tuyết</x:v>
      </x:c>
      <x:c r="M319"/>
      <x:c r="N319" t="str">
        <x:v>Công ty TNHH mỹ phẩm Việt Hương</x:v>
      </x:c>
      <x:c r="O319" t="str">
        <x:v>Đình chỉ lưu hành, thu hồi và tiêu hủy – Công văn 1772/QLD-MP</x:v>
      </x:c>
      <x:c r="P319" t="str">
        <x:v>A++ – Cục Quản lý Dược; tổ chức chịu trách nhiệm explicit</x:v>
      </x:c>
      <x:c r="Q319" t="str">
        <x:v>Phụ lục 511 sản phẩm, STT 245, trang 9. Công ty Việt Hương là cơ sở sản xuất; cột tổ chức chịu trách nhiệm lấy nguyên văn từ phụ lục.</x:v>
      </x:c>
      <x:c r="R319" t="str">
        <x:v>https://dav.gov.vn/cong-van-so-1772qld-mp-ve-viec-dinh-chi-luu-hanh-thu-hoi-va-tieu-huy-my-pham-vi-pham-cong-ty-tnhh-my-pham-viet-huong-n5334.html</x:v>
      </x:c>
      <x:c r="S319" t="str">
        <x:v>Hà Nội</x:v>
      </x:c>
      <x:c r="T319" t="str">
        <x:v>01</x:v>
      </x:c>
    </x:row>
    <x:row r="320">
      <x:c r="A320" t="n">
        <x:v>319</x:v>
      </x:c>
      <x:c r="B320" s="330"/>
      <x:c r="C320" s="330" t="n">
        <x:v>46155</x:v>
      </x:c>
      <x:c r="D320" t="n">
        <x:v>2023</x:v>
      </x:c>
      <x:c r="E320"/>
      <x:c r="F320" t="str">
        <x:v>15707/23/CBMP-HN</x:v>
      </x:c>
      <x:c r="G320"/>
      <x:c r="H320" t="str">
        <x:v>Hair Mist</x:v>
      </x:c>
      <x:c r="I320"/>
      <x:c r="J320" t="str">
        <x:v>Khác</x:v>
      </x:c>
      <x:c r="K320"/>
      <x:c r="L320" t="str">
        <x:v>Công ty TNHH thương mại Diệu Linh Diamond</x:v>
      </x:c>
      <x:c r="M320"/>
      <x:c r="N320" t="str">
        <x:v>Công ty TNHH mỹ phẩm Việt Hương</x:v>
      </x:c>
      <x:c r="O320" t="str">
        <x:v>Đình chỉ lưu hành, thu hồi và tiêu hủy – Công văn 1772/QLD-MP</x:v>
      </x:c>
      <x:c r="P320" t="str">
        <x:v>A++ – Cục Quản lý Dược; tổ chức chịu trách nhiệm explicit</x:v>
      </x:c>
      <x:c r="Q320" t="str">
        <x:v>Phụ lục 511 sản phẩm, STT 246, trang 9. Công ty Việt Hương là cơ sở sản xuất; cột tổ chức chịu trách nhiệm lấy nguyên văn từ phụ lục.</x:v>
      </x:c>
      <x:c r="R320" t="str">
        <x:v>https://dav.gov.vn/cong-van-so-1772qld-mp-ve-viec-dinh-chi-luu-hanh-thu-hoi-va-tieu-huy-my-pham-vi-pham-cong-ty-tnhh-my-pham-viet-huong-n5334.html</x:v>
      </x:c>
      <x:c r="S320" t="str">
        <x:v>Hà Nội</x:v>
      </x:c>
      <x:c r="T320" t="str">
        <x:v>01</x:v>
      </x:c>
    </x:row>
    <x:row r="321">
      <x:c r="A321" t="n">
        <x:v>320</x:v>
      </x:c>
      <x:c r="B321" s="330"/>
      <x:c r="C321" s="330" t="n">
        <x:v>46155</x:v>
      </x:c>
      <x:c r="D321" t="n">
        <x:v>2023</x:v>
      </x:c>
      <x:c r="E321"/>
      <x:c r="F321" t="str">
        <x:v>16370/23/CBMP-HN</x:v>
      </x:c>
      <x:c r="G321"/>
      <x:c r="H321" t="str">
        <x:v>X5 Eyelash Care</x:v>
      </x:c>
      <x:c r="I321"/>
      <x:c r="J321" t="str">
        <x:v>Khác</x:v>
      </x:c>
      <x:c r="K321"/>
      <x:c r="L321" t="str">
        <x:v>Công ty TNHH thương mại Diệu Linh Diamond</x:v>
      </x:c>
      <x:c r="M321"/>
      <x:c r="N321" t="str">
        <x:v>Công ty TNHH mỹ phẩm Việt Hương</x:v>
      </x:c>
      <x:c r="O321" t="str">
        <x:v>Đình chỉ lưu hành, thu hồi và tiêu hủy – Công văn 1772/QLD-MP</x:v>
      </x:c>
      <x:c r="P321" t="str">
        <x:v>A++ – Cục Quản lý Dược; tổ chức chịu trách nhiệm explicit</x:v>
      </x:c>
      <x:c r="Q321" t="str">
        <x:v>Phụ lục 511 sản phẩm, STT 247, trang 9. Công ty Việt Hương là cơ sở sản xuất; cột tổ chức chịu trách nhiệm lấy nguyên văn từ phụ lục.</x:v>
      </x:c>
      <x:c r="R321" t="str">
        <x:v>https://dav.gov.vn/cong-van-so-1772qld-mp-ve-viec-dinh-chi-luu-hanh-thu-hoi-va-tieu-huy-my-pham-vi-pham-cong-ty-tnhh-my-pham-viet-huong-n5334.html</x:v>
      </x:c>
      <x:c r="S321" t="str">
        <x:v>Hà Nội</x:v>
      </x:c>
      <x:c r="T321" t="str">
        <x:v>01</x:v>
      </x:c>
    </x:row>
    <x:row r="322">
      <x:c r="A322" t="n">
        <x:v>321</x:v>
      </x:c>
      <x:c r="B322" s="330"/>
      <x:c r="C322" s="330" t="n">
        <x:v>46155</x:v>
      </x:c>
      <x:c r="D322" t="n">
        <x:v>2023</x:v>
      </x:c>
      <x:c r="E322"/>
      <x:c r="F322" t="str">
        <x:v>15708/23/CBMP-HN</x:v>
      </x:c>
      <x:c r="G322"/>
      <x:c r="H322" t="str">
        <x:v>Slimfit Body</x:v>
      </x:c>
      <x:c r="I322"/>
      <x:c r="J322" t="str">
        <x:v>Khác</x:v>
      </x:c>
      <x:c r="K322"/>
      <x:c r="L322" t="str">
        <x:v>Công ty TNHH TM &amp; DV Doris Việt Nam</x:v>
      </x:c>
      <x:c r="M322"/>
      <x:c r="N322" t="str">
        <x:v>Công ty TNHH mỹ phẩm Việt Hương</x:v>
      </x:c>
      <x:c r="O322" t="str">
        <x:v>Đình chỉ lưu hành, thu hồi và tiêu hủy – Công văn 1772/QLD-MP</x:v>
      </x:c>
      <x:c r="P322" t="str">
        <x:v>A++ – Cục Quản lý Dược; tổ chức chịu trách nhiệm explicit</x:v>
      </x:c>
      <x:c r="Q322" t="str">
        <x:v>Phụ lục 511 sản phẩm, STT 248, trang 9. Công ty Việt Hương là cơ sở sản xuất; cột tổ chức chịu trách nhiệm lấy nguyên văn từ phụ lục.</x:v>
      </x:c>
      <x:c r="R322" t="str">
        <x:v>https://dav.gov.vn/cong-van-so-1772qld-mp-ve-viec-dinh-chi-luu-hanh-thu-hoi-va-tieu-huy-my-pham-vi-pham-cong-ty-tnhh-my-pham-viet-huong-n5334.html</x:v>
      </x:c>
      <x:c r="S322" t="str">
        <x:v>Hà Nội</x:v>
      </x:c>
      <x:c r="T322" t="str">
        <x:v>01</x:v>
      </x:c>
    </x:row>
    <x:row r="323">
      <x:c r="A323" t="n">
        <x:v>322</x:v>
      </x:c>
      <x:c r="B323" s="330"/>
      <x:c r="C323" s="330" t="n">
        <x:v>46155</x:v>
      </x:c>
      <x:c r="D323" t="n">
        <x:v>2023</x:v>
      </x:c>
      <x:c r="E323"/>
      <x:c r="F323" t="str">
        <x:v>15797/23/CBMP-HN</x:v>
      </x:c>
      <x:c r="G323"/>
      <x:c r="H323" t="str">
        <x:v>Sun Protection For Perfect Skin</x:v>
      </x:c>
      <x:c r="I323"/>
      <x:c r="J323" t="str">
        <x:v>Khác</x:v>
      </x:c>
      <x:c r="K323"/>
      <x:c r="L323" t="str">
        <x:v>Công ty TNHH Dược mỹ phẩm Mia Pharma</x:v>
      </x:c>
      <x:c r="M323"/>
      <x:c r="N323" t="str">
        <x:v>Công ty TNHH mỹ phẩm Việt Hương</x:v>
      </x:c>
      <x:c r="O323" t="str">
        <x:v>Đình chỉ lưu hành, thu hồi và tiêu hủy – Công văn 1772/QLD-MP</x:v>
      </x:c>
      <x:c r="P323" t="str">
        <x:v>A++ – Cục Quản lý Dược; tổ chức chịu trách nhiệm explicit</x:v>
      </x:c>
      <x:c r="Q323" t="str">
        <x:v>Phụ lục 511 sản phẩm, STT 249, trang 9. Công ty Việt Hương là cơ sở sản xuất; cột tổ chức chịu trách nhiệm lấy nguyên văn từ phụ lục.</x:v>
      </x:c>
      <x:c r="R323" t="str">
        <x:v>https://dav.gov.vn/cong-van-so-1772qld-mp-ve-viec-dinh-chi-luu-hanh-thu-hoi-va-tieu-huy-my-pham-vi-pham-cong-ty-tnhh-my-pham-viet-huong-n5334.html</x:v>
      </x:c>
      <x:c r="S323" t="str">
        <x:v>Hà Nội</x:v>
      </x:c>
      <x:c r="T323" t="str">
        <x:v>01</x:v>
      </x:c>
    </x:row>
    <x:row r="324">
      <x:c r="A324" t="n">
        <x:v>323</x:v>
      </x:c>
      <x:c r="B324" s="330"/>
      <x:c r="C324" s="330" t="n">
        <x:v>46155</x:v>
      </x:c>
      <x:c r="D324" t="n">
        <x:v>2023</x:v>
      </x:c>
      <x:c r="E324"/>
      <x:c r="F324" t="str">
        <x:v>15798/23/CBMP-HN</x:v>
      </x:c>
      <x:c r="G324"/>
      <x:c r="H324" t="str">
        <x:v>Intensive Skin Repair And Whitening</x:v>
      </x:c>
      <x:c r="I324"/>
      <x:c r="J324" t="str">
        <x:v>Khác</x:v>
      </x:c>
      <x:c r="K324"/>
      <x:c r="L324" t="str">
        <x:v>Công ty TNHH Dược mỹ phẩm Mia Pharma</x:v>
      </x:c>
      <x:c r="M324"/>
      <x:c r="N324" t="str">
        <x:v>Công ty TNHH mỹ phẩm Việt Hương</x:v>
      </x:c>
      <x:c r="O324" t="str">
        <x:v>Đình chỉ lưu hành, thu hồi và tiêu hủy – Công văn 1772/QLD-MP</x:v>
      </x:c>
      <x:c r="P324" t="str">
        <x:v>A++ – Cục Quản lý Dược; tổ chức chịu trách nhiệm explicit</x:v>
      </x:c>
      <x:c r="Q324" t="str">
        <x:v>Phụ lục 511 sản phẩm, STT 250, trang 9. Công ty Việt Hương là cơ sở sản xuất; cột tổ chức chịu trách nhiệm lấy nguyên văn từ phụ lục.</x:v>
      </x:c>
      <x:c r="R324" t="str">
        <x:v>https://dav.gov.vn/cong-van-so-1772qld-mp-ve-viec-dinh-chi-luu-hanh-thu-hoi-va-tieu-huy-my-pham-vi-pham-cong-ty-tnhh-my-pham-viet-huong-n5334.html</x:v>
      </x:c>
      <x:c r="S324" t="str">
        <x:v>Hà Nội</x:v>
      </x:c>
      <x:c r="T324" t="str">
        <x:v>01</x:v>
      </x:c>
    </x:row>
    <x:row r="325">
      <x:c r="A325" t="n">
        <x:v>324</x:v>
      </x:c>
      <x:c r="B325" s="330"/>
      <x:c r="C325" s="330" t="n">
        <x:v>46155</x:v>
      </x:c>
      <x:c r="D325" t="n">
        <x:v>2023</x:v>
      </x:c>
      <x:c r="E325"/>
      <x:c r="F325" t="str">
        <x:v>15799/23/CBMP-HN</x:v>
      </x:c>
      <x:c r="G325"/>
      <x:c r="H325" t="str">
        <x:v>Perfect Clean &amp; Soft</x:v>
      </x:c>
      <x:c r="I325"/>
      <x:c r="J325" t="str">
        <x:v>Khác</x:v>
      </x:c>
      <x:c r="K325"/>
      <x:c r="L325" t="str">
        <x:v>Công ty TNHH Dược mỹ phẩm Mia Pharma</x:v>
      </x:c>
      <x:c r="M325"/>
      <x:c r="N325" t="str">
        <x:v>Công ty TNHH mỹ phẩm Việt Hương</x:v>
      </x:c>
      <x:c r="O325" t="str">
        <x:v>Đình chỉ lưu hành, thu hồi và tiêu hủy – Công văn 1772/QLD-MP</x:v>
      </x:c>
      <x:c r="P325" t="str">
        <x:v>A++ – Cục Quản lý Dược; tổ chức chịu trách nhiệm explicit</x:v>
      </x:c>
      <x:c r="Q325" t="str">
        <x:v>Phụ lục 511 sản phẩm, STT 251, trang 10. Công ty Việt Hương là cơ sở sản xuất; cột tổ chức chịu trách nhiệm lấy nguyên văn từ phụ lục.</x:v>
      </x:c>
      <x:c r="R325" t="str">
        <x:v>https://dav.gov.vn/cong-van-so-1772qld-mp-ve-viec-dinh-chi-luu-hanh-thu-hoi-va-tieu-huy-my-pham-vi-pham-cong-ty-tnhh-my-pham-viet-huong-n5334.html</x:v>
      </x:c>
      <x:c r="S325" t="str">
        <x:v>Hà Nội</x:v>
      </x:c>
      <x:c r="T325" t="str">
        <x:v>01</x:v>
      </x:c>
    </x:row>
    <x:row r="326">
      <x:c r="A326" t="n">
        <x:v>325</x:v>
      </x:c>
      <x:c r="B326" s="330"/>
      <x:c r="C326" s="330" t="n">
        <x:v>46155</x:v>
      </x:c>
      <x:c r="D326" t="n">
        <x:v>2023</x:v>
      </x:c>
      <x:c r="E326"/>
      <x:c r="F326" t="str">
        <x:v>16264/23/CBMP-HN</x:v>
      </x:c>
      <x:c r="G326"/>
      <x:c r="H326" t="str">
        <x:v>Anti Odor Serum</x:v>
      </x:c>
      <x:c r="I326"/>
      <x:c r="J326" t="str">
        <x:v>Serum/Essence da</x:v>
      </x:c>
      <x:c r="K326"/>
      <x:c r="L326" t="str">
        <x:v>Công ty TNHH thương mại và đào tạo L.V.X</x:v>
      </x:c>
      <x:c r="M326"/>
      <x:c r="N326" t="str">
        <x:v>Công ty TNHH mỹ phẩm Việt Hương</x:v>
      </x:c>
      <x:c r="O326" t="str">
        <x:v>Đình chỉ lưu hành, thu hồi và tiêu hủy – Công văn 1772/QLD-MP</x:v>
      </x:c>
      <x:c r="P326" t="str">
        <x:v>A++ – Cục Quản lý Dược; tổ chức chịu trách nhiệm explicit</x:v>
      </x:c>
      <x:c r="Q326" t="str">
        <x:v>Phụ lục 511 sản phẩm, STT 252, trang 10. Công ty Việt Hương là cơ sở sản xuất; cột tổ chức chịu trách nhiệm lấy nguyên văn từ phụ lục.</x:v>
      </x:c>
      <x:c r="R326" t="str">
        <x:v>https://dav.gov.vn/cong-van-so-1772qld-mp-ve-viec-dinh-chi-luu-hanh-thu-hoi-va-tieu-huy-my-pham-vi-pham-cong-ty-tnhh-my-pham-viet-huong-n5334.html</x:v>
      </x:c>
      <x:c r="S326" t="str">
        <x:v>Hà Nội</x:v>
      </x:c>
      <x:c r="T326" t="str">
        <x:v>01</x:v>
      </x:c>
    </x:row>
    <x:row r="327">
      <x:c r="A327" t="n">
        <x:v>326</x:v>
      </x:c>
      <x:c r="B327" s="330"/>
      <x:c r="C327" s="330" t="n">
        <x:v>46155</x:v>
      </x:c>
      <x:c r="D327" t="n">
        <x:v>2023</x:v>
      </x:c>
      <x:c r="E327"/>
      <x:c r="F327" t="str">
        <x:v>16265/23/CBMP-HN</x:v>
      </x:c>
      <x:c r="G327"/>
      <x:c r="H327" t="str">
        <x:v>Oral Serum</x:v>
      </x:c>
      <x:c r="I327"/>
      <x:c r="J327" t="str">
        <x:v>Serum/Essence da</x:v>
      </x:c>
      <x:c r="K327"/>
      <x:c r="L327" t="str">
        <x:v>Công ty TNHH thương mại và đào tạo L.V.X</x:v>
      </x:c>
      <x:c r="M327"/>
      <x:c r="N327" t="str">
        <x:v>Công ty TNHH mỹ phẩm Việt Hương</x:v>
      </x:c>
      <x:c r="O327" t="str">
        <x:v>Đình chỉ lưu hành, thu hồi và tiêu hủy – Công văn 1772/QLD-MP</x:v>
      </x:c>
      <x:c r="P327" t="str">
        <x:v>A++ – Cục Quản lý Dược; tổ chức chịu trách nhiệm explicit</x:v>
      </x:c>
      <x:c r="Q327" t="str">
        <x:v>Phụ lục 511 sản phẩm, STT 253, trang 10. Công ty Việt Hương là cơ sở sản xuất; cột tổ chức chịu trách nhiệm lấy nguyên văn từ phụ lục.</x:v>
      </x:c>
      <x:c r="R327" t="str">
        <x:v>https://dav.gov.vn/cong-van-so-1772qld-mp-ve-viec-dinh-chi-luu-hanh-thu-hoi-va-tieu-huy-my-pham-vi-pham-cong-ty-tnhh-my-pham-viet-huong-n5334.html</x:v>
      </x:c>
      <x:c r="S327" t="str">
        <x:v>Hà Nội</x:v>
      </x:c>
      <x:c r="T327" t="str">
        <x:v>01</x:v>
      </x:c>
    </x:row>
    <x:row r="328">
      <x:c r="A328" t="n">
        <x:v>327</x:v>
      </x:c>
      <x:c r="B328" s="330"/>
      <x:c r="C328" s="330" t="n">
        <x:v>46155</x:v>
      </x:c>
      <x:c r="D328" t="n">
        <x:v>2023</x:v>
      </x:c>
      <x:c r="E328"/>
      <x:c r="F328" t="str">
        <x:v>17587/23/CBMP-HN</x:v>
      </x:c>
      <x:c r="G328"/>
      <x:c r="H328" t="str">
        <x:v>Perfect Whitening Scrub</x:v>
      </x:c>
      <x:c r="I328"/>
      <x:c r="J328" t="str">
        <x:v>Khác</x:v>
      </x:c>
      <x:c r="K328"/>
      <x:c r="L328" t="str">
        <x:v>Công ty TNHH thương mại và đào tạo L.V.X</x:v>
      </x:c>
      <x:c r="M328"/>
      <x:c r="N328" t="str">
        <x:v>Công ty TNHH mỹ phẩm Việt Hương</x:v>
      </x:c>
      <x:c r="O328" t="str">
        <x:v>Đình chỉ lưu hành, thu hồi và tiêu hủy – Công văn 1772/QLD-MP</x:v>
      </x:c>
      <x:c r="P328" t="str">
        <x:v>A++ – Cục Quản lý Dược; tổ chức chịu trách nhiệm explicit</x:v>
      </x:c>
      <x:c r="Q328" t="str">
        <x:v>Phụ lục 511 sản phẩm, STT 254, trang 10. Công ty Việt Hương là cơ sở sản xuất; cột tổ chức chịu trách nhiệm lấy nguyên văn từ phụ lục.</x:v>
      </x:c>
      <x:c r="R328" t="str">
        <x:v>https://dav.gov.vn/cong-van-so-1772qld-mp-ve-viec-dinh-chi-luu-hanh-thu-hoi-va-tieu-huy-my-pham-vi-pham-cong-ty-tnhh-my-pham-viet-huong-n5334.html</x:v>
      </x:c>
      <x:c r="S328" t="str">
        <x:v>Hà Nội</x:v>
      </x:c>
      <x:c r="T328" t="str">
        <x:v>01</x:v>
      </x:c>
    </x:row>
    <x:row r="329">
      <x:c r="A329" t="n">
        <x:v>328</x:v>
      </x:c>
      <x:c r="B329" s="330"/>
      <x:c r="C329" s="330" t="n">
        <x:v>46155</x:v>
      </x:c>
      <x:c r="D329" t="n">
        <x:v>2023</x:v>
      </x:c>
      <x:c r="E329"/>
      <x:c r="F329" t="str">
        <x:v>17588/23/CBMP-HN</x:v>
      </x:c>
      <x:c r="G329"/>
      <x:c r="H329" t="str">
        <x:v>Perfect Whitening Mist</x:v>
      </x:c>
      <x:c r="I329"/>
      <x:c r="J329" t="str">
        <x:v>Khác</x:v>
      </x:c>
      <x:c r="K329"/>
      <x:c r="L329" t="str">
        <x:v>Công ty TNHH thương mại và đào tạo L.V.X</x:v>
      </x:c>
      <x:c r="M329"/>
      <x:c r="N329" t="str">
        <x:v>Công ty TNHH mỹ phẩm Việt Hương</x:v>
      </x:c>
      <x:c r="O329" t="str">
        <x:v>Đình chỉ lưu hành, thu hồi và tiêu hủy – Công văn 1772/QLD-MP</x:v>
      </x:c>
      <x:c r="P329" t="str">
        <x:v>A++ – Cục Quản lý Dược; tổ chức chịu trách nhiệm explicit</x:v>
      </x:c>
      <x:c r="Q329" t="str">
        <x:v>Phụ lục 511 sản phẩm, STT 255, trang 10. Công ty Việt Hương là cơ sở sản xuất; cột tổ chức chịu trách nhiệm lấy nguyên văn từ phụ lục.</x:v>
      </x:c>
      <x:c r="R329" t="str">
        <x:v>https://dav.gov.vn/cong-van-so-1772qld-mp-ve-viec-dinh-chi-luu-hanh-thu-hoi-va-tieu-huy-my-pham-vi-pham-cong-ty-tnhh-my-pham-viet-huong-n5334.html</x:v>
      </x:c>
      <x:c r="S329" t="str">
        <x:v>Hà Nội</x:v>
      </x:c>
      <x:c r="T329" t="str">
        <x:v>01</x:v>
      </x:c>
    </x:row>
    <x:row r="330">
      <x:c r="A330" t="n">
        <x:v>329</x:v>
      </x:c>
      <x:c r="B330" s="330"/>
      <x:c r="C330" s="330" t="n">
        <x:v>46155</x:v>
      </x:c>
      <x:c r="D330" t="n">
        <x:v>2023</x:v>
      </x:c>
      <x:c r="E330"/>
      <x:c r="F330" t="str">
        <x:v>16660/23/CBMP-HN</x:v>
      </x:c>
      <x:c r="G330"/>
      <x:c r="H330" t="str">
        <x:v>Serum hôi nách</x:v>
      </x:c>
      <x:c r="I330"/>
      <x:c r="J330" t="str">
        <x:v>Khử mùi</x:v>
      </x:c>
      <x:c r="K330"/>
      <x:c r="L330" t="str">
        <x:v>Công ty TNHH thiết kế thi công xây dựng hoàn thiện</x:v>
      </x:c>
      <x:c r="M330"/>
      <x:c r="N330" t="str">
        <x:v>Công ty TNHH mỹ phẩm Việt Hương</x:v>
      </x:c>
      <x:c r="O330" t="str">
        <x:v>Đình chỉ lưu hành, thu hồi và tiêu hủy – Công văn 1772/QLD-MP</x:v>
      </x:c>
      <x:c r="P330" t="str">
        <x:v>A++ – Cục Quản lý Dược; tổ chức chịu trách nhiệm explicit</x:v>
      </x:c>
      <x:c r="Q330" t="str">
        <x:v>Phụ lục 511 sản phẩm, STT 256, trang 10. Công ty Việt Hương là cơ sở sản xuất; cột tổ chức chịu trách nhiệm lấy nguyên văn từ phụ lục.</x:v>
      </x:c>
      <x:c r="R330" t="str">
        <x:v>https://dav.gov.vn/cong-van-so-1772qld-mp-ve-viec-dinh-chi-luu-hanh-thu-hoi-va-tieu-huy-my-pham-vi-pham-cong-ty-tnhh-my-pham-viet-huong-n5334.html</x:v>
      </x:c>
      <x:c r="S330" t="str">
        <x:v>Hà Nội</x:v>
      </x:c>
      <x:c r="T330" t="str">
        <x:v>01</x:v>
      </x:c>
    </x:row>
    <x:row r="331">
      <x:c r="A331" t="n">
        <x:v>330</x:v>
      </x:c>
      <x:c r="B331" s="330"/>
      <x:c r="C331" s="330" t="n">
        <x:v>46155</x:v>
      </x:c>
      <x:c r="D331" t="n">
        <x:v>2023</x:v>
      </x:c>
      <x:c r="E331"/>
      <x:c r="F331" t="str">
        <x:v>16784/23/CBMP-HN</x:v>
      </x:c>
      <x:c r="G331"/>
      <x:c r="H331" t="str">
        <x:v>Armpit Serum</x:v>
      </x:c>
      <x:c r="I331"/>
      <x:c r="J331" t="str">
        <x:v>Serum/Essence da</x:v>
      </x:c>
      <x:c r="K331"/>
      <x:c r="L331" t="str">
        <x:v>Công ty TNHH Hạnh Triệu</x:v>
      </x:c>
      <x:c r="M331"/>
      <x:c r="N331" t="str">
        <x:v>Công ty TNHH mỹ phẩm Việt Hương</x:v>
      </x:c>
      <x:c r="O331" t="str">
        <x:v>Đình chỉ lưu hành, thu hồi và tiêu hủy – Công văn 1772/QLD-MP</x:v>
      </x:c>
      <x:c r="P331" t="str">
        <x:v>A++ – Cục Quản lý Dược; tổ chức chịu trách nhiệm explicit</x:v>
      </x:c>
      <x:c r="Q331" t="str">
        <x:v>Phụ lục 511 sản phẩm, STT 257, trang 10. Công ty Việt Hương là cơ sở sản xuất; cột tổ chức chịu trách nhiệm lấy nguyên văn từ phụ lục.</x:v>
      </x:c>
      <x:c r="R331" t="str">
        <x:v>https://dav.gov.vn/cong-van-so-1772qld-mp-ve-viec-dinh-chi-luu-hanh-thu-hoi-va-tieu-huy-my-pham-vi-pham-cong-ty-tnhh-my-pham-viet-huong-n5334.html</x:v>
      </x:c>
      <x:c r="S331" t="str">
        <x:v>Hà Nội</x:v>
      </x:c>
      <x:c r="T331" t="str">
        <x:v>01</x:v>
      </x:c>
    </x:row>
    <x:row r="332">
      <x:c r="A332" t="n">
        <x:v>331</x:v>
      </x:c>
      <x:c r="B332" s="330"/>
      <x:c r="C332" s="330" t="n">
        <x:v>46155</x:v>
      </x:c>
      <x:c r="D332" t="n">
        <x:v>2023</x:v>
      </x:c>
      <x:c r="E332"/>
      <x:c r="F332" t="str">
        <x:v>17125/23/CBMP-HN</x:v>
      </x:c>
      <x:c r="G332"/>
      <x:c r="H332" t="str">
        <x:v>Sữa rửa mặt tạo bọt Bồ Hòn</x:v>
      </x:c>
      <x:c r="I332"/>
      <x:c r="J332" t="str">
        <x:v>Sữa rửa mặt</x:v>
      </x:c>
      <x:c r="K332"/>
      <x:c r="L332" t="str">
        <x:v>Công ty TNHH Menberry</x:v>
      </x:c>
      <x:c r="M332"/>
      <x:c r="N332" t="str">
        <x:v>Công ty TNHH mỹ phẩm Việt Hương</x:v>
      </x:c>
      <x:c r="O332" t="str">
        <x:v>Đình chỉ lưu hành, thu hồi và tiêu hủy – Công văn 1772/QLD-MP</x:v>
      </x:c>
      <x:c r="P332" t="str">
        <x:v>A++ – Cục Quản lý Dược; tổ chức chịu trách nhiệm explicit</x:v>
      </x:c>
      <x:c r="Q332" t="str">
        <x:v>Phụ lục 511 sản phẩm, STT 258, trang 10. Công ty Việt Hương là cơ sở sản xuất; cột tổ chức chịu trách nhiệm lấy nguyên văn từ phụ lục.</x:v>
      </x:c>
      <x:c r="R332" t="str">
        <x:v>https://dav.gov.vn/cong-van-so-1772qld-mp-ve-viec-dinh-chi-luu-hanh-thu-hoi-va-tieu-huy-my-pham-vi-pham-cong-ty-tnhh-my-pham-viet-huong-n5334.html</x:v>
      </x:c>
      <x:c r="S332" t="str">
        <x:v>Hà Nội</x:v>
      </x:c>
      <x:c r="T332" t="str">
        <x:v>01</x:v>
      </x:c>
    </x:row>
    <x:row r="333">
      <x:c r="A333" t="n">
        <x:v>332</x:v>
      </x:c>
      <x:c r="B333" s="330"/>
      <x:c r="C333" s="330" t="n">
        <x:v>46155</x:v>
      </x:c>
      <x:c r="D333" t="n">
        <x:v>2023</x:v>
      </x:c>
      <x:c r="E333"/>
      <x:c r="F333" t="str">
        <x:v>17285/23/CBMP-HN</x:v>
      </x:c>
      <x:c r="G333"/>
      <x:c r="H333" t="str">
        <x:v>Collagen Lips Balm</x:v>
      </x:c>
      <x:c r="I333"/>
      <x:c r="J333" t="str">
        <x:v>Sản phẩm môi</x:v>
      </x:c>
      <x:c r="K333"/>
      <x:c r="L333" t="str">
        <x:v>Công ty TNHH Regally</x:v>
      </x:c>
      <x:c r="M333"/>
      <x:c r="N333" t="str">
        <x:v>Công ty TNHH mỹ phẩm Việt Hương</x:v>
      </x:c>
      <x:c r="O333" t="str">
        <x:v>Đình chỉ lưu hành, thu hồi và tiêu hủy – Công văn 1772/QLD-MP</x:v>
      </x:c>
      <x:c r="P333" t="str">
        <x:v>A++ – Cục Quản lý Dược; tổ chức chịu trách nhiệm explicit</x:v>
      </x:c>
      <x:c r="Q333" t="str">
        <x:v>Phụ lục 511 sản phẩm, STT 259, trang 10. Công ty Việt Hương là cơ sở sản xuất; cột tổ chức chịu trách nhiệm lấy nguyên văn từ phụ lục.</x:v>
      </x:c>
      <x:c r="R333" t="str">
        <x:v>https://dav.gov.vn/cong-van-so-1772qld-mp-ve-viec-dinh-chi-luu-hanh-thu-hoi-va-tieu-huy-my-pham-vi-pham-cong-ty-tnhh-my-pham-viet-huong-n5334.html</x:v>
      </x:c>
      <x:c r="S333" t="str">
        <x:v>Hà Nội</x:v>
      </x:c>
      <x:c r="T333" t="str">
        <x:v>01</x:v>
      </x:c>
    </x:row>
    <x:row r="334">
      <x:c r="A334" t="n">
        <x:v>333</x:v>
      </x:c>
      <x:c r="B334" s="330"/>
      <x:c r="C334" s="330" t="n">
        <x:v>46155</x:v>
      </x:c>
      <x:c r="D334" t="n">
        <x:v>2023</x:v>
      </x:c>
      <x:c r="E334"/>
      <x:c r="F334" t="str">
        <x:v>17290/23/CBMP-HN</x:v>
      </x:c>
      <x:c r="G334"/>
      <x:c r="H334" t="str">
        <x:v>La Belle Vie Scents</x:v>
      </x:c>
      <x:c r="I334"/>
      <x:c r="J334" t="str">
        <x:v>Khác</x:v>
      </x:c>
      <x:c r="K334"/>
      <x:c r="L334" t="str">
        <x:v>Công ty cổ phần tập đoàn The World</x:v>
      </x:c>
      <x:c r="M334"/>
      <x:c r="N334" t="str">
        <x:v>Công ty TNHH mỹ phẩm Việt Hương</x:v>
      </x:c>
      <x:c r="O334" t="str">
        <x:v>Đình chỉ lưu hành, thu hồi và tiêu hủy – Công văn 1772/QLD-MP</x:v>
      </x:c>
      <x:c r="P334" t="str">
        <x:v>A++ – Cục Quản lý Dược; tổ chức chịu trách nhiệm explicit</x:v>
      </x:c>
      <x:c r="Q334" t="str">
        <x:v>Phụ lục 511 sản phẩm, STT 260, trang 10. Công ty Việt Hương là cơ sở sản xuất; cột tổ chức chịu trách nhiệm lấy nguyên văn từ phụ lục.</x:v>
      </x:c>
      <x:c r="R334" t="str">
        <x:v>https://dav.gov.vn/cong-van-so-1772qld-mp-ve-viec-dinh-chi-luu-hanh-thu-hoi-va-tieu-huy-my-pham-vi-pham-cong-ty-tnhh-my-pham-viet-huong-n5334.html</x:v>
      </x:c>
      <x:c r="S334" t="str">
        <x:v>Hà Nội</x:v>
      </x:c>
      <x:c r="T334" t="str">
        <x:v>01</x:v>
      </x:c>
    </x:row>
    <x:row r="335">
      <x:c r="A335" t="n">
        <x:v>334</x:v>
      </x:c>
      <x:c r="B335" s="330"/>
      <x:c r="C335" s="330" t="n">
        <x:v>46155</x:v>
      </x:c>
      <x:c r="D335" t="n">
        <x:v>2023</x:v>
      </x:c>
      <x:c r="E335"/>
      <x:c r="F335" t="str">
        <x:v>17291/23/CBMP-HN</x:v>
      </x:c>
      <x:c r="G335"/>
      <x:c r="H335" t="str">
        <x:v>Narciso Her Scents</x:v>
      </x:c>
      <x:c r="I335"/>
      <x:c r="J335" t="str">
        <x:v>Khác</x:v>
      </x:c>
      <x:c r="K335"/>
      <x:c r="L335" t="str">
        <x:v>Công ty cổ phần tập đoàn The World</x:v>
      </x:c>
      <x:c r="M335"/>
      <x:c r="N335" t="str">
        <x:v>Công ty TNHH mỹ phẩm Việt Hương</x:v>
      </x:c>
      <x:c r="O335" t="str">
        <x:v>Đình chỉ lưu hành, thu hồi và tiêu hủy – Công văn 1772/QLD-MP</x:v>
      </x:c>
      <x:c r="P335" t="str">
        <x:v>A++ – Cục Quản lý Dược; tổ chức chịu trách nhiệm explicit</x:v>
      </x:c>
      <x:c r="Q335" t="str">
        <x:v>Phụ lục 511 sản phẩm, STT 261, trang 10. Công ty Việt Hương là cơ sở sản xuất; cột tổ chức chịu trách nhiệm lấy nguyên văn từ phụ lục.</x:v>
      </x:c>
      <x:c r="R335" t="str">
        <x:v>https://dav.gov.vn/cong-van-so-1772qld-mp-ve-viec-dinh-chi-luu-hanh-thu-hoi-va-tieu-huy-my-pham-vi-pham-cong-ty-tnhh-my-pham-viet-huong-n5334.html</x:v>
      </x:c>
      <x:c r="S335" t="str">
        <x:v>Hà Nội</x:v>
      </x:c>
      <x:c r="T335" t="str">
        <x:v>01</x:v>
      </x:c>
    </x:row>
    <x:row r="336">
      <x:c r="A336" t="n">
        <x:v>335</x:v>
      </x:c>
      <x:c r="B336" s="330"/>
      <x:c r="C336" s="330" t="n">
        <x:v>46155</x:v>
      </x:c>
      <x:c r="D336" t="n">
        <x:v>2023</x:v>
      </x:c>
      <x:c r="E336"/>
      <x:c r="F336" t="str">
        <x:v>17292/23/CBMP-HN</x:v>
      </x:c>
      <x:c r="G336"/>
      <x:c r="H336" t="str">
        <x:v>Coco Scents</x:v>
      </x:c>
      <x:c r="I336"/>
      <x:c r="J336" t="str">
        <x:v>Khác</x:v>
      </x:c>
      <x:c r="K336"/>
      <x:c r="L336" t="str">
        <x:v>Công ty cổ phần tập đoàn The World</x:v>
      </x:c>
      <x:c r="M336"/>
      <x:c r="N336" t="str">
        <x:v>Công ty TNHH mỹ phẩm Việt Hương</x:v>
      </x:c>
      <x:c r="O336" t="str">
        <x:v>Đình chỉ lưu hành, thu hồi và tiêu hủy – Công văn 1772/QLD-MP</x:v>
      </x:c>
      <x:c r="P336" t="str">
        <x:v>A++ – Cục Quản lý Dược; tổ chức chịu trách nhiệm explicit</x:v>
      </x:c>
      <x:c r="Q336" t="str">
        <x:v>Phụ lục 511 sản phẩm, STT 262, trang 10. Công ty Việt Hương là cơ sở sản xuất; cột tổ chức chịu trách nhiệm lấy nguyên văn từ phụ lục.</x:v>
      </x:c>
      <x:c r="R336" t="str">
        <x:v>https://dav.gov.vn/cong-van-so-1772qld-mp-ve-viec-dinh-chi-luu-hanh-thu-hoi-va-tieu-huy-my-pham-vi-pham-cong-ty-tnhh-my-pham-viet-huong-n5334.html</x:v>
      </x:c>
      <x:c r="S336" t="str">
        <x:v>Hà Nội</x:v>
      </x:c>
      <x:c r="T336" t="str">
        <x:v>01</x:v>
      </x:c>
    </x:row>
    <x:row r="337">
      <x:c r="A337" t="n">
        <x:v>336</x:v>
      </x:c>
      <x:c r="B337" s="330"/>
      <x:c r="C337" s="330" t="n">
        <x:v>46155</x:v>
      </x:c>
      <x:c r="D337" t="n">
        <x:v>2023</x:v>
      </x:c>
      <x:c r="E337"/>
      <x:c r="F337" t="str">
        <x:v>17293/23/CBMP-HN</x:v>
      </x:c>
      <x:c r="G337"/>
      <x:c r="H337" t="str">
        <x:v>Good Girl Scents</x:v>
      </x:c>
      <x:c r="I337"/>
      <x:c r="J337" t="str">
        <x:v>Khác</x:v>
      </x:c>
      <x:c r="K337"/>
      <x:c r="L337" t="str">
        <x:v>Công ty cổ phần tập đoàn The World</x:v>
      </x:c>
      <x:c r="M337"/>
      <x:c r="N337" t="str">
        <x:v>Công ty TNHH mỹ phẩm Việt Hương</x:v>
      </x:c>
      <x:c r="O337" t="str">
        <x:v>Đình chỉ lưu hành, thu hồi và tiêu hủy – Công văn 1772/QLD-MP</x:v>
      </x:c>
      <x:c r="P337" t="str">
        <x:v>A++ – Cục Quản lý Dược; tổ chức chịu trách nhiệm explicit</x:v>
      </x:c>
      <x:c r="Q337" t="str">
        <x:v>Phụ lục 511 sản phẩm, STT 263, trang 10. Công ty Việt Hương là cơ sở sản xuất; cột tổ chức chịu trách nhiệm lấy nguyên văn từ phụ lục.</x:v>
      </x:c>
      <x:c r="R337" t="str">
        <x:v>https://dav.gov.vn/cong-van-so-1772qld-mp-ve-viec-dinh-chi-luu-hanh-thu-hoi-va-tieu-huy-my-pham-vi-pham-cong-ty-tnhh-my-pham-viet-huong-n5334.html</x:v>
      </x:c>
      <x:c r="S337" t="str">
        <x:v>Hà Nội</x:v>
      </x:c>
      <x:c r="T337" t="str">
        <x:v>01</x:v>
      </x:c>
    </x:row>
    <x:row r="338">
      <x:c r="A338" t="n">
        <x:v>337</x:v>
      </x:c>
      <x:c r="B338" s="330"/>
      <x:c r="C338" s="330" t="n">
        <x:v>46155</x:v>
      </x:c>
      <x:c r="D338" t="n">
        <x:v>2023</x:v>
      </x:c>
      <x:c r="E338"/>
      <x:c r="F338" t="str">
        <x:v>17294/23/CBMP-HN</x:v>
      </x:c>
      <x:c r="G338"/>
      <x:c r="H338" t="str">
        <x:v>Scandal Scents</x:v>
      </x:c>
      <x:c r="I338"/>
      <x:c r="J338" t="str">
        <x:v>Khác</x:v>
      </x:c>
      <x:c r="K338"/>
      <x:c r="L338" t="str">
        <x:v>Công ty cổ phần tập đoàn The World</x:v>
      </x:c>
      <x:c r="M338"/>
      <x:c r="N338" t="str">
        <x:v>Công ty TNHH mỹ phẩm Việt Hương</x:v>
      </x:c>
      <x:c r="O338" t="str">
        <x:v>Đình chỉ lưu hành, thu hồi và tiêu hủy – Công văn 1772/QLD-MP</x:v>
      </x:c>
      <x:c r="P338" t="str">
        <x:v>A++ – Cục Quản lý Dược; tổ chức chịu trách nhiệm explicit</x:v>
      </x:c>
      <x:c r="Q338" t="str">
        <x:v>Phụ lục 511 sản phẩm, STT 264, trang 10. Công ty Việt Hương là cơ sở sản xuất; cột tổ chức chịu trách nhiệm lấy nguyên văn từ phụ lục.</x:v>
      </x:c>
      <x:c r="R338" t="str">
        <x:v>https://dav.gov.vn/cong-van-so-1772qld-mp-ve-viec-dinh-chi-luu-hanh-thu-hoi-va-tieu-huy-my-pham-vi-pham-cong-ty-tnhh-my-pham-viet-huong-n5334.html</x:v>
      </x:c>
      <x:c r="S338" t="str">
        <x:v>Hà Nội</x:v>
      </x:c>
      <x:c r="T338" t="str">
        <x:v>01</x:v>
      </x:c>
    </x:row>
    <x:row r="339">
      <x:c r="A339" t="n">
        <x:v>338</x:v>
      </x:c>
      <x:c r="B339" s="330"/>
      <x:c r="C339" s="330" t="n">
        <x:v>46155</x:v>
      </x:c>
      <x:c r="D339" t="n">
        <x:v>2023</x:v>
      </x:c>
      <x:c r="E339"/>
      <x:c r="F339" t="str">
        <x:v>17428/23/CBMP-HN</x:v>
      </x:c>
      <x:c r="G339"/>
      <x:c r="H339" t="str">
        <x:v>AHA Skin Peel</x:v>
      </x:c>
      <x:c r="I339"/>
      <x:c r="J339" t="str">
        <x:v>Khác</x:v>
      </x:c>
      <x:c r="K339"/>
      <x:c r="L339" t="str">
        <x:v>Công ty TNHH GDT Korea</x:v>
      </x:c>
      <x:c r="M339"/>
      <x:c r="N339" t="str">
        <x:v>Công ty TNHH mỹ phẩm Việt Hương</x:v>
      </x:c>
      <x:c r="O339" t="str">
        <x:v>Đình chỉ lưu hành, thu hồi và tiêu hủy – Công văn 1772/QLD-MP</x:v>
      </x:c>
      <x:c r="P339" t="str">
        <x:v>A++ – Cục Quản lý Dược; tổ chức chịu trách nhiệm explicit</x:v>
      </x:c>
      <x:c r="Q339" t="str">
        <x:v>Phụ lục 511 sản phẩm, STT 265, trang 10. Công ty Việt Hương là cơ sở sản xuất; cột tổ chức chịu trách nhiệm lấy nguyên văn từ phụ lục.</x:v>
      </x:c>
      <x:c r="R339" t="str">
        <x:v>https://dav.gov.vn/cong-van-so-1772qld-mp-ve-viec-dinh-chi-luu-hanh-thu-hoi-va-tieu-huy-my-pham-vi-pham-cong-ty-tnhh-my-pham-viet-huong-n5334.html</x:v>
      </x:c>
      <x:c r="S339" t="str">
        <x:v>Hà Nội</x:v>
      </x:c>
      <x:c r="T339" t="str">
        <x:v>01</x:v>
      </x:c>
    </x:row>
    <x:row r="340">
      <x:c r="A340" t="n">
        <x:v>339</x:v>
      </x:c>
      <x:c r="B340" s="330"/>
      <x:c r="C340" s="330" t="n">
        <x:v>46155</x:v>
      </x:c>
      <x:c r="D340" t="n">
        <x:v>2023</x:v>
      </x:c>
      <x:c r="E340"/>
      <x:c r="F340" t="str">
        <x:v>17429/23/CBMP-HN</x:v>
      </x:c>
      <x:c r="G340"/>
      <x:c r="H340" t="str">
        <x:v>Melasma Serum</x:v>
      </x:c>
      <x:c r="I340"/>
      <x:c r="J340" t="str">
        <x:v>Serum/Essence da</x:v>
      </x:c>
      <x:c r="K340"/>
      <x:c r="L340" t="str">
        <x:v>Công ty TNHH GDT Korea</x:v>
      </x:c>
      <x:c r="M340"/>
      <x:c r="N340" t="str">
        <x:v>Công ty TNHH mỹ phẩm Việt Hương</x:v>
      </x:c>
      <x:c r="O340" t="str">
        <x:v>Đình chỉ lưu hành, thu hồi và tiêu hủy – Công văn 1772/QLD-MP</x:v>
      </x:c>
      <x:c r="P340" t="str">
        <x:v>A++ – Cục Quản lý Dược; tổ chức chịu trách nhiệm explicit</x:v>
      </x:c>
      <x:c r="Q340" t="str">
        <x:v>Phụ lục 511 sản phẩm, STT 266, trang 10. Công ty Việt Hương là cơ sở sản xuất; cột tổ chức chịu trách nhiệm lấy nguyên văn từ phụ lục.</x:v>
      </x:c>
      <x:c r="R340" t="str">
        <x:v>https://dav.gov.vn/cong-van-so-1772qld-mp-ve-viec-dinh-chi-luu-hanh-thu-hoi-va-tieu-huy-my-pham-vi-pham-cong-ty-tnhh-my-pham-viet-huong-n5334.html</x:v>
      </x:c>
      <x:c r="S340" t="str">
        <x:v>Hà Nội</x:v>
      </x:c>
      <x:c r="T340" t="str">
        <x:v>01</x:v>
      </x:c>
    </x:row>
    <x:row r="341">
      <x:c r="A341" t="n">
        <x:v>340</x:v>
      </x:c>
      <x:c r="B341" s="330"/>
      <x:c r="C341" s="330" t="n">
        <x:v>46155</x:v>
      </x:c>
      <x:c r="D341" t="n">
        <x:v>2023</x:v>
      </x:c>
      <x:c r="E341"/>
      <x:c r="F341" t="str">
        <x:v>17430/23/CBMP-HN</x:v>
      </x:c>
      <x:c r="G341"/>
      <x:c r="H341" t="str">
        <x:v>Melasma Day Cream</x:v>
      </x:c>
      <x:c r="I341"/>
      <x:c r="J341" t="str">
        <x:v>Kem dưỡng da</x:v>
      </x:c>
      <x:c r="K341"/>
      <x:c r="L341" t="str">
        <x:v>Công ty TNHH GDT Korea</x:v>
      </x:c>
      <x:c r="M341"/>
      <x:c r="N341" t="str">
        <x:v>Công ty TNHH mỹ phẩm Việt Hương</x:v>
      </x:c>
      <x:c r="O341" t="str">
        <x:v>Đình chỉ lưu hành, thu hồi và tiêu hủy – Công văn 1772/QLD-MP</x:v>
      </x:c>
      <x:c r="P341" t="str">
        <x:v>A++ – Cục Quản lý Dược; tổ chức chịu trách nhiệm explicit</x:v>
      </x:c>
      <x:c r="Q341" t="str">
        <x:v>Phụ lục 511 sản phẩm, STT 267, trang 10. Công ty Việt Hương là cơ sở sản xuất; cột tổ chức chịu trách nhiệm lấy nguyên văn từ phụ lục.</x:v>
      </x:c>
      <x:c r="R341" t="str">
        <x:v>https://dav.gov.vn/cong-van-so-1772qld-mp-ve-viec-dinh-chi-luu-hanh-thu-hoi-va-tieu-huy-my-pham-vi-pham-cong-ty-tnhh-my-pham-viet-huong-n5334.html</x:v>
      </x:c>
      <x:c r="S341" t="str">
        <x:v>Hà Nội</x:v>
      </x:c>
      <x:c r="T341" t="str">
        <x:v>01</x:v>
      </x:c>
    </x:row>
    <x:row r="342">
      <x:c r="A342" t="n">
        <x:v>341</x:v>
      </x:c>
      <x:c r="B342" s="330"/>
      <x:c r="C342" s="330" t="n">
        <x:v>46155</x:v>
      </x:c>
      <x:c r="D342" t="n">
        <x:v>2023</x:v>
      </x:c>
      <x:c r="E342"/>
      <x:c r="F342" t="str">
        <x:v>17431/23/CBMP-HN</x:v>
      </x:c>
      <x:c r="G342"/>
      <x:c r="H342" t="str">
        <x:v>Melasma Night Cream</x:v>
      </x:c>
      <x:c r="I342"/>
      <x:c r="J342" t="str">
        <x:v>Kem dưỡng da</x:v>
      </x:c>
      <x:c r="K342"/>
      <x:c r="L342" t="str">
        <x:v>Công ty TNHH GDT Korea</x:v>
      </x:c>
      <x:c r="M342"/>
      <x:c r="N342" t="str">
        <x:v>Công ty TNHH mỹ phẩm Việt Hương</x:v>
      </x:c>
      <x:c r="O342" t="str">
        <x:v>Đình chỉ lưu hành, thu hồi và tiêu hủy – Công văn 1772/QLD-MP</x:v>
      </x:c>
      <x:c r="P342" t="str">
        <x:v>A++ – Cục Quản lý Dược; tổ chức chịu trách nhiệm explicit</x:v>
      </x:c>
      <x:c r="Q342" t="str">
        <x:v>Phụ lục 511 sản phẩm, STT 268, trang 10. Công ty Việt Hương là cơ sở sản xuất; cột tổ chức chịu trách nhiệm lấy nguyên văn từ phụ lục.</x:v>
      </x:c>
      <x:c r="R342" t="str">
        <x:v>https://dav.gov.vn/cong-van-so-1772qld-mp-ve-viec-dinh-chi-luu-hanh-thu-hoi-va-tieu-huy-my-pham-vi-pham-cong-ty-tnhh-my-pham-viet-huong-n5334.html</x:v>
      </x:c>
      <x:c r="S342" t="str">
        <x:v>Hà Nội</x:v>
      </x:c>
      <x:c r="T342" t="str">
        <x:v>01</x:v>
      </x:c>
    </x:row>
    <x:row r="343">
      <x:c r="A343" t="n">
        <x:v>342</x:v>
      </x:c>
      <x:c r="B343" s="330"/>
      <x:c r="C343" s="330" t="n">
        <x:v>46155</x:v>
      </x:c>
      <x:c r="D343" t="n">
        <x:v>2023</x:v>
      </x:c>
      <x:c r="E343"/>
      <x:c r="F343" t="str">
        <x:v>18454/23/CBMP-HN</x:v>
      </x:c>
      <x:c r="G343"/>
      <x:c r="H343" t="str">
        <x:v>Pro-Acne 5in1 Serum</x:v>
      </x:c>
      <x:c r="I343"/>
      <x:c r="J343" t="str">
        <x:v>Serum/Essence da</x:v>
      </x:c>
      <x:c r="K343"/>
      <x:c r="L343" t="str">
        <x:v>Công ty TNHH GDT Korea</x:v>
      </x:c>
      <x:c r="M343"/>
      <x:c r="N343" t="str">
        <x:v>Công ty TNHH mỹ phẩm Việt Hương</x:v>
      </x:c>
      <x:c r="O343" t="str">
        <x:v>Đình chỉ lưu hành, thu hồi và tiêu hủy – Công văn 1772/QLD-MP</x:v>
      </x:c>
      <x:c r="P343" t="str">
        <x:v>A++ – Cục Quản lý Dược; tổ chức chịu trách nhiệm explicit</x:v>
      </x:c>
      <x:c r="Q343" t="str">
        <x:v>Phụ lục 511 sản phẩm, STT 269, trang 10. Công ty Việt Hương là cơ sở sản xuất; cột tổ chức chịu trách nhiệm lấy nguyên văn từ phụ lục.</x:v>
      </x:c>
      <x:c r="R343" t="str">
        <x:v>https://dav.gov.vn/cong-van-so-1772qld-mp-ve-viec-dinh-chi-luu-hanh-thu-hoi-va-tieu-huy-my-pham-vi-pham-cong-ty-tnhh-my-pham-viet-huong-n5334.html</x:v>
      </x:c>
      <x:c r="S343" t="str">
        <x:v>Hà Nội</x:v>
      </x:c>
      <x:c r="T343" t="str">
        <x:v>01</x:v>
      </x:c>
    </x:row>
    <x:row r="344">
      <x:c r="A344" t="n">
        <x:v>343</x:v>
      </x:c>
      <x:c r="B344" s="330"/>
      <x:c r="C344" s="330" t="n">
        <x:v>46155</x:v>
      </x:c>
      <x:c r="D344" t="n">
        <x:v>2024</x:v>
      </x:c>
      <x:c r="E344"/>
      <x:c r="F344" t="str">
        <x:v>20366/24/CBMP-HN</x:v>
      </x:c>
      <x:c r="G344"/>
      <x:c r="H344" t="str">
        <x:v>Brightening Body Cream</x:v>
      </x:c>
      <x:c r="I344"/>
      <x:c r="J344" t="str">
        <x:v>Kem body</x:v>
      </x:c>
      <x:c r="K344"/>
      <x:c r="L344" t="str">
        <x:v>Công ty TNHH GDT Korea</x:v>
      </x:c>
      <x:c r="M344"/>
      <x:c r="N344" t="str">
        <x:v>Công ty TNHH mỹ phẩm Việt Hương</x:v>
      </x:c>
      <x:c r="O344" t="str">
        <x:v>Đình chỉ lưu hành, thu hồi và tiêu hủy – Công văn 1772/QLD-MP</x:v>
      </x:c>
      <x:c r="P344" t="str">
        <x:v>A++ – Cục Quản lý Dược; tổ chức chịu trách nhiệm explicit</x:v>
      </x:c>
      <x:c r="Q344" t="str">
        <x:v>Phụ lục 511 sản phẩm, STT 270, trang 10. Công ty Việt Hương là cơ sở sản xuất; cột tổ chức chịu trách nhiệm lấy nguyên văn từ phụ lục.</x:v>
      </x:c>
      <x:c r="R344" t="str">
        <x:v>https://dav.gov.vn/cong-van-so-1772qld-mp-ve-viec-dinh-chi-luu-hanh-thu-hoi-va-tieu-huy-my-pham-vi-pham-cong-ty-tnhh-my-pham-viet-huong-n5334.html</x:v>
      </x:c>
      <x:c r="S344" t="str">
        <x:v>Hà Nội</x:v>
      </x:c>
      <x:c r="T344" t="str">
        <x:v>01</x:v>
      </x:c>
    </x:row>
    <x:row r="345">
      <x:c r="A345" t="n">
        <x:v>344</x:v>
      </x:c>
      <x:c r="B345" s="330"/>
      <x:c r="C345" s="330" t="n">
        <x:v>46155</x:v>
      </x:c>
      <x:c r="D345" t="n">
        <x:v>2023</x:v>
      </x:c>
      <x:c r="E345"/>
      <x:c r="F345" t="str">
        <x:v>18455/23/CBMP-HN</x:v>
      </x:c>
      <x:c r="G345"/>
      <x:c r="H345" t="str">
        <x:v>Pro-Acne 5in1 Cleanser</x:v>
      </x:c>
      <x:c r="I345"/>
      <x:c r="J345" t="str">
        <x:v>Sữa rửa mặt</x:v>
      </x:c>
      <x:c r="K345"/>
      <x:c r="L345" t="str">
        <x:v>Công ty TNHH GDT Korea</x:v>
      </x:c>
      <x:c r="M345"/>
      <x:c r="N345" t="str">
        <x:v>Công ty TNHH mỹ phẩm Việt Hương</x:v>
      </x:c>
      <x:c r="O345" t="str">
        <x:v>Đình chỉ lưu hành, thu hồi và tiêu hủy – Công văn 1772/QLD-MP</x:v>
      </x:c>
      <x:c r="P345" t="str">
        <x:v>A++ – Cục Quản lý Dược; tổ chức chịu trách nhiệm explicit</x:v>
      </x:c>
      <x:c r="Q345" t="str">
        <x:v>Phụ lục 511 sản phẩm, STT 271, trang 10. Công ty Việt Hương là cơ sở sản xuất; cột tổ chức chịu trách nhiệm lấy nguyên văn từ phụ lục.</x:v>
      </x:c>
      <x:c r="R345" t="str">
        <x:v>https://dav.gov.vn/cong-van-so-1772qld-mp-ve-viec-dinh-chi-luu-hanh-thu-hoi-va-tieu-huy-my-pham-vi-pham-cong-ty-tnhh-my-pham-viet-huong-n5334.html</x:v>
      </x:c>
      <x:c r="S345" t="str">
        <x:v>Hà Nội</x:v>
      </x:c>
      <x:c r="T345" t="str">
        <x:v>01</x:v>
      </x:c>
    </x:row>
    <x:row r="346">
      <x:c r="A346" t="n">
        <x:v>345</x:v>
      </x:c>
      <x:c r="B346" s="330"/>
      <x:c r="C346" s="330" t="n">
        <x:v>46155</x:v>
      </x:c>
      <x:c r="D346" t="n">
        <x:v>2023</x:v>
      </x:c>
      <x:c r="E346"/>
      <x:c r="F346" t="str">
        <x:v>18456/23/CBMP-HN</x:v>
      </x:c>
      <x:c r="G346"/>
      <x:c r="H346" t="str">
        <x:v>Whitening 5in1 Cream</x:v>
      </x:c>
      <x:c r="I346"/>
      <x:c r="J346" t="str">
        <x:v>Kem dưỡng da</x:v>
      </x:c>
      <x:c r="K346"/>
      <x:c r="L346" t="str">
        <x:v>Công ty TNHH GDT Korea</x:v>
      </x:c>
      <x:c r="M346"/>
      <x:c r="N346" t="str">
        <x:v>Công ty TNHH mỹ phẩm Việt Hương</x:v>
      </x:c>
      <x:c r="O346" t="str">
        <x:v>Đình chỉ lưu hành, thu hồi và tiêu hủy – Công văn 1772/QLD-MP</x:v>
      </x:c>
      <x:c r="P346" t="str">
        <x:v>A++ – Cục Quản lý Dược; tổ chức chịu trách nhiệm explicit</x:v>
      </x:c>
      <x:c r="Q346" t="str">
        <x:v>Phụ lục 511 sản phẩm, STT 272, trang 10. Công ty Việt Hương là cơ sở sản xuất; cột tổ chức chịu trách nhiệm lấy nguyên văn từ phụ lục.</x:v>
      </x:c>
      <x:c r="R346" t="str">
        <x:v>https://dav.gov.vn/cong-van-so-1772qld-mp-ve-viec-dinh-chi-luu-hanh-thu-hoi-va-tieu-huy-my-pham-vi-pham-cong-ty-tnhh-my-pham-viet-huong-n5334.html</x:v>
      </x:c>
      <x:c r="S346" t="str">
        <x:v>Hà Nội</x:v>
      </x:c>
      <x:c r="T346" t="str">
        <x:v>01</x:v>
      </x:c>
    </x:row>
    <x:row r="347">
      <x:c r="A347" t="n">
        <x:v>346</x:v>
      </x:c>
      <x:c r="B347" s="330"/>
      <x:c r="C347" s="330" t="n">
        <x:v>46155</x:v>
      </x:c>
      <x:c r="D347" t="n">
        <x:v>2023</x:v>
      </x:c>
      <x:c r="E347"/>
      <x:c r="F347" t="str">
        <x:v>18557/23/CBMP-HN</x:v>
      </x:c>
      <x:c r="G347"/>
      <x:c r="H347" t="str">
        <x:v>AHA Skin Peel</x:v>
      </x:c>
      <x:c r="I347"/>
      <x:c r="J347" t="str">
        <x:v>Khác</x:v>
      </x:c>
      <x:c r="K347"/>
      <x:c r="L347" t="str">
        <x:v>Công ty TNHH GDT Korea</x:v>
      </x:c>
      <x:c r="M347"/>
      <x:c r="N347" t="str">
        <x:v>Công ty TNHH mỹ phẩm Việt Hương</x:v>
      </x:c>
      <x:c r="O347" t="str">
        <x:v>Đình chỉ lưu hành, thu hồi và tiêu hủy – Công văn 1772/QLD-MP</x:v>
      </x:c>
      <x:c r="P347" t="str">
        <x:v>A++ – Cục Quản lý Dược; tổ chức chịu trách nhiệm explicit</x:v>
      </x:c>
      <x:c r="Q347" t="str">
        <x:v>Phụ lục 511 sản phẩm, STT 273, trang 10. Công ty Việt Hương là cơ sở sản xuất; cột tổ chức chịu trách nhiệm lấy nguyên văn từ phụ lục.</x:v>
      </x:c>
      <x:c r="R347" t="str">
        <x:v>https://dav.gov.vn/cong-van-so-1772qld-mp-ve-viec-dinh-chi-luu-hanh-thu-hoi-va-tieu-huy-my-pham-vi-pham-cong-ty-tnhh-my-pham-viet-huong-n5334.html</x:v>
      </x:c>
      <x:c r="S347" t="str">
        <x:v>Hà Nội</x:v>
      </x:c>
      <x:c r="T347" t="str">
        <x:v>01</x:v>
      </x:c>
    </x:row>
    <x:row r="348">
      <x:c r="A348" t="n">
        <x:v>347</x:v>
      </x:c>
      <x:c r="B348" s="330"/>
      <x:c r="C348" s="330" t="n">
        <x:v>46155</x:v>
      </x:c>
      <x:c r="D348" t="n">
        <x:v>2023</x:v>
      </x:c>
      <x:c r="E348"/>
      <x:c r="F348" t="str">
        <x:v>17699/23/CBMP-HN</x:v>
      </x:c>
      <x:c r="G348"/>
      <x:c r="H348" t="str">
        <x:v>Whitening Body Cream</x:v>
      </x:c>
      <x:c r="I348"/>
      <x:c r="J348" t="str">
        <x:v>Kem body</x:v>
      </x:c>
      <x:c r="K348"/>
      <x:c r="L348" t="str">
        <x:v>Công ty TNHH thương mại và dịch vụ Hoàng Anh Linh</x:v>
      </x:c>
      <x:c r="M348"/>
      <x:c r="N348" t="str">
        <x:v>Công ty TNHH mỹ phẩm Việt Hương</x:v>
      </x:c>
      <x:c r="O348" t="str">
        <x:v>Đình chỉ lưu hành, thu hồi và tiêu hủy – Công văn 1772/QLD-MP</x:v>
      </x:c>
      <x:c r="P348" t="str">
        <x:v>A++ – Cục Quản lý Dược; tổ chức chịu trách nhiệm explicit</x:v>
      </x:c>
      <x:c r="Q348" t="str">
        <x:v>Phụ lục 511 sản phẩm, STT 274, trang 10. Công ty Việt Hương là cơ sở sản xuất; cột tổ chức chịu trách nhiệm lấy nguyên văn từ phụ lục.</x:v>
      </x:c>
      <x:c r="R348" t="str">
        <x:v>https://dav.gov.vn/cong-van-so-1772qld-mp-ve-viec-dinh-chi-luu-hanh-thu-hoi-va-tieu-huy-my-pham-vi-pham-cong-ty-tnhh-my-pham-viet-huong-n5334.html</x:v>
      </x:c>
      <x:c r="S348" t="str">
        <x:v>Hà Nội</x:v>
      </x:c>
      <x:c r="T348" t="str">
        <x:v>01</x:v>
      </x:c>
    </x:row>
    <x:row r="349">
      <x:c r="A349" t="n">
        <x:v>348</x:v>
      </x:c>
      <x:c r="B349" s="330"/>
      <x:c r="C349" s="330" t="n">
        <x:v>46155</x:v>
      </x:c>
      <x:c r="D349" t="n">
        <x:v>2024</x:v>
      </x:c>
      <x:c r="E349"/>
      <x:c r="F349" t="str">
        <x:v>21388/24/CBMP-HN</x:v>
      </x:c>
      <x:c r="G349"/>
      <x:c r="H349" t="str">
        <x:v>Dakami Black Ginseng Night</x:v>
      </x:c>
      <x:c r="I349"/>
      <x:c r="J349" t="str">
        <x:v>Khác</x:v>
      </x:c>
      <x:c r="K349"/>
      <x:c r="L349" t="str">
        <x:v>Công ty TNHH Dakami Cosmetic</x:v>
      </x:c>
      <x:c r="M349"/>
      <x:c r="N349" t="str">
        <x:v>Công ty TNHH mỹ phẩm Việt Hương</x:v>
      </x:c>
      <x:c r="O349" t="str">
        <x:v>Đình chỉ lưu hành, thu hồi và tiêu hủy – Công văn 1772/QLD-MP</x:v>
      </x:c>
      <x:c r="P349" t="str">
        <x:v>A++ – Cục Quản lý Dược; tổ chức chịu trách nhiệm explicit</x:v>
      </x:c>
      <x:c r="Q349" t="str">
        <x:v>Phụ lục 511 sản phẩm, STT 275, trang 10. Công ty Việt Hương là cơ sở sản xuất; cột tổ chức chịu trách nhiệm lấy nguyên văn từ phụ lục.</x:v>
      </x:c>
      <x:c r="R349" t="str">
        <x:v>https://dav.gov.vn/cong-van-so-1772qld-mp-ve-viec-dinh-chi-luu-hanh-thu-hoi-va-tieu-huy-my-pham-vi-pham-cong-ty-tnhh-my-pham-viet-huong-n5334.html</x:v>
      </x:c>
      <x:c r="S349" t="str">
        <x:v>Hà Nội</x:v>
      </x:c>
      <x:c r="T349" t="str">
        <x:v>01</x:v>
      </x:c>
    </x:row>
    <x:row r="350">
      <x:c r="A350" t="n">
        <x:v>349</x:v>
      </x:c>
      <x:c r="B350" s="330"/>
      <x:c r="C350" s="330" t="n">
        <x:v>46155</x:v>
      </x:c>
      <x:c r="D350" t="n">
        <x:v>2024</x:v>
      </x:c>
      <x:c r="E350"/>
      <x:c r="F350" t="str">
        <x:v>21580/24/CBMP-HN</x:v>
      </x:c>
      <x:c r="G350"/>
      <x:c r="H350" t="str">
        <x:v>Dakami Green Tea Exfoliating Gel</x:v>
      </x:c>
      <x:c r="I350"/>
      <x:c r="J350" t="str">
        <x:v>Khác</x:v>
      </x:c>
      <x:c r="K350"/>
      <x:c r="L350" t="str">
        <x:v>Công ty TNHH Dakami Cosmetic</x:v>
      </x:c>
      <x:c r="M350"/>
      <x:c r="N350" t="str">
        <x:v>Công ty TNHH mỹ phẩm Việt Hương</x:v>
      </x:c>
      <x:c r="O350" t="str">
        <x:v>Đình chỉ lưu hành, thu hồi và tiêu hủy – Công văn 1772/QLD-MP</x:v>
      </x:c>
      <x:c r="P350" t="str">
        <x:v>A++ – Cục Quản lý Dược; tổ chức chịu trách nhiệm explicit</x:v>
      </x:c>
      <x:c r="Q350" t="str">
        <x:v>Phụ lục 511 sản phẩm, STT 276, trang 10. Công ty Việt Hương là cơ sở sản xuất; cột tổ chức chịu trách nhiệm lấy nguyên văn từ phụ lục.</x:v>
      </x:c>
      <x:c r="R350" t="str">
        <x:v>https://dav.gov.vn/cong-van-so-1772qld-mp-ve-viec-dinh-chi-luu-hanh-thu-hoi-va-tieu-huy-my-pham-vi-pham-cong-ty-tnhh-my-pham-viet-huong-n5334.html</x:v>
      </x:c>
      <x:c r="S350" t="str">
        <x:v>Hà Nội</x:v>
      </x:c>
      <x:c r="T350" t="str">
        <x:v>01</x:v>
      </x:c>
    </x:row>
    <x:row r="351">
      <x:c r="A351" t="n">
        <x:v>350</x:v>
      </x:c>
      <x:c r="B351" s="330"/>
      <x:c r="C351" s="330" t="n">
        <x:v>46155</x:v>
      </x:c>
      <x:c r="D351" t="n">
        <x:v>2024</x:v>
      </x:c>
      <x:c r="E351"/>
      <x:c r="F351" t="str">
        <x:v>21581/24/CBMP-HN</x:v>
      </x:c>
      <x:c r="G351"/>
      <x:c r="H351" t="str">
        <x:v>Dakami Cleansing Water</x:v>
      </x:c>
      <x:c r="I351"/>
      <x:c r="J351" t="str">
        <x:v>Khác</x:v>
      </x:c>
      <x:c r="K351"/>
      <x:c r="L351" t="str">
        <x:v>Công ty TNHH Dakami Cosmetic</x:v>
      </x:c>
      <x:c r="M351"/>
      <x:c r="N351" t="str">
        <x:v>Công ty TNHH mỹ phẩm Việt Hương</x:v>
      </x:c>
      <x:c r="O351" t="str">
        <x:v>Đình chỉ lưu hành, thu hồi và tiêu hủy – Công văn 1772/QLD-MP</x:v>
      </x:c>
      <x:c r="P351" t="str">
        <x:v>A++ – Cục Quản lý Dược; tổ chức chịu trách nhiệm explicit</x:v>
      </x:c>
      <x:c r="Q351" t="str">
        <x:v>Phụ lục 511 sản phẩm, STT 277, trang 10. Công ty Việt Hương là cơ sở sản xuất; cột tổ chức chịu trách nhiệm lấy nguyên văn từ phụ lục.</x:v>
      </x:c>
      <x:c r="R351" t="str">
        <x:v>https://dav.gov.vn/cong-van-so-1772qld-mp-ve-viec-dinh-chi-luu-hanh-thu-hoi-va-tieu-huy-my-pham-vi-pham-cong-ty-tnhh-my-pham-viet-huong-n5334.html</x:v>
      </x:c>
      <x:c r="S351" t="str">
        <x:v>Hà Nội</x:v>
      </x:c>
      <x:c r="T351" t="str">
        <x:v>01</x:v>
      </x:c>
    </x:row>
    <x:row r="352">
      <x:c r="A352" t="n">
        <x:v>351</x:v>
      </x:c>
      <x:c r="B352" s="330"/>
      <x:c r="C352" s="330" t="n">
        <x:v>46155</x:v>
      </x:c>
      <x:c r="D352" t="n">
        <x:v>2024</x:v>
      </x:c>
      <x:c r="E352"/>
      <x:c r="F352" t="str">
        <x:v>21641/24/CBMP-HN</x:v>
      </x:c>
      <x:c r="G352"/>
      <x:c r="H352" t="str">
        <x:v>Dakami Black Ginseng Day</x:v>
      </x:c>
      <x:c r="I352"/>
      <x:c r="J352" t="str">
        <x:v>Khác</x:v>
      </x:c>
      <x:c r="K352"/>
      <x:c r="L352" t="str">
        <x:v>Công ty TNHH Dakami Cosmetic</x:v>
      </x:c>
      <x:c r="M352"/>
      <x:c r="N352" t="str">
        <x:v>Công ty TNHH mỹ phẩm Việt Hương</x:v>
      </x:c>
      <x:c r="O352" t="str">
        <x:v>Đình chỉ lưu hành, thu hồi và tiêu hủy – Công văn 1772/QLD-MP</x:v>
      </x:c>
      <x:c r="P352" t="str">
        <x:v>A++ – Cục Quản lý Dược; tổ chức chịu trách nhiệm explicit</x:v>
      </x:c>
      <x:c r="Q352" t="str">
        <x:v>Phụ lục 511 sản phẩm, STT 278, trang 10. Công ty Việt Hương là cơ sở sản xuất; cột tổ chức chịu trách nhiệm lấy nguyên văn từ phụ lục.</x:v>
      </x:c>
      <x:c r="R352" t="str">
        <x:v>https://dav.gov.vn/cong-van-so-1772qld-mp-ve-viec-dinh-chi-luu-hanh-thu-hoi-va-tieu-huy-my-pham-vi-pham-cong-ty-tnhh-my-pham-viet-huong-n5334.html</x:v>
      </x:c>
      <x:c r="S352" t="str">
        <x:v>Hà Nội</x:v>
      </x:c>
      <x:c r="T352" t="str">
        <x:v>01</x:v>
      </x:c>
    </x:row>
    <x:row r="353">
      <x:c r="A353" t="n">
        <x:v>352</x:v>
      </x:c>
      <x:c r="B353" s="330"/>
      <x:c r="C353" s="330" t="n">
        <x:v>46155</x:v>
      </x:c>
      <x:c r="D353" t="n">
        <x:v>2024</x:v>
      </x:c>
      <x:c r="E353"/>
      <x:c r="F353" t="str">
        <x:v>22007/24/CBMP-HN</x:v>
      </x:c>
      <x:c r="G353"/>
      <x:c r="H353" t="str">
        <x:v>Dakami Recovery Cream</x:v>
      </x:c>
      <x:c r="I353"/>
      <x:c r="J353" t="str">
        <x:v>Kem dưỡng da</x:v>
      </x:c>
      <x:c r="K353"/>
      <x:c r="L353" t="str">
        <x:v>Công ty TNHH Dakami Cosmetic</x:v>
      </x:c>
      <x:c r="M353"/>
      <x:c r="N353" t="str">
        <x:v>Công ty TNHH mỹ phẩm Việt Hương</x:v>
      </x:c>
      <x:c r="O353" t="str">
        <x:v>Đình chỉ lưu hành, thu hồi và tiêu hủy – Công văn 1772/QLD-MP</x:v>
      </x:c>
      <x:c r="P353" t="str">
        <x:v>A++ – Cục Quản lý Dược; tổ chức chịu trách nhiệm explicit</x:v>
      </x:c>
      <x:c r="Q353" t="str">
        <x:v>Phụ lục 511 sản phẩm, STT 279, trang 10. Công ty Việt Hương là cơ sở sản xuất; cột tổ chức chịu trách nhiệm lấy nguyên văn từ phụ lục.</x:v>
      </x:c>
      <x:c r="R353" t="str">
        <x:v>https://dav.gov.vn/cong-van-so-1772qld-mp-ve-viec-dinh-chi-luu-hanh-thu-hoi-va-tieu-huy-my-pham-vi-pham-cong-ty-tnhh-my-pham-viet-huong-n5334.html</x:v>
      </x:c>
      <x:c r="S353" t="str">
        <x:v>Hà Nội</x:v>
      </x:c>
      <x:c r="T353" t="str">
        <x:v>01</x:v>
      </x:c>
    </x:row>
    <x:row r="354">
      <x:c r="A354" t="n">
        <x:v>353</x:v>
      </x:c>
      <x:c r="B354" s="330"/>
      <x:c r="C354" s="330" t="n">
        <x:v>46155</x:v>
      </x:c>
      <x:c r="D354" t="n">
        <x:v>2024</x:v>
      </x:c>
      <x:c r="E354"/>
      <x:c r="F354" t="str">
        <x:v>22008/24/CBMP-HN</x:v>
      </x:c>
      <x:c r="G354"/>
      <x:c r="H354" t="str">
        <x:v>Dakami Black Ginseng Day</x:v>
      </x:c>
      <x:c r="I354"/>
      <x:c r="J354" t="str">
        <x:v>Khác</x:v>
      </x:c>
      <x:c r="K354"/>
      <x:c r="L354" t="str">
        <x:v>Công ty TNHH Dakami Cosmetic</x:v>
      </x:c>
      <x:c r="M354"/>
      <x:c r="N354" t="str">
        <x:v>Công ty TNHH mỹ phẩm Việt Hương</x:v>
      </x:c>
      <x:c r="O354" t="str">
        <x:v>Đình chỉ lưu hành, thu hồi và tiêu hủy – Công văn 1772/QLD-MP</x:v>
      </x:c>
      <x:c r="P354" t="str">
        <x:v>A++ – Cục Quản lý Dược; tổ chức chịu trách nhiệm explicit</x:v>
      </x:c>
      <x:c r="Q354" t="str">
        <x:v>Phụ lục 511 sản phẩm, STT 280, trang 10. Công ty Việt Hương là cơ sở sản xuất; cột tổ chức chịu trách nhiệm lấy nguyên văn từ phụ lục.</x:v>
      </x:c>
      <x:c r="R354" t="str">
        <x:v>https://dav.gov.vn/cong-van-so-1772qld-mp-ve-viec-dinh-chi-luu-hanh-thu-hoi-va-tieu-huy-my-pham-vi-pham-cong-ty-tnhh-my-pham-viet-huong-n5334.html</x:v>
      </x:c>
      <x:c r="S354" t="str">
        <x:v>Hà Nội</x:v>
      </x:c>
      <x:c r="T354" t="str">
        <x:v>01</x:v>
      </x:c>
    </x:row>
    <x:row r="355">
      <x:c r="A355" t="n">
        <x:v>354</x:v>
      </x:c>
      <x:c r="B355" s="330"/>
      <x:c r="C355" s="330" t="n">
        <x:v>46155</x:v>
      </x:c>
      <x:c r="D355" t="n">
        <x:v>2024</x:v>
      </x:c>
      <x:c r="E355"/>
      <x:c r="F355" t="str">
        <x:v>22694/24/CBMP-HN</x:v>
      </x:c>
      <x:c r="G355"/>
      <x:c r="H355" t="str">
        <x:v>Dung dịch vệ sinh Trà Xanh</x:v>
      </x:c>
      <x:c r="I355"/>
      <x:c r="J355" t="str">
        <x:v>Khác</x:v>
      </x:c>
      <x:c r="K355"/>
      <x:c r="L355" t="str">
        <x:v>Công ty TNHH Dakami Cosmetic</x:v>
      </x:c>
      <x:c r="M355"/>
      <x:c r="N355" t="str">
        <x:v>Công ty TNHH mỹ phẩm Việt Hương</x:v>
      </x:c>
      <x:c r="O355" t="str">
        <x:v>Đình chỉ lưu hành, thu hồi và tiêu hủy – Công văn 1772/QLD-MP</x:v>
      </x:c>
      <x:c r="P355" t="str">
        <x:v>A++ – Cục Quản lý Dược; tổ chức chịu trách nhiệm explicit</x:v>
      </x:c>
      <x:c r="Q355" t="str">
        <x:v>Phụ lục 511 sản phẩm, STT 281, trang 10. Công ty Việt Hương là cơ sở sản xuất; cột tổ chức chịu trách nhiệm lấy nguyên văn từ phụ lục.</x:v>
      </x:c>
      <x:c r="R355" t="str">
        <x:v>https://dav.gov.vn/cong-van-so-1772qld-mp-ve-viec-dinh-chi-luu-hanh-thu-hoi-va-tieu-huy-my-pham-vi-pham-cong-ty-tnhh-my-pham-viet-huong-n5334.html</x:v>
      </x:c>
      <x:c r="S355" t="str">
        <x:v>Hà Nội</x:v>
      </x:c>
      <x:c r="T355" t="str">
        <x:v>01</x:v>
      </x:c>
    </x:row>
    <x:row r="356">
      <x:c r="A356" t="n">
        <x:v>355</x:v>
      </x:c>
      <x:c r="B356" s="330"/>
      <x:c r="C356" s="330" t="n">
        <x:v>46155</x:v>
      </x:c>
      <x:c r="D356" t="n">
        <x:v>2024</x:v>
      </x:c>
      <x:c r="E356"/>
      <x:c r="F356" t="str">
        <x:v>22696/24/CBMP-HN</x:v>
      </x:c>
      <x:c r="G356"/>
      <x:c r="H356" t="str">
        <x:v>Toner Sâm Đen</x:v>
      </x:c>
      <x:c r="I356"/>
      <x:c r="J356" t="str">
        <x:v>Serum/Essence da</x:v>
      </x:c>
      <x:c r="K356"/>
      <x:c r="L356" t="str">
        <x:v>Công ty TNHH Dakami Cosmetic</x:v>
      </x:c>
      <x:c r="M356"/>
      <x:c r="N356" t="str">
        <x:v>Công ty TNHH mỹ phẩm Việt Hương</x:v>
      </x:c>
      <x:c r="O356" t="str">
        <x:v>Đình chỉ lưu hành, thu hồi và tiêu hủy – Công văn 1772/QLD-MP</x:v>
      </x:c>
      <x:c r="P356" t="str">
        <x:v>A++ – Cục Quản lý Dược; tổ chức chịu trách nhiệm explicit</x:v>
      </x:c>
      <x:c r="Q356" t="str">
        <x:v>Phụ lục 511 sản phẩm, STT 282, trang 10. Công ty Việt Hương là cơ sở sản xuất; cột tổ chức chịu trách nhiệm lấy nguyên văn từ phụ lục.</x:v>
      </x:c>
      <x:c r="R356" t="str">
        <x:v>https://dav.gov.vn/cong-van-so-1772qld-mp-ve-viec-dinh-chi-luu-hanh-thu-hoi-va-tieu-huy-my-pham-vi-pham-cong-ty-tnhh-my-pham-viet-huong-n5334.html</x:v>
      </x:c>
      <x:c r="S356" t="str">
        <x:v>Hà Nội</x:v>
      </x:c>
      <x:c r="T356" t="str">
        <x:v>01</x:v>
      </x:c>
    </x:row>
    <x:row r="357">
      <x:c r="A357" t="n">
        <x:v>356</x:v>
      </x:c>
      <x:c r="B357" s="330"/>
      <x:c r="C357" s="330" t="n">
        <x:v>46155</x:v>
      </x:c>
      <x:c r="D357" t="n">
        <x:v>2024</x:v>
      </x:c>
      <x:c r="E357"/>
      <x:c r="F357" t="str">
        <x:v>22697/24/CBMP-HN</x:v>
      </x:c>
      <x:c r="G357"/>
      <x:c r="H357" t="str">
        <x:v>Mano Roses Perfume</x:v>
      </x:c>
      <x:c r="I357"/>
      <x:c r="J357" t="str">
        <x:v>Nước hoa</x:v>
      </x:c>
      <x:c r="K357"/>
      <x:c r="L357" t="str">
        <x:v>Công ty TNHH Dakami Cosmetic</x:v>
      </x:c>
      <x:c r="M357"/>
      <x:c r="N357" t="str">
        <x:v>Công ty TNHH mỹ phẩm Việt Hương</x:v>
      </x:c>
      <x:c r="O357" t="str">
        <x:v>Đình chỉ lưu hành, thu hồi và tiêu hủy – Công văn 1772/QLD-MP</x:v>
      </x:c>
      <x:c r="P357" t="str">
        <x:v>A++ – Cục Quản lý Dược; tổ chức chịu trách nhiệm explicit</x:v>
      </x:c>
      <x:c r="Q357" t="str">
        <x:v>Phụ lục 511 sản phẩm, STT 283, trang 10. Công ty Việt Hương là cơ sở sản xuất; cột tổ chức chịu trách nhiệm lấy nguyên văn từ phụ lục.</x:v>
      </x:c>
      <x:c r="R357" t="str">
        <x:v>https://dav.gov.vn/cong-van-so-1772qld-mp-ve-viec-dinh-chi-luu-hanh-thu-hoi-va-tieu-huy-my-pham-vi-pham-cong-ty-tnhh-my-pham-viet-huong-n5334.html</x:v>
      </x:c>
      <x:c r="S357" t="str">
        <x:v>Hà Nội</x:v>
      </x:c>
      <x:c r="T357" t="str">
        <x:v>01</x:v>
      </x:c>
    </x:row>
    <x:row r="358">
      <x:c r="A358" t="n">
        <x:v>357</x:v>
      </x:c>
      <x:c r="B358" s="330"/>
      <x:c r="C358" s="330" t="n">
        <x:v>46155</x:v>
      </x:c>
      <x:c r="D358" t="n">
        <x:v>2024</x:v>
      </x:c>
      <x:c r="E358"/>
      <x:c r="F358" t="str">
        <x:v>22698/24/CBMP-HN</x:v>
      </x:c>
      <x:c r="G358"/>
      <x:c r="H358" t="str">
        <x:v>Sữa tắm sáng da Cám Gạo</x:v>
      </x:c>
      <x:c r="I358"/>
      <x:c r="J358" t="str">
        <x:v>Sữa tắm/Gel tắm</x:v>
      </x:c>
      <x:c r="K358"/>
      <x:c r="L358" t="str">
        <x:v>Công ty TNHH Dakami Cosmetic</x:v>
      </x:c>
      <x:c r="M358"/>
      <x:c r="N358" t="str">
        <x:v>Công ty TNHH mỹ phẩm Việt Hương</x:v>
      </x:c>
      <x:c r="O358" t="str">
        <x:v>Đình chỉ lưu hành, thu hồi và tiêu hủy – Công văn 1772/QLD-MP</x:v>
      </x:c>
      <x:c r="P358" t="str">
        <x:v>A++ – Cục Quản lý Dược; tổ chức chịu trách nhiệm explicit</x:v>
      </x:c>
      <x:c r="Q358" t="str">
        <x:v>Phụ lục 511 sản phẩm, STT 284, trang 10. Công ty Việt Hương là cơ sở sản xuất; cột tổ chức chịu trách nhiệm lấy nguyên văn từ phụ lục.</x:v>
      </x:c>
      <x:c r="R358" t="str">
        <x:v>https://dav.gov.vn/cong-van-so-1772qld-mp-ve-viec-dinh-chi-luu-hanh-thu-hoi-va-tieu-huy-my-pham-vi-pham-cong-ty-tnhh-my-pham-viet-huong-n5334.html</x:v>
      </x:c>
      <x:c r="S358" t="str">
        <x:v>Hà Nội</x:v>
      </x:c>
      <x:c r="T358" t="str">
        <x:v>01</x:v>
      </x:c>
    </x:row>
    <x:row r="359">
      <x:c r="A359" t="n">
        <x:v>358</x:v>
      </x:c>
      <x:c r="B359" s="330"/>
      <x:c r="C359" s="330" t="n">
        <x:v>46155</x:v>
      </x:c>
      <x:c r="D359" t="n">
        <x:v>2024</x:v>
      </x:c>
      <x:c r="E359"/>
      <x:c r="F359" t="str">
        <x:v>22699/24/CBMP-HN</x:v>
      </x:c>
      <x:c r="G359"/>
      <x:c r="H359" t="str">
        <x:v>Nước dưỡng tóc Hà Thủ Ô</x:v>
      </x:c>
      <x:c r="I359"/>
      <x:c r="J359" t="str">
        <x:v>Khác</x:v>
      </x:c>
      <x:c r="K359"/>
      <x:c r="L359" t="str">
        <x:v>Công ty TNHH Dakami Cosmetic</x:v>
      </x:c>
      <x:c r="M359"/>
      <x:c r="N359" t="str">
        <x:v>Công ty TNHH mỹ phẩm Việt Hương</x:v>
      </x:c>
      <x:c r="O359" t="str">
        <x:v>Đình chỉ lưu hành, thu hồi và tiêu hủy – Công văn 1772/QLD-MP</x:v>
      </x:c>
      <x:c r="P359" t="str">
        <x:v>A++ – Cục Quản lý Dược; tổ chức chịu trách nhiệm explicit</x:v>
      </x:c>
      <x:c r="Q359" t="str">
        <x:v>Phụ lục 511 sản phẩm, STT 285, trang 10. Công ty Việt Hương là cơ sở sản xuất; cột tổ chức chịu trách nhiệm lấy nguyên văn từ phụ lục.</x:v>
      </x:c>
      <x:c r="R359" t="str">
        <x:v>https://dav.gov.vn/cong-van-so-1772qld-mp-ve-viec-dinh-chi-luu-hanh-thu-hoi-va-tieu-huy-my-pham-vi-pham-cong-ty-tnhh-my-pham-viet-huong-n5334.html</x:v>
      </x:c>
      <x:c r="S359" t="str">
        <x:v>Hà Nội</x:v>
      </x:c>
      <x:c r="T359" t="str">
        <x:v>01</x:v>
      </x:c>
    </x:row>
    <x:row r="360">
      <x:c r="A360" t="n">
        <x:v>359</x:v>
      </x:c>
      <x:c r="B360" s="330"/>
      <x:c r="C360" s="330" t="n">
        <x:v>46155</x:v>
      </x:c>
      <x:c r="D360" t="n">
        <x:v>2024</x:v>
      </x:c>
      <x:c r="E360"/>
      <x:c r="F360" t="str">
        <x:v>22700/24/CBMP-HN</x:v>
      </x:c>
      <x:c r="G360"/>
      <x:c r="H360" t="str">
        <x:v>Dầu gội Hà Thủ Ô</x:v>
      </x:c>
      <x:c r="I360"/>
      <x:c r="J360" t="str">
        <x:v>Dầu gội</x:v>
      </x:c>
      <x:c r="K360"/>
      <x:c r="L360" t="str">
        <x:v>Công ty TNHH Dakami Cosmetic</x:v>
      </x:c>
      <x:c r="M360"/>
      <x:c r="N360" t="str">
        <x:v>Công ty TNHH mỹ phẩm Việt Hương</x:v>
      </x:c>
      <x:c r="O360" t="str">
        <x:v>Đình chỉ lưu hành, thu hồi và tiêu hủy – Công văn 1772/QLD-MP</x:v>
      </x:c>
      <x:c r="P360" t="str">
        <x:v>A++ – Cục Quản lý Dược; tổ chức chịu trách nhiệm explicit</x:v>
      </x:c>
      <x:c r="Q360" t="str">
        <x:v>Phụ lục 511 sản phẩm, STT 286, trang 10. Công ty Việt Hương là cơ sở sản xuất; cột tổ chức chịu trách nhiệm lấy nguyên văn từ phụ lục.</x:v>
      </x:c>
      <x:c r="R360" t="str">
        <x:v>https://dav.gov.vn/cong-van-so-1772qld-mp-ve-viec-dinh-chi-luu-hanh-thu-hoi-va-tieu-huy-my-pham-vi-pham-cong-ty-tnhh-my-pham-viet-huong-n5334.html</x:v>
      </x:c>
      <x:c r="S360" t="str">
        <x:v>Hà Nội</x:v>
      </x:c>
      <x:c r="T360" t="str">
        <x:v>01</x:v>
      </x:c>
    </x:row>
    <x:row r="361">
      <x:c r="A361" t="n">
        <x:v>360</x:v>
      </x:c>
      <x:c r="B361" s="330"/>
      <x:c r="C361" s="330" t="n">
        <x:v>46155</x:v>
      </x:c>
      <x:c r="D361" t="n">
        <x:v>2024</x:v>
      </x:c>
      <x:c r="E361"/>
      <x:c r="F361" t="str">
        <x:v>22701/24/CBMP-HN</x:v>
      </x:c>
      <x:c r="G361"/>
      <x:c r="H361" t="str">
        <x:v>Dầu xả Hà Thủ Ô</x:v>
      </x:c>
      <x:c r="I361"/>
      <x:c r="J361" t="str">
        <x:v>Dầu xả</x:v>
      </x:c>
      <x:c r="K361"/>
      <x:c r="L361" t="str">
        <x:v>Công ty TNHH Dakami Cosmetic</x:v>
      </x:c>
      <x:c r="M361"/>
      <x:c r="N361" t="str">
        <x:v>Công ty TNHH mỹ phẩm Việt Hương</x:v>
      </x:c>
      <x:c r="O361" t="str">
        <x:v>Đình chỉ lưu hành, thu hồi và tiêu hủy – Công văn 1772/QLD-MP</x:v>
      </x:c>
      <x:c r="P361" t="str">
        <x:v>A++ – Cục Quản lý Dược; tổ chức chịu trách nhiệm explicit</x:v>
      </x:c>
      <x:c r="Q361" t="str">
        <x:v>Phụ lục 511 sản phẩm, STT 287, trang 10. Công ty Việt Hương là cơ sở sản xuất; cột tổ chức chịu trách nhiệm lấy nguyên văn từ phụ lục.</x:v>
      </x:c>
      <x:c r="R361" t="str">
        <x:v>https://dav.gov.vn/cong-van-so-1772qld-mp-ve-viec-dinh-chi-luu-hanh-thu-hoi-va-tieu-huy-my-pham-vi-pham-cong-ty-tnhh-my-pham-viet-huong-n5334.html</x:v>
      </x:c>
      <x:c r="S361" t="str">
        <x:v>Hà Nội</x:v>
      </x:c>
      <x:c r="T361" t="str">
        <x:v>01</x:v>
      </x:c>
    </x:row>
    <x:row r="362">
      <x:c r="A362" t="n">
        <x:v>361</x:v>
      </x:c>
      <x:c r="B362" s="330"/>
      <x:c r="C362" s="330" t="n">
        <x:v>46155</x:v>
      </x:c>
      <x:c r="D362" t="n">
        <x:v>2024</x:v>
      </x:c>
      <x:c r="E362"/>
      <x:c r="F362" t="str">
        <x:v>22702/24/CBMP-HN</x:v>
      </x:c>
      <x:c r="G362"/>
      <x:c r="H362" t="str">
        <x:v>Kem dưỡng mắt Sâm Đen</x:v>
      </x:c>
      <x:c r="I362"/>
      <x:c r="J362" t="str">
        <x:v>Kem dưỡng da</x:v>
      </x:c>
      <x:c r="K362"/>
      <x:c r="L362" t="str">
        <x:v>Công ty TNHH Dakami Cosmetic</x:v>
      </x:c>
      <x:c r="M362"/>
      <x:c r="N362" t="str">
        <x:v>Công ty TNHH mỹ phẩm Việt Hương</x:v>
      </x:c>
      <x:c r="O362" t="str">
        <x:v>Đình chỉ lưu hành, thu hồi và tiêu hủy – Công văn 1772/QLD-MP</x:v>
      </x:c>
      <x:c r="P362" t="str">
        <x:v>A++ – Cục Quản lý Dược; tổ chức chịu trách nhiệm explicit</x:v>
      </x:c>
      <x:c r="Q362" t="str">
        <x:v>Phụ lục 511 sản phẩm, STT 288, trang 10. Công ty Việt Hương là cơ sở sản xuất; cột tổ chức chịu trách nhiệm lấy nguyên văn từ phụ lục.</x:v>
      </x:c>
      <x:c r="R362" t="str">
        <x:v>https://dav.gov.vn/cong-van-so-1772qld-mp-ve-viec-dinh-chi-luu-hanh-thu-hoi-va-tieu-huy-my-pham-vi-pham-cong-ty-tnhh-my-pham-viet-huong-n5334.html</x:v>
      </x:c>
      <x:c r="S362" t="str">
        <x:v>Hà Nội</x:v>
      </x:c>
      <x:c r="T362" t="str">
        <x:v>01</x:v>
      </x:c>
    </x:row>
    <x:row r="363">
      <x:c r="A363" t="n">
        <x:v>362</x:v>
      </x:c>
      <x:c r="B363" s="330"/>
      <x:c r="C363" s="330" t="n">
        <x:v>46155</x:v>
      </x:c>
      <x:c r="D363" t="n">
        <x:v>2024</x:v>
      </x:c>
      <x:c r="E363"/>
      <x:c r="F363" t="str">
        <x:v>22703/24/CBMP-HN</x:v>
      </x:c>
      <x:c r="G363"/>
      <x:c r="H363" t="str">
        <x:v>Kem dưỡng sáng da Cám Gạo</x:v>
      </x:c>
      <x:c r="I363"/>
      <x:c r="J363" t="str">
        <x:v>Kem dưỡng da</x:v>
      </x:c>
      <x:c r="K363"/>
      <x:c r="L363" t="str">
        <x:v>Công ty TNHH Dakami Cosmetic</x:v>
      </x:c>
      <x:c r="M363"/>
      <x:c r="N363" t="str">
        <x:v>Công ty TNHH mỹ phẩm Việt Hương</x:v>
      </x:c>
      <x:c r="O363" t="str">
        <x:v>Đình chỉ lưu hành, thu hồi và tiêu hủy – Công văn 1772/QLD-MP</x:v>
      </x:c>
      <x:c r="P363" t="str">
        <x:v>A++ – Cục Quản lý Dược; tổ chức chịu trách nhiệm explicit</x:v>
      </x:c>
      <x:c r="Q363" t="str">
        <x:v>Phụ lục 511 sản phẩm, STT 289, trang 10. Công ty Việt Hương là cơ sở sản xuất; cột tổ chức chịu trách nhiệm lấy nguyên văn từ phụ lục.</x:v>
      </x:c>
      <x:c r="R363" t="str">
        <x:v>https://dav.gov.vn/cong-van-so-1772qld-mp-ve-viec-dinh-chi-luu-hanh-thu-hoi-va-tieu-huy-my-pham-vi-pham-cong-ty-tnhh-my-pham-viet-huong-n5334.html</x:v>
      </x:c>
      <x:c r="S363" t="str">
        <x:v>Hà Nội</x:v>
      </x:c>
      <x:c r="T363" t="str">
        <x:v>01</x:v>
      </x:c>
    </x:row>
    <x:row r="364">
      <x:c r="A364" t="n">
        <x:v>363</x:v>
      </x:c>
      <x:c r="B364" s="330"/>
      <x:c r="C364" s="330" t="n">
        <x:v>46155</x:v>
      </x:c>
      <x:c r="D364" t="n">
        <x:v>2024</x:v>
      </x:c>
      <x:c r="E364"/>
      <x:c r="F364" t="str">
        <x:v>22704/24/CBMP-HN</x:v>
      </x:c>
      <x:c r="G364"/>
      <x:c r="H364" t="str">
        <x:v>Kem chống nắng Sâm Đen</x:v>
      </x:c>
      <x:c r="I364"/>
      <x:c r="J364" t="str">
        <x:v>Kem chống nắng</x:v>
      </x:c>
      <x:c r="K364"/>
      <x:c r="L364" t="str">
        <x:v>Công ty TNHH Dakami Cosmetic</x:v>
      </x:c>
      <x:c r="M364"/>
      <x:c r="N364" t="str">
        <x:v>Công ty TNHH mỹ phẩm Việt Hương</x:v>
      </x:c>
      <x:c r="O364" t="str">
        <x:v>Đình chỉ lưu hành, thu hồi và tiêu hủy – Công văn 1772/QLD-MP</x:v>
      </x:c>
      <x:c r="P364" t="str">
        <x:v>A++ – Cục Quản lý Dược; tổ chức chịu trách nhiệm explicit</x:v>
      </x:c>
      <x:c r="Q364" t="str">
        <x:v>Phụ lục 511 sản phẩm, STT 290, trang 10. Công ty Việt Hương là cơ sở sản xuất; cột tổ chức chịu trách nhiệm lấy nguyên văn từ phụ lục.</x:v>
      </x:c>
      <x:c r="R364" t="str">
        <x:v>https://dav.gov.vn/cong-van-so-1772qld-mp-ve-viec-dinh-chi-luu-hanh-thu-hoi-va-tieu-huy-my-pham-vi-pham-cong-ty-tnhh-my-pham-viet-huong-n5334.html</x:v>
      </x:c>
      <x:c r="S364" t="str">
        <x:v>Hà Nội</x:v>
      </x:c>
      <x:c r="T364" t="str">
        <x:v>01</x:v>
      </x:c>
    </x:row>
    <x:row r="365">
      <x:c r="A365" t="n">
        <x:v>364</x:v>
      </x:c>
      <x:c r="B365" s="330"/>
      <x:c r="C365" s="330" t="n">
        <x:v>46155</x:v>
      </x:c>
      <x:c r="D365" t="n">
        <x:v>2024</x:v>
      </x:c>
      <x:c r="E365"/>
      <x:c r="F365" t="str">
        <x:v>22705/24/CBMP-HN</x:v>
      </x:c>
      <x:c r="G365"/>
      <x:c r="H365" t="str">
        <x:v>Lotion dưỡng sáng da Cám Gạo</x:v>
      </x:c>
      <x:c r="I365"/>
      <x:c r="J365" t="str">
        <x:v>Kem dưỡng da</x:v>
      </x:c>
      <x:c r="K365"/>
      <x:c r="L365" t="str">
        <x:v>Công ty TNHH Dakami Cosmetic</x:v>
      </x:c>
      <x:c r="M365"/>
      <x:c r="N365" t="str">
        <x:v>Công ty TNHH mỹ phẩm Việt Hương</x:v>
      </x:c>
      <x:c r="O365" t="str">
        <x:v>Đình chỉ lưu hành, thu hồi và tiêu hủy – Công văn 1772/QLD-MP</x:v>
      </x:c>
      <x:c r="P365" t="str">
        <x:v>A++ – Cục Quản lý Dược; tổ chức chịu trách nhiệm explicit</x:v>
      </x:c>
      <x:c r="Q365" t="str">
        <x:v>Phụ lục 511 sản phẩm, STT 291, trang 11. Công ty Việt Hương là cơ sở sản xuất; cột tổ chức chịu trách nhiệm lấy nguyên văn từ phụ lục.</x:v>
      </x:c>
      <x:c r="R365" t="str">
        <x:v>https://dav.gov.vn/cong-van-so-1772qld-mp-ve-viec-dinh-chi-luu-hanh-thu-hoi-va-tieu-huy-my-pham-vi-pham-cong-ty-tnhh-my-pham-viet-huong-n5334.html</x:v>
      </x:c>
      <x:c r="S365" t="str">
        <x:v>Hà Nội</x:v>
      </x:c>
      <x:c r="T365" t="str">
        <x:v>01</x:v>
      </x:c>
    </x:row>
    <x:row r="366">
      <x:c r="A366" t="n">
        <x:v>365</x:v>
      </x:c>
      <x:c r="B366" s="330"/>
      <x:c r="C366" s="330" t="n">
        <x:v>46155</x:v>
      </x:c>
      <x:c r="D366" t="n">
        <x:v>2023</x:v>
      </x:c>
      <x:c r="E366"/>
      <x:c r="F366" t="str">
        <x:v>16783/23/CBMP-HN</x:v>
      </x:c>
      <x:c r="G366"/>
      <x:c r="H366" t="str">
        <x:v>Dakami Black Ginseng</x:v>
      </x:c>
      <x:c r="I366"/>
      <x:c r="J366" t="str">
        <x:v>Khác</x:v>
      </x:c>
      <x:c r="K366"/>
      <x:c r="L366" t="str">
        <x:v>Công ty TNHH Dakami Cosmetic</x:v>
      </x:c>
      <x:c r="M366"/>
      <x:c r="N366" t="str">
        <x:v>Công ty TNHH mỹ phẩm Việt Hương</x:v>
      </x:c>
      <x:c r="O366" t="str">
        <x:v>Đình chỉ lưu hành, thu hồi và tiêu hủy – Công văn 1772/QLD-MP</x:v>
      </x:c>
      <x:c r="P366" t="str">
        <x:v>A++ – Cục Quản lý Dược; tổ chức chịu trách nhiệm explicit</x:v>
      </x:c>
      <x:c r="Q366" t="str">
        <x:v>Phụ lục 511 sản phẩm, STT 293, trang 11. Công ty Việt Hương là cơ sở sản xuất; cột tổ chức chịu trách nhiệm lấy nguyên văn từ phụ lục.</x:v>
      </x:c>
      <x:c r="R366" t="str">
        <x:v>https://dav.gov.vn/cong-van-so-1772qld-mp-ve-viec-dinh-chi-luu-hanh-thu-hoi-va-tieu-huy-my-pham-vi-pham-cong-ty-tnhh-my-pham-viet-huong-n5334.html</x:v>
      </x:c>
      <x:c r="S366" t="str">
        <x:v>Hà Nội</x:v>
      </x:c>
      <x:c r="T366" t="str">
        <x:v>01</x:v>
      </x:c>
    </x:row>
    <x:row r="367">
      <x:c r="A367" t="n">
        <x:v>366</x:v>
      </x:c>
      <x:c r="B367" s="330"/>
      <x:c r="C367" s="330" t="n">
        <x:v>46155</x:v>
      </x:c>
      <x:c r="D367" t="n">
        <x:v>2023</x:v>
      </x:c>
      <x:c r="E367"/>
      <x:c r="F367" t="str">
        <x:v>17584/23/CBMP-HN</x:v>
      </x:c>
      <x:c r="G367"/>
      <x:c r="H367" t="str">
        <x:v>Dakami Black Ginseng Day</x:v>
      </x:c>
      <x:c r="I367"/>
      <x:c r="J367" t="str">
        <x:v>Khác</x:v>
      </x:c>
      <x:c r="K367"/>
      <x:c r="L367" t="str">
        <x:v>Công ty TNHH Dakami Cosmetic</x:v>
      </x:c>
      <x:c r="M367"/>
      <x:c r="N367" t="str">
        <x:v>Công ty TNHH mỹ phẩm Việt Hương</x:v>
      </x:c>
      <x:c r="O367" t="str">
        <x:v>Đình chỉ lưu hành, thu hồi và tiêu hủy – Công văn 1772/QLD-MP</x:v>
      </x:c>
      <x:c r="P367" t="str">
        <x:v>A++ – Cục Quản lý Dược; tổ chức chịu trách nhiệm explicit</x:v>
      </x:c>
      <x:c r="Q367" t="str">
        <x:v>Phụ lục 511 sản phẩm, STT 294, trang 11. Công ty Việt Hương là cơ sở sản xuất; cột tổ chức chịu trách nhiệm lấy nguyên văn từ phụ lục.</x:v>
      </x:c>
      <x:c r="R367" t="str">
        <x:v>https://dav.gov.vn/cong-van-so-1772qld-mp-ve-viec-dinh-chi-luu-hanh-thu-hoi-va-tieu-huy-my-pham-vi-pham-cong-ty-tnhh-my-pham-viet-huong-n5334.html</x:v>
      </x:c>
      <x:c r="S367" t="str">
        <x:v>Hà Nội</x:v>
      </x:c>
      <x:c r="T367" t="str">
        <x:v>01</x:v>
      </x:c>
    </x:row>
    <x:row r="368">
      <x:c r="A368" t="n">
        <x:v>367</x:v>
      </x:c>
      <x:c r="B368" s="330"/>
      <x:c r="C368" s="330" t="n">
        <x:v>46155</x:v>
      </x:c>
      <x:c r="D368" t="n">
        <x:v>2023</x:v>
      </x:c>
      <x:c r="E368"/>
      <x:c r="F368" t="str">
        <x:v>17585/23/CBMP-HN</x:v>
      </x:c>
      <x:c r="G368"/>
      <x:c r="H368" t="str">
        <x:v>Black Ginseng Serum</x:v>
      </x:c>
      <x:c r="I368"/>
      <x:c r="J368" t="str">
        <x:v>Serum/Essence da</x:v>
      </x:c>
      <x:c r="K368"/>
      <x:c r="L368" t="str">
        <x:v>Công ty TNHH Dakami Cosmetic</x:v>
      </x:c>
      <x:c r="M368"/>
      <x:c r="N368" t="str">
        <x:v>Công ty TNHH mỹ phẩm Việt Hương</x:v>
      </x:c>
      <x:c r="O368" t="str">
        <x:v>Đình chỉ lưu hành, thu hồi và tiêu hủy – Công văn 1772/QLD-MP</x:v>
      </x:c>
      <x:c r="P368" t="str">
        <x:v>A++ – Cục Quản lý Dược; tổ chức chịu trách nhiệm explicit</x:v>
      </x:c>
      <x:c r="Q368" t="str">
        <x:v>Phụ lục 511 sản phẩm, STT 295, trang 11. Công ty Việt Hương là cơ sở sản xuất; cột tổ chức chịu trách nhiệm lấy nguyên văn từ phụ lục.</x:v>
      </x:c>
      <x:c r="R368" t="str">
        <x:v>https://dav.gov.vn/cong-van-so-1772qld-mp-ve-viec-dinh-chi-luu-hanh-thu-hoi-va-tieu-huy-my-pham-vi-pham-cong-ty-tnhh-my-pham-viet-huong-n5334.html</x:v>
      </x:c>
      <x:c r="S368" t="str">
        <x:v>Hà Nội</x:v>
      </x:c>
      <x:c r="T368" t="str">
        <x:v>01</x:v>
      </x:c>
    </x:row>
    <x:row r="369">
      <x:c r="A369" t="n">
        <x:v>368</x:v>
      </x:c>
      <x:c r="B369" s="330"/>
      <x:c r="C369" s="330" t="n">
        <x:v>46155</x:v>
      </x:c>
      <x:c r="D369" t="n">
        <x:v>2024</x:v>
      </x:c>
      <x:c r="E369"/>
      <x:c r="F369" t="str">
        <x:v>22719/24/CBMP-HN</x:v>
      </x:c>
      <x:c r="G369"/>
      <x:c r="H369" t="str">
        <x:v>Kem dưỡng ẩm nấm Linh Chi</x:v>
      </x:c>
      <x:c r="I369"/>
      <x:c r="J369" t="str">
        <x:v>Kem dưỡng da</x:v>
      </x:c>
      <x:c r="K369"/>
      <x:c r="L369" t="str">
        <x:v>Công ty TNHH Dakami Cosmetic</x:v>
      </x:c>
      <x:c r="M369"/>
      <x:c r="N369" t="str">
        <x:v>Công ty TNHH mỹ phẩm Việt Hương</x:v>
      </x:c>
      <x:c r="O369" t="str">
        <x:v>Đình chỉ lưu hành, thu hồi và tiêu hủy – Công văn 1772/QLD-MP</x:v>
      </x:c>
      <x:c r="P369" t="str">
        <x:v>A++ – Cục Quản lý Dược; tổ chức chịu trách nhiệm explicit</x:v>
      </x:c>
      <x:c r="Q369" t="str">
        <x:v>Phụ lục 511 sản phẩm, STT 296, trang 11. Công ty Việt Hương là cơ sở sản xuất; cột tổ chức chịu trách nhiệm lấy nguyên văn từ phụ lục.</x:v>
      </x:c>
      <x:c r="R369" t="str">
        <x:v>https://dav.gov.vn/cong-van-so-1772qld-mp-ve-viec-dinh-chi-luu-hanh-thu-hoi-va-tieu-huy-my-pham-vi-pham-cong-ty-tnhh-my-pham-viet-huong-n5334.html</x:v>
      </x:c>
      <x:c r="S369" t="str">
        <x:v>Hà Nội</x:v>
      </x:c>
      <x:c r="T369" t="str">
        <x:v>01</x:v>
      </x:c>
    </x:row>
    <x:row r="370">
      <x:c r="A370" t="n">
        <x:v>369</x:v>
      </x:c>
      <x:c r="B370" s="330"/>
      <x:c r="C370" s="330" t="n">
        <x:v>46155</x:v>
      </x:c>
      <x:c r="D370" t="n">
        <x:v>2023</x:v>
      </x:c>
      <x:c r="E370"/>
      <x:c r="F370" t="str">
        <x:v>17700/23/CBMP-HN</x:v>
      </x:c>
      <x:c r="G370"/>
      <x:c r="H370" t="str">
        <x:v>Black Ginseng Cleanser</x:v>
      </x:c>
      <x:c r="I370"/>
      <x:c r="J370" t="str">
        <x:v>Sữa rửa mặt</x:v>
      </x:c>
      <x:c r="K370"/>
      <x:c r="L370" t="str">
        <x:v>Công ty TNHH Dakami Cosmetic</x:v>
      </x:c>
      <x:c r="M370"/>
      <x:c r="N370" t="str">
        <x:v>Công ty TNHH mỹ phẩm Việt Hương</x:v>
      </x:c>
      <x:c r="O370" t="str">
        <x:v>Đình chỉ lưu hành, thu hồi và tiêu hủy – Công văn 1772/QLD-MP</x:v>
      </x:c>
      <x:c r="P370" t="str">
        <x:v>A++ – Cục Quản lý Dược; tổ chức chịu trách nhiệm explicit</x:v>
      </x:c>
      <x:c r="Q370" t="str">
        <x:v>Phụ lục 511 sản phẩm, STT 297, trang 11. Công ty Việt Hương là cơ sở sản xuất; cột tổ chức chịu trách nhiệm lấy nguyên văn từ phụ lục.</x:v>
      </x:c>
      <x:c r="R370" t="str">
        <x:v>https://dav.gov.vn/cong-van-so-1772qld-mp-ve-viec-dinh-chi-luu-hanh-thu-hoi-va-tieu-huy-my-pham-vi-pham-cong-ty-tnhh-my-pham-viet-huong-n5334.html</x:v>
      </x:c>
      <x:c r="S370" t="str">
        <x:v>Hà Nội</x:v>
      </x:c>
      <x:c r="T370" t="str">
        <x:v>01</x:v>
      </x:c>
    </x:row>
    <x:row r="371">
      <x:c r="A371" t="n">
        <x:v>370</x:v>
      </x:c>
      <x:c r="B371" s="330"/>
      <x:c r="C371" s="330" t="n">
        <x:v>46155</x:v>
      </x:c>
      <x:c r="D371" t="n">
        <x:v>2024</x:v>
      </x:c>
      <x:c r="E371"/>
      <x:c r="F371" t="str">
        <x:v>22754/24/CBMP-HN</x:v>
      </x:c>
      <x:c r="G371"/>
      <x:c r="H371" t="str">
        <x:v>Red Carnation Lipstick</x:v>
      </x:c>
      <x:c r="I371"/>
      <x:c r="J371" t="str">
        <x:v>Sản phẩm môi</x:v>
      </x:c>
      <x:c r="K371"/>
      <x:c r="L371" t="str">
        <x:v>Công ty TNHH Dakami Cosmetic</x:v>
      </x:c>
      <x:c r="M371"/>
      <x:c r="N371" t="str">
        <x:v>Công ty TNHH mỹ phẩm Việt Hương</x:v>
      </x:c>
      <x:c r="O371" t="str">
        <x:v>Đình chỉ lưu hành, thu hồi và tiêu hủy – Công văn 1772/QLD-MP</x:v>
      </x:c>
      <x:c r="P371" t="str">
        <x:v>A++ – Cục Quản lý Dược; tổ chức chịu trách nhiệm explicit</x:v>
      </x:c>
      <x:c r="Q371" t="str">
        <x:v>Phụ lục 511 sản phẩm, STT 298, trang 11. Công ty Việt Hương là cơ sở sản xuất; cột tổ chức chịu trách nhiệm lấy nguyên văn từ phụ lục.</x:v>
      </x:c>
      <x:c r="R371" t="str">
        <x:v>https://dav.gov.vn/cong-van-so-1772qld-mp-ve-viec-dinh-chi-luu-hanh-thu-hoi-va-tieu-huy-my-pham-vi-pham-cong-ty-tnhh-my-pham-viet-huong-n5334.html</x:v>
      </x:c>
      <x:c r="S371" t="str">
        <x:v>Hà Nội</x:v>
      </x:c>
      <x:c r="T371" t="str">
        <x:v>01</x:v>
      </x:c>
    </x:row>
    <x:row r="372">
      <x:c r="A372" t="n">
        <x:v>371</x:v>
      </x:c>
      <x:c r="B372" s="330"/>
      <x:c r="C372" s="330" t="n">
        <x:v>46155</x:v>
      </x:c>
      <x:c r="D372" t="n">
        <x:v>2023</x:v>
      </x:c>
      <x:c r="E372"/>
      <x:c r="F372" t="str">
        <x:v>17858/23/CBMP-HN</x:v>
      </x:c>
      <x:c r="G372"/>
      <x:c r="H372" t="str">
        <x:v>Lucky Body</x:v>
      </x:c>
      <x:c r="I372"/>
      <x:c r="J372" t="str">
        <x:v>Khác</x:v>
      </x:c>
      <x:c r="K372"/>
      <x:c r="L372" t="str">
        <x:v>Công ty TNHH Toàn Lucky</x:v>
      </x:c>
      <x:c r="M372"/>
      <x:c r="N372" t="str">
        <x:v>Công ty TNHH mỹ phẩm Việt Hương</x:v>
      </x:c>
      <x:c r="O372" t="str">
        <x:v>Đình chỉ lưu hành, thu hồi và tiêu hủy – Công văn 1772/QLD-MP</x:v>
      </x:c>
      <x:c r="P372" t="str">
        <x:v>A++ – Cục Quản lý Dược; tổ chức chịu trách nhiệm explicit</x:v>
      </x:c>
      <x:c r="Q372" t="str">
        <x:v>Phụ lục 511 sản phẩm, STT 299, trang 11. Công ty Việt Hương là cơ sở sản xuất; cột tổ chức chịu trách nhiệm lấy nguyên văn từ phụ lục.</x:v>
      </x:c>
      <x:c r="R372" t="str">
        <x:v>https://dav.gov.vn/cong-van-so-1772qld-mp-ve-viec-dinh-chi-luu-hanh-thu-hoi-va-tieu-huy-my-pham-vi-pham-cong-ty-tnhh-my-pham-viet-huong-n5334.html</x:v>
      </x:c>
      <x:c r="S372" t="str">
        <x:v>Hà Nội</x:v>
      </x:c>
      <x:c r="T372" t="str">
        <x:v>01</x:v>
      </x:c>
    </x:row>
    <x:row r="373">
      <x:c r="A373" t="n">
        <x:v>372</x:v>
      </x:c>
      <x:c r="B373" s="330"/>
      <x:c r="C373" s="330" t="n">
        <x:v>46155</x:v>
      </x:c>
      <x:c r="D373" t="n">
        <x:v>2023</x:v>
      </x:c>
      <x:c r="E373"/>
      <x:c r="F373" t="str">
        <x:v>18170/23/CBMP-HN</x:v>
      </x:c>
      <x:c r="G373"/>
      <x:c r="H373" t="str">
        <x:v>3in1 Whitening Serum</x:v>
      </x:c>
      <x:c r="I373"/>
      <x:c r="J373" t="str">
        <x:v>Serum/Essence da</x:v>
      </x:c>
      <x:c r="K373"/>
      <x:c r="L373" t="str">
        <x:v>Công ty TNHH BB4you</x:v>
      </x:c>
      <x:c r="M373"/>
      <x:c r="N373" t="str">
        <x:v>Công ty TNHH mỹ phẩm Việt Hương</x:v>
      </x:c>
      <x:c r="O373" t="str">
        <x:v>Đình chỉ lưu hành, thu hồi và tiêu hủy – Công văn 1772/QLD-MP</x:v>
      </x:c>
      <x:c r="P373" t="str">
        <x:v>A++ – Cục Quản lý Dược; tổ chức chịu trách nhiệm explicit</x:v>
      </x:c>
      <x:c r="Q373" t="str">
        <x:v>Phụ lục 511 sản phẩm, STT 300, trang 11. Công ty Việt Hương là cơ sở sản xuất; cột tổ chức chịu trách nhiệm lấy nguyên văn từ phụ lục.</x:v>
      </x:c>
      <x:c r="R373" t="str">
        <x:v>https://dav.gov.vn/cong-van-so-1772qld-mp-ve-viec-dinh-chi-luu-hanh-thu-hoi-va-tieu-huy-my-pham-vi-pham-cong-ty-tnhh-my-pham-viet-huong-n5334.html</x:v>
      </x:c>
      <x:c r="S373" t="str">
        <x:v>Hà Nội</x:v>
      </x:c>
      <x:c r="T373" t="str">
        <x:v>01</x:v>
      </x:c>
    </x:row>
    <x:row r="374">
      <x:c r="A374" t="n">
        <x:v>373</x:v>
      </x:c>
      <x:c r="B374" s="330"/>
      <x:c r="C374" s="330" t="n">
        <x:v>46155</x:v>
      </x:c>
      <x:c r="D374" t="n">
        <x:v>2023</x:v>
      </x:c>
      <x:c r="E374"/>
      <x:c r="F374" t="str">
        <x:v>18171/23/CBMP-HN</x:v>
      </x:c>
      <x:c r="G374"/>
      <x:c r="H374" t="str">
        <x:v>3in1 Facial Cleanser</x:v>
      </x:c>
      <x:c r="I374"/>
      <x:c r="J374" t="str">
        <x:v>Sữa rửa mặt</x:v>
      </x:c>
      <x:c r="K374"/>
      <x:c r="L374" t="str">
        <x:v>Công ty TNHH BB4you</x:v>
      </x:c>
      <x:c r="M374"/>
      <x:c r="N374" t="str">
        <x:v>Công ty TNHH mỹ phẩm Việt Hương</x:v>
      </x:c>
      <x:c r="O374" t="str">
        <x:v>Đình chỉ lưu hành, thu hồi và tiêu hủy – Công văn 1772/QLD-MP</x:v>
      </x:c>
      <x:c r="P374" t="str">
        <x:v>A++ – Cục Quản lý Dược; tổ chức chịu trách nhiệm explicit</x:v>
      </x:c>
      <x:c r="Q374" t="str">
        <x:v>Phụ lục 511 sản phẩm, STT 301, trang 11. Công ty Việt Hương là cơ sở sản xuất; cột tổ chức chịu trách nhiệm lấy nguyên văn từ phụ lục.</x:v>
      </x:c>
      <x:c r="R374" t="str">
        <x:v>https://dav.gov.vn/cong-van-so-1772qld-mp-ve-viec-dinh-chi-luu-hanh-thu-hoi-va-tieu-huy-my-pham-vi-pham-cong-ty-tnhh-my-pham-viet-huong-n5334.html</x:v>
      </x:c>
      <x:c r="S374" t="str">
        <x:v>Hà Nội</x:v>
      </x:c>
      <x:c r="T374" t="str">
        <x:v>01</x:v>
      </x:c>
    </x:row>
    <x:row r="375">
      <x:c r="A375" t="n">
        <x:v>374</x:v>
      </x:c>
      <x:c r="B375" s="330"/>
      <x:c r="C375" s="330" t="n">
        <x:v>46155</x:v>
      </x:c>
      <x:c r="D375" t="n">
        <x:v>2023</x:v>
      </x:c>
      <x:c r="E375"/>
      <x:c r="F375" t="str">
        <x:v>18172/23/CBMP-HN</x:v>
      </x:c>
      <x:c r="G375"/>
      <x:c r="H375" t="str">
        <x:v>3in1 Anti-Aging Cream</x:v>
      </x:c>
      <x:c r="I375"/>
      <x:c r="J375" t="str">
        <x:v>Kem dưỡng da</x:v>
      </x:c>
      <x:c r="K375"/>
      <x:c r="L375" t="str">
        <x:v>Công ty TNHH BB4you</x:v>
      </x:c>
      <x:c r="M375"/>
      <x:c r="N375" t="str">
        <x:v>Công ty TNHH mỹ phẩm Việt Hương</x:v>
      </x:c>
      <x:c r="O375" t="str">
        <x:v>Đình chỉ lưu hành, thu hồi và tiêu hủy – Công văn 1772/QLD-MP</x:v>
      </x:c>
      <x:c r="P375" t="str">
        <x:v>A++ – Cục Quản lý Dược; tổ chức chịu trách nhiệm explicit</x:v>
      </x:c>
      <x:c r="Q375" t="str">
        <x:v>Phụ lục 511 sản phẩm, STT 302, trang 11. Công ty Việt Hương là cơ sở sản xuất; cột tổ chức chịu trách nhiệm lấy nguyên văn từ phụ lục.</x:v>
      </x:c>
      <x:c r="R375" t="str">
        <x:v>https://dav.gov.vn/cong-van-so-1772qld-mp-ve-viec-dinh-chi-luu-hanh-thu-hoi-va-tieu-huy-my-pham-vi-pham-cong-ty-tnhh-my-pham-viet-huong-n5334.html</x:v>
      </x:c>
      <x:c r="S375" t="str">
        <x:v>Hà Nội</x:v>
      </x:c>
      <x:c r="T375" t="str">
        <x:v>01</x:v>
      </x:c>
    </x:row>
    <x:row r="376">
      <x:c r="A376" t="n">
        <x:v>375</x:v>
      </x:c>
      <x:c r="B376" s="330"/>
      <x:c r="C376" s="330" t="n">
        <x:v>46155</x:v>
      </x:c>
      <x:c r="D376" t="n">
        <x:v>2023</x:v>
      </x:c>
      <x:c r="E376"/>
      <x:c r="F376" t="str">
        <x:v>18173/23/CBMP-HN</x:v>
      </x:c>
      <x:c r="G376"/>
      <x:c r="H376" t="str">
        <x:v>Whitening Body Cream</x:v>
      </x:c>
      <x:c r="I376"/>
      <x:c r="J376" t="str">
        <x:v>Kem body</x:v>
      </x:c>
      <x:c r="K376"/>
      <x:c r="L376" t="str">
        <x:v>Công ty TNHH thương mại và dịch vụ Hasa Cosmetic</x:v>
      </x:c>
      <x:c r="M376"/>
      <x:c r="N376" t="str">
        <x:v>Công ty TNHH mỹ phẩm Việt Hương</x:v>
      </x:c>
      <x:c r="O376" t="str">
        <x:v>Đình chỉ lưu hành, thu hồi và tiêu hủy – Công văn 1772/QLD-MP</x:v>
      </x:c>
      <x:c r="P376" t="str">
        <x:v>A++ – Cục Quản lý Dược; tổ chức chịu trách nhiệm explicit</x:v>
      </x:c>
      <x:c r="Q376" t="str">
        <x:v>Phụ lục 511 sản phẩm, STT 303, trang 11. Công ty Việt Hương là cơ sở sản xuất; cột tổ chức chịu trách nhiệm lấy nguyên văn từ phụ lục.</x:v>
      </x:c>
      <x:c r="R376" t="str">
        <x:v>https://dav.gov.vn/cong-van-so-1772qld-mp-ve-viec-dinh-chi-luu-hanh-thu-hoi-va-tieu-huy-my-pham-vi-pham-cong-ty-tnhh-my-pham-viet-huong-n5334.html</x:v>
      </x:c>
      <x:c r="S376" t="str">
        <x:v>Hà Nội</x:v>
      </x:c>
      <x:c r="T376" t="str">
        <x:v>01</x:v>
      </x:c>
    </x:row>
    <x:row r="377">
      <x:c r="A377" t="n">
        <x:v>376</x:v>
      </x:c>
      <x:c r="B377" s="330"/>
      <x:c r="C377" s="330" t="n">
        <x:v>46155</x:v>
      </x:c>
      <x:c r="D377" t="n">
        <x:v>2023</x:v>
      </x:c>
      <x:c r="E377"/>
      <x:c r="F377" t="str">
        <x:v>18174/23/CBMP-HN</x:v>
      </x:c>
      <x:c r="G377"/>
      <x:c r="H377" t="str">
        <x:v>The Natural Lotion Body</x:v>
      </x:c>
      <x:c r="I377"/>
      <x:c r="J377" t="str">
        <x:v>Kem dưỡng da</x:v>
      </x:c>
      <x:c r="K377"/>
      <x:c r="L377" t="str">
        <x:v>Công ty TNHH thương mại và dịch vụ Hasa Cosmetic</x:v>
      </x:c>
      <x:c r="M377"/>
      <x:c r="N377" t="str">
        <x:v>Công ty TNHH mỹ phẩm Việt Hương</x:v>
      </x:c>
      <x:c r="O377" t="str">
        <x:v>Đình chỉ lưu hành, thu hồi và tiêu hủy – Công văn 1772/QLD-MP</x:v>
      </x:c>
      <x:c r="P377" t="str">
        <x:v>A++ – Cục Quản lý Dược; tổ chức chịu trách nhiệm explicit</x:v>
      </x:c>
      <x:c r="Q377" t="str">
        <x:v>Phụ lục 511 sản phẩm, STT 304, trang 11. Công ty Việt Hương là cơ sở sản xuất; cột tổ chức chịu trách nhiệm lấy nguyên văn từ phụ lục.</x:v>
      </x:c>
      <x:c r="R377" t="str">
        <x:v>https://dav.gov.vn/cong-van-so-1772qld-mp-ve-viec-dinh-chi-luu-hanh-thu-hoi-va-tieu-huy-my-pham-vi-pham-cong-ty-tnhh-my-pham-viet-huong-n5334.html</x:v>
      </x:c>
      <x:c r="S377" t="str">
        <x:v>Hà Nội</x:v>
      </x:c>
      <x:c r="T377" t="str">
        <x:v>01</x:v>
      </x:c>
    </x:row>
    <x:row r="378">
      <x:c r="A378" t="n">
        <x:v>377</x:v>
      </x:c>
      <x:c r="B378" s="330"/>
      <x:c r="C378" s="330" t="n">
        <x:v>46155</x:v>
      </x:c>
      <x:c r="D378" t="n">
        <x:v>2023</x:v>
      </x:c>
      <x:c r="E378"/>
      <x:c r="F378" t="str">
        <x:v>18449/23/CBMP-HN</x:v>
      </x:c>
      <x:c r="G378"/>
      <x:c r="H378" t="str">
        <x:v>Skin BT</x:v>
      </x:c>
      <x:c r="I378"/>
      <x:c r="J378" t="str">
        <x:v>Khác</x:v>
      </x:c>
      <x:c r="K378"/>
      <x:c r="L378" t="str">
        <x:v>Công ty TNHH kinh doanh thương mại Thái Hà</x:v>
      </x:c>
      <x:c r="M378"/>
      <x:c r="N378" t="str">
        <x:v>Công ty TNHH mỹ phẩm Việt Hương</x:v>
      </x:c>
      <x:c r="O378" t="str">
        <x:v>Đình chỉ lưu hành, thu hồi và tiêu hủy – Công văn 1772/QLD-MP</x:v>
      </x:c>
      <x:c r="P378" t="str">
        <x:v>A++ – Cục Quản lý Dược; tổ chức chịu trách nhiệm explicit</x:v>
      </x:c>
      <x:c r="Q378" t="str">
        <x:v>Phụ lục 511 sản phẩm, STT 305, trang 11. Công ty Việt Hương là cơ sở sản xuất; cột tổ chức chịu trách nhiệm lấy nguyên văn từ phụ lục.</x:v>
      </x:c>
      <x:c r="R378" t="str">
        <x:v>https://dav.gov.vn/cong-van-so-1772qld-mp-ve-viec-dinh-chi-luu-hanh-thu-hoi-va-tieu-huy-my-pham-vi-pham-cong-ty-tnhh-my-pham-viet-huong-n5334.html</x:v>
      </x:c>
      <x:c r="S378" t="str">
        <x:v>Hà Nội</x:v>
      </x:c>
      <x:c r="T378" t="str">
        <x:v>01</x:v>
      </x:c>
    </x:row>
    <x:row r="379">
      <x:c r="A379" t="n">
        <x:v>378</x:v>
      </x:c>
      <x:c r="B379" s="330"/>
      <x:c r="C379" s="330" t="n">
        <x:v>46155</x:v>
      </x:c>
      <x:c r="D379" t="n">
        <x:v>2024</x:v>
      </x:c>
      <x:c r="E379"/>
      <x:c r="F379" t="str">
        <x:v>18986/24/CBMP-HN</x:v>
      </x:c>
      <x:c r="G379"/>
      <x:c r="H379" t="str">
        <x:v>Wake BT</x:v>
      </x:c>
      <x:c r="I379"/>
      <x:c r="J379" t="str">
        <x:v>Khác</x:v>
      </x:c>
      <x:c r="K379"/>
      <x:c r="L379" t="str">
        <x:v>Công ty TNHH kinh doanh thương mại Thái Hà</x:v>
      </x:c>
      <x:c r="M379"/>
      <x:c r="N379" t="str">
        <x:v>Công ty TNHH mỹ phẩm Việt Hương</x:v>
      </x:c>
      <x:c r="O379" t="str">
        <x:v>Đình chỉ lưu hành, thu hồi và tiêu hủy – Công văn 1772/QLD-MP</x:v>
      </x:c>
      <x:c r="P379" t="str">
        <x:v>A++ – Cục Quản lý Dược; tổ chức chịu trách nhiệm explicit</x:v>
      </x:c>
      <x:c r="Q379" t="str">
        <x:v>Phụ lục 511 sản phẩm, STT 306, trang 11. Công ty Việt Hương là cơ sở sản xuất; cột tổ chức chịu trách nhiệm lấy nguyên văn từ phụ lục.</x:v>
      </x:c>
      <x:c r="R379" t="str">
        <x:v>https://dav.gov.vn/cong-van-so-1772qld-mp-ve-viec-dinh-chi-luu-hanh-thu-hoi-va-tieu-huy-my-pham-vi-pham-cong-ty-tnhh-my-pham-viet-huong-n5334.html</x:v>
      </x:c>
      <x:c r="S379" t="str">
        <x:v>Hà Nội</x:v>
      </x:c>
      <x:c r="T379" t="str">
        <x:v>01</x:v>
      </x:c>
    </x:row>
    <x:row r="380">
      <x:c r="A380" t="n">
        <x:v>379</x:v>
      </x:c>
      <x:c r="B380" s="330"/>
      <x:c r="C380" s="330" t="n">
        <x:v>46155</x:v>
      </x:c>
      <x:c r="D380" t="n">
        <x:v>2024</x:v>
      </x:c>
      <x:c r="E380"/>
      <x:c r="F380" t="str">
        <x:v>20647/24/CBMP-HN</x:v>
      </x:c>
      <x:c r="G380"/>
      <x:c r="H380" t="str">
        <x:v>Sun Block BT</x:v>
      </x:c>
      <x:c r="I380"/>
      <x:c r="J380" t="str">
        <x:v>Khác</x:v>
      </x:c>
      <x:c r="K380"/>
      <x:c r="L380" t="str">
        <x:v>Công ty TNHH kinh doanh thương mại Thái Hà</x:v>
      </x:c>
      <x:c r="M380"/>
      <x:c r="N380" t="str">
        <x:v>Công ty TNHH mỹ phẩm Việt Hương</x:v>
      </x:c>
      <x:c r="O380" t="str">
        <x:v>Đình chỉ lưu hành, thu hồi và tiêu hủy – Công văn 1772/QLD-MP</x:v>
      </x:c>
      <x:c r="P380" t="str">
        <x:v>A++ – Cục Quản lý Dược; tổ chức chịu trách nhiệm explicit</x:v>
      </x:c>
      <x:c r="Q380" t="str">
        <x:v>Phụ lục 511 sản phẩm, STT 307, trang 11. Công ty Việt Hương là cơ sở sản xuất; cột tổ chức chịu trách nhiệm lấy nguyên văn từ phụ lục.</x:v>
      </x:c>
      <x:c r="R380" t="str">
        <x:v>https://dav.gov.vn/cong-van-so-1772qld-mp-ve-viec-dinh-chi-luu-hanh-thu-hoi-va-tieu-huy-my-pham-vi-pham-cong-ty-tnhh-my-pham-viet-huong-n5334.html</x:v>
      </x:c>
      <x:c r="S380" t="str">
        <x:v>Hà Nội</x:v>
      </x:c>
      <x:c r="T380" t="str">
        <x:v>01</x:v>
      </x:c>
    </x:row>
    <x:row r="381">
      <x:c r="A381" t="n">
        <x:v>380</x:v>
      </x:c>
      <x:c r="B381" s="330"/>
      <x:c r="C381" s="330" t="n">
        <x:v>46155</x:v>
      </x:c>
      <x:c r="D381" t="n">
        <x:v>2023</x:v>
      </x:c>
      <x:c r="E381"/>
      <x:c r="F381" t="str">
        <x:v>18553/23/CBMP-HN</x:v>
      </x:c>
      <x:c r="G381"/>
      <x:c r="H381" t="str">
        <x:v>3in1 Anti Acne Gel</x:v>
      </x:c>
      <x:c r="I381"/>
      <x:c r="J381" t="str">
        <x:v>Khác</x:v>
      </x:c>
      <x:c r="K381"/>
      <x:c r="L381" t="str">
        <x:v>Công ty TNHH dịch vụ và thương mại LP Việt Nam</x:v>
      </x:c>
      <x:c r="M381"/>
      <x:c r="N381" t="str">
        <x:v>Công ty TNHH mỹ phẩm Việt Hương</x:v>
      </x:c>
      <x:c r="O381" t="str">
        <x:v>Đình chỉ lưu hành, thu hồi và tiêu hủy – Công văn 1772/QLD-MP</x:v>
      </x:c>
      <x:c r="P381" t="str">
        <x:v>A++ – Cục Quản lý Dược; tổ chức chịu trách nhiệm explicit</x:v>
      </x:c>
      <x:c r="Q381" t="str">
        <x:v>Phụ lục 511 sản phẩm, STT 308, trang 11. Công ty Việt Hương là cơ sở sản xuất; cột tổ chức chịu trách nhiệm lấy nguyên văn từ phụ lục.</x:v>
      </x:c>
      <x:c r="R381" t="str">
        <x:v>https://dav.gov.vn/cong-van-so-1772qld-mp-ve-viec-dinh-chi-luu-hanh-thu-hoi-va-tieu-huy-my-pham-vi-pham-cong-ty-tnhh-my-pham-viet-huong-n5334.html</x:v>
      </x:c>
      <x:c r="S381" t="str">
        <x:v>Hà Nội</x:v>
      </x:c>
      <x:c r="T381" t="str">
        <x:v>01</x:v>
      </x:c>
    </x:row>
    <x:row r="382">
      <x:c r="A382" t="n">
        <x:v>381</x:v>
      </x:c>
      <x:c r="B382" s="330"/>
      <x:c r="C382" s="330" t="n">
        <x:v>46155</x:v>
      </x:c>
      <x:c r="D382" t="n">
        <x:v>2023</x:v>
      </x:c>
      <x:c r="E382"/>
      <x:c r="F382" t="str">
        <x:v>18554/23/CBMP-HN</x:v>
      </x:c>
      <x:c r="G382"/>
      <x:c r="H382" t="str">
        <x:v>3in1 Whitening Serum</x:v>
      </x:c>
      <x:c r="I382"/>
      <x:c r="J382" t="str">
        <x:v>Serum/Essence da</x:v>
      </x:c>
      <x:c r="K382"/>
      <x:c r="L382" t="str">
        <x:v>Công ty TNHH dịch vụ và thương mại LP Việt Nam</x:v>
      </x:c>
      <x:c r="M382"/>
      <x:c r="N382" t="str">
        <x:v>Công ty TNHH mỹ phẩm Việt Hương</x:v>
      </x:c>
      <x:c r="O382" t="str">
        <x:v>Đình chỉ lưu hành, thu hồi và tiêu hủy – Công văn 1772/QLD-MP</x:v>
      </x:c>
      <x:c r="P382" t="str">
        <x:v>A++ – Cục Quản lý Dược; tổ chức chịu trách nhiệm explicit</x:v>
      </x:c>
      <x:c r="Q382" t="str">
        <x:v>Phụ lục 511 sản phẩm, STT 309, trang 11. Công ty Việt Hương là cơ sở sản xuất; cột tổ chức chịu trách nhiệm lấy nguyên văn từ phụ lục.</x:v>
      </x:c>
      <x:c r="R382" t="str">
        <x:v>https://dav.gov.vn/cong-van-so-1772qld-mp-ve-viec-dinh-chi-luu-hanh-thu-hoi-va-tieu-huy-my-pham-vi-pham-cong-ty-tnhh-my-pham-viet-huong-n5334.html</x:v>
      </x:c>
      <x:c r="S382" t="str">
        <x:v>Hà Nội</x:v>
      </x:c>
      <x:c r="T382" t="str">
        <x:v>01</x:v>
      </x:c>
    </x:row>
    <x:row r="383">
      <x:c r="A383" t="n">
        <x:v>382</x:v>
      </x:c>
      <x:c r="B383" s="330"/>
      <x:c r="C383" s="330" t="n">
        <x:v>46155</x:v>
      </x:c>
      <x:c r="D383" t="n">
        <x:v>2023</x:v>
      </x:c>
      <x:c r="E383"/>
      <x:c r="F383" t="str">
        <x:v>18555/23/CBMP-HN</x:v>
      </x:c>
      <x:c r="G383"/>
      <x:c r="H383" t="str">
        <x:v>3in1 Anti Acne Cleanser</x:v>
      </x:c>
      <x:c r="I383"/>
      <x:c r="J383" t="str">
        <x:v>Sữa rửa mặt</x:v>
      </x:c>
      <x:c r="K383"/>
      <x:c r="L383" t="str">
        <x:v>Công ty TNHH dịch vụ và thương mại LP Việt Nam</x:v>
      </x:c>
      <x:c r="M383"/>
      <x:c r="N383" t="str">
        <x:v>Công ty TNHH mỹ phẩm Việt Hương</x:v>
      </x:c>
      <x:c r="O383" t="str">
        <x:v>Đình chỉ lưu hành, thu hồi và tiêu hủy – Công văn 1772/QLD-MP</x:v>
      </x:c>
      <x:c r="P383" t="str">
        <x:v>A++ – Cục Quản lý Dược; tổ chức chịu trách nhiệm explicit</x:v>
      </x:c>
      <x:c r="Q383" t="str">
        <x:v>Phụ lục 511 sản phẩm, STT 310, trang 11. Công ty Việt Hương là cơ sở sản xuất; cột tổ chức chịu trách nhiệm lấy nguyên văn từ phụ lục.</x:v>
      </x:c>
      <x:c r="R383" t="str">
        <x:v>https://dav.gov.vn/cong-van-so-1772qld-mp-ve-viec-dinh-chi-luu-hanh-thu-hoi-va-tieu-huy-my-pham-vi-pham-cong-ty-tnhh-my-pham-viet-huong-n5334.html</x:v>
      </x:c>
      <x:c r="S383" t="str">
        <x:v>Hà Nội</x:v>
      </x:c>
      <x:c r="T383" t="str">
        <x:v>01</x:v>
      </x:c>
    </x:row>
    <x:row r="384">
      <x:c r="A384" t="n">
        <x:v>383</x:v>
      </x:c>
      <x:c r="B384" s="330"/>
      <x:c r="C384" s="330" t="n">
        <x:v>46155</x:v>
      </x:c>
      <x:c r="D384" t="n">
        <x:v>2023</x:v>
      </x:c>
      <x:c r="E384"/>
      <x:c r="F384" t="str">
        <x:v>18583/23/CBMP-HN</x:v>
      </x:c>
      <x:c r="G384"/>
      <x:c r="H384" t="str">
        <x:v>Hair Removal Cream</x:v>
      </x:c>
      <x:c r="I384"/>
      <x:c r="J384" t="str">
        <x:v>Kem dưỡng da</x:v>
      </x:c>
      <x:c r="K384"/>
      <x:c r="L384" t="str">
        <x:v>Công ty cổ phần quốc tế Baek Jo Việt Nam</x:v>
      </x:c>
      <x:c r="M384"/>
      <x:c r="N384" t="str">
        <x:v>Công ty TNHH mỹ phẩm Việt Hương</x:v>
      </x:c>
      <x:c r="O384" t="str">
        <x:v>Đình chỉ lưu hành, thu hồi và tiêu hủy – Công văn 1772/QLD-MP</x:v>
      </x:c>
      <x:c r="P384" t="str">
        <x:v>A++ – Cục Quản lý Dược; tổ chức chịu trách nhiệm explicit</x:v>
      </x:c>
      <x:c r="Q384" t="str">
        <x:v>Phụ lục 511 sản phẩm, STT 311, trang 11. Công ty Việt Hương là cơ sở sản xuất; cột tổ chức chịu trách nhiệm lấy nguyên văn từ phụ lục.</x:v>
      </x:c>
      <x:c r="R384" t="str">
        <x:v>https://dav.gov.vn/cong-van-so-1772qld-mp-ve-viec-dinh-chi-luu-hanh-thu-hoi-va-tieu-huy-my-pham-vi-pham-cong-ty-tnhh-my-pham-viet-huong-n5334.html</x:v>
      </x:c>
      <x:c r="S384" t="str">
        <x:v>Hà Nội</x:v>
      </x:c>
      <x:c r="T384" t="str">
        <x:v>01</x:v>
      </x:c>
    </x:row>
    <x:row r="385">
      <x:c r="A385" t="n">
        <x:v>384</x:v>
      </x:c>
      <x:c r="B385" s="330"/>
      <x:c r="C385" s="330" t="n">
        <x:v>46155</x:v>
      </x:c>
      <x:c r="D385" t="n">
        <x:v>2023</x:v>
      </x:c>
      <x:c r="E385"/>
      <x:c r="F385" t="str">
        <x:v>18584/23/CBMP-HN</x:v>
      </x:c>
      <x:c r="G385"/>
      <x:c r="H385" t="str">
        <x:v>Coffee Body Scrub</x:v>
      </x:c>
      <x:c r="I385"/>
      <x:c r="J385" t="str">
        <x:v>Khác</x:v>
      </x:c>
      <x:c r="K385"/>
      <x:c r="L385" t="str">
        <x:v>Công ty cổ phần quốc tế Baek Jo Việt Nam</x:v>
      </x:c>
      <x:c r="M385"/>
      <x:c r="N385" t="str">
        <x:v>Công ty TNHH mỹ phẩm Việt Hương</x:v>
      </x:c>
      <x:c r="O385" t="str">
        <x:v>Đình chỉ lưu hành, thu hồi và tiêu hủy – Công văn 1772/QLD-MP</x:v>
      </x:c>
      <x:c r="P385" t="str">
        <x:v>A++ – Cục Quản lý Dược; tổ chức chịu trách nhiệm explicit</x:v>
      </x:c>
      <x:c r="Q385" t="str">
        <x:v>Phụ lục 511 sản phẩm, STT 312, trang 11. Công ty Việt Hương là cơ sở sản xuất; cột tổ chức chịu trách nhiệm lấy nguyên văn từ phụ lục.</x:v>
      </x:c>
      <x:c r="R385" t="str">
        <x:v>https://dav.gov.vn/cong-van-so-1772qld-mp-ve-viec-dinh-chi-luu-hanh-thu-hoi-va-tieu-huy-my-pham-vi-pham-cong-ty-tnhh-my-pham-viet-huong-n5334.html</x:v>
      </x:c>
      <x:c r="S385" t="str">
        <x:v>Hà Nội</x:v>
      </x:c>
      <x:c r="T385" t="str">
        <x:v>01</x:v>
      </x:c>
    </x:row>
    <x:row r="386">
      <x:c r="A386" t="n">
        <x:v>385</x:v>
      </x:c>
      <x:c r="B386" s="330"/>
      <x:c r="C386" s="330" t="n">
        <x:v>46155</x:v>
      </x:c>
      <x:c r="D386" t="n">
        <x:v>2023</x:v>
      </x:c>
      <x:c r="E386"/>
      <x:c r="F386" t="str">
        <x:v>18585/23/CBMP-HN</x:v>
      </x:c>
      <x:c r="G386"/>
      <x:c r="H386" t="str">
        <x:v>Lubobo No1</x:v>
      </x:c>
      <x:c r="I386"/>
      <x:c r="J386" t="str">
        <x:v>Khác</x:v>
      </x:c>
      <x:c r="K386"/>
      <x:c r="L386" t="str">
        <x:v>Công ty cổ phần quốc tế Baek Jo Việt Nam</x:v>
      </x:c>
      <x:c r="M386"/>
      <x:c r="N386" t="str">
        <x:v>Công ty TNHH mỹ phẩm Việt Hương</x:v>
      </x:c>
      <x:c r="O386" t="str">
        <x:v>Đình chỉ lưu hành, thu hồi và tiêu hủy – Công văn 1772/QLD-MP</x:v>
      </x:c>
      <x:c r="P386" t="str">
        <x:v>A++ – Cục Quản lý Dược; tổ chức chịu trách nhiệm explicit</x:v>
      </x:c>
      <x:c r="Q386" t="str">
        <x:v>Phụ lục 511 sản phẩm, STT 313, trang 11. Công ty Việt Hương là cơ sở sản xuất; cột tổ chức chịu trách nhiệm lấy nguyên văn từ phụ lục.</x:v>
      </x:c>
      <x:c r="R386" t="str">
        <x:v>https://dav.gov.vn/cong-van-so-1772qld-mp-ve-viec-dinh-chi-luu-hanh-thu-hoi-va-tieu-huy-my-pham-vi-pham-cong-ty-tnhh-my-pham-viet-huong-n5334.html</x:v>
      </x:c>
      <x:c r="S386" t="str">
        <x:v>Hà Nội</x:v>
      </x:c>
      <x:c r="T386" t="str">
        <x:v>01</x:v>
      </x:c>
    </x:row>
    <x:row r="387">
      <x:c r="A387" t="n">
        <x:v>386</x:v>
      </x:c>
      <x:c r="B387" s="330"/>
      <x:c r="C387" s="330" t="n">
        <x:v>46155</x:v>
      </x:c>
      <x:c r="D387" t="n">
        <x:v>2023</x:v>
      </x:c>
      <x:c r="E387"/>
      <x:c r="F387" t="str">
        <x:v>18659/23/CBMP-HN</x:v>
      </x:c>
      <x:c r="G387"/>
      <x:c r="H387" t="str">
        <x:v>Special BB Cream</x:v>
      </x:c>
      <x:c r="I387"/>
      <x:c r="J387" t="str">
        <x:v>Kem dưỡng da</x:v>
      </x:c>
      <x:c r="K387"/>
      <x:c r="L387" t="str">
        <x:v>Công ty TNHH TM Tiến Đạt Strong</x:v>
      </x:c>
      <x:c r="M387"/>
      <x:c r="N387" t="str">
        <x:v>Công ty TNHH mỹ phẩm Việt Hương</x:v>
      </x:c>
      <x:c r="O387" t="str">
        <x:v>Đình chỉ lưu hành, thu hồi và tiêu hủy – Công văn 1772/QLD-MP</x:v>
      </x:c>
      <x:c r="P387" t="str">
        <x:v>A++ – Cục Quản lý Dược; tổ chức chịu trách nhiệm explicit</x:v>
      </x:c>
      <x:c r="Q387" t="str">
        <x:v>Phụ lục 511 sản phẩm, STT 314, trang 11. Công ty Việt Hương là cơ sở sản xuất; cột tổ chức chịu trách nhiệm lấy nguyên văn từ phụ lục.</x:v>
      </x:c>
      <x:c r="R387" t="str">
        <x:v>https://dav.gov.vn/cong-van-so-1772qld-mp-ve-viec-dinh-chi-luu-hanh-thu-hoi-va-tieu-huy-my-pham-vi-pham-cong-ty-tnhh-my-pham-viet-huong-n5334.html</x:v>
      </x:c>
      <x:c r="S387" t="str">
        <x:v>Hà Nội</x:v>
      </x:c>
      <x:c r="T387" t="str">
        <x:v>01</x:v>
      </x:c>
    </x:row>
    <x:row r="388">
      <x:c r="A388" t="n">
        <x:v>387</x:v>
      </x:c>
      <x:c r="B388" s="330"/>
      <x:c r="C388" s="330" t="n">
        <x:v>46155</x:v>
      </x:c>
      <x:c r="D388" t="n">
        <x:v>2023</x:v>
      </x:c>
      <x:c r="E388"/>
      <x:c r="F388" t="str">
        <x:v>18722/23/CBMP-HN</x:v>
      </x:c>
      <x:c r="G388"/>
      <x:c r="H388" t="str">
        <x:v>Mùi Già Tết xưa</x:v>
      </x:c>
      <x:c r="I388"/>
      <x:c r="J388" t="str">
        <x:v>Khác</x:v>
      </x:c>
      <x:c r="K388"/>
      <x:c r="L388" t="str">
        <x:v>Công ty cổ phần Ezla Việt Nam</x:v>
      </x:c>
      <x:c r="M388"/>
      <x:c r="N388" t="str">
        <x:v>Công ty TNHH mỹ phẩm Việt Hương</x:v>
      </x:c>
      <x:c r="O388" t="str">
        <x:v>Đình chỉ lưu hành, thu hồi và tiêu hủy – Công văn 1772/QLD-MP</x:v>
      </x:c>
      <x:c r="P388" t="str">
        <x:v>A++ – Cục Quản lý Dược; tổ chức chịu trách nhiệm explicit</x:v>
      </x:c>
      <x:c r="Q388" t="str">
        <x:v>Phụ lục 511 sản phẩm, STT 315, trang 11. Công ty Việt Hương là cơ sở sản xuất; cột tổ chức chịu trách nhiệm lấy nguyên văn từ phụ lục.</x:v>
      </x:c>
      <x:c r="R388" t="str">
        <x:v>https://dav.gov.vn/cong-van-so-1772qld-mp-ve-viec-dinh-chi-luu-hanh-thu-hoi-va-tieu-huy-my-pham-vi-pham-cong-ty-tnhh-my-pham-viet-huong-n5334.html</x:v>
      </x:c>
      <x:c r="S388" t="str">
        <x:v>Hà Nội</x:v>
      </x:c>
      <x:c r="T388" t="str">
        <x:v>01</x:v>
      </x:c>
    </x:row>
    <x:row r="389">
      <x:c r="A389" t="n">
        <x:v>388</x:v>
      </x:c>
      <x:c r="B389" s="330"/>
      <x:c r="C389" s="330" t="n">
        <x:v>46155</x:v>
      </x:c>
      <x:c r="D389" t="n">
        <x:v>2024</x:v>
      </x:c>
      <x:c r="E389"/>
      <x:c r="F389" t="str">
        <x:v>18985/24/CBMP-HN</x:v>
      </x:c>
      <x:c r="G389"/>
      <x:c r="H389" t="str">
        <x:v>Damian Night Cream</x:v>
      </x:c>
      <x:c r="I389"/>
      <x:c r="J389" t="str">
        <x:v>Kem dưỡng da</x:v>
      </x:c>
      <x:c r="K389"/>
      <x:c r="L389" t="str">
        <x:v>Công ty TNHH Tân Phát Group</x:v>
      </x:c>
      <x:c r="M389"/>
      <x:c r="N389" t="str">
        <x:v>Công ty TNHH mỹ phẩm Việt Hương</x:v>
      </x:c>
      <x:c r="O389" t="str">
        <x:v>Đình chỉ lưu hành, thu hồi và tiêu hủy – Công văn 1772/QLD-MP</x:v>
      </x:c>
      <x:c r="P389" t="str">
        <x:v>A++ – Cục Quản lý Dược; tổ chức chịu trách nhiệm explicit</x:v>
      </x:c>
      <x:c r="Q389" t="str">
        <x:v>Phụ lục 511 sản phẩm, STT 317, trang 11. Công ty Việt Hương là cơ sở sản xuất; cột tổ chức chịu trách nhiệm lấy nguyên văn từ phụ lục.</x:v>
      </x:c>
      <x:c r="R389" t="str">
        <x:v>https://dav.gov.vn/cong-van-so-1772qld-mp-ve-viec-dinh-chi-luu-hanh-thu-hoi-va-tieu-huy-my-pham-vi-pham-cong-ty-tnhh-my-pham-viet-huong-n5334.html</x:v>
      </x:c>
      <x:c r="S389" t="str">
        <x:v>Hà Nội</x:v>
      </x:c>
      <x:c r="T389" t="str">
        <x:v>01</x:v>
      </x:c>
    </x:row>
    <x:row r="390">
      <x:c r="A390" t="n">
        <x:v>389</x:v>
      </x:c>
      <x:c r="B390" s="330"/>
      <x:c r="C390" s="330" t="n">
        <x:v>46155</x:v>
      </x:c>
      <x:c r="D390" t="n">
        <x:v>2024</x:v>
      </x:c>
      <x:c r="E390"/>
      <x:c r="F390" t="str">
        <x:v>19223/24/CBMP-HN</x:v>
      </x:c>
      <x:c r="G390"/>
      <x:c r="H390" t="str">
        <x:v>Amiro</x:v>
      </x:c>
      <x:c r="I390"/>
      <x:c r="J390" t="str">
        <x:v>Khác</x:v>
      </x:c>
      <x:c r="K390"/>
      <x:c r="L390" t="str">
        <x:v>Hộ kinh doanh Trịnh Ngọc Sơn</x:v>
      </x:c>
      <x:c r="M390"/>
      <x:c r="N390" t="str">
        <x:v>Công ty TNHH mỹ phẩm Việt Hương</x:v>
      </x:c>
      <x:c r="O390" t="str">
        <x:v>Đình chỉ lưu hành, thu hồi và tiêu hủy – Công văn 1772/QLD-MP</x:v>
      </x:c>
      <x:c r="P390" t="str">
        <x:v>A++ – Cục Quản lý Dược; tổ chức chịu trách nhiệm explicit</x:v>
      </x:c>
      <x:c r="Q390" t="str">
        <x:v>Phụ lục 511 sản phẩm, STT 318, trang 11. Công ty Việt Hương là cơ sở sản xuất; cột tổ chức chịu trách nhiệm lấy nguyên văn từ phụ lục.</x:v>
      </x:c>
      <x:c r="R390" t="str">
        <x:v>https://dav.gov.vn/cong-van-so-1772qld-mp-ve-viec-dinh-chi-luu-hanh-thu-hoi-va-tieu-huy-my-pham-vi-pham-cong-ty-tnhh-my-pham-viet-huong-n5334.html</x:v>
      </x:c>
      <x:c r="S390" t="str">
        <x:v>Hà Nội</x:v>
      </x:c>
      <x:c r="T390" t="str">
        <x:v>01</x:v>
      </x:c>
    </x:row>
    <x:row r="391">
      <x:c r="A391" t="n">
        <x:v>390</x:v>
      </x:c>
      <x:c r="B391" s="330"/>
      <x:c r="C391" s="330" t="n">
        <x:v>46155</x:v>
      </x:c>
      <x:c r="D391" t="n">
        <x:v>2024</x:v>
      </x:c>
      <x:c r="E391"/>
      <x:c r="F391" t="str">
        <x:v>19224/24/CBMP-HN</x:v>
      </x:c>
      <x:c r="G391"/>
      <x:c r="H391" t="str">
        <x:v>Blue Summer</x:v>
      </x:c>
      <x:c r="I391"/>
      <x:c r="J391" t="str">
        <x:v>Khác</x:v>
      </x:c>
      <x:c r="K391"/>
      <x:c r="L391" t="str">
        <x:v>Công ty TNHH Thương mại quốc tế Happy Home</x:v>
      </x:c>
      <x:c r="M391"/>
      <x:c r="N391" t="str">
        <x:v>Công ty TNHH mỹ phẩm Việt Hương</x:v>
      </x:c>
      <x:c r="O391" t="str">
        <x:v>Đình chỉ lưu hành, thu hồi và tiêu hủy – Công văn 1772/QLD-MP</x:v>
      </x:c>
      <x:c r="P391" t="str">
        <x:v>A++ – Cục Quản lý Dược; tổ chức chịu trách nhiệm explicit</x:v>
      </x:c>
      <x:c r="Q391" t="str">
        <x:v>Phụ lục 511 sản phẩm, STT 319, trang 11. Công ty Việt Hương là cơ sở sản xuất; cột tổ chức chịu trách nhiệm lấy nguyên văn từ phụ lục.</x:v>
      </x:c>
      <x:c r="R391" t="str">
        <x:v>https://dav.gov.vn/cong-van-so-1772qld-mp-ve-viec-dinh-chi-luu-hanh-thu-hoi-va-tieu-huy-my-pham-vi-pham-cong-ty-tnhh-my-pham-viet-huong-n5334.html</x:v>
      </x:c>
      <x:c r="S391" t="str">
        <x:v>Hà Nội</x:v>
      </x:c>
      <x:c r="T391" t="str">
        <x:v>01</x:v>
      </x:c>
    </x:row>
    <x:row r="392">
      <x:c r="A392" t="n">
        <x:v>391</x:v>
      </x:c>
      <x:c r="B392" s="330"/>
      <x:c r="C392" s="330" t="n">
        <x:v>46155</x:v>
      </x:c>
      <x:c r="D392" t="n">
        <x:v>2024</x:v>
      </x:c>
      <x:c r="E392"/>
      <x:c r="F392" t="str">
        <x:v>19225/24/CBMP-HN</x:v>
      </x:c>
      <x:c r="G392"/>
      <x:c r="H392" t="str">
        <x:v>Meli Mibooo</x:v>
      </x:c>
      <x:c r="I392"/>
      <x:c r="J392" t="str">
        <x:v>Khác</x:v>
      </x:c>
      <x:c r="K392"/>
      <x:c r="L392" t="str">
        <x:v>Công ty TNHH Thương mại quốc tế Happy Home</x:v>
      </x:c>
      <x:c r="M392"/>
      <x:c r="N392" t="str">
        <x:v>Công ty TNHH mỹ phẩm Việt Hương</x:v>
      </x:c>
      <x:c r="O392" t="str">
        <x:v>Đình chỉ lưu hành, thu hồi và tiêu hủy – Công văn 1772/QLD-MP</x:v>
      </x:c>
      <x:c r="P392" t="str">
        <x:v>A++ – Cục Quản lý Dược; tổ chức chịu trách nhiệm explicit</x:v>
      </x:c>
      <x:c r="Q392" t="str">
        <x:v>Phụ lục 511 sản phẩm, STT 320, trang 11. Công ty Việt Hương là cơ sở sản xuất; cột tổ chức chịu trách nhiệm lấy nguyên văn từ phụ lục.</x:v>
      </x:c>
      <x:c r="R392" t="str">
        <x:v>https://dav.gov.vn/cong-van-so-1772qld-mp-ve-viec-dinh-chi-luu-hanh-thu-hoi-va-tieu-huy-my-pham-vi-pham-cong-ty-tnhh-my-pham-viet-huong-n5334.html</x:v>
      </x:c>
      <x:c r="S392" t="str">
        <x:v>Hà Nội</x:v>
      </x:c>
      <x:c r="T392" t="str">
        <x:v>01</x:v>
      </x:c>
    </x:row>
    <x:row r="393">
      <x:c r="A393" t="n">
        <x:v>392</x:v>
      </x:c>
      <x:c r="B393" s="330"/>
      <x:c r="C393" s="330" t="n">
        <x:v>46155</x:v>
      </x:c>
      <x:c r="D393" t="n">
        <x:v>2024</x:v>
      </x:c>
      <x:c r="E393"/>
      <x:c r="F393" t="str">
        <x:v>19226/24/CBMP-HN</x:v>
      </x:c>
      <x:c r="G393"/>
      <x:c r="H393" t="str">
        <x:v>Meli Luxury</x:v>
      </x:c>
      <x:c r="I393"/>
      <x:c r="J393" t="str">
        <x:v>Khác</x:v>
      </x:c>
      <x:c r="K393"/>
      <x:c r="L393" t="str">
        <x:v>Công ty TNHH Thương mại quốc tế Happy Home</x:v>
      </x:c>
      <x:c r="M393"/>
      <x:c r="N393" t="str">
        <x:v>Công ty TNHH mỹ phẩm Việt Hương</x:v>
      </x:c>
      <x:c r="O393" t="str">
        <x:v>Đình chỉ lưu hành, thu hồi và tiêu hủy – Công văn 1772/QLD-MP</x:v>
      </x:c>
      <x:c r="P393" t="str">
        <x:v>A++ – Cục Quản lý Dược; tổ chức chịu trách nhiệm explicit</x:v>
      </x:c>
      <x:c r="Q393" t="str">
        <x:v>Phụ lục 511 sản phẩm, STT 321, trang 11. Công ty Việt Hương là cơ sở sản xuất; cột tổ chức chịu trách nhiệm lấy nguyên văn từ phụ lục.</x:v>
      </x:c>
      <x:c r="R393" t="str">
        <x:v>https://dav.gov.vn/cong-van-so-1772qld-mp-ve-viec-dinh-chi-luu-hanh-thu-hoi-va-tieu-huy-my-pham-vi-pham-cong-ty-tnhh-my-pham-viet-huong-n5334.html</x:v>
      </x:c>
      <x:c r="S393" t="str">
        <x:v>Hà Nội</x:v>
      </x:c>
      <x:c r="T393" t="str">
        <x:v>01</x:v>
      </x:c>
    </x:row>
    <x:row r="394">
      <x:c r="A394" t="n">
        <x:v>393</x:v>
      </x:c>
      <x:c r="B394" s="330"/>
      <x:c r="C394" s="330" t="n">
        <x:v>46155</x:v>
      </x:c>
      <x:c r="D394" t="n">
        <x:v>2024</x:v>
      </x:c>
      <x:c r="E394"/>
      <x:c r="F394" t="str">
        <x:v>19227/24/CBMP-HN</x:v>
      </x:c>
      <x:c r="G394"/>
      <x:c r="H394" t="str">
        <x:v>Body Shower Gel</x:v>
      </x:c>
      <x:c r="I394"/>
      <x:c r="J394" t="str">
        <x:v>Sữa tắm/Gel tắm</x:v>
      </x:c>
      <x:c r="K394"/>
      <x:c r="L394" t="str">
        <x:v>Công ty TNHH Thương mại quốc tế Happy Home</x:v>
      </x:c>
      <x:c r="M394"/>
      <x:c r="N394" t="str">
        <x:v>Công ty TNHH mỹ phẩm Việt Hương</x:v>
      </x:c>
      <x:c r="O394" t="str">
        <x:v>Đình chỉ lưu hành, thu hồi và tiêu hủy – Công văn 1772/QLD-MP</x:v>
      </x:c>
      <x:c r="P394" t="str">
        <x:v>A++ – Cục Quản lý Dược; tổ chức chịu trách nhiệm explicit</x:v>
      </x:c>
      <x:c r="Q394" t="str">
        <x:v>Phụ lục 511 sản phẩm, STT 322, trang 11. Công ty Việt Hương là cơ sở sản xuất; cột tổ chức chịu trách nhiệm lấy nguyên văn từ phụ lục.</x:v>
      </x:c>
      <x:c r="R394" t="str">
        <x:v>https://dav.gov.vn/cong-van-so-1772qld-mp-ve-viec-dinh-chi-luu-hanh-thu-hoi-va-tieu-huy-my-pham-vi-pham-cong-ty-tnhh-my-pham-viet-huong-n5334.html</x:v>
      </x:c>
      <x:c r="S394" t="str">
        <x:v>Hà Nội</x:v>
      </x:c>
      <x:c r="T394" t="str">
        <x:v>01</x:v>
      </x:c>
    </x:row>
    <x:row r="395">
      <x:c r="A395" t="n">
        <x:v>394</x:v>
      </x:c>
      <x:c r="B395" s="330"/>
      <x:c r="C395" s="330" t="n">
        <x:v>46155</x:v>
      </x:c>
      <x:c r="D395" t="n">
        <x:v>2024</x:v>
      </x:c>
      <x:c r="E395"/>
      <x:c r="F395" t="str">
        <x:v>19228/24/CBMP-HN</x:v>
      </x:c>
      <x:c r="G395"/>
      <x:c r="H395" t="str">
        <x:v>Meli Sweeter</x:v>
      </x:c>
      <x:c r="I395"/>
      <x:c r="J395" t="str">
        <x:v>Khác</x:v>
      </x:c>
      <x:c r="K395"/>
      <x:c r="L395" t="str">
        <x:v>Công ty TNHH Thương mại quốc tế Happy Home</x:v>
      </x:c>
      <x:c r="M395"/>
      <x:c r="N395" t="str">
        <x:v>Công ty TNHH mỹ phẩm Việt Hương</x:v>
      </x:c>
      <x:c r="O395" t="str">
        <x:v>Đình chỉ lưu hành, thu hồi và tiêu hủy – Công văn 1772/QLD-MP</x:v>
      </x:c>
      <x:c r="P395" t="str">
        <x:v>A++ – Cục Quản lý Dược; tổ chức chịu trách nhiệm explicit</x:v>
      </x:c>
      <x:c r="Q395" t="str">
        <x:v>Phụ lục 511 sản phẩm, STT 323, trang 11. Công ty Việt Hương là cơ sở sản xuất; cột tổ chức chịu trách nhiệm lấy nguyên văn từ phụ lục.</x:v>
      </x:c>
      <x:c r="R395" t="str">
        <x:v>https://dav.gov.vn/cong-van-so-1772qld-mp-ve-viec-dinh-chi-luu-hanh-thu-hoi-va-tieu-huy-my-pham-vi-pham-cong-ty-tnhh-my-pham-viet-huong-n5334.html</x:v>
      </x:c>
      <x:c r="S395" t="str">
        <x:v>Hà Nội</x:v>
      </x:c>
      <x:c r="T395" t="str">
        <x:v>01</x:v>
      </x:c>
    </x:row>
    <x:row r="396">
      <x:c r="A396" t="n">
        <x:v>395</x:v>
      </x:c>
      <x:c r="B396" s="330"/>
      <x:c r="C396" s="330" t="n">
        <x:v>46155</x:v>
      </x:c>
      <x:c r="D396" t="n">
        <x:v>2024</x:v>
      </x:c>
      <x:c r="E396"/>
      <x:c r="F396" t="str">
        <x:v>19360/24/CBMP-HN</x:v>
      </x:c>
      <x:c r="G396"/>
      <x:c r="H396" t="str">
        <x:v>Thomas Pink</x:v>
      </x:c>
      <x:c r="I396"/>
      <x:c r="J396" t="str">
        <x:v>Khác</x:v>
      </x:c>
      <x:c r="K396"/>
      <x:c r="L396" t="str">
        <x:v>Công ty TNHH Thương mại quốc tế Happy Home</x:v>
      </x:c>
      <x:c r="M396"/>
      <x:c r="N396" t="str">
        <x:v>Công ty TNHH mỹ phẩm Việt Hương</x:v>
      </x:c>
      <x:c r="O396" t="str">
        <x:v>Đình chỉ lưu hành, thu hồi và tiêu hủy – Công văn 1772/QLD-MP</x:v>
      </x:c>
      <x:c r="P396" t="str">
        <x:v>A++ – Cục Quản lý Dược; tổ chức chịu trách nhiệm explicit</x:v>
      </x:c>
      <x:c r="Q396" t="str">
        <x:v>Phụ lục 511 sản phẩm, STT 324, trang 11. Công ty Việt Hương là cơ sở sản xuất; cột tổ chức chịu trách nhiệm lấy nguyên văn từ phụ lục.</x:v>
      </x:c>
      <x:c r="R396" t="str">
        <x:v>https://dav.gov.vn/cong-van-so-1772qld-mp-ve-viec-dinh-chi-luu-hanh-thu-hoi-va-tieu-huy-my-pham-vi-pham-cong-ty-tnhh-my-pham-viet-huong-n5334.html</x:v>
      </x:c>
      <x:c r="S396" t="str">
        <x:v>Hà Nội</x:v>
      </x:c>
      <x:c r="T396" t="str">
        <x:v>01</x:v>
      </x:c>
    </x:row>
    <x:row r="397">
      <x:c r="A397" t="n">
        <x:v>396</x:v>
      </x:c>
      <x:c r="B397" s="330"/>
      <x:c r="C397" s="330" t="n">
        <x:v>46155</x:v>
      </x:c>
      <x:c r="D397" t="n">
        <x:v>2024</x:v>
      </x:c>
      <x:c r="E397"/>
      <x:c r="F397" t="str">
        <x:v>19361/24/CBMP-HN</x:v>
      </x:c>
      <x:c r="G397"/>
      <x:c r="H397" t="str">
        <x:v>Mano Roses</x:v>
      </x:c>
      <x:c r="I397"/>
      <x:c r="J397" t="str">
        <x:v>Khác</x:v>
      </x:c>
      <x:c r="K397"/>
      <x:c r="L397" t="str">
        <x:v>Công ty TNHH Thương mại quốc tế Happy Home</x:v>
      </x:c>
      <x:c r="M397"/>
      <x:c r="N397" t="str">
        <x:v>Công ty TNHH mỹ phẩm Việt Hương</x:v>
      </x:c>
      <x:c r="O397" t="str">
        <x:v>Đình chỉ lưu hành, thu hồi và tiêu hủy – Công văn 1772/QLD-MP</x:v>
      </x:c>
      <x:c r="P397" t="str">
        <x:v>A++ – Cục Quản lý Dược; tổ chức chịu trách nhiệm explicit</x:v>
      </x:c>
      <x:c r="Q397" t="str">
        <x:v>Phụ lục 511 sản phẩm, STT 325, trang 11. Công ty Việt Hương là cơ sở sản xuất; cột tổ chức chịu trách nhiệm lấy nguyên văn từ phụ lục.</x:v>
      </x:c>
      <x:c r="R397" t="str">
        <x:v>https://dav.gov.vn/cong-van-so-1772qld-mp-ve-viec-dinh-chi-luu-hanh-thu-hoi-va-tieu-huy-my-pham-vi-pham-cong-ty-tnhh-my-pham-viet-huong-n5334.html</x:v>
      </x:c>
      <x:c r="S397" t="str">
        <x:v>Hà Nội</x:v>
      </x:c>
      <x:c r="T397" t="str">
        <x:v>01</x:v>
      </x:c>
    </x:row>
    <x:row r="398">
      <x:c r="A398" t="n">
        <x:v>397</x:v>
      </x:c>
      <x:c r="B398" s="330"/>
      <x:c r="C398" s="330" t="n">
        <x:v>46155</x:v>
      </x:c>
      <x:c r="D398" t="n">
        <x:v>2024</x:v>
      </x:c>
      <x:c r="E398"/>
      <x:c r="F398" t="str">
        <x:v>19362/24/CBMP-HN</x:v>
      </x:c>
      <x:c r="G398"/>
      <x:c r="H398" t="str">
        <x:v>By Red</x:v>
      </x:c>
      <x:c r="I398"/>
      <x:c r="J398" t="str">
        <x:v>Khác</x:v>
      </x:c>
      <x:c r="K398"/>
      <x:c r="L398" t="str">
        <x:v>Công ty TNHH Thương mại quốc tế Happy Home</x:v>
      </x:c>
      <x:c r="M398"/>
      <x:c r="N398" t="str">
        <x:v>Công ty TNHH mỹ phẩm Việt Hương</x:v>
      </x:c>
      <x:c r="O398" t="str">
        <x:v>Đình chỉ lưu hành, thu hồi và tiêu hủy – Công văn 1772/QLD-MP</x:v>
      </x:c>
      <x:c r="P398" t="str">
        <x:v>A++ – Cục Quản lý Dược; tổ chức chịu trách nhiệm explicit</x:v>
      </x:c>
      <x:c r="Q398" t="str">
        <x:v>Phụ lục 511 sản phẩm, STT 326, trang 11. Công ty Việt Hương là cơ sở sản xuất; cột tổ chức chịu trách nhiệm lấy nguyên văn từ phụ lục.</x:v>
      </x:c>
      <x:c r="R398" t="str">
        <x:v>https://dav.gov.vn/cong-van-so-1772qld-mp-ve-viec-dinh-chi-luu-hanh-thu-hoi-va-tieu-huy-my-pham-vi-pham-cong-ty-tnhh-my-pham-viet-huong-n5334.html</x:v>
      </x:c>
      <x:c r="S398" t="str">
        <x:v>Hà Nội</x:v>
      </x:c>
      <x:c r="T398" t="str">
        <x:v>01</x:v>
      </x:c>
    </x:row>
    <x:row r="399">
      <x:c r="A399" t="n">
        <x:v>398</x:v>
      </x:c>
      <x:c r="B399" s="330"/>
      <x:c r="C399" s="330" t="n">
        <x:v>46155</x:v>
      </x:c>
      <x:c r="D399" t="n">
        <x:v>2025</x:v>
      </x:c>
      <x:c r="E399"/>
      <x:c r="F399" t="str">
        <x:v>24117/25/CBMP-HN</x:v>
      </x:c>
      <x:c r="G399"/>
      <x:c r="H399" t="str">
        <x:v>LOVE LADY</x:v>
      </x:c>
      <x:c r="I399"/>
      <x:c r="J399" t="str">
        <x:v>Khác</x:v>
      </x:c>
      <x:c r="K399"/>
      <x:c r="L399" t="str">
        <x:v>Công ty TNHH Thương mại quốc tế Happy Home</x:v>
      </x:c>
      <x:c r="M399"/>
      <x:c r="N399" t="str">
        <x:v>Công ty TNHH mỹ phẩm Việt Hương</x:v>
      </x:c>
      <x:c r="O399" t="str">
        <x:v>Đình chỉ lưu hành, thu hồi và tiêu hủy – Công văn 1772/QLD-MP</x:v>
      </x:c>
      <x:c r="P399" t="str">
        <x:v>A++ – Cục Quản lý Dược; tổ chức chịu trách nhiệm explicit</x:v>
      </x:c>
      <x:c r="Q399" t="str">
        <x:v>Phụ lục 511 sản phẩm, STT 327, trang 11. Công ty Việt Hương là cơ sở sản xuất; cột tổ chức chịu trách nhiệm lấy nguyên văn từ phụ lục.</x:v>
      </x:c>
      <x:c r="R399" t="str">
        <x:v>https://dav.gov.vn/cong-van-so-1772qld-mp-ve-viec-dinh-chi-luu-hanh-thu-hoi-va-tieu-huy-my-pham-vi-pham-cong-ty-tnhh-my-pham-viet-huong-n5334.html</x:v>
      </x:c>
      <x:c r="S399" t="str">
        <x:v>Hà Nội</x:v>
      </x:c>
      <x:c r="T399" t="str">
        <x:v>01</x:v>
      </x:c>
    </x:row>
    <x:row r="400">
      <x:c r="A400" t="n">
        <x:v>399</x:v>
      </x:c>
      <x:c r="B400" s="330"/>
      <x:c r="C400" s="330" t="n">
        <x:v>46155</x:v>
      </x:c>
      <x:c r="D400" t="n">
        <x:v>2025</x:v>
      </x:c>
      <x:c r="E400"/>
      <x:c r="F400" t="str">
        <x:v>24118/25/CBMP-HN</x:v>
      </x:c>
      <x:c r="G400"/>
      <x:c r="H400" t="str">
        <x:v>SCRUB LADY</x:v>
      </x:c>
      <x:c r="I400"/>
      <x:c r="J400" t="str">
        <x:v>Khác</x:v>
      </x:c>
      <x:c r="K400"/>
      <x:c r="L400" t="str">
        <x:v>Công ty TNHH Thương mại quốc tế Happy Home</x:v>
      </x:c>
      <x:c r="M400"/>
      <x:c r="N400" t="str">
        <x:v>Công ty TNHH mỹ phẩm Việt Hương</x:v>
      </x:c>
      <x:c r="O400" t="str">
        <x:v>Đình chỉ lưu hành, thu hồi và tiêu hủy – Công văn 1772/QLD-MP</x:v>
      </x:c>
      <x:c r="P400" t="str">
        <x:v>A++ – Cục Quản lý Dược; tổ chức chịu trách nhiệm explicit</x:v>
      </x:c>
      <x:c r="Q400" t="str">
        <x:v>Phụ lục 511 sản phẩm, STT 328, trang 11. Công ty Việt Hương là cơ sở sản xuất; cột tổ chức chịu trách nhiệm lấy nguyên văn từ phụ lục.</x:v>
      </x:c>
      <x:c r="R400" t="str">
        <x:v>https://dav.gov.vn/cong-van-so-1772qld-mp-ve-viec-dinh-chi-luu-hanh-thu-hoi-va-tieu-huy-my-pham-vi-pham-cong-ty-tnhh-my-pham-viet-huong-n5334.html</x:v>
      </x:c>
      <x:c r="S400" t="str">
        <x:v>Hà Nội</x:v>
      </x:c>
      <x:c r="T400" t="str">
        <x:v>01</x:v>
      </x:c>
    </x:row>
    <x:row r="401">
      <x:c r="A401" t="n">
        <x:v>400</x:v>
      </x:c>
      <x:c r="B401" s="330"/>
      <x:c r="C401" s="330" t="n">
        <x:v>46155</x:v>
      </x:c>
      <x:c r="D401" t="n">
        <x:v>2025</x:v>
      </x:c>
      <x:c r="E401"/>
      <x:c r="F401" t="str">
        <x:v>24119/25/CBMP-HN</x:v>
      </x:c>
      <x:c r="G401"/>
      <x:c r="H401" t="str">
        <x:v>BODY SCRUB</x:v>
      </x:c>
      <x:c r="I401"/>
      <x:c r="J401" t="str">
        <x:v>Khác</x:v>
      </x:c>
      <x:c r="K401"/>
      <x:c r="L401" t="str">
        <x:v>Công ty TNHH Thương mại quốc tế Happy Home</x:v>
      </x:c>
      <x:c r="M401"/>
      <x:c r="N401" t="str">
        <x:v>Công ty TNHH mỹ phẩm Việt Hương</x:v>
      </x:c>
      <x:c r="O401" t="str">
        <x:v>Đình chỉ lưu hành, thu hồi và tiêu hủy – Công văn 1772/QLD-MP</x:v>
      </x:c>
      <x:c r="P401" t="str">
        <x:v>A++ – Cục Quản lý Dược; tổ chức chịu trách nhiệm explicit</x:v>
      </x:c>
      <x:c r="Q401" t="str">
        <x:v>Phụ lục 511 sản phẩm, STT 329, trang 12. Công ty Việt Hương là cơ sở sản xuất; cột tổ chức chịu trách nhiệm lấy nguyên văn từ phụ lục.</x:v>
      </x:c>
      <x:c r="R401" t="str">
        <x:v>https://dav.gov.vn/cong-van-so-1772qld-mp-ve-viec-dinh-chi-luu-hanh-thu-hoi-va-tieu-huy-my-pham-vi-pham-cong-ty-tnhh-my-pham-viet-huong-n5334.html</x:v>
      </x:c>
      <x:c r="S401" t="str">
        <x:v>Hà Nội</x:v>
      </x:c>
      <x:c r="T401" t="str">
        <x:v>01</x:v>
      </x:c>
    </x:row>
    <x:row r="402">
      <x:c r="A402" t="n">
        <x:v>401</x:v>
      </x:c>
      <x:c r="B402" s="330"/>
      <x:c r="C402" s="330" t="n">
        <x:v>46155</x:v>
      </x:c>
      <x:c r="D402" t="n">
        <x:v>2024</x:v>
      </x:c>
      <x:c r="E402"/>
      <x:c r="F402" t="str">
        <x:v>19359/24/CBMP-HN</x:v>
      </x:c>
      <x:c r="G402"/>
      <x:c r="H402" t="str">
        <x:v>Jamila</x:v>
      </x:c>
      <x:c r="I402"/>
      <x:c r="J402" t="str">
        <x:v>Khác</x:v>
      </x:c>
      <x:c r="K402"/>
      <x:c r="L402" t="str">
        <x:v>Công ty TNHH Ngọc Thảo Cosmetics</x:v>
      </x:c>
      <x:c r="M402"/>
      <x:c r="N402" t="str">
        <x:v>Công ty TNHH mỹ phẩm Việt Hương</x:v>
      </x:c>
      <x:c r="O402" t="str">
        <x:v>Đình chỉ lưu hành, thu hồi và tiêu hủy – Công văn 1772/QLD-MP</x:v>
      </x:c>
      <x:c r="P402" t="str">
        <x:v>A++ – Cục Quản lý Dược; tổ chức chịu trách nhiệm explicit</x:v>
      </x:c>
      <x:c r="Q402" t="str">
        <x:v>Phụ lục 511 sản phẩm, STT 330, trang 12. Công ty Việt Hương là cơ sở sản xuất; cột tổ chức chịu trách nhiệm lấy nguyên văn từ phụ lục.</x:v>
      </x:c>
      <x:c r="R402" t="str">
        <x:v>https://dav.gov.vn/cong-van-so-1772qld-mp-ve-viec-dinh-chi-luu-hanh-thu-hoi-va-tieu-huy-my-pham-vi-pham-cong-ty-tnhh-my-pham-viet-huong-n5334.html</x:v>
      </x:c>
      <x:c r="S402" t="str">
        <x:v>Hà Nội</x:v>
      </x:c>
      <x:c r="T402" t="str">
        <x:v>01</x:v>
      </x:c>
    </x:row>
    <x:row r="403">
      <x:c r="A403" t="n">
        <x:v>402</x:v>
      </x:c>
      <x:c r="B403" s="330"/>
      <x:c r="C403" s="330" t="n">
        <x:v>46155</x:v>
      </x:c>
      <x:c r="D403" t="n">
        <x:v>2024</x:v>
      </x:c>
      <x:c r="E403"/>
      <x:c r="F403" t="str">
        <x:v>19363/24/CBMP-HN</x:v>
      </x:c>
      <x:c r="G403"/>
      <x:c r="H403" t="str">
        <x:v>M01</x:v>
      </x:c>
      <x:c r="I403"/>
      <x:c r="J403" t="str">
        <x:v>Khác</x:v>
      </x:c>
      <x:c r="K403"/>
      <x:c r="L403" t="str">
        <x:v>Công ty Cổ phần tập đoàn thời trang Melya.VN</x:v>
      </x:c>
      <x:c r="M403"/>
      <x:c r="N403" t="str">
        <x:v>Công ty TNHH mỹ phẩm Việt Hương</x:v>
      </x:c>
      <x:c r="O403" t="str">
        <x:v>Đình chỉ lưu hành, thu hồi và tiêu hủy – Công văn 1772/QLD-MP</x:v>
      </x:c>
      <x:c r="P403" t="str">
        <x:v>A++ – Cục Quản lý Dược; tổ chức chịu trách nhiệm explicit</x:v>
      </x:c>
      <x:c r="Q403" t="str">
        <x:v>Phụ lục 511 sản phẩm, STT 331, trang 12. Công ty Việt Hương là cơ sở sản xuất; cột tổ chức chịu trách nhiệm lấy nguyên văn từ phụ lục.</x:v>
      </x:c>
      <x:c r="R403" t="str">
        <x:v>https://dav.gov.vn/cong-van-so-1772qld-mp-ve-viec-dinh-chi-luu-hanh-thu-hoi-va-tieu-huy-my-pham-vi-pham-cong-ty-tnhh-my-pham-viet-huong-n5334.html</x:v>
      </x:c>
      <x:c r="S403" t="str">
        <x:v>Hà Nội</x:v>
      </x:c>
      <x:c r="T403" t="str">
        <x:v>01</x:v>
      </x:c>
    </x:row>
    <x:row r="404">
      <x:c r="A404" t="n">
        <x:v>403</x:v>
      </x:c>
      <x:c r="B404" s="330"/>
      <x:c r="C404" s="330" t="n">
        <x:v>46155</x:v>
      </x:c>
      <x:c r="D404" t="n">
        <x:v>2024</x:v>
      </x:c>
      <x:c r="E404"/>
      <x:c r="F404" t="str">
        <x:v>19364/24/CBMP-HN</x:v>
      </x:c>
      <x:c r="G404"/>
      <x:c r="H404" t="str">
        <x:v>M02</x:v>
      </x:c>
      <x:c r="I404"/>
      <x:c r="J404" t="str">
        <x:v>Khác</x:v>
      </x:c>
      <x:c r="K404"/>
      <x:c r="L404" t="str">
        <x:v>Công ty Cổ phần tập đoàn thời trang Melya.VN</x:v>
      </x:c>
      <x:c r="M404"/>
      <x:c r="N404" t="str">
        <x:v>Công ty TNHH mỹ phẩm Việt Hương</x:v>
      </x:c>
      <x:c r="O404" t="str">
        <x:v>Đình chỉ lưu hành, thu hồi và tiêu hủy – Công văn 1772/QLD-MP</x:v>
      </x:c>
      <x:c r="P404" t="str">
        <x:v>A++ – Cục Quản lý Dược; tổ chức chịu trách nhiệm explicit</x:v>
      </x:c>
      <x:c r="Q404" t="str">
        <x:v>Phụ lục 511 sản phẩm, STT 332, trang 12. Công ty Việt Hương là cơ sở sản xuất; cột tổ chức chịu trách nhiệm lấy nguyên văn từ phụ lục.</x:v>
      </x:c>
      <x:c r="R404" t="str">
        <x:v>https://dav.gov.vn/cong-van-so-1772qld-mp-ve-viec-dinh-chi-luu-hanh-thu-hoi-va-tieu-huy-my-pham-vi-pham-cong-ty-tnhh-my-pham-viet-huong-n5334.html</x:v>
      </x:c>
      <x:c r="S404" t="str">
        <x:v>Hà Nội</x:v>
      </x:c>
      <x:c r="T404" t="str">
        <x:v>01</x:v>
      </x:c>
    </x:row>
    <x:row r="405">
      <x:c r="A405" t="n">
        <x:v>404</x:v>
      </x:c>
      <x:c r="B405" s="330"/>
      <x:c r="C405" s="330" t="n">
        <x:v>46155</x:v>
      </x:c>
      <x:c r="D405" t="n">
        <x:v>2024</x:v>
      </x:c>
      <x:c r="E405"/>
      <x:c r="F405" t="str">
        <x:v>19365/24/CBMP-HN</x:v>
      </x:c>
      <x:c r="G405"/>
      <x:c r="H405" t="str">
        <x:v>M03</x:v>
      </x:c>
      <x:c r="I405"/>
      <x:c r="J405" t="str">
        <x:v>Khác</x:v>
      </x:c>
      <x:c r="K405"/>
      <x:c r="L405" t="str">
        <x:v>Công ty Cổ phần tập đoàn thời trang Melya.VN</x:v>
      </x:c>
      <x:c r="M405"/>
      <x:c r="N405" t="str">
        <x:v>Công ty TNHH mỹ phẩm Việt Hương</x:v>
      </x:c>
      <x:c r="O405" t="str">
        <x:v>Đình chỉ lưu hành, thu hồi và tiêu hủy – Công văn 1772/QLD-MP</x:v>
      </x:c>
      <x:c r="P405" t="str">
        <x:v>A++ – Cục Quản lý Dược; tổ chức chịu trách nhiệm explicit</x:v>
      </x:c>
      <x:c r="Q405" t="str">
        <x:v>Phụ lục 511 sản phẩm, STT 333, trang 12. Công ty Việt Hương là cơ sở sản xuất; cột tổ chức chịu trách nhiệm lấy nguyên văn từ phụ lục.</x:v>
      </x:c>
      <x:c r="R405" t="str">
        <x:v>https://dav.gov.vn/cong-van-so-1772qld-mp-ve-viec-dinh-chi-luu-hanh-thu-hoi-va-tieu-huy-my-pham-vi-pham-cong-ty-tnhh-my-pham-viet-huong-n5334.html</x:v>
      </x:c>
      <x:c r="S405" t="str">
        <x:v>Hà Nội</x:v>
      </x:c>
      <x:c r="T405" t="str">
        <x:v>01</x:v>
      </x:c>
    </x:row>
    <x:row r="406">
      <x:c r="A406" t="n">
        <x:v>405</x:v>
      </x:c>
      <x:c r="B406" s="330"/>
      <x:c r="C406" s="330" t="n">
        <x:v>46155</x:v>
      </x:c>
      <x:c r="D406" t="n">
        <x:v>2024</x:v>
      </x:c>
      <x:c r="E406"/>
      <x:c r="F406" t="str">
        <x:v>19367/24/CBMP-HN</x:v>
      </x:c>
      <x:c r="G406"/>
      <x:c r="H406" t="str">
        <x:v>Serum Sâm Dây Ngọc Linh</x:v>
      </x:c>
      <x:c r="I406"/>
      <x:c r="J406" t="str">
        <x:v>Serum/Essence da</x:v>
      </x:c>
      <x:c r="K406"/>
      <x:c r="L406" t="str">
        <x:v>Hợp tác xã thương mại tổng hợp trồng và chế biến dược liệu An Thành</x:v>
      </x:c>
      <x:c r="M406"/>
      <x:c r="N406" t="str">
        <x:v>Công ty TNHH mỹ phẩm Việt Hương</x:v>
      </x:c>
      <x:c r="O406" t="str">
        <x:v>Đình chỉ lưu hành, thu hồi và tiêu hủy – Công văn 1772/QLD-MP</x:v>
      </x:c>
      <x:c r="P406" t="str">
        <x:v>A++ – Cục Quản lý Dược; tổ chức chịu trách nhiệm explicit</x:v>
      </x:c>
      <x:c r="Q406" t="str">
        <x:v>Phụ lục 511 sản phẩm, STT 334, trang 12. Công ty Việt Hương là cơ sở sản xuất; cột tổ chức chịu trách nhiệm lấy nguyên văn từ phụ lục.</x:v>
      </x:c>
      <x:c r="R406" t="str">
        <x:v>https://dav.gov.vn/cong-van-so-1772qld-mp-ve-viec-dinh-chi-luu-hanh-thu-hoi-va-tieu-huy-my-pham-vi-pham-cong-ty-tnhh-my-pham-viet-huong-n5334.html</x:v>
      </x:c>
      <x:c r="S406" t="str">
        <x:v>Hà Nội</x:v>
      </x:c>
      <x:c r="T406" t="str">
        <x:v>01</x:v>
      </x:c>
    </x:row>
    <x:row r="407">
      <x:c r="A407" t="n">
        <x:v>406</x:v>
      </x:c>
      <x:c r="B407" s="330"/>
      <x:c r="C407" s="330" t="n">
        <x:v>46155</x:v>
      </x:c>
      <x:c r="D407" t="n">
        <x:v>2024</x:v>
      </x:c>
      <x:c r="E407"/>
      <x:c r="F407" t="str">
        <x:v>19369/24/CBMP-HN</x:v>
      </x:c>
      <x:c r="G407"/>
      <x:c r="H407" t="str">
        <x:v>Sữa rửa mặt</x:v>
      </x:c>
      <x:c r="I407"/>
      <x:c r="J407" t="str">
        <x:v>Sữa rửa mặt</x:v>
      </x:c>
      <x:c r="K407"/>
      <x:c r="L407" t="str">
        <x:v>Công ty Cổ phần Dược mỹ phẩm Quốc tế Xanh</x:v>
      </x:c>
      <x:c r="M407"/>
      <x:c r="N407" t="str">
        <x:v>Công ty TNHH mỹ phẩm Việt Hương</x:v>
      </x:c>
      <x:c r="O407" t="str">
        <x:v>Đình chỉ lưu hành, thu hồi và tiêu hủy – Công văn 1772/QLD-MP</x:v>
      </x:c>
      <x:c r="P407" t="str">
        <x:v>A++ – Cục Quản lý Dược; tổ chức chịu trách nhiệm explicit</x:v>
      </x:c>
      <x:c r="Q407" t="str">
        <x:v>Phụ lục 511 sản phẩm, STT 335, trang 12. Công ty Việt Hương là cơ sở sản xuất; cột tổ chức chịu trách nhiệm lấy nguyên văn từ phụ lục.</x:v>
      </x:c>
      <x:c r="R407" t="str">
        <x:v>https://dav.gov.vn/cong-van-so-1772qld-mp-ve-viec-dinh-chi-luu-hanh-thu-hoi-va-tieu-huy-my-pham-vi-pham-cong-ty-tnhh-my-pham-viet-huong-n5334.html</x:v>
      </x:c>
      <x:c r="S407" t="str">
        <x:v>Hà Nội</x:v>
      </x:c>
      <x:c r="T407" t="str">
        <x:v>01</x:v>
      </x:c>
    </x:row>
    <x:row r="408">
      <x:c r="A408" t="n">
        <x:v>407</x:v>
      </x:c>
      <x:c r="B408" s="330"/>
      <x:c r="C408" s="330" t="n">
        <x:v>46155</x:v>
      </x:c>
      <x:c r="D408" t="n">
        <x:v>2024</x:v>
      </x:c>
      <x:c r="E408"/>
      <x:c r="F408" t="str">
        <x:v>19370/24/CBMP-HN</x:v>
      </x:c>
      <x:c r="G408"/>
      <x:c r="H408" t="str">
        <x:v>Anamy</x:v>
      </x:c>
      <x:c r="I408"/>
      <x:c r="J408" t="str">
        <x:v>Khác</x:v>
      </x:c>
      <x:c r="K408"/>
      <x:c r="L408" t="str">
        <x:v>Công ty Cổ phần Dược mỹ phẩm Quốc tế Xanh</x:v>
      </x:c>
      <x:c r="M408"/>
      <x:c r="N408" t="str">
        <x:v>Công ty TNHH mỹ phẩm Việt Hương</x:v>
      </x:c>
      <x:c r="O408" t="str">
        <x:v>Đình chỉ lưu hành, thu hồi và tiêu hủy – Công văn 1772/QLD-MP</x:v>
      </x:c>
      <x:c r="P408" t="str">
        <x:v>A++ – Cục Quản lý Dược; tổ chức chịu trách nhiệm explicit</x:v>
      </x:c>
      <x:c r="Q408" t="str">
        <x:v>Phụ lục 511 sản phẩm, STT 336, trang 12. Công ty Việt Hương là cơ sở sản xuất; cột tổ chức chịu trách nhiệm lấy nguyên văn từ phụ lục.</x:v>
      </x:c>
      <x:c r="R408" t="str">
        <x:v>https://dav.gov.vn/cong-van-so-1772qld-mp-ve-viec-dinh-chi-luu-hanh-thu-hoi-va-tieu-huy-my-pham-vi-pham-cong-ty-tnhh-my-pham-viet-huong-n5334.html</x:v>
      </x:c>
      <x:c r="S408" t="str">
        <x:v>Hà Nội</x:v>
      </x:c>
      <x:c r="T408" t="str">
        <x:v>01</x:v>
      </x:c>
    </x:row>
    <x:row r="409">
      <x:c r="A409" t="n">
        <x:v>408</x:v>
      </x:c>
      <x:c r="B409" s="330"/>
      <x:c r="C409" s="330" t="n">
        <x:v>46155</x:v>
      </x:c>
      <x:c r="D409" t="n">
        <x:v>2024</x:v>
      </x:c>
      <x:c r="E409"/>
      <x:c r="F409" t="str">
        <x:v>19668/24/CBMP-HN</x:v>
      </x:c>
      <x:c r="G409"/>
      <x:c r="H409" t="str">
        <x:v>Sữa rửa mặt Trà Xanh Rau Má</x:v>
      </x:c>
      <x:c r="I409"/>
      <x:c r="J409" t="str">
        <x:v>Sữa rửa mặt</x:v>
      </x:c>
      <x:c r="K409"/>
      <x:c r="L409" t="str">
        <x:v>Công ty TNHH Lộc Phát E- Commerce</x:v>
      </x:c>
      <x:c r="M409"/>
      <x:c r="N409" t="str">
        <x:v>Công ty TNHH mỹ phẩm Việt Hương</x:v>
      </x:c>
      <x:c r="O409" t="str">
        <x:v>Đình chỉ lưu hành, thu hồi và tiêu hủy – Công văn 1772/QLD-MP</x:v>
      </x:c>
      <x:c r="P409" t="str">
        <x:v>A++ – Cục Quản lý Dược; tổ chức chịu trách nhiệm explicit</x:v>
      </x:c>
      <x:c r="Q409" t="str">
        <x:v>Phụ lục 511 sản phẩm, STT 337, trang 12. Công ty Việt Hương là cơ sở sản xuất; cột tổ chức chịu trách nhiệm lấy nguyên văn từ phụ lục.</x:v>
      </x:c>
      <x:c r="R409" t="str">
        <x:v>https://dav.gov.vn/cong-van-so-1772qld-mp-ve-viec-dinh-chi-luu-hanh-thu-hoi-va-tieu-huy-my-pham-vi-pham-cong-ty-tnhh-my-pham-viet-huong-n5334.html</x:v>
      </x:c>
      <x:c r="S409" t="str">
        <x:v>Hà Nội</x:v>
      </x:c>
      <x:c r="T409" t="str">
        <x:v>01</x:v>
      </x:c>
    </x:row>
    <x:row r="410">
      <x:c r="A410" t="n">
        <x:v>409</x:v>
      </x:c>
      <x:c r="B410" s="330"/>
      <x:c r="C410" s="330" t="n">
        <x:v>46155</x:v>
      </x:c>
      <x:c r="D410" t="n">
        <x:v>2024</x:v>
      </x:c>
      <x:c r="E410"/>
      <x:c r="F410" t="str">
        <x:v>19669/24/CBMP-HN</x:v>
      </x:c>
      <x:c r="G410"/>
      <x:c r="H410" t="str">
        <x:v>Kem chống nắng 3T</x:v>
      </x:c>
      <x:c r="I410"/>
      <x:c r="J410" t="str">
        <x:v>Kem chống nắng</x:v>
      </x:c>
      <x:c r="K410"/>
      <x:c r="L410" t="str">
        <x:v>Công ty TNHH mỹ phẩm O'Cyn</x:v>
      </x:c>
      <x:c r="M410"/>
      <x:c r="N410" t="str">
        <x:v>Công ty TNHH mỹ phẩm Việt Hương</x:v>
      </x:c>
      <x:c r="O410" t="str">
        <x:v>Đình chỉ lưu hành, thu hồi và tiêu hủy – Công văn 1772/QLD-MP</x:v>
      </x:c>
      <x:c r="P410" t="str">
        <x:v>A++ – Cục Quản lý Dược; tổ chức chịu trách nhiệm explicit</x:v>
      </x:c>
      <x:c r="Q410" t="str">
        <x:v>Phụ lục 511 sản phẩm, STT 338, trang 12. Công ty Việt Hương là cơ sở sản xuất; cột tổ chức chịu trách nhiệm lấy nguyên văn từ phụ lục.</x:v>
      </x:c>
      <x:c r="R410" t="str">
        <x:v>https://dav.gov.vn/cong-van-so-1772qld-mp-ve-viec-dinh-chi-luu-hanh-thu-hoi-va-tieu-huy-my-pham-vi-pham-cong-ty-tnhh-my-pham-viet-huong-n5334.html</x:v>
      </x:c>
      <x:c r="S410" t="str">
        <x:v>Hà Nội</x:v>
      </x:c>
      <x:c r="T410" t="str">
        <x:v>01</x:v>
      </x:c>
    </x:row>
    <x:row r="411">
      <x:c r="A411" t="n">
        <x:v>410</x:v>
      </x:c>
      <x:c r="B411" s="330"/>
      <x:c r="C411" s="330" t="n">
        <x:v>46155</x:v>
      </x:c>
      <x:c r="D411" t="n">
        <x:v>2024</x:v>
      </x:c>
      <x:c r="E411"/>
      <x:c r="F411" t="str">
        <x:v>19670/24/CBMP-HN</x:v>
      </x:c>
      <x:c r="G411"/>
      <x:c r="H411" t="str">
        <x:v>Kem Body Mộc 3In1</x:v>
      </x:c>
      <x:c r="I411"/>
      <x:c r="J411" t="str">
        <x:v>Khác</x:v>
      </x:c>
      <x:c r="K411"/>
      <x:c r="L411" t="str">
        <x:v>Công ty TNHH mỹ phẩm O'Cyn</x:v>
      </x:c>
      <x:c r="M411"/>
      <x:c r="N411" t="str">
        <x:v>Công ty TNHH mỹ phẩm Việt Hương</x:v>
      </x:c>
      <x:c r="O411" t="str">
        <x:v>Đình chỉ lưu hành, thu hồi và tiêu hủy – Công văn 1772/QLD-MP</x:v>
      </x:c>
      <x:c r="P411" t="str">
        <x:v>A++ – Cục Quản lý Dược; tổ chức chịu trách nhiệm explicit</x:v>
      </x:c>
      <x:c r="Q411" t="str">
        <x:v>Phụ lục 511 sản phẩm, STT 339, trang 12. Công ty Việt Hương là cơ sở sản xuất; cột tổ chức chịu trách nhiệm lấy nguyên văn từ phụ lục.</x:v>
      </x:c>
      <x:c r="R411" t="str">
        <x:v>https://dav.gov.vn/cong-van-so-1772qld-mp-ve-viec-dinh-chi-luu-hanh-thu-hoi-va-tieu-huy-my-pham-vi-pham-cong-ty-tnhh-my-pham-viet-huong-n5334.html</x:v>
      </x:c>
      <x:c r="S411" t="str">
        <x:v>Hà Nội</x:v>
      </x:c>
      <x:c r="T411" t="str">
        <x:v>01</x:v>
      </x:c>
    </x:row>
    <x:row r="412">
      <x:c r="A412" t="n">
        <x:v>411</x:v>
      </x:c>
      <x:c r="B412" s="330"/>
      <x:c r="C412" s="330" t="n">
        <x:v>46155</x:v>
      </x:c>
      <x:c r="D412" t="n">
        <x:v>2024</x:v>
      </x:c>
      <x:c r="E412"/>
      <x:c r="F412" t="str">
        <x:v>19671/24/CBMP-HN</x:v>
      </x:c>
      <x:c r="G412"/>
      <x:c r="H412" t="str">
        <x:v>Tinh chất dưỡng sáng da</x:v>
      </x:c>
      <x:c r="I412"/>
      <x:c r="J412" t="str">
        <x:v>Serum/Essence da</x:v>
      </x:c>
      <x:c r="K412"/>
      <x:c r="L412" t="str">
        <x:v>Công ty TNHH mỹ phẩm O'Cyn</x:v>
      </x:c>
      <x:c r="M412"/>
      <x:c r="N412" t="str">
        <x:v>Công ty TNHH mỹ phẩm Việt Hương</x:v>
      </x:c>
      <x:c r="O412" t="str">
        <x:v>Đình chỉ lưu hành, thu hồi và tiêu hủy – Công văn 1772/QLD-MP</x:v>
      </x:c>
      <x:c r="P412" t="str">
        <x:v>A++ – Cục Quản lý Dược; tổ chức chịu trách nhiệm explicit</x:v>
      </x:c>
      <x:c r="Q412" t="str">
        <x:v>Phụ lục 511 sản phẩm, STT 340, trang 12. Công ty Việt Hương là cơ sở sản xuất; cột tổ chức chịu trách nhiệm lấy nguyên văn từ phụ lục.</x:v>
      </x:c>
      <x:c r="R412" t="str">
        <x:v>https://dav.gov.vn/cong-van-so-1772qld-mp-ve-viec-dinh-chi-luu-hanh-thu-hoi-va-tieu-huy-my-pham-vi-pham-cong-ty-tnhh-my-pham-viet-huong-n5334.html</x:v>
      </x:c>
      <x:c r="S412" t="str">
        <x:v>Hà Nội</x:v>
      </x:c>
      <x:c r="T412" t="str">
        <x:v>01</x:v>
      </x:c>
    </x:row>
    <x:row r="413">
      <x:c r="A413" t="n">
        <x:v>412</x:v>
      </x:c>
      <x:c r="B413" s="330"/>
      <x:c r="C413" s="330" t="n">
        <x:v>46155</x:v>
      </x:c>
      <x:c r="D413" t="n">
        <x:v>2024</x:v>
      </x:c>
      <x:c r="E413"/>
      <x:c r="F413" t="str">
        <x:v>20208/24/CBMP-HN</x:v>
      </x:c>
      <x:c r="G413"/>
      <x:c r="H413" t="str">
        <x:v>Ủ tóc</x:v>
      </x:c>
      <x:c r="I413"/>
      <x:c r="J413" t="str">
        <x:v>Khác</x:v>
      </x:c>
      <x:c r="K413"/>
      <x:c r="L413" t="str">
        <x:v>Hộ kinh doanh Dược mỹ phẩm Hoàng Nam</x:v>
      </x:c>
      <x:c r="M413"/>
      <x:c r="N413" t="str">
        <x:v>Công ty TNHH mỹ phẩm Việt Hương</x:v>
      </x:c>
      <x:c r="O413" t="str">
        <x:v>Đình chỉ lưu hành, thu hồi và tiêu hủy – Công văn 1772/QLD-MP</x:v>
      </x:c>
      <x:c r="P413" t="str">
        <x:v>A++ – Cục Quản lý Dược; tổ chức chịu trách nhiệm explicit</x:v>
      </x:c>
      <x:c r="Q413" t="str">
        <x:v>Phụ lục 511 sản phẩm, STT 341, trang 12. Công ty Việt Hương là cơ sở sản xuất; cột tổ chức chịu trách nhiệm lấy nguyên văn từ phụ lục.</x:v>
      </x:c>
      <x:c r="R413" t="str">
        <x:v>https://dav.gov.vn/cong-van-so-1772qld-mp-ve-viec-dinh-chi-luu-hanh-thu-hoi-va-tieu-huy-my-pham-vi-pham-cong-ty-tnhh-my-pham-viet-huong-n5334.html</x:v>
      </x:c>
      <x:c r="S413" t="str">
        <x:v>Hà Nội</x:v>
      </x:c>
      <x:c r="T413" t="str">
        <x:v>01</x:v>
      </x:c>
    </x:row>
    <x:row r="414">
      <x:c r="A414" t="n">
        <x:v>413</x:v>
      </x:c>
      <x:c r="B414" s="330"/>
      <x:c r="C414" s="330" t="n">
        <x:v>46155</x:v>
      </x:c>
      <x:c r="D414" t="n">
        <x:v>2024</x:v>
      </x:c>
      <x:c r="E414"/>
      <x:c r="F414" t="str">
        <x:v>20339/24/CBMP-HN</x:v>
      </x:c>
      <x:c r="G414"/>
      <x:c r="H414" t="str">
        <x:v>Dầu gội đầu</x:v>
      </x:c>
      <x:c r="I414"/>
      <x:c r="J414" t="str">
        <x:v>Dầu gội</x:v>
      </x:c>
      <x:c r="K414"/>
      <x:c r="L414" t="str">
        <x:v>Hộ kinh doanh Dược mỹ phẩm Hoàng Nam</x:v>
      </x:c>
      <x:c r="M414"/>
      <x:c r="N414" t="str">
        <x:v>Công ty TNHH mỹ phẩm Việt Hương</x:v>
      </x:c>
      <x:c r="O414" t="str">
        <x:v>Đình chỉ lưu hành, thu hồi và tiêu hủy – Công văn 1772/QLD-MP</x:v>
      </x:c>
      <x:c r="P414" t="str">
        <x:v>A++ – Cục Quản lý Dược; tổ chức chịu trách nhiệm explicit</x:v>
      </x:c>
      <x:c r="Q414" t="str">
        <x:v>Phụ lục 511 sản phẩm, STT 342, trang 12. Công ty Việt Hương là cơ sở sản xuất; cột tổ chức chịu trách nhiệm lấy nguyên văn từ phụ lục.</x:v>
      </x:c>
      <x:c r="R414" t="str">
        <x:v>https://dav.gov.vn/cong-van-so-1772qld-mp-ve-viec-dinh-chi-luu-hanh-thu-hoi-va-tieu-huy-my-pham-vi-pham-cong-ty-tnhh-my-pham-viet-huong-n5334.html</x:v>
      </x:c>
      <x:c r="S414" t="str">
        <x:v>Hà Nội</x:v>
      </x:c>
      <x:c r="T414" t="str">
        <x:v>01</x:v>
      </x:c>
    </x:row>
    <x:row r="415">
      <x:c r="A415" t="n">
        <x:v>414</x:v>
      </x:c>
      <x:c r="B415" s="330"/>
      <x:c r="C415" s="330" t="n">
        <x:v>46155</x:v>
      </x:c>
      <x:c r="D415" t="n">
        <x:v>2024</x:v>
      </x:c>
      <x:c r="E415"/>
      <x:c r="F415" t="str">
        <x:v>20362/24/CBMP-HN</x:v>
      </x:c>
      <x:c r="G415"/>
      <x:c r="H415" t="str">
        <x:v>Freshwave Serum</x:v>
      </x:c>
      <x:c r="I415"/>
      <x:c r="J415" t="str">
        <x:v>Serum/Essence da</x:v>
      </x:c>
      <x:c r="K415"/>
      <x:c r="L415" t="str">
        <x:v>Công ty TNHH mỹ phẩm Thu Linh</x:v>
      </x:c>
      <x:c r="M415"/>
      <x:c r="N415" t="str">
        <x:v>Công ty TNHH mỹ phẩm Việt Hương</x:v>
      </x:c>
      <x:c r="O415" t="str">
        <x:v>Đình chỉ lưu hành, thu hồi và tiêu hủy – Công văn 1772/QLD-MP</x:v>
      </x:c>
      <x:c r="P415" t="str">
        <x:v>A++ – Cục Quản lý Dược; tổ chức chịu trách nhiệm explicit</x:v>
      </x:c>
      <x:c r="Q415" t="str">
        <x:v>Phụ lục 511 sản phẩm, STT 343, trang 12. Công ty Việt Hương là cơ sở sản xuất; cột tổ chức chịu trách nhiệm lấy nguyên văn từ phụ lục.</x:v>
      </x:c>
      <x:c r="R415" t="str">
        <x:v>https://dav.gov.vn/cong-van-so-1772qld-mp-ve-viec-dinh-chi-luu-hanh-thu-hoi-va-tieu-huy-my-pham-vi-pham-cong-ty-tnhh-my-pham-viet-huong-n5334.html</x:v>
      </x:c>
      <x:c r="S415" t="str">
        <x:v>Hà Nội</x:v>
      </x:c>
      <x:c r="T415" t="str">
        <x:v>01</x:v>
      </x:c>
    </x:row>
    <x:row r="416">
      <x:c r="A416" t="n">
        <x:v>415</x:v>
      </x:c>
      <x:c r="B416" s="330"/>
      <x:c r="C416" s="330" t="n">
        <x:v>46155</x:v>
      </x:c>
      <x:c r="D416" t="n">
        <x:v>2024</x:v>
      </x:c>
      <x:c r="E416"/>
      <x:c r="F416" t="str">
        <x:v>20363/24/CBMP-HN</x:v>
      </x:c>
      <x:c r="G416"/>
      <x:c r="H416" t="str">
        <x:v>Baby Solution</x:v>
      </x:c>
      <x:c r="I416"/>
      <x:c r="J416" t="str">
        <x:v>Khác</x:v>
      </x:c>
      <x:c r="K416"/>
      <x:c r="L416" t="str">
        <x:v>Công ty TNHH mỹ phẩm Thu Linh</x:v>
      </x:c>
      <x:c r="M416"/>
      <x:c r="N416" t="str">
        <x:v>Công ty TNHH mỹ phẩm Việt Hương</x:v>
      </x:c>
      <x:c r="O416" t="str">
        <x:v>Đình chỉ lưu hành, thu hồi và tiêu hủy – Công văn 1772/QLD-MP</x:v>
      </x:c>
      <x:c r="P416" t="str">
        <x:v>A++ – Cục Quản lý Dược; tổ chức chịu trách nhiệm explicit</x:v>
      </x:c>
      <x:c r="Q416" t="str">
        <x:v>Phụ lục 511 sản phẩm, STT 344, trang 12. Công ty Việt Hương là cơ sở sản xuất; cột tổ chức chịu trách nhiệm lấy nguyên văn từ phụ lục.</x:v>
      </x:c>
      <x:c r="R416" t="str">
        <x:v>https://dav.gov.vn/cong-van-so-1772qld-mp-ve-viec-dinh-chi-luu-hanh-thu-hoi-va-tieu-huy-my-pham-vi-pham-cong-ty-tnhh-my-pham-viet-huong-n5334.html</x:v>
      </x:c>
      <x:c r="S416" t="str">
        <x:v>Hà Nội</x:v>
      </x:c>
      <x:c r="T416" t="str">
        <x:v>01</x:v>
      </x:c>
    </x:row>
    <x:row r="417">
      <x:c r="A417" t="n">
        <x:v>416</x:v>
      </x:c>
      <x:c r="B417" s="330"/>
      <x:c r="C417" s="330" t="n">
        <x:v>46155</x:v>
      </x:c>
      <x:c r="D417" t="n">
        <x:v>2024</x:v>
      </x:c>
      <x:c r="E417"/>
      <x:c r="F417" t="str">
        <x:v>20364/24/CBMP-HN</x:v>
      </x:c>
      <x:c r="G417"/>
      <x:c r="H417" t="str">
        <x:v>Luxury Care</x:v>
      </x:c>
      <x:c r="I417"/>
      <x:c r="J417" t="str">
        <x:v>Khác</x:v>
      </x:c>
      <x:c r="K417"/>
      <x:c r="L417" t="str">
        <x:v>Công ty TNHH mỹ phẩm Thu Linh</x:v>
      </x:c>
      <x:c r="M417"/>
      <x:c r="N417" t="str">
        <x:v>Công ty TNHH mỹ phẩm Việt Hương</x:v>
      </x:c>
      <x:c r="O417" t="str">
        <x:v>Đình chỉ lưu hành, thu hồi và tiêu hủy – Công văn 1772/QLD-MP</x:v>
      </x:c>
      <x:c r="P417" t="str">
        <x:v>A++ – Cục Quản lý Dược; tổ chức chịu trách nhiệm explicit</x:v>
      </x:c>
      <x:c r="Q417" t="str">
        <x:v>Phụ lục 511 sản phẩm, STT 345, trang 12. Công ty Việt Hương là cơ sở sản xuất; cột tổ chức chịu trách nhiệm lấy nguyên văn từ phụ lục.</x:v>
      </x:c>
      <x:c r="R417" t="str">
        <x:v>https://dav.gov.vn/cong-van-so-1772qld-mp-ve-viec-dinh-chi-luu-hanh-thu-hoi-va-tieu-huy-my-pham-vi-pham-cong-ty-tnhh-my-pham-viet-huong-n5334.html</x:v>
      </x:c>
      <x:c r="S417" t="str">
        <x:v>Hà Nội</x:v>
      </x:c>
      <x:c r="T417" t="str">
        <x:v>01</x:v>
      </x:c>
    </x:row>
    <x:row r="418">
      <x:c r="A418" t="n">
        <x:v>417</x:v>
      </x:c>
      <x:c r="B418" s="330"/>
      <x:c r="C418" s="330" t="n">
        <x:v>46155</x:v>
      </x:c>
      <x:c r="D418" t="n">
        <x:v>2024</x:v>
      </x:c>
      <x:c r="E418"/>
      <x:c r="F418" t="str">
        <x:v>20646/24/CBMP-HN</x:v>
      </x:c>
      <x:c r="G418"/>
      <x:c r="H418" t="str">
        <x:v>Dầu phủ bạc Hà Thủ Ô Mộc Việt</x:v>
      </x:c>
      <x:c r="I418"/>
      <x:c r="J418" t="str">
        <x:v>Nhuộm/tẩy màu tóc</x:v>
      </x:c>
      <x:c r="K418"/>
      <x:c r="L418" t="str">
        <x:v>Công ty TNHH Tinh hoa Dược liệu Mộc Việt</x:v>
      </x:c>
      <x:c r="M418"/>
      <x:c r="N418" t="str">
        <x:v>Công ty TNHH mỹ phẩm Việt Hương</x:v>
      </x:c>
      <x:c r="O418" t="str">
        <x:v>Đình chỉ lưu hành, thu hồi và tiêu hủy – Công văn 1772/QLD-MP</x:v>
      </x:c>
      <x:c r="P418" t="str">
        <x:v>A++ – Cục Quản lý Dược; tổ chức chịu trách nhiệm explicit</x:v>
      </x:c>
      <x:c r="Q418" t="str">
        <x:v>Phụ lục 511 sản phẩm, STT 346, trang 12. Công ty Việt Hương là cơ sở sản xuất; cột tổ chức chịu trách nhiệm lấy nguyên văn từ phụ lục.</x:v>
      </x:c>
      <x:c r="R418" t="str">
        <x:v>https://dav.gov.vn/cong-van-so-1772qld-mp-ve-viec-dinh-chi-luu-hanh-thu-hoi-va-tieu-huy-my-pham-vi-pham-cong-ty-tnhh-my-pham-viet-huong-n5334.html</x:v>
      </x:c>
      <x:c r="S418" t="str">
        <x:v>Hà Nội</x:v>
      </x:c>
      <x:c r="T418" t="str">
        <x:v>01</x:v>
      </x:c>
    </x:row>
    <x:row r="419">
      <x:c r="A419" t="n">
        <x:v>418</x:v>
      </x:c>
      <x:c r="B419" s="330"/>
      <x:c r="C419" s="330" t="n">
        <x:v>46155</x:v>
      </x:c>
      <x:c r="D419" t="n">
        <x:v>2024</x:v>
      </x:c>
      <x:c r="E419"/>
      <x:c r="F419" t="str">
        <x:v>20739/24/CBMP-HN</x:v>
      </x:c>
      <x:c r="G419"/>
      <x:c r="H419" t="str">
        <x:v>Cleansing Foam</x:v>
      </x:c>
      <x:c r="I419"/>
      <x:c r="J419" t="str">
        <x:v>Khác</x:v>
      </x:c>
      <x:c r="K419"/>
      <x:c r="L419" t="str">
        <x:v>Công ty TNHH TM &amp; DV Ân Đạt Phát</x:v>
      </x:c>
      <x:c r="M419"/>
      <x:c r="N419" t="str">
        <x:v>Công ty TNHH mỹ phẩm Việt Hương</x:v>
      </x:c>
      <x:c r="O419" t="str">
        <x:v>Đình chỉ lưu hành, thu hồi và tiêu hủy – Công văn 1772/QLD-MP</x:v>
      </x:c>
      <x:c r="P419" t="str">
        <x:v>A++ – Cục Quản lý Dược; tổ chức chịu trách nhiệm explicit</x:v>
      </x:c>
      <x:c r="Q419" t="str">
        <x:v>Phụ lục 511 sản phẩm, STT 347, trang 12. Công ty Việt Hương là cơ sở sản xuất; cột tổ chức chịu trách nhiệm lấy nguyên văn từ phụ lục.</x:v>
      </x:c>
      <x:c r="R419" t="str">
        <x:v>https://dav.gov.vn/cong-van-so-1772qld-mp-ve-viec-dinh-chi-luu-hanh-thu-hoi-va-tieu-huy-my-pham-vi-pham-cong-ty-tnhh-my-pham-viet-huong-n5334.html</x:v>
      </x:c>
      <x:c r="S419" t="str">
        <x:v>Hà Nội</x:v>
      </x:c>
      <x:c r="T419" t="str">
        <x:v>01</x:v>
      </x:c>
    </x:row>
    <x:row r="420">
      <x:c r="A420" t="n">
        <x:v>419</x:v>
      </x:c>
      <x:c r="B420" s="330"/>
      <x:c r="C420" s="330" t="n">
        <x:v>46155</x:v>
      </x:c>
      <x:c r="D420" t="n">
        <x:v>2024</x:v>
      </x:c>
      <x:c r="E420"/>
      <x:c r="F420" t="str">
        <x:v>20740/24/CBMP-HN</x:v>
      </x:c>
      <x:c r="G420"/>
      <x:c r="H420" t="str">
        <x:v>Uvprotection Daily</x:v>
      </x:c>
      <x:c r="I420"/>
      <x:c r="J420" t="str">
        <x:v>Khác</x:v>
      </x:c>
      <x:c r="K420"/>
      <x:c r="L420" t="str">
        <x:v>Công ty TNHH TM &amp; DV Ân Đạt Phát</x:v>
      </x:c>
      <x:c r="M420"/>
      <x:c r="N420" t="str">
        <x:v>Công ty TNHH mỹ phẩm Việt Hương</x:v>
      </x:c>
      <x:c r="O420" t="str">
        <x:v>Đình chỉ lưu hành, thu hồi và tiêu hủy – Công văn 1772/QLD-MP</x:v>
      </x:c>
      <x:c r="P420" t="str">
        <x:v>A++ – Cục Quản lý Dược; tổ chức chịu trách nhiệm explicit</x:v>
      </x:c>
      <x:c r="Q420" t="str">
        <x:v>Phụ lục 511 sản phẩm, STT 348, trang 12. Công ty Việt Hương là cơ sở sản xuất; cột tổ chức chịu trách nhiệm lấy nguyên văn từ phụ lục.</x:v>
      </x:c>
      <x:c r="R420" t="str">
        <x:v>https://dav.gov.vn/cong-van-so-1772qld-mp-ve-viec-dinh-chi-luu-hanh-thu-hoi-va-tieu-huy-my-pham-vi-pham-cong-ty-tnhh-my-pham-viet-huong-n5334.html</x:v>
      </x:c>
      <x:c r="S420" t="str">
        <x:v>Hà Nội</x:v>
      </x:c>
      <x:c r="T420" t="str">
        <x:v>01</x:v>
      </x:c>
    </x:row>
    <x:row r="421">
      <x:c r="A421" t="n">
        <x:v>420</x:v>
      </x:c>
      <x:c r="B421" s="330"/>
      <x:c r="C421" s="330" t="n">
        <x:v>46155</x:v>
      </x:c>
      <x:c r="D421" t="n">
        <x:v>2024</x:v>
      </x:c>
      <x:c r="E421"/>
      <x:c r="F421" t="str">
        <x:v>20741/24/CBMP-HN</x:v>
      </x:c>
      <x:c r="G421"/>
      <x:c r="H421" t="str">
        <x:v>Sweeter Roses</x:v>
      </x:c>
      <x:c r="I421"/>
      <x:c r="J421" t="str">
        <x:v>Khác</x:v>
      </x:c>
      <x:c r="K421"/>
      <x:c r="L421" t="str">
        <x:v>Công ty cổ phần thương mại Louisa</x:v>
      </x:c>
      <x:c r="M421"/>
      <x:c r="N421" t="str">
        <x:v>Công ty TNHH mỹ phẩm Việt Hương</x:v>
      </x:c>
      <x:c r="O421" t="str">
        <x:v>Đình chỉ lưu hành, thu hồi và tiêu hủy – Công văn 1772/QLD-MP</x:v>
      </x:c>
      <x:c r="P421" t="str">
        <x:v>A++ – Cục Quản lý Dược; tổ chức chịu trách nhiệm explicit</x:v>
      </x:c>
      <x:c r="Q421" t="str">
        <x:v>Phụ lục 511 sản phẩm, STT 349, trang 12. Công ty Việt Hương là cơ sở sản xuất; cột tổ chức chịu trách nhiệm lấy nguyên văn từ phụ lục.</x:v>
      </x:c>
      <x:c r="R421" t="str">
        <x:v>https://dav.gov.vn/cong-van-so-1772qld-mp-ve-viec-dinh-chi-luu-hanh-thu-hoi-va-tieu-huy-my-pham-vi-pham-cong-ty-tnhh-my-pham-viet-huong-n5334.html</x:v>
      </x:c>
      <x:c r="S421" t="str">
        <x:v>Hà Nội</x:v>
      </x:c>
      <x:c r="T421" t="str">
        <x:v>01</x:v>
      </x:c>
    </x:row>
    <x:row r="422">
      <x:c r="A422" t="n">
        <x:v>421</x:v>
      </x:c>
      <x:c r="B422" s="330"/>
      <x:c r="C422" s="330" t="n">
        <x:v>46155</x:v>
      </x:c>
      <x:c r="D422" t="n">
        <x:v>2024</x:v>
      </x:c>
      <x:c r="E422"/>
      <x:c r="F422" t="str">
        <x:v>20742/24/CBMP-HN</x:v>
      </x:c>
      <x:c r="G422"/>
      <x:c r="H422" t="str">
        <x:v>Rubis 540</x:v>
      </x:c>
      <x:c r="I422"/>
      <x:c r="J422" t="str">
        <x:v>Khác</x:v>
      </x:c>
      <x:c r="K422"/>
      <x:c r="L422" t="str">
        <x:v>Công ty cổ phần thương mại Louisa</x:v>
      </x:c>
      <x:c r="M422"/>
      <x:c r="N422" t="str">
        <x:v>Công ty TNHH mỹ phẩm Việt Hương</x:v>
      </x:c>
      <x:c r="O422" t="str">
        <x:v>Đình chỉ lưu hành, thu hồi và tiêu hủy – Công văn 1772/QLD-MP</x:v>
      </x:c>
      <x:c r="P422" t="str">
        <x:v>A++ – Cục Quản lý Dược; tổ chức chịu trách nhiệm explicit</x:v>
      </x:c>
      <x:c r="Q422" t="str">
        <x:v>Phụ lục 511 sản phẩm, STT 350, trang 12. Công ty Việt Hương là cơ sở sản xuất; cột tổ chức chịu trách nhiệm lấy nguyên văn từ phụ lục.</x:v>
      </x:c>
      <x:c r="R422" t="str">
        <x:v>https://dav.gov.vn/cong-van-so-1772qld-mp-ve-viec-dinh-chi-luu-hanh-thu-hoi-va-tieu-huy-my-pham-vi-pham-cong-ty-tnhh-my-pham-viet-huong-n5334.html</x:v>
      </x:c>
      <x:c r="S422" t="str">
        <x:v>Hà Nội</x:v>
      </x:c>
      <x:c r="T422" t="str">
        <x:v>01</x:v>
      </x:c>
    </x:row>
    <x:row r="423">
      <x:c r="A423" t="n">
        <x:v>422</x:v>
      </x:c>
      <x:c r="B423" s="330"/>
      <x:c r="C423" s="330" t="n">
        <x:v>46155</x:v>
      </x:c>
      <x:c r="D423" t="n">
        <x:v>2024</x:v>
      </x:c>
      <x:c r="E423"/>
      <x:c r="F423" t="str">
        <x:v>20743/24/CBMP-HN</x:v>
      </x:c>
      <x:c r="G423"/>
      <x:c r="H423" t="str">
        <x:v>Coco Miss</x:v>
      </x:c>
      <x:c r="I423"/>
      <x:c r="J423" t="str">
        <x:v>Khác</x:v>
      </x:c>
      <x:c r="K423"/>
      <x:c r="L423" t="str">
        <x:v>Công ty cổ phần thương mại Louisa</x:v>
      </x:c>
      <x:c r="M423"/>
      <x:c r="N423" t="str">
        <x:v>Công ty TNHH mỹ phẩm Việt Hương</x:v>
      </x:c>
      <x:c r="O423" t="str">
        <x:v>Đình chỉ lưu hành, thu hồi và tiêu hủy – Công văn 1772/QLD-MP</x:v>
      </x:c>
      <x:c r="P423" t="str">
        <x:v>A++ – Cục Quản lý Dược; tổ chức chịu trách nhiệm explicit</x:v>
      </x:c>
      <x:c r="Q423" t="str">
        <x:v>Phụ lục 511 sản phẩm, STT 351, trang 12. Công ty Việt Hương là cơ sở sản xuất; cột tổ chức chịu trách nhiệm lấy nguyên văn từ phụ lục.</x:v>
      </x:c>
      <x:c r="R423" t="str">
        <x:v>https://dav.gov.vn/cong-van-so-1772qld-mp-ve-viec-dinh-chi-luu-hanh-thu-hoi-va-tieu-huy-my-pham-vi-pham-cong-ty-tnhh-my-pham-viet-huong-n5334.html</x:v>
      </x:c>
      <x:c r="S423" t="str">
        <x:v>Hà Nội</x:v>
      </x:c>
      <x:c r="T423" t="str">
        <x:v>01</x:v>
      </x:c>
    </x:row>
    <x:row r="424">
      <x:c r="A424" t="n">
        <x:v>423</x:v>
      </x:c>
      <x:c r="B424" s="330"/>
      <x:c r="C424" s="330" t="n">
        <x:v>46155</x:v>
      </x:c>
      <x:c r="D424" t="n">
        <x:v>2024</x:v>
      </x:c>
      <x:c r="E424"/>
      <x:c r="F424" t="str">
        <x:v>20935/24/CBMP-HN</x:v>
      </x:c>
      <x:c r="G424"/>
      <x:c r="H424" t="str">
        <x:v>Sunscreen Spray</x:v>
      </x:c>
      <x:c r="I424"/>
      <x:c r="J424" t="str">
        <x:v>Kem chống nắng</x:v>
      </x:c>
      <x:c r="K424"/>
      <x:c r="L424" t="str">
        <x:v>Công ty TNHH THDV Group</x:v>
      </x:c>
      <x:c r="M424"/>
      <x:c r="N424" t="str">
        <x:v>Công ty TNHH mỹ phẩm Việt Hương</x:v>
      </x:c>
      <x:c r="O424" t="str">
        <x:v>Đình chỉ lưu hành, thu hồi và tiêu hủy – Công văn 1772/QLD-MP</x:v>
      </x:c>
      <x:c r="P424" t="str">
        <x:v>A++ – Cục Quản lý Dược; tổ chức chịu trách nhiệm explicit</x:v>
      </x:c>
      <x:c r="Q424" t="str">
        <x:v>Phụ lục 511 sản phẩm, STT 352, trang 12. Công ty Việt Hương là cơ sở sản xuất; cột tổ chức chịu trách nhiệm lấy nguyên văn từ phụ lục.</x:v>
      </x:c>
      <x:c r="R424" t="str">
        <x:v>https://dav.gov.vn/cong-van-so-1772qld-mp-ve-viec-dinh-chi-luu-hanh-thu-hoi-va-tieu-huy-my-pham-vi-pham-cong-ty-tnhh-my-pham-viet-huong-n5334.html</x:v>
      </x:c>
      <x:c r="S424" t="str">
        <x:v>Hà Nội</x:v>
      </x:c>
      <x:c r="T424" t="str">
        <x:v>01</x:v>
      </x:c>
    </x:row>
    <x:row r="425">
      <x:c r="A425" t="n">
        <x:v>424</x:v>
      </x:c>
      <x:c r="B425" s="330"/>
      <x:c r="C425" s="330" t="n">
        <x:v>46155</x:v>
      </x:c>
      <x:c r="D425" t="n">
        <x:v>2024</x:v>
      </x:c>
      <x:c r="E425"/>
      <x:c r="F425" t="str">
        <x:v>20936/24/CBMP-HN</x:v>
      </x:c>
      <x:c r="G425"/>
      <x:c r="H425" t="str">
        <x:v>Brightening Detox Shower Gel</x:v>
      </x:c>
      <x:c r="I425"/>
      <x:c r="J425" t="str">
        <x:v>Sữa tắm/Gel tắm</x:v>
      </x:c>
      <x:c r="K425"/>
      <x:c r="L425" t="str">
        <x:v>Công ty TNHH THDV Group</x:v>
      </x:c>
      <x:c r="M425"/>
      <x:c r="N425" t="str">
        <x:v>Công ty TNHH mỹ phẩm Việt Hương</x:v>
      </x:c>
      <x:c r="O425" t="str">
        <x:v>Đình chỉ lưu hành, thu hồi và tiêu hủy – Công văn 1772/QLD-MP</x:v>
      </x:c>
      <x:c r="P425" t="str">
        <x:v>A++ – Cục Quản lý Dược; tổ chức chịu trách nhiệm explicit</x:v>
      </x:c>
      <x:c r="Q425" t="str">
        <x:v>Phụ lục 511 sản phẩm, STT 353, trang 12. Công ty Việt Hương là cơ sở sản xuất; cột tổ chức chịu trách nhiệm lấy nguyên văn từ phụ lục.</x:v>
      </x:c>
      <x:c r="R425" t="str">
        <x:v>https://dav.gov.vn/cong-van-so-1772qld-mp-ve-viec-dinh-chi-luu-hanh-thu-hoi-va-tieu-huy-my-pham-vi-pham-cong-ty-tnhh-my-pham-viet-huong-n5334.html</x:v>
      </x:c>
      <x:c r="S425" t="str">
        <x:v>Hà Nội</x:v>
      </x:c>
      <x:c r="T425" t="str">
        <x:v>01</x:v>
      </x:c>
    </x:row>
    <x:row r="426">
      <x:c r="A426" t="n">
        <x:v>425</x:v>
      </x:c>
      <x:c r="B426" s="330"/>
      <x:c r="C426" s="330" t="n">
        <x:v>46155</x:v>
      </x:c>
      <x:c r="D426" t="n">
        <x:v>2024</x:v>
      </x:c>
      <x:c r="E426"/>
      <x:c r="F426" t="str">
        <x:v>20937/24/CBMP-HN</x:v>
      </x:c>
      <x:c r="G426"/>
      <x:c r="H426" t="str">
        <x:v>Body Acne Spray</x:v>
      </x:c>
      <x:c r="I426"/>
      <x:c r="J426" t="str">
        <x:v>Khác</x:v>
      </x:c>
      <x:c r="K426"/>
      <x:c r="L426" t="str">
        <x:v>Công ty TNHH THDV Group</x:v>
      </x:c>
      <x:c r="M426"/>
      <x:c r="N426" t="str">
        <x:v>Công ty TNHH mỹ phẩm Việt Hương</x:v>
      </x:c>
      <x:c r="O426" t="str">
        <x:v>Đình chỉ lưu hành, thu hồi và tiêu hủy – Công văn 1772/QLD-MP</x:v>
      </x:c>
      <x:c r="P426" t="str">
        <x:v>A++ – Cục Quản lý Dược; tổ chức chịu trách nhiệm explicit</x:v>
      </x:c>
      <x:c r="Q426" t="str">
        <x:v>Phụ lục 511 sản phẩm, STT 354, trang 12. Công ty Việt Hương là cơ sở sản xuất; cột tổ chức chịu trách nhiệm lấy nguyên văn từ phụ lục.</x:v>
      </x:c>
      <x:c r="R426" t="str">
        <x:v>https://dav.gov.vn/cong-van-so-1772qld-mp-ve-viec-dinh-chi-luu-hanh-thu-hoi-va-tieu-huy-my-pham-vi-pham-cong-ty-tnhh-my-pham-viet-huong-n5334.html</x:v>
      </x:c>
      <x:c r="S426" t="str">
        <x:v>Hà Nội</x:v>
      </x:c>
      <x:c r="T426" t="str">
        <x:v>01</x:v>
      </x:c>
    </x:row>
    <x:row r="427">
      <x:c r="A427" t="n">
        <x:v>426</x:v>
      </x:c>
      <x:c r="B427" s="330"/>
      <x:c r="C427" s="330" t="n">
        <x:v>46155</x:v>
      </x:c>
      <x:c r="D427" t="n">
        <x:v>2024</x:v>
      </x:c>
      <x:c r="E427"/>
      <x:c r="F427" t="str">
        <x:v>21259/24/CBMP-HN</x:v>
      </x:c>
      <x:c r="G427"/>
      <x:c r="H427" t="str">
        <x:v>Skinexfol</x:v>
      </x:c>
      <x:c r="I427"/>
      <x:c r="J427" t="str">
        <x:v>Khác</x:v>
      </x:c>
      <x:c r="K427"/>
      <x:c r="L427" t="str">
        <x:v>Công ty TNHH Taehui</x:v>
      </x:c>
      <x:c r="M427"/>
      <x:c r="N427" t="str">
        <x:v>Công ty TNHH mỹ phẩm Việt Hương</x:v>
      </x:c>
      <x:c r="O427" t="str">
        <x:v>Đình chỉ lưu hành, thu hồi và tiêu hủy – Công văn 1772/QLD-MP</x:v>
      </x:c>
      <x:c r="P427" t="str">
        <x:v>A++ – Cục Quản lý Dược; tổ chức chịu trách nhiệm explicit</x:v>
      </x:c>
      <x:c r="Q427" t="str">
        <x:v>Phụ lục 511 sản phẩm, STT 355, trang 12. Công ty Việt Hương là cơ sở sản xuất; cột tổ chức chịu trách nhiệm lấy nguyên văn từ phụ lục.</x:v>
      </x:c>
      <x:c r="R427" t="str">
        <x:v>https://dav.gov.vn/cong-van-so-1772qld-mp-ve-viec-dinh-chi-luu-hanh-thu-hoi-va-tieu-huy-my-pham-vi-pham-cong-ty-tnhh-my-pham-viet-huong-n5334.html</x:v>
      </x:c>
      <x:c r="S427" t="str">
        <x:v>Hà Nội</x:v>
      </x:c>
      <x:c r="T427" t="str">
        <x:v>01</x:v>
      </x:c>
    </x:row>
    <x:row r="428">
      <x:c r="A428" t="n">
        <x:v>427</x:v>
      </x:c>
      <x:c r="B428" s="330"/>
      <x:c r="C428" s="330" t="n">
        <x:v>46155</x:v>
      </x:c>
      <x:c r="D428" t="n">
        <x:v>2024</x:v>
      </x:c>
      <x:c r="E428"/>
      <x:c r="F428" t="str">
        <x:v>21260/24/CBMP-HN</x:v>
      </x:c>
      <x:c r="G428"/>
      <x:c r="H428" t="str">
        <x:v>Perfect Cleansing Gel</x:v>
      </x:c>
      <x:c r="I428"/>
      <x:c r="J428" t="str">
        <x:v>Sữa rửa mặt</x:v>
      </x:c>
      <x:c r="K428"/>
      <x:c r="L428" t="str">
        <x:v>Công ty TNHH Taehui</x:v>
      </x:c>
      <x:c r="M428"/>
      <x:c r="N428" t="str">
        <x:v>Công ty TNHH mỹ phẩm Việt Hương</x:v>
      </x:c>
      <x:c r="O428" t="str">
        <x:v>Đình chỉ lưu hành, thu hồi và tiêu hủy – Công văn 1772/QLD-MP</x:v>
      </x:c>
      <x:c r="P428" t="str">
        <x:v>A++ – Cục Quản lý Dược; tổ chức chịu trách nhiệm explicit</x:v>
      </x:c>
      <x:c r="Q428" t="str">
        <x:v>Phụ lục 511 sản phẩm, STT 356, trang 12. Công ty Việt Hương là cơ sở sản xuất; cột tổ chức chịu trách nhiệm lấy nguyên văn từ phụ lục.</x:v>
      </x:c>
      <x:c r="R428" t="str">
        <x:v>https://dav.gov.vn/cong-van-so-1772qld-mp-ve-viec-dinh-chi-luu-hanh-thu-hoi-va-tieu-huy-my-pham-vi-pham-cong-ty-tnhh-my-pham-viet-huong-n5334.html</x:v>
      </x:c>
      <x:c r="S428" t="str">
        <x:v>Hà Nội</x:v>
      </x:c>
      <x:c r="T428" t="str">
        <x:v>01</x:v>
      </x:c>
    </x:row>
    <x:row r="429">
      <x:c r="A429" t="n">
        <x:v>428</x:v>
      </x:c>
      <x:c r="B429" s="330"/>
      <x:c r="C429" s="330" t="n">
        <x:v>46155</x:v>
      </x:c>
      <x:c r="D429" t="n">
        <x:v>2024</x:v>
      </x:c>
      <x:c r="E429"/>
      <x:c r="F429" t="str">
        <x:v>21261/24/CBMP-HN</x:v>
      </x:c>
      <x:c r="G429"/>
      <x:c r="H429" t="str">
        <x:v>Sunscreen Cream</x:v>
      </x:c>
      <x:c r="I429"/>
      <x:c r="J429" t="str">
        <x:v>Kem chống nắng</x:v>
      </x:c>
      <x:c r="K429"/>
      <x:c r="L429" t="str">
        <x:v>Công ty TNHH Taehui</x:v>
      </x:c>
      <x:c r="M429"/>
      <x:c r="N429" t="str">
        <x:v>Công ty TNHH mỹ phẩm Việt Hương</x:v>
      </x:c>
      <x:c r="O429" t="str">
        <x:v>Đình chỉ lưu hành, thu hồi và tiêu hủy – Công văn 1772/QLD-MP</x:v>
      </x:c>
      <x:c r="P429" t="str">
        <x:v>A++ – Cục Quản lý Dược; tổ chức chịu trách nhiệm explicit</x:v>
      </x:c>
      <x:c r="Q429" t="str">
        <x:v>Phụ lục 511 sản phẩm, STT 357, trang 12. Công ty Việt Hương là cơ sở sản xuất; cột tổ chức chịu trách nhiệm lấy nguyên văn từ phụ lục.</x:v>
      </x:c>
      <x:c r="R429" t="str">
        <x:v>https://dav.gov.vn/cong-van-so-1772qld-mp-ve-viec-dinh-chi-luu-hanh-thu-hoi-va-tieu-huy-my-pham-vi-pham-cong-ty-tnhh-my-pham-viet-huong-n5334.html</x:v>
      </x:c>
      <x:c r="S429" t="str">
        <x:v>Hà Nội</x:v>
      </x:c>
      <x:c r="T429" t="str">
        <x:v>01</x:v>
      </x:c>
    </x:row>
    <x:row r="430">
      <x:c r="A430" t="n">
        <x:v>429</x:v>
      </x:c>
      <x:c r="B430" s="330"/>
      <x:c r="C430" s="330" t="n">
        <x:v>46155</x:v>
      </x:c>
      <x:c r="D430" t="n">
        <x:v>2024</x:v>
      </x:c>
      <x:c r="E430"/>
      <x:c r="F430" t="str">
        <x:v>21533/24/CBMP-HN</x:v>
      </x:c>
      <x:c r="G430"/>
      <x:c r="H430" t="str">
        <x:v>Collagen A.G Suncream</x:v>
      </x:c>
      <x:c r="I430"/>
      <x:c r="J430" t="str">
        <x:v>Kem chống nắng</x:v>
      </x:c>
      <x:c r="K430"/>
      <x:c r="L430" t="str">
        <x:v>Công ty Cổ phần tập đoàn GBM</x:v>
      </x:c>
      <x:c r="M430"/>
      <x:c r="N430" t="str">
        <x:v>Công ty TNHH mỹ phẩm Việt Hương</x:v>
      </x:c>
      <x:c r="O430" t="str">
        <x:v>Đình chỉ lưu hành, thu hồi và tiêu hủy – Công văn 1772/QLD-MP</x:v>
      </x:c>
      <x:c r="P430" t="str">
        <x:v>A++ – Cục Quản lý Dược; tổ chức chịu trách nhiệm explicit</x:v>
      </x:c>
      <x:c r="Q430" t="str">
        <x:v>Phụ lục 511 sản phẩm, STT 358, trang 12. Công ty Việt Hương là cơ sở sản xuất; cột tổ chức chịu trách nhiệm lấy nguyên văn từ phụ lục.</x:v>
      </x:c>
      <x:c r="R430" t="str">
        <x:v>https://dav.gov.vn/cong-van-so-1772qld-mp-ve-viec-dinh-chi-luu-hanh-thu-hoi-va-tieu-huy-my-pham-vi-pham-cong-ty-tnhh-my-pham-viet-huong-n5334.html</x:v>
      </x:c>
      <x:c r="S430" t="str">
        <x:v>Hà Nội</x:v>
      </x:c>
      <x:c r="T430" t="str">
        <x:v>01</x:v>
      </x:c>
    </x:row>
    <x:row r="431">
      <x:c r="A431" t="n">
        <x:v>430</x:v>
      </x:c>
      <x:c r="B431" s="330"/>
      <x:c r="C431" s="330" t="n">
        <x:v>46155</x:v>
      </x:c>
      <x:c r="D431" t="n">
        <x:v>2024</x:v>
      </x:c>
      <x:c r="E431"/>
      <x:c r="F431" t="str">
        <x:v>21534/24/CBMP-HN</x:v>
      </x:c>
      <x:c r="G431"/>
      <x:c r="H431" t="str">
        <x:v>Collagen A.G Cleansing Water</x:v>
      </x:c>
      <x:c r="I431"/>
      <x:c r="J431" t="str">
        <x:v>Khác</x:v>
      </x:c>
      <x:c r="K431"/>
      <x:c r="L431" t="str">
        <x:v>Công ty Cổ phần tập đoàn GBM</x:v>
      </x:c>
      <x:c r="M431"/>
      <x:c r="N431" t="str">
        <x:v>Công ty TNHH mỹ phẩm Việt Hương</x:v>
      </x:c>
      <x:c r="O431" t="str">
        <x:v>Đình chỉ lưu hành, thu hồi và tiêu hủy – Công văn 1772/QLD-MP</x:v>
      </x:c>
      <x:c r="P431" t="str">
        <x:v>A++ – Cục Quản lý Dược; tổ chức chịu trách nhiệm explicit</x:v>
      </x:c>
      <x:c r="Q431" t="str">
        <x:v>Phụ lục 511 sản phẩm, STT 359, trang 12. Công ty Việt Hương là cơ sở sản xuất; cột tổ chức chịu trách nhiệm lấy nguyên văn từ phụ lục.</x:v>
      </x:c>
      <x:c r="R431" t="str">
        <x:v>https://dav.gov.vn/cong-van-so-1772qld-mp-ve-viec-dinh-chi-luu-hanh-thu-hoi-va-tieu-huy-my-pham-vi-pham-cong-ty-tnhh-my-pham-viet-huong-n5334.html</x:v>
      </x:c>
      <x:c r="S431" t="str">
        <x:v>Hà Nội</x:v>
      </x:c>
      <x:c r="T431" t="str">
        <x:v>01</x:v>
      </x:c>
    </x:row>
    <x:row r="432">
      <x:c r="A432" t="n">
        <x:v>431</x:v>
      </x:c>
      <x:c r="B432" s="330"/>
      <x:c r="C432" s="330" t="n">
        <x:v>46155</x:v>
      </x:c>
      <x:c r="D432" t="n">
        <x:v>2024</x:v>
      </x:c>
      <x:c r="E432"/>
      <x:c r="F432" t="str">
        <x:v>21535/24/CBMP-HN</x:v>
      </x:c>
      <x:c r="G432"/>
      <x:c r="H432" t="str">
        <x:v>Tinh chất mụn</x:v>
      </x:c>
      <x:c r="I432"/>
      <x:c r="J432" t="str">
        <x:v>Serum/Essence da</x:v>
      </x:c>
      <x:c r="K432"/>
      <x:c r="L432" t="str">
        <x:v>Hộ kinh doanh Mỹ phẩm - Thời trang CK</x:v>
      </x:c>
      <x:c r="M432"/>
      <x:c r="N432" t="str">
        <x:v>Công ty TNHH mỹ phẩm Việt Hương</x:v>
      </x:c>
      <x:c r="O432" t="str">
        <x:v>Đình chỉ lưu hành, thu hồi và tiêu hủy – Công văn 1772/QLD-MP</x:v>
      </x:c>
      <x:c r="P432" t="str">
        <x:v>A++ – Cục Quản lý Dược; tổ chức chịu trách nhiệm explicit</x:v>
      </x:c>
      <x:c r="Q432" t="str">
        <x:v>Phụ lục 511 sản phẩm, STT 360, trang 12. Công ty Việt Hương là cơ sở sản xuất; cột tổ chức chịu trách nhiệm lấy nguyên văn từ phụ lục.</x:v>
      </x:c>
      <x:c r="R432" t="str">
        <x:v>https://dav.gov.vn/cong-van-so-1772qld-mp-ve-viec-dinh-chi-luu-hanh-thu-hoi-va-tieu-huy-my-pham-vi-pham-cong-ty-tnhh-my-pham-viet-huong-n5334.html</x:v>
      </x:c>
      <x:c r="S432" t="str">
        <x:v>Hà Nội</x:v>
      </x:c>
      <x:c r="T432" t="str">
        <x:v>01</x:v>
      </x:c>
    </x:row>
    <x:row r="433">
      <x:c r="A433" t="n">
        <x:v>432</x:v>
      </x:c>
      <x:c r="B433" s="330"/>
      <x:c r="C433" s="330" t="n">
        <x:v>46155</x:v>
      </x:c>
      <x:c r="D433" t="n">
        <x:v>2024</x:v>
      </x:c>
      <x:c r="E433"/>
      <x:c r="F433" t="str">
        <x:v>21751/24/CBMP-HN</x:v>
      </x:c>
      <x:c r="G433"/>
      <x:c r="H433" t="str">
        <x:v>Combo Premium Limited</x:v>
      </x:c>
      <x:c r="I433"/>
      <x:c r="J433" t="str">
        <x:v>Khác</x:v>
      </x:c>
      <x:c r="K433"/>
      <x:c r="L433" t="str">
        <x:v>Hộ kinh doanh Nguyễn Văn Công</x:v>
      </x:c>
      <x:c r="M433"/>
      <x:c r="N433" t="str">
        <x:v>Công ty TNHH mỹ phẩm Việt Hương</x:v>
      </x:c>
      <x:c r="O433" t="str">
        <x:v>Đình chỉ lưu hành, thu hồi và tiêu hủy – Công văn 1772/QLD-MP</x:v>
      </x:c>
      <x:c r="P433" t="str">
        <x:v>A++ – Cục Quản lý Dược; tổ chức chịu trách nhiệm explicit</x:v>
      </x:c>
      <x:c r="Q433" t="str">
        <x:v>Phụ lục 511 sản phẩm, STT 361, trang 12. Công ty Việt Hương là cơ sở sản xuất; cột tổ chức chịu trách nhiệm lấy nguyên văn từ phụ lục.</x:v>
      </x:c>
      <x:c r="R433" t="str">
        <x:v>https://dav.gov.vn/cong-van-so-1772qld-mp-ve-viec-dinh-chi-luu-hanh-thu-hoi-va-tieu-huy-my-pham-vi-pham-cong-ty-tnhh-my-pham-viet-huong-n5334.html</x:v>
      </x:c>
      <x:c r="S433" t="str">
        <x:v>Hà Nội</x:v>
      </x:c>
      <x:c r="T433" t="str">
        <x:v>01</x:v>
      </x:c>
    </x:row>
    <x:row r="434">
      <x:c r="A434" t="n">
        <x:v>433</x:v>
      </x:c>
      <x:c r="B434" s="330"/>
      <x:c r="C434" s="330" t="n">
        <x:v>46155</x:v>
      </x:c>
      <x:c r="D434" t="n">
        <x:v>2024</x:v>
      </x:c>
      <x:c r="E434"/>
      <x:c r="F434" t="str">
        <x:v>21884/24/CBMP-HN</x:v>
      </x:c>
      <x:c r="G434"/>
      <x:c r="H434" t="str">
        <x:v>Conditioner</x:v>
      </x:c>
      <x:c r="I434"/>
      <x:c r="J434" t="str">
        <x:v>Dầu xả</x:v>
      </x:c>
      <x:c r="K434"/>
      <x:c r="L434" t="str">
        <x:v>Công ty Cổ phần Đầu tư Thương mại The Gen Global</x:v>
      </x:c>
      <x:c r="M434"/>
      <x:c r="N434" t="str">
        <x:v>Công ty TNHH mỹ phẩm Việt Hương</x:v>
      </x:c>
      <x:c r="O434" t="str">
        <x:v>Đình chỉ lưu hành, thu hồi và tiêu hủy – Công văn 1772/QLD-MP</x:v>
      </x:c>
      <x:c r="P434" t="str">
        <x:v>A++ – Cục Quản lý Dược; tổ chức chịu trách nhiệm explicit</x:v>
      </x:c>
      <x:c r="Q434" t="str">
        <x:v>Phụ lục 511 sản phẩm, STT 362, trang 13. Công ty Việt Hương là cơ sở sản xuất; cột tổ chức chịu trách nhiệm lấy nguyên văn từ phụ lục.</x:v>
      </x:c>
      <x:c r="R434" t="str">
        <x:v>https://dav.gov.vn/cong-van-so-1772qld-mp-ve-viec-dinh-chi-luu-hanh-thu-hoi-va-tieu-huy-my-pham-vi-pham-cong-ty-tnhh-my-pham-viet-huong-n5334.html</x:v>
      </x:c>
      <x:c r="S434" t="str">
        <x:v>Hà Nội</x:v>
      </x:c>
      <x:c r="T434" t="str">
        <x:v>01</x:v>
      </x:c>
    </x:row>
    <x:row r="435">
      <x:c r="A435" t="n">
        <x:v>434</x:v>
      </x:c>
      <x:c r="B435" s="330"/>
      <x:c r="C435" s="330" t="n">
        <x:v>46155</x:v>
      </x:c>
      <x:c r="D435" t="n">
        <x:v>2024</x:v>
      </x:c>
      <x:c r="E435"/>
      <x:c r="F435" t="str">
        <x:v>21978/24/CBMP-HN</x:v>
      </x:c>
      <x:c r="G435"/>
      <x:c r="H435" t="str">
        <x:v>Ulachoi Velvet Lipstick</x:v>
      </x:c>
      <x:c r="I435"/>
      <x:c r="J435" t="str">
        <x:v>Sản phẩm môi</x:v>
      </x:c>
      <x:c r="K435"/>
      <x:c r="L435" t="str">
        <x:v>Công ty Cổ phần Đầu tư Thương mại The Gen Global</x:v>
      </x:c>
      <x:c r="M435"/>
      <x:c r="N435" t="str">
        <x:v>Công ty TNHH mỹ phẩm Việt Hương</x:v>
      </x:c>
      <x:c r="O435" t="str">
        <x:v>Đình chỉ lưu hành, thu hồi và tiêu hủy – Công văn 1772/QLD-MP</x:v>
      </x:c>
      <x:c r="P435" t="str">
        <x:v>A++ – Cục Quản lý Dược; tổ chức chịu trách nhiệm explicit</x:v>
      </x:c>
      <x:c r="Q435" t="str">
        <x:v>Phụ lục 511 sản phẩm, STT 363, trang 13. Công ty Việt Hương là cơ sở sản xuất; cột tổ chức chịu trách nhiệm lấy nguyên văn từ phụ lục.</x:v>
      </x:c>
      <x:c r="R435" t="str">
        <x:v>https://dav.gov.vn/cong-van-so-1772qld-mp-ve-viec-dinh-chi-luu-hanh-thu-hoi-va-tieu-huy-my-pham-vi-pham-cong-ty-tnhh-my-pham-viet-huong-n5334.html</x:v>
      </x:c>
      <x:c r="S435" t="str">
        <x:v>Hà Nội</x:v>
      </x:c>
      <x:c r="T435" t="str">
        <x:v>01</x:v>
      </x:c>
    </x:row>
    <x:row r="436">
      <x:c r="A436" t="n">
        <x:v>435</x:v>
      </x:c>
      <x:c r="B436" s="330"/>
      <x:c r="C436" s="330" t="n">
        <x:v>46155</x:v>
      </x:c>
      <x:c r="D436" t="n">
        <x:v>2024</x:v>
      </x:c>
      <x:c r="E436"/>
      <x:c r="F436" t="str">
        <x:v>22009/24/CBMP-HN</x:v>
      </x:c>
      <x:c r="G436"/>
      <x:c r="H436" t="str">
        <x:v>Shampoo</x:v>
      </x:c>
      <x:c r="I436"/>
      <x:c r="J436" t="str">
        <x:v>Dầu gội</x:v>
      </x:c>
      <x:c r="K436"/>
      <x:c r="L436" t="str">
        <x:v>Công ty Cổ phần Đầu tư Thương mại The Gen Global</x:v>
      </x:c>
      <x:c r="M436"/>
      <x:c r="N436" t="str">
        <x:v>Công ty TNHH mỹ phẩm Việt Hương</x:v>
      </x:c>
      <x:c r="O436" t="str">
        <x:v>Đình chỉ lưu hành, thu hồi và tiêu hủy – Công văn 1772/QLD-MP</x:v>
      </x:c>
      <x:c r="P436" t="str">
        <x:v>A++ – Cục Quản lý Dược; tổ chức chịu trách nhiệm explicit</x:v>
      </x:c>
      <x:c r="Q436" t="str">
        <x:v>Phụ lục 511 sản phẩm, STT 364, trang 13. Công ty Việt Hương là cơ sở sản xuất; cột tổ chức chịu trách nhiệm lấy nguyên văn từ phụ lục.</x:v>
      </x:c>
      <x:c r="R436" t="str">
        <x:v>https://dav.gov.vn/cong-van-so-1772qld-mp-ve-viec-dinh-chi-luu-hanh-thu-hoi-va-tieu-huy-my-pham-vi-pham-cong-ty-tnhh-my-pham-viet-huong-n5334.html</x:v>
      </x:c>
      <x:c r="S436" t="str">
        <x:v>Hà Nội</x:v>
      </x:c>
      <x:c r="T436" t="str">
        <x:v>01</x:v>
      </x:c>
    </x:row>
    <x:row r="437">
      <x:c r="A437" t="n">
        <x:v>436</x:v>
      </x:c>
      <x:c r="B437" s="330"/>
      <x:c r="C437" s="330" t="n">
        <x:v>46155</x:v>
      </x:c>
      <x:c r="D437" t="n">
        <x:v>2024</x:v>
      </x:c>
      <x:c r="E437"/>
      <x:c r="F437" t="str">
        <x:v>22005/24/CBMP-HN</x:v>
      </x:c>
      <x:c r="G437"/>
      <x:c r="H437" t="str">
        <x:v>Lăn nách Trà Xanh</x:v>
      </x:c>
      <x:c r="I437"/>
      <x:c r="J437" t="str">
        <x:v>Khác</x:v>
      </x:c>
      <x:c r="K437"/>
      <x:c r="L437" t="str">
        <x:v>Hộ kinh doanh Trần Thị Liên</x:v>
      </x:c>
      <x:c r="M437"/>
      <x:c r="N437" t="str">
        <x:v>Công ty TNHH mỹ phẩm Việt Hương</x:v>
      </x:c>
      <x:c r="O437" t="str">
        <x:v>Đình chỉ lưu hành, thu hồi và tiêu hủy – Công văn 1772/QLD-MP</x:v>
      </x:c>
      <x:c r="P437" t="str">
        <x:v>A++ – Cục Quản lý Dược; tổ chức chịu trách nhiệm explicit</x:v>
      </x:c>
      <x:c r="Q437" t="str">
        <x:v>Phụ lục 511 sản phẩm, STT 365, trang 13. Công ty Việt Hương là cơ sở sản xuất; cột tổ chức chịu trách nhiệm lấy nguyên văn từ phụ lục.</x:v>
      </x:c>
      <x:c r="R437" t="str">
        <x:v>https://dav.gov.vn/cong-van-so-1772qld-mp-ve-viec-dinh-chi-luu-hanh-thu-hoi-va-tieu-huy-my-pham-vi-pham-cong-ty-tnhh-my-pham-viet-huong-n5334.html</x:v>
      </x:c>
      <x:c r="S437" t="str">
        <x:v>Hà Nội</x:v>
      </x:c>
      <x:c r="T437" t="str">
        <x:v>01</x:v>
      </x:c>
    </x:row>
    <x:row r="438">
      <x:c r="A438" t="n">
        <x:v>437</x:v>
      </x:c>
      <x:c r="B438" s="330"/>
      <x:c r="C438" s="330" t="n">
        <x:v>46155</x:v>
      </x:c>
      <x:c r="D438" t="n">
        <x:v>2024</x:v>
      </x:c>
      <x:c r="E438"/>
      <x:c r="F438" t="str">
        <x:v>22006/24/CBMP-HN</x:v>
      </x:c>
      <x:c r="G438"/>
      <x:c r="H438" t="str">
        <x:v>Xịt chân Trà Xanh</x:v>
      </x:c>
      <x:c r="I438"/>
      <x:c r="J438" t="str">
        <x:v>Khác</x:v>
      </x:c>
      <x:c r="K438"/>
      <x:c r="L438" t="str">
        <x:v>Hộ kinh doanh Trần Thị Liên</x:v>
      </x:c>
      <x:c r="M438"/>
      <x:c r="N438" t="str">
        <x:v>Công ty TNHH mỹ phẩm Việt Hương</x:v>
      </x:c>
      <x:c r="O438" t="str">
        <x:v>Đình chỉ lưu hành, thu hồi và tiêu hủy – Công văn 1772/QLD-MP</x:v>
      </x:c>
      <x:c r="P438" t="str">
        <x:v>A++ – Cục Quản lý Dược; tổ chức chịu trách nhiệm explicit</x:v>
      </x:c>
      <x:c r="Q438" t="str">
        <x:v>Phụ lục 511 sản phẩm, STT 366, trang 13. Công ty Việt Hương là cơ sở sản xuất; cột tổ chức chịu trách nhiệm lấy nguyên văn từ phụ lục.</x:v>
      </x:c>
      <x:c r="R438" t="str">
        <x:v>https://dav.gov.vn/cong-van-so-1772qld-mp-ve-viec-dinh-chi-luu-hanh-thu-hoi-va-tieu-huy-my-pham-vi-pham-cong-ty-tnhh-my-pham-viet-huong-n5334.html</x:v>
      </x:c>
      <x:c r="S438" t="str">
        <x:v>Hà Nội</x:v>
      </x:c>
      <x:c r="T438" t="str">
        <x:v>01</x:v>
      </x:c>
    </x:row>
    <x:row r="439">
      <x:c r="A439" t="n">
        <x:v>438</x:v>
      </x:c>
      <x:c r="B439" s="330"/>
      <x:c r="C439" s="330" t="n">
        <x:v>46155</x:v>
      </x:c>
      <x:c r="D439" t="n">
        <x:v>2024</x:v>
      </x:c>
      <x:c r="E439"/>
      <x:c r="F439" t="str">
        <x:v>22011/24/CBMP-HN</x:v>
      </x:c>
      <x:c r="G439"/>
      <x:c r="H439" t="str">
        <x:v>Hydra Nourish Makeup Remover</x:v>
      </x:c>
      <x:c r="I439"/>
      <x:c r="J439" t="str">
        <x:v>Tẩy trang</x:v>
      </x:c>
      <x:c r="K439"/>
      <x:c r="L439" t="str">
        <x:v>Công ty TNHH Sinh Dược Bio</x:v>
      </x:c>
      <x:c r="M439"/>
      <x:c r="N439" t="str">
        <x:v>Công ty TNHH mỹ phẩm Việt Hương</x:v>
      </x:c>
      <x:c r="O439" t="str">
        <x:v>Đình chỉ lưu hành, thu hồi và tiêu hủy – Công văn 1772/QLD-MP</x:v>
      </x:c>
      <x:c r="P439" t="str">
        <x:v>A++ – Cục Quản lý Dược; tổ chức chịu trách nhiệm explicit</x:v>
      </x:c>
      <x:c r="Q439" t="str">
        <x:v>Phụ lục 511 sản phẩm, STT 367, trang 13. Công ty Việt Hương là cơ sở sản xuất; cột tổ chức chịu trách nhiệm lấy nguyên văn từ phụ lục.</x:v>
      </x:c>
      <x:c r="R439" t="str">
        <x:v>https://dav.gov.vn/cong-van-so-1772qld-mp-ve-viec-dinh-chi-luu-hanh-thu-hoi-va-tieu-huy-my-pham-vi-pham-cong-ty-tnhh-my-pham-viet-huong-n5334.html</x:v>
      </x:c>
      <x:c r="S439" t="str">
        <x:v>Hà Nội</x:v>
      </x:c>
      <x:c r="T439" t="str">
        <x:v>01</x:v>
      </x:c>
    </x:row>
    <x:row r="440">
      <x:c r="A440" t="n">
        <x:v>439</x:v>
      </x:c>
      <x:c r="B440" s="330"/>
      <x:c r="C440" s="330" t="n">
        <x:v>46155</x:v>
      </x:c>
      <x:c r="D440" t="n">
        <x:v>2024</x:v>
      </x:c>
      <x:c r="E440"/>
      <x:c r="F440" t="str">
        <x:v>22012/24/CBMP-HN</x:v>
      </x:c>
      <x:c r="G440"/>
      <x:c r="H440" t="str">
        <x:v>Triki Plus</x:v>
      </x:c>
      <x:c r="I440"/>
      <x:c r="J440" t="str">
        <x:v>Khác</x:v>
      </x:c>
      <x:c r="K440"/>
      <x:c r="L440" t="str">
        <x:v>Công ty TNHH Sinh Dược Bio</x:v>
      </x:c>
      <x:c r="M440"/>
      <x:c r="N440" t="str">
        <x:v>Công ty TNHH mỹ phẩm Việt Hương</x:v>
      </x:c>
      <x:c r="O440" t="str">
        <x:v>Đình chỉ lưu hành, thu hồi và tiêu hủy – Công văn 1772/QLD-MP</x:v>
      </x:c>
      <x:c r="P440" t="str">
        <x:v>A++ – Cục Quản lý Dược; tổ chức chịu trách nhiệm explicit</x:v>
      </x:c>
      <x:c r="Q440" t="str">
        <x:v>Phụ lục 511 sản phẩm, STT 368, trang 13. Công ty Việt Hương là cơ sở sản xuất; cột tổ chức chịu trách nhiệm lấy nguyên văn từ phụ lục.</x:v>
      </x:c>
      <x:c r="R440" t="str">
        <x:v>https://dav.gov.vn/cong-van-so-1772qld-mp-ve-viec-dinh-chi-luu-hanh-thu-hoi-va-tieu-huy-my-pham-vi-pham-cong-ty-tnhh-my-pham-viet-huong-n5334.html</x:v>
      </x:c>
      <x:c r="S440" t="str">
        <x:v>Hà Nội</x:v>
      </x:c>
      <x:c r="T440" t="str">
        <x:v>01</x:v>
      </x:c>
    </x:row>
    <x:row r="441">
      <x:c r="A441" t="n">
        <x:v>440</x:v>
      </x:c>
      <x:c r="B441" s="330"/>
      <x:c r="C441" s="330" t="n">
        <x:v>46155</x:v>
      </x:c>
      <x:c r="D441" t="n">
        <x:v>2024</x:v>
      </x:c>
      <x:c r="E441"/>
      <x:c r="F441" t="str">
        <x:v>22013/24/CBMP-HN</x:v>
      </x:c>
      <x:c r="G441"/>
      <x:c r="H441" t="str">
        <x:v>Deepclean Oil Cleanser</x:v>
      </x:c>
      <x:c r="I441"/>
      <x:c r="J441" t="str">
        <x:v>Sữa rửa mặt</x:v>
      </x:c>
      <x:c r="K441"/>
      <x:c r="L441" t="str">
        <x:v>Công ty TNHH Sinh Dược Bio</x:v>
      </x:c>
      <x:c r="M441"/>
      <x:c r="N441" t="str">
        <x:v>Công ty TNHH mỹ phẩm Việt Hương</x:v>
      </x:c>
      <x:c r="O441" t="str">
        <x:v>Đình chỉ lưu hành, thu hồi và tiêu hủy – Công văn 1772/QLD-MP</x:v>
      </x:c>
      <x:c r="P441" t="str">
        <x:v>A++ – Cục Quản lý Dược; tổ chức chịu trách nhiệm explicit</x:v>
      </x:c>
      <x:c r="Q441" t="str">
        <x:v>Phụ lục 511 sản phẩm, STT 369, trang 13. Công ty Việt Hương là cơ sở sản xuất; cột tổ chức chịu trách nhiệm lấy nguyên văn từ phụ lục.</x:v>
      </x:c>
      <x:c r="R441" t="str">
        <x:v>https://dav.gov.vn/cong-van-so-1772qld-mp-ve-viec-dinh-chi-luu-hanh-thu-hoi-va-tieu-huy-my-pham-vi-pham-cong-ty-tnhh-my-pham-viet-huong-n5334.html</x:v>
      </x:c>
      <x:c r="S441" t="str">
        <x:v>Hà Nội</x:v>
      </x:c>
      <x:c r="T441" t="str">
        <x:v>01</x:v>
      </x:c>
    </x:row>
    <x:row r="442">
      <x:c r="A442" t="n">
        <x:v>441</x:v>
      </x:c>
      <x:c r="B442" s="330"/>
      <x:c r="C442" s="330" t="n">
        <x:v>46155</x:v>
      </x:c>
      <x:c r="D442" t="n">
        <x:v>2024</x:v>
      </x:c>
      <x:c r="E442"/>
      <x:c r="F442" t="str">
        <x:v>22014/24/CBMP-HN</x:v>
      </x:c>
      <x:c r="G442"/>
      <x:c r="H442" t="str">
        <x:v>Mildrelief Makeup Remover</x:v>
      </x:c>
      <x:c r="I442"/>
      <x:c r="J442" t="str">
        <x:v>Tẩy trang</x:v>
      </x:c>
      <x:c r="K442"/>
      <x:c r="L442" t="str">
        <x:v>Công ty TNHH Sinh Dược Bio</x:v>
      </x:c>
      <x:c r="M442"/>
      <x:c r="N442" t="str">
        <x:v>Công ty TNHH mỹ phẩm Việt Hương</x:v>
      </x:c>
      <x:c r="O442" t="str">
        <x:v>Đình chỉ lưu hành, thu hồi và tiêu hủy – Công văn 1772/QLD-MP</x:v>
      </x:c>
      <x:c r="P442" t="str">
        <x:v>A++ – Cục Quản lý Dược; tổ chức chịu trách nhiệm explicit</x:v>
      </x:c>
      <x:c r="Q442" t="str">
        <x:v>Phụ lục 511 sản phẩm, STT 370, trang 13. Công ty Việt Hương là cơ sở sản xuất; cột tổ chức chịu trách nhiệm lấy nguyên văn từ phụ lục.</x:v>
      </x:c>
      <x:c r="R442" t="str">
        <x:v>https://dav.gov.vn/cong-van-so-1772qld-mp-ve-viec-dinh-chi-luu-hanh-thu-hoi-va-tieu-huy-my-pham-vi-pham-cong-ty-tnhh-my-pham-viet-huong-n5334.html</x:v>
      </x:c>
      <x:c r="S442" t="str">
        <x:v>Hà Nội</x:v>
      </x:c>
      <x:c r="T442" t="str">
        <x:v>01</x:v>
      </x:c>
    </x:row>
    <x:row r="443">
      <x:c r="A443" t="n">
        <x:v>442</x:v>
      </x:c>
      <x:c r="B443" s="330"/>
      <x:c r="C443" s="330" t="n">
        <x:v>46155</x:v>
      </x:c>
      <x:c r="D443" t="n">
        <x:v>2024</x:v>
      </x:c>
      <x:c r="E443"/>
      <x:c r="F443" t="str">
        <x:v>22406/24/CBMP-HN</x:v>
      </x:c>
      <x:c r="G443"/>
      <x:c r="H443" t="str">
        <x:v>Refreshacne Toner</x:v>
      </x:c>
      <x:c r="I443"/>
      <x:c r="J443" t="str">
        <x:v>Serum/Essence da</x:v>
      </x:c>
      <x:c r="K443"/>
      <x:c r="L443" t="str">
        <x:v>Công ty TNHH Sinh Dược Bio</x:v>
      </x:c>
      <x:c r="M443"/>
      <x:c r="N443" t="str">
        <x:v>Công ty TNHH mỹ phẩm Việt Hương</x:v>
      </x:c>
      <x:c r="O443" t="str">
        <x:v>Đình chỉ lưu hành, thu hồi và tiêu hủy – Công văn 1772/QLD-MP</x:v>
      </x:c>
      <x:c r="P443" t="str">
        <x:v>A++ – Cục Quản lý Dược; tổ chức chịu trách nhiệm explicit</x:v>
      </x:c>
      <x:c r="Q443" t="str">
        <x:v>Phụ lục 511 sản phẩm, STT 371, trang 13. Công ty Việt Hương là cơ sở sản xuất; cột tổ chức chịu trách nhiệm lấy nguyên văn từ phụ lục.</x:v>
      </x:c>
      <x:c r="R443" t="str">
        <x:v>https://dav.gov.vn/cong-van-so-1772qld-mp-ve-viec-dinh-chi-luu-hanh-thu-hoi-va-tieu-huy-my-pham-vi-pham-cong-ty-tnhh-my-pham-viet-huong-n5334.html</x:v>
      </x:c>
      <x:c r="S443" t="str">
        <x:v>Hà Nội</x:v>
      </x:c>
      <x:c r="T443" t="str">
        <x:v>01</x:v>
      </x:c>
    </x:row>
    <x:row r="444">
      <x:c r="A444" t="n">
        <x:v>443</x:v>
      </x:c>
      <x:c r="B444" s="330"/>
      <x:c r="C444" s="330" t="n">
        <x:v>46155</x:v>
      </x:c>
      <x:c r="D444" t="n">
        <x:v>2024</x:v>
      </x:c>
      <x:c r="E444"/>
      <x:c r="F444" t="str">
        <x:v>22407/24/CBMP-HN</x:v>
      </x:c>
      <x:c r="G444"/>
      <x:c r="H444" t="str">
        <x:v>Deepclean Oil Makeup Remover</x:v>
      </x:c>
      <x:c r="I444"/>
      <x:c r="J444" t="str">
        <x:v>Tẩy trang</x:v>
      </x:c>
      <x:c r="K444"/>
      <x:c r="L444" t="str">
        <x:v>Công ty TNHH Sinh Dược Bio</x:v>
      </x:c>
      <x:c r="M444"/>
      <x:c r="N444" t="str">
        <x:v>Công ty TNHH mỹ phẩm Việt Hương</x:v>
      </x:c>
      <x:c r="O444" t="str">
        <x:v>Đình chỉ lưu hành, thu hồi và tiêu hủy – Công văn 1772/QLD-MP</x:v>
      </x:c>
      <x:c r="P444" t="str">
        <x:v>A++ – Cục Quản lý Dược; tổ chức chịu trách nhiệm explicit</x:v>
      </x:c>
      <x:c r="Q444" t="str">
        <x:v>Phụ lục 511 sản phẩm, STT 372, trang 13. Công ty Việt Hương là cơ sở sản xuất; cột tổ chức chịu trách nhiệm lấy nguyên văn từ phụ lục.</x:v>
      </x:c>
      <x:c r="R444" t="str">
        <x:v>https://dav.gov.vn/cong-van-so-1772qld-mp-ve-viec-dinh-chi-luu-hanh-thu-hoi-va-tieu-huy-my-pham-vi-pham-cong-ty-tnhh-my-pham-viet-huong-n5334.html</x:v>
      </x:c>
      <x:c r="S444" t="str">
        <x:v>Hà Nội</x:v>
      </x:c>
      <x:c r="T444" t="str">
        <x:v>01</x:v>
      </x:c>
    </x:row>
    <x:row r="445">
      <x:c r="A445" t="n">
        <x:v>444</x:v>
      </x:c>
      <x:c r="B445" s="330"/>
      <x:c r="C445" s="330" t="n">
        <x:v>46155</x:v>
      </x:c>
      <x:c r="D445" t="n">
        <x:v>2024</x:v>
      </x:c>
      <x:c r="E445"/>
      <x:c r="F445" t="str">
        <x:v>22408/24/CBMP-HN</x:v>
      </x:c>
      <x:c r="G445"/>
      <x:c r="H445" t="str">
        <x:v>Herbal Bath Salts</x:v>
      </x:c>
      <x:c r="I445"/>
      <x:c r="J445" t="str">
        <x:v>Khác</x:v>
      </x:c>
      <x:c r="K445"/>
      <x:c r="L445" t="str">
        <x:v>Công ty TNHH Sinh Dược Bio</x:v>
      </x:c>
      <x:c r="M445"/>
      <x:c r="N445" t="str">
        <x:v>Công ty TNHH mỹ phẩm Việt Hương</x:v>
      </x:c>
      <x:c r="O445" t="str">
        <x:v>Đình chỉ lưu hành, thu hồi và tiêu hủy – Công văn 1772/QLD-MP</x:v>
      </x:c>
      <x:c r="P445" t="str">
        <x:v>A++ – Cục Quản lý Dược; tổ chức chịu trách nhiệm explicit</x:v>
      </x:c>
      <x:c r="Q445" t="str">
        <x:v>Phụ lục 511 sản phẩm, STT 373, trang 13. Công ty Việt Hương là cơ sở sản xuất; cột tổ chức chịu trách nhiệm lấy nguyên văn từ phụ lục.</x:v>
      </x:c>
      <x:c r="R445" t="str">
        <x:v>https://dav.gov.vn/cong-van-so-1772qld-mp-ve-viec-dinh-chi-luu-hanh-thu-hoi-va-tieu-huy-my-pham-vi-pham-cong-ty-tnhh-my-pham-viet-huong-n5334.html</x:v>
      </x:c>
      <x:c r="S445" t="str">
        <x:v>Hà Nội</x:v>
      </x:c>
      <x:c r="T445" t="str">
        <x:v>01</x:v>
      </x:c>
    </x:row>
    <x:row r="446">
      <x:c r="A446" t="n">
        <x:v>445</x:v>
      </x:c>
      <x:c r="B446" s="330"/>
      <x:c r="C446" s="330" t="n">
        <x:v>46155</x:v>
      </x:c>
      <x:c r="D446" t="n">
        <x:v>2024</x:v>
      </x:c>
      <x:c r="E446"/>
      <x:c r="F446" t="str">
        <x:v>22409/24/CBMP-HN</x:v>
      </x:c>
      <x:c r="G446"/>
      <x:c r="H446" t="str">
        <x:v>Coolrevive Toner</x:v>
      </x:c>
      <x:c r="I446"/>
      <x:c r="J446" t="str">
        <x:v>Serum/Essence da</x:v>
      </x:c>
      <x:c r="K446"/>
      <x:c r="L446" t="str">
        <x:v>Công ty TNHH Sinh Dược Bio</x:v>
      </x:c>
      <x:c r="M446"/>
      <x:c r="N446" t="str">
        <x:v>Công ty TNHH mỹ phẩm Việt Hương</x:v>
      </x:c>
      <x:c r="O446" t="str">
        <x:v>Đình chỉ lưu hành, thu hồi và tiêu hủy – Công văn 1772/QLD-MP</x:v>
      </x:c>
      <x:c r="P446" t="str">
        <x:v>A++ – Cục Quản lý Dược; tổ chức chịu trách nhiệm explicit</x:v>
      </x:c>
      <x:c r="Q446" t="str">
        <x:v>Phụ lục 511 sản phẩm, STT 374, trang 13. Công ty Việt Hương là cơ sở sản xuất; cột tổ chức chịu trách nhiệm lấy nguyên văn từ phụ lục.</x:v>
      </x:c>
      <x:c r="R446" t="str">
        <x:v>https://dav.gov.vn/cong-van-so-1772qld-mp-ve-viec-dinh-chi-luu-hanh-thu-hoi-va-tieu-huy-my-pham-vi-pham-cong-ty-tnhh-my-pham-viet-huong-n5334.html</x:v>
      </x:c>
      <x:c r="S446" t="str">
        <x:v>Hà Nội</x:v>
      </x:c>
      <x:c r="T446" t="str">
        <x:v>01</x:v>
      </x:c>
    </x:row>
    <x:row r="447">
      <x:c r="A447" t="n">
        <x:v>446</x:v>
      </x:c>
      <x:c r="B447" s="330"/>
      <x:c r="C447" s="330" t="n">
        <x:v>46155</x:v>
      </x:c>
      <x:c r="D447" t="n">
        <x:v>2024</x:v>
      </x:c>
      <x:c r="E447"/>
      <x:c r="F447" t="str">
        <x:v>22410/24/CBMP-HN</x:v>
      </x:c>
      <x:c r="G447"/>
      <x:c r="H447" t="str">
        <x:v>Mildrelief Cleanser</x:v>
      </x:c>
      <x:c r="I447"/>
      <x:c r="J447" t="str">
        <x:v>Sữa rửa mặt</x:v>
      </x:c>
      <x:c r="K447"/>
      <x:c r="L447" t="str">
        <x:v>Công ty TNHH Sinh Dược Bio</x:v>
      </x:c>
      <x:c r="M447"/>
      <x:c r="N447" t="str">
        <x:v>Công ty TNHH mỹ phẩm Việt Hương</x:v>
      </x:c>
      <x:c r="O447" t="str">
        <x:v>Đình chỉ lưu hành, thu hồi và tiêu hủy – Công văn 1772/QLD-MP</x:v>
      </x:c>
      <x:c r="P447" t="str">
        <x:v>A++ – Cục Quản lý Dược; tổ chức chịu trách nhiệm explicit</x:v>
      </x:c>
      <x:c r="Q447" t="str">
        <x:v>Phụ lục 511 sản phẩm, STT 375, trang 13. Công ty Việt Hương là cơ sở sản xuất; cột tổ chức chịu trách nhiệm lấy nguyên văn từ phụ lục.</x:v>
      </x:c>
      <x:c r="R447" t="str">
        <x:v>https://dav.gov.vn/cong-van-so-1772qld-mp-ve-viec-dinh-chi-luu-hanh-thu-hoi-va-tieu-huy-my-pham-vi-pham-cong-ty-tnhh-my-pham-viet-huong-n5334.html</x:v>
      </x:c>
      <x:c r="S447" t="str">
        <x:v>Hà Nội</x:v>
      </x:c>
      <x:c r="T447" t="str">
        <x:v>01</x:v>
      </x:c>
    </x:row>
    <x:row r="448">
      <x:c r="A448" t="n">
        <x:v>447</x:v>
      </x:c>
      <x:c r="B448" s="330"/>
      <x:c r="C448" s="330" t="n">
        <x:v>46155</x:v>
      </x:c>
      <x:c r="D448" t="n">
        <x:v>2024</x:v>
      </x:c>
      <x:c r="E448"/>
      <x:c r="F448" t="str">
        <x:v>22411/24/CBMP-HN</x:v>
      </x:c>
      <x:c r="G448"/>
      <x:c r="H448" t="str">
        <x:v>Coffee Bath Salts</x:v>
      </x:c>
      <x:c r="I448"/>
      <x:c r="J448" t="str">
        <x:v>Khác</x:v>
      </x:c>
      <x:c r="K448"/>
      <x:c r="L448" t="str">
        <x:v>Công ty TNHH Sinh Dược Bio</x:v>
      </x:c>
      <x:c r="M448"/>
      <x:c r="N448" t="str">
        <x:v>Công ty TNHH mỹ phẩm Việt Hương</x:v>
      </x:c>
      <x:c r="O448" t="str">
        <x:v>Đình chỉ lưu hành, thu hồi và tiêu hủy – Công văn 1772/QLD-MP</x:v>
      </x:c>
      <x:c r="P448" t="str">
        <x:v>A++ – Cục Quản lý Dược; tổ chức chịu trách nhiệm explicit</x:v>
      </x:c>
      <x:c r="Q448" t="str">
        <x:v>Phụ lục 511 sản phẩm, STT 376, trang 13. Công ty Việt Hương là cơ sở sản xuất; cột tổ chức chịu trách nhiệm lấy nguyên văn từ phụ lục.</x:v>
      </x:c>
      <x:c r="R448" t="str">
        <x:v>https://dav.gov.vn/cong-van-so-1772qld-mp-ve-viec-dinh-chi-luu-hanh-thu-hoi-va-tieu-huy-my-pham-vi-pham-cong-ty-tnhh-my-pham-viet-huong-n5334.html</x:v>
      </x:c>
      <x:c r="S448" t="str">
        <x:v>Hà Nội</x:v>
      </x:c>
      <x:c r="T448" t="str">
        <x:v>01</x:v>
      </x:c>
    </x:row>
    <x:row r="449">
      <x:c r="A449" t="n">
        <x:v>448</x:v>
      </x:c>
      <x:c r="B449" s="330"/>
      <x:c r="C449" s="330" t="n">
        <x:v>46155</x:v>
      </x:c>
      <x:c r="D449" t="n">
        <x:v>2024</x:v>
      </x:c>
      <x:c r="E449"/>
      <x:c r="F449" t="str">
        <x:v>22716/24/CBMP-HN</x:v>
      </x:c>
      <x:c r="G449"/>
      <x:c r="H449" t="str">
        <x:v>UV Totalvive</x:v>
      </x:c>
      <x:c r="I449"/>
      <x:c r="J449" t="str">
        <x:v>Khác</x:v>
      </x:c>
      <x:c r="K449"/>
      <x:c r="L449" t="str">
        <x:v>Công ty TNHH Sinh Dược Bio</x:v>
      </x:c>
      <x:c r="M449"/>
      <x:c r="N449" t="str">
        <x:v>Công ty TNHH mỹ phẩm Việt Hương</x:v>
      </x:c>
      <x:c r="O449" t="str">
        <x:v>Đình chỉ lưu hành, thu hồi và tiêu hủy – Công văn 1772/QLD-MP</x:v>
      </x:c>
      <x:c r="P449" t="str">
        <x:v>A++ – Cục Quản lý Dược; tổ chức chịu trách nhiệm explicit</x:v>
      </x:c>
      <x:c r="Q449" t="str">
        <x:v>Phụ lục 511 sản phẩm, STT 377, trang 13. Công ty Việt Hương là cơ sở sản xuất; cột tổ chức chịu trách nhiệm lấy nguyên văn từ phụ lục.</x:v>
      </x:c>
      <x:c r="R449" t="str">
        <x:v>https://dav.gov.vn/cong-van-so-1772qld-mp-ve-viec-dinh-chi-luu-hanh-thu-hoi-va-tieu-huy-my-pham-vi-pham-cong-ty-tnhh-my-pham-viet-huong-n5334.html</x:v>
      </x:c>
      <x:c r="S449" t="str">
        <x:v>Hà Nội</x:v>
      </x:c>
      <x:c r="T449" t="str">
        <x:v>01</x:v>
      </x:c>
    </x:row>
    <x:row r="450">
      <x:c r="A450" t="n">
        <x:v>449</x:v>
      </x:c>
      <x:c r="B450" s="330"/>
      <x:c r="C450" s="330" t="n">
        <x:v>46155</x:v>
      </x:c>
      <x:c r="D450" t="n">
        <x:v>2024</x:v>
      </x:c>
      <x:c r="E450"/>
      <x:c r="F450" t="str">
        <x:v>22717/24/CBMP-HN</x:v>
      </x:c>
      <x:c r="G450"/>
      <x:c r="H450" t="str">
        <x:v>Infinity Spray Toner</x:v>
      </x:c>
      <x:c r="I450"/>
      <x:c r="J450" t="str">
        <x:v>Serum/Essence da</x:v>
      </x:c>
      <x:c r="K450"/>
      <x:c r="L450" t="str">
        <x:v>Công ty TNHH Sinh Dược Bio</x:v>
      </x:c>
      <x:c r="M450"/>
      <x:c r="N450" t="str">
        <x:v>Công ty TNHH mỹ phẩm Việt Hương</x:v>
      </x:c>
      <x:c r="O450" t="str">
        <x:v>Đình chỉ lưu hành, thu hồi và tiêu hủy – Công văn 1772/QLD-MP</x:v>
      </x:c>
      <x:c r="P450" t="str">
        <x:v>A++ – Cục Quản lý Dược; tổ chức chịu trách nhiệm explicit</x:v>
      </x:c>
      <x:c r="Q450" t="str">
        <x:v>Phụ lục 511 sản phẩm, STT 378, trang 13. Công ty Việt Hương là cơ sở sản xuất; cột tổ chức chịu trách nhiệm lấy nguyên văn từ phụ lục.</x:v>
      </x:c>
      <x:c r="R450" t="str">
        <x:v>https://dav.gov.vn/cong-van-so-1772qld-mp-ve-viec-dinh-chi-luu-hanh-thu-hoi-va-tieu-huy-my-pham-vi-pham-cong-ty-tnhh-my-pham-viet-huong-n5334.html</x:v>
      </x:c>
      <x:c r="S450" t="str">
        <x:v>Hà Nội</x:v>
      </x:c>
      <x:c r="T450" t="str">
        <x:v>01</x:v>
      </x:c>
    </x:row>
    <x:row r="451">
      <x:c r="A451" t="n">
        <x:v>450</x:v>
      </x:c>
      <x:c r="B451" s="330"/>
      <x:c r="C451" s="330" t="n">
        <x:v>46155</x:v>
      </x:c>
      <x:c r="D451" t="n">
        <x:v>2024</x:v>
      </x:c>
      <x:c r="E451"/>
      <x:c r="F451" t="str">
        <x:v>22718/24/CBMP-HN</x:v>
      </x:c>
      <x:c r="G451"/>
      <x:c r="H451" t="str">
        <x:v>Hydra Nourish Cleanser</x:v>
      </x:c>
      <x:c r="I451"/>
      <x:c r="J451" t="str">
        <x:v>Sữa rửa mặt</x:v>
      </x:c>
      <x:c r="K451"/>
      <x:c r="L451" t="str">
        <x:v>Công ty TNHH Sinh Dược Bio</x:v>
      </x:c>
      <x:c r="M451"/>
      <x:c r="N451" t="str">
        <x:v>Công ty TNHH mỹ phẩm Việt Hương</x:v>
      </x:c>
      <x:c r="O451" t="str">
        <x:v>Đình chỉ lưu hành, thu hồi và tiêu hủy – Công văn 1772/QLD-MP</x:v>
      </x:c>
      <x:c r="P451" t="str">
        <x:v>A++ – Cục Quản lý Dược; tổ chức chịu trách nhiệm explicit</x:v>
      </x:c>
      <x:c r="Q451" t="str">
        <x:v>Phụ lục 511 sản phẩm, STT 379, trang 13. Công ty Việt Hương là cơ sở sản xuất; cột tổ chức chịu trách nhiệm lấy nguyên văn từ phụ lục.</x:v>
      </x:c>
      <x:c r="R451" t="str">
        <x:v>https://dav.gov.vn/cong-van-so-1772qld-mp-ve-viec-dinh-chi-luu-hanh-thu-hoi-va-tieu-huy-my-pham-vi-pham-cong-ty-tnhh-my-pham-viet-huong-n5334.html</x:v>
      </x:c>
      <x:c r="S451" t="str">
        <x:v>Hà Nội</x:v>
      </x:c>
      <x:c r="T451" t="str">
        <x:v>01</x:v>
      </x:c>
    </x:row>
    <x:row r="452">
      <x:c r="A452" t="n">
        <x:v>451</x:v>
      </x:c>
      <x:c r="B452" s="330"/>
      <x:c r="C452" s="330" t="n">
        <x:v>46155</x:v>
      </x:c>
      <x:c r="D452" t="n">
        <x:v>2025</x:v>
      </x:c>
      <x:c r="E452"/>
      <x:c r="F452" t="str">
        <x:v>23666/25/CBMP-HN</x:v>
      </x:c>
      <x:c r="G452"/>
      <x:c r="H452" t="str">
        <x:v>Ever young serum</x:v>
      </x:c>
      <x:c r="I452"/>
      <x:c r="J452" t="str">
        <x:v>Serum/Essence da</x:v>
      </x:c>
      <x:c r="K452"/>
      <x:c r="L452" t="str">
        <x:v>Công ty TNHH Sinh Dược Bio</x:v>
      </x:c>
      <x:c r="M452"/>
      <x:c r="N452" t="str">
        <x:v>Công ty TNHH mỹ phẩm Việt Hương</x:v>
      </x:c>
      <x:c r="O452" t="str">
        <x:v>Đình chỉ lưu hành, thu hồi và tiêu hủy – Công văn 1772/QLD-MP</x:v>
      </x:c>
      <x:c r="P452" t="str">
        <x:v>A++ – Cục Quản lý Dược; tổ chức chịu trách nhiệm explicit</x:v>
      </x:c>
      <x:c r="Q452" t="str">
        <x:v>Phụ lục 511 sản phẩm, STT 380, trang 13. Công ty Việt Hương là cơ sở sản xuất; cột tổ chức chịu trách nhiệm lấy nguyên văn từ phụ lục.</x:v>
      </x:c>
      <x:c r="R452" t="str">
        <x:v>https://dav.gov.vn/cong-van-so-1772qld-mp-ve-viec-dinh-chi-luu-hanh-thu-hoi-va-tieu-huy-my-pham-vi-pham-cong-ty-tnhh-my-pham-viet-huong-n5334.html</x:v>
      </x:c>
      <x:c r="S452" t="str">
        <x:v>Hà Nội</x:v>
      </x:c>
      <x:c r="T452" t="str">
        <x:v>01</x:v>
      </x:c>
    </x:row>
    <x:row r="453">
      <x:c r="A453" t="n">
        <x:v>452</x:v>
      </x:c>
      <x:c r="B453" s="330"/>
      <x:c r="C453" s="330" t="n">
        <x:v>46155</x:v>
      </x:c>
      <x:c r="D453" t="n">
        <x:v>2025</x:v>
      </x:c>
      <x:c r="E453"/>
      <x:c r="F453" t="str">
        <x:v>23667/25/CBMP-HN</x:v>
      </x:c>
      <x:c r="G453"/>
      <x:c r="H453" t="str">
        <x:v>NMN cica repair serum</x:v>
      </x:c>
      <x:c r="I453"/>
      <x:c r="J453" t="str">
        <x:v>Serum/Essence da</x:v>
      </x:c>
      <x:c r="K453"/>
      <x:c r="L453" t="str">
        <x:v>Công ty TNHH Sinh Dược Bio</x:v>
      </x:c>
      <x:c r="M453"/>
      <x:c r="N453" t="str">
        <x:v>Công ty TNHH mỹ phẩm Việt Hương</x:v>
      </x:c>
      <x:c r="O453" t="str">
        <x:v>Đình chỉ lưu hành, thu hồi và tiêu hủy – Công văn 1772/QLD-MP</x:v>
      </x:c>
      <x:c r="P453" t="str">
        <x:v>A++ – Cục Quản lý Dược; tổ chức chịu trách nhiệm explicit</x:v>
      </x:c>
      <x:c r="Q453" t="str">
        <x:v>Phụ lục 511 sản phẩm, STT 381, trang 13. Công ty Việt Hương là cơ sở sản xuất; cột tổ chức chịu trách nhiệm lấy nguyên văn từ phụ lục.</x:v>
      </x:c>
      <x:c r="R453" t="str">
        <x:v>https://dav.gov.vn/cong-van-so-1772qld-mp-ve-viec-dinh-chi-luu-hanh-thu-hoi-va-tieu-huy-my-pham-vi-pham-cong-ty-tnhh-my-pham-viet-huong-n5334.html</x:v>
      </x:c>
      <x:c r="S453" t="str">
        <x:v>Hà Nội</x:v>
      </x:c>
      <x:c r="T453" t="str">
        <x:v>01</x:v>
      </x:c>
    </x:row>
    <x:row r="454">
      <x:c r="A454" t="n">
        <x:v>453</x:v>
      </x:c>
      <x:c r="B454" s="330"/>
      <x:c r="C454" s="330" t="n">
        <x:v>46155</x:v>
      </x:c>
      <x:c r="D454" t="n">
        <x:v>2025</x:v>
      </x:c>
      <x:c r="E454"/>
      <x:c r="F454" t="str">
        <x:v>23668/25/CBMP-HN</x:v>
      </x:c>
      <x:c r="G454"/>
      <x:c r="H454" t="str">
        <x:v>Infinity spray toner</x:v>
      </x:c>
      <x:c r="I454"/>
      <x:c r="J454" t="str">
        <x:v>Serum/Essence da</x:v>
      </x:c>
      <x:c r="K454"/>
      <x:c r="L454" t="str">
        <x:v>Công ty TNHH Sinh Dược Bio</x:v>
      </x:c>
      <x:c r="M454"/>
      <x:c r="N454" t="str">
        <x:v>Công ty TNHH mỹ phẩm Việt Hương</x:v>
      </x:c>
      <x:c r="O454" t="str">
        <x:v>Đình chỉ lưu hành, thu hồi và tiêu hủy – Công văn 1772/QLD-MP</x:v>
      </x:c>
      <x:c r="P454" t="str">
        <x:v>A++ – Cục Quản lý Dược; tổ chức chịu trách nhiệm explicit</x:v>
      </x:c>
      <x:c r="Q454" t="str">
        <x:v>Phụ lục 511 sản phẩm, STT 382, trang 13. Công ty Việt Hương là cơ sở sản xuất; cột tổ chức chịu trách nhiệm lấy nguyên văn từ phụ lục.</x:v>
      </x:c>
      <x:c r="R454" t="str">
        <x:v>https://dav.gov.vn/cong-van-so-1772qld-mp-ve-viec-dinh-chi-luu-hanh-thu-hoi-va-tieu-huy-my-pham-vi-pham-cong-ty-tnhh-my-pham-viet-huong-n5334.html</x:v>
      </x:c>
      <x:c r="S454" t="str">
        <x:v>Hà Nội</x:v>
      </x:c>
      <x:c r="T454" t="str">
        <x:v>01</x:v>
      </x:c>
    </x:row>
    <x:row r="455">
      <x:c r="A455" t="n">
        <x:v>454</x:v>
      </x:c>
      <x:c r="B455" s="330"/>
      <x:c r="C455" s="330" t="n">
        <x:v>46155</x:v>
      </x:c>
      <x:c r="D455" t="n">
        <x:v>2025</x:v>
      </x:c>
      <x:c r="E455"/>
      <x:c r="F455" t="str">
        <x:v>24078/25/CBMP-HN</x:v>
      </x:c>
      <x:c r="G455"/>
      <x:c r="H455" t="str">
        <x:v>Coolrevine toner</x:v>
      </x:c>
      <x:c r="I455"/>
      <x:c r="J455" t="str">
        <x:v>Serum/Essence da</x:v>
      </x:c>
      <x:c r="K455"/>
      <x:c r="L455" t="str">
        <x:v>Công ty TNHH Sinh Dược Bio</x:v>
      </x:c>
      <x:c r="M455"/>
      <x:c r="N455" t="str">
        <x:v>Công ty TNHH mỹ phẩm Việt Hương</x:v>
      </x:c>
      <x:c r="O455" t="str">
        <x:v>Đình chỉ lưu hành, thu hồi và tiêu hủy – Công văn 1772/QLD-MP</x:v>
      </x:c>
      <x:c r="P455" t="str">
        <x:v>A++ – Cục Quản lý Dược; tổ chức chịu trách nhiệm explicit</x:v>
      </x:c>
      <x:c r="Q455" t="str">
        <x:v>Phụ lục 511 sản phẩm, STT 383, trang 13. Công ty Việt Hương là cơ sở sản xuất; cột tổ chức chịu trách nhiệm lấy nguyên văn từ phụ lục.</x:v>
      </x:c>
      <x:c r="R455" t="str">
        <x:v>https://dav.gov.vn/cong-van-so-1772qld-mp-ve-viec-dinh-chi-luu-hanh-thu-hoi-va-tieu-huy-my-pham-vi-pham-cong-ty-tnhh-my-pham-viet-huong-n5334.html</x:v>
      </x:c>
      <x:c r="S455" t="str">
        <x:v>Hà Nội</x:v>
      </x:c>
      <x:c r="T455" t="str">
        <x:v>01</x:v>
      </x:c>
    </x:row>
    <x:row r="456">
      <x:c r="A456" t="n">
        <x:v>455</x:v>
      </x:c>
      <x:c r="B456" s="330"/>
      <x:c r="C456" s="330" t="n">
        <x:v>46155</x:v>
      </x:c>
      <x:c r="D456" t="n">
        <x:v>2025</x:v>
      </x:c>
      <x:c r="E456"/>
      <x:c r="F456" t="str">
        <x:v>24079/25/CBMP-HN</x:v>
      </x:c>
      <x:c r="G456"/>
      <x:c r="H456" t="str">
        <x:v>The centella serum</x:v>
      </x:c>
      <x:c r="I456"/>
      <x:c r="J456" t="str">
        <x:v>Serum/Essence da</x:v>
      </x:c>
      <x:c r="K456"/>
      <x:c r="L456" t="str">
        <x:v>Công ty TNHH Sinh Dược Bio</x:v>
      </x:c>
      <x:c r="M456"/>
      <x:c r="N456" t="str">
        <x:v>Công ty TNHH mỹ phẩm Việt Hương</x:v>
      </x:c>
      <x:c r="O456" t="str">
        <x:v>Đình chỉ lưu hành, thu hồi và tiêu hủy – Công văn 1772/QLD-MP</x:v>
      </x:c>
      <x:c r="P456" t="str">
        <x:v>A++ – Cục Quản lý Dược; tổ chức chịu trách nhiệm explicit</x:v>
      </x:c>
      <x:c r="Q456" t="str">
        <x:v>Phụ lục 511 sản phẩm, STT 384, trang 13. Công ty Việt Hương là cơ sở sản xuất; cột tổ chức chịu trách nhiệm lấy nguyên văn từ phụ lục.</x:v>
      </x:c>
      <x:c r="R456" t="str">
        <x:v>https://dav.gov.vn/cong-van-so-1772qld-mp-ve-viec-dinh-chi-luu-hanh-thu-hoi-va-tieu-huy-my-pham-vi-pham-cong-ty-tnhh-my-pham-viet-huong-n5334.html</x:v>
      </x:c>
      <x:c r="S456" t="str">
        <x:v>Hà Nội</x:v>
      </x:c>
      <x:c r="T456" t="str">
        <x:v>01</x:v>
      </x:c>
    </x:row>
    <x:row r="457">
      <x:c r="A457" t="n">
        <x:v>456</x:v>
      </x:c>
      <x:c r="B457" s="330"/>
      <x:c r="C457" s="330" t="n">
        <x:v>46155</x:v>
      </x:c>
      <x:c r="D457" t="n">
        <x:v>2025</x:v>
      </x:c>
      <x:c r="E457"/>
      <x:c r="F457" t="str">
        <x:v>24080/25/CBMP-HN</x:v>
      </x:c>
      <x:c r="G457"/>
      <x:c r="H457" t="str">
        <x:v>The Centella toner</x:v>
      </x:c>
      <x:c r="I457"/>
      <x:c r="J457" t="str">
        <x:v>Serum/Essence da</x:v>
      </x:c>
      <x:c r="K457"/>
      <x:c r="L457" t="str">
        <x:v>Công ty TNHH Sinh Dược Bio</x:v>
      </x:c>
      <x:c r="M457"/>
      <x:c r="N457" t="str">
        <x:v>Công ty TNHH mỹ phẩm Việt Hương</x:v>
      </x:c>
      <x:c r="O457" t="str">
        <x:v>Đình chỉ lưu hành, thu hồi và tiêu hủy – Công văn 1772/QLD-MP</x:v>
      </x:c>
      <x:c r="P457" t="str">
        <x:v>A++ – Cục Quản lý Dược; tổ chức chịu trách nhiệm explicit</x:v>
      </x:c>
      <x:c r="Q457" t="str">
        <x:v>Phụ lục 511 sản phẩm, STT 385, trang 13. Công ty Việt Hương là cơ sở sản xuất; cột tổ chức chịu trách nhiệm lấy nguyên văn từ phụ lục.</x:v>
      </x:c>
      <x:c r="R457" t="str">
        <x:v>https://dav.gov.vn/cong-van-so-1772qld-mp-ve-viec-dinh-chi-luu-hanh-thu-hoi-va-tieu-huy-my-pham-vi-pham-cong-ty-tnhh-my-pham-viet-huong-n5334.html</x:v>
      </x:c>
      <x:c r="S457" t="str">
        <x:v>Hà Nội</x:v>
      </x:c>
      <x:c r="T457" t="str">
        <x:v>01</x:v>
      </x:c>
    </x:row>
    <x:row r="458">
      <x:c r="A458" t="n">
        <x:v>457</x:v>
      </x:c>
      <x:c r="B458" s="330"/>
      <x:c r="C458" s="330" t="n">
        <x:v>46155</x:v>
      </x:c>
      <x:c r="D458" t="n">
        <x:v>2025</x:v>
      </x:c>
      <x:c r="E458"/>
      <x:c r="F458" t="str">
        <x:v>24480/25/CBMP-HN</x:v>
      </x:c>
      <x:c r="G458"/>
      <x:c r="H458" t="str">
        <x:v>Brightening cream</x:v>
      </x:c>
      <x:c r="I458"/>
      <x:c r="J458" t="str">
        <x:v>Kem dưỡng da</x:v>
      </x:c>
      <x:c r="K458"/>
      <x:c r="L458" t="str">
        <x:v>Công ty TNHH Sinh Dược Bio</x:v>
      </x:c>
      <x:c r="M458"/>
      <x:c r="N458" t="str">
        <x:v>Công ty TNHH mỹ phẩm Việt Hương</x:v>
      </x:c>
      <x:c r="O458" t="str">
        <x:v>Đình chỉ lưu hành, thu hồi và tiêu hủy – Công văn 1772/QLD-MP</x:v>
      </x:c>
      <x:c r="P458" t="str">
        <x:v>A++ – Cục Quản lý Dược; tổ chức chịu trách nhiệm explicit</x:v>
      </x:c>
      <x:c r="Q458" t="str">
        <x:v>Phụ lục 511 sản phẩm, STT 386, trang 13. Công ty Việt Hương là cơ sở sản xuất; cột tổ chức chịu trách nhiệm lấy nguyên văn từ phụ lục.</x:v>
      </x:c>
      <x:c r="R458" t="str">
        <x:v>https://dav.gov.vn/cong-van-so-1772qld-mp-ve-viec-dinh-chi-luu-hanh-thu-hoi-va-tieu-huy-my-pham-vi-pham-cong-ty-tnhh-my-pham-viet-huong-n5334.html</x:v>
      </x:c>
      <x:c r="S458" t="str">
        <x:v>Hà Nội</x:v>
      </x:c>
      <x:c r="T458" t="str">
        <x:v>01</x:v>
      </x:c>
    </x:row>
    <x:row r="459">
      <x:c r="A459" t="n">
        <x:v>458</x:v>
      </x:c>
      <x:c r="B459" s="330"/>
      <x:c r="C459" s="330" t="n">
        <x:v>46155</x:v>
      </x:c>
      <x:c r="D459" t="n">
        <x:v>2025</x:v>
      </x:c>
      <x:c r="E459"/>
      <x:c r="F459" t="str">
        <x:v>25053/25/CBMP-HN</x:v>
      </x:c>
      <x:c r="G459"/>
      <x:c r="H459" t="str">
        <x:v>Spot white essence GLB</x:v>
      </x:c>
      <x:c r="I459"/>
      <x:c r="J459" t="str">
        <x:v>Serum/Essence da</x:v>
      </x:c>
      <x:c r="K459"/>
      <x:c r="L459" t="str">
        <x:v>Công ty TNHH Sinh Dược Bio</x:v>
      </x:c>
      <x:c r="M459"/>
      <x:c r="N459" t="str">
        <x:v>Công ty TNHH mỹ phẩm Việt Hương</x:v>
      </x:c>
      <x:c r="O459" t="str">
        <x:v>Đình chỉ lưu hành, thu hồi và tiêu hủy – Công văn 1772/QLD-MP</x:v>
      </x:c>
      <x:c r="P459" t="str">
        <x:v>A++ – Cục Quản lý Dược; tổ chức chịu trách nhiệm explicit</x:v>
      </x:c>
      <x:c r="Q459" t="str">
        <x:v>Phụ lục 511 sản phẩm, STT 387, trang 13. Công ty Việt Hương là cơ sở sản xuất; cột tổ chức chịu trách nhiệm lấy nguyên văn từ phụ lục.</x:v>
      </x:c>
      <x:c r="R459" t="str">
        <x:v>https://dav.gov.vn/cong-van-so-1772qld-mp-ve-viec-dinh-chi-luu-hanh-thu-hoi-va-tieu-huy-my-pham-vi-pham-cong-ty-tnhh-my-pham-viet-huong-n5334.html</x:v>
      </x:c>
      <x:c r="S459" t="str">
        <x:v>Hà Nội</x:v>
      </x:c>
      <x:c r="T459" t="str">
        <x:v>01</x:v>
      </x:c>
    </x:row>
    <x:row r="460">
      <x:c r="A460" t="n">
        <x:v>459</x:v>
      </x:c>
      <x:c r="B460" s="330"/>
      <x:c r="C460" s="330" t="n">
        <x:v>46155</x:v>
      </x:c>
      <x:c r="D460" t="n">
        <x:v>2025</x:v>
      </x:c>
      <x:c r="E460"/>
      <x:c r="F460" t="str">
        <x:v>25054/25/CBMP-HN</x:v>
      </x:c>
      <x:c r="G460"/>
      <x:c r="H460" t="str">
        <x:v>Rose whisper</x:v>
      </x:c>
      <x:c r="I460"/>
      <x:c r="J460" t="str">
        <x:v>Khác</x:v>
      </x:c>
      <x:c r="K460"/>
      <x:c r="L460" t="str">
        <x:v>Công ty TNHH Sinh Dược Bio</x:v>
      </x:c>
      <x:c r="M460"/>
      <x:c r="N460" t="str">
        <x:v>Công ty TNHH mỹ phẩm Việt Hương</x:v>
      </x:c>
      <x:c r="O460" t="str">
        <x:v>Đình chỉ lưu hành, thu hồi và tiêu hủy – Công văn 1772/QLD-MP</x:v>
      </x:c>
      <x:c r="P460" t="str">
        <x:v>A++ – Cục Quản lý Dược; tổ chức chịu trách nhiệm explicit</x:v>
      </x:c>
      <x:c r="Q460" t="str">
        <x:v>Phụ lục 511 sản phẩm, STT 388, trang 13. Công ty Việt Hương là cơ sở sản xuất; cột tổ chức chịu trách nhiệm lấy nguyên văn từ phụ lục.</x:v>
      </x:c>
      <x:c r="R460" t="str">
        <x:v>https://dav.gov.vn/cong-van-so-1772qld-mp-ve-viec-dinh-chi-luu-hanh-thu-hoi-va-tieu-huy-my-pham-vi-pham-cong-ty-tnhh-my-pham-viet-huong-n5334.html</x:v>
      </x:c>
      <x:c r="S460" t="str">
        <x:v>Hà Nội</x:v>
      </x:c>
      <x:c r="T460" t="str">
        <x:v>01</x:v>
      </x:c>
    </x:row>
    <x:row r="461">
      <x:c r="A461" t="n">
        <x:v>460</x:v>
      </x:c>
      <x:c r="B461" s="330"/>
      <x:c r="C461" s="330" t="n">
        <x:v>46155</x:v>
      </x:c>
      <x:c r="D461" t="n">
        <x:v>2025</x:v>
      </x:c>
      <x:c r="E461"/>
      <x:c r="F461" t="str">
        <x:v>25055/25/CBMP-HN</x:v>
      </x:c>
      <x:c r="G461"/>
      <x:c r="H461" t="str">
        <x:v>Aura chic</x:v>
      </x:c>
      <x:c r="I461"/>
      <x:c r="J461" t="str">
        <x:v>Khác</x:v>
      </x:c>
      <x:c r="K461"/>
      <x:c r="L461" t="str">
        <x:v>Công ty TNHH Sinh Dược Bio</x:v>
      </x:c>
      <x:c r="M461"/>
      <x:c r="N461" t="str">
        <x:v>Công ty TNHH mỹ phẩm Việt Hương</x:v>
      </x:c>
      <x:c r="O461" t="str">
        <x:v>Đình chỉ lưu hành, thu hồi và tiêu hủy – Công văn 1772/QLD-MP</x:v>
      </x:c>
      <x:c r="P461" t="str">
        <x:v>A++ – Cục Quản lý Dược; tổ chức chịu trách nhiệm explicit</x:v>
      </x:c>
      <x:c r="Q461" t="str">
        <x:v>Phụ lục 511 sản phẩm, STT 389, trang 13. Công ty Việt Hương là cơ sở sản xuất; cột tổ chức chịu trách nhiệm lấy nguyên văn từ phụ lục.</x:v>
      </x:c>
      <x:c r="R461" t="str">
        <x:v>https://dav.gov.vn/cong-van-so-1772qld-mp-ve-viec-dinh-chi-luu-hanh-thu-hoi-va-tieu-huy-my-pham-vi-pham-cong-ty-tnhh-my-pham-viet-huong-n5334.html</x:v>
      </x:c>
      <x:c r="S461" t="str">
        <x:v>Hà Nội</x:v>
      </x:c>
      <x:c r="T461" t="str">
        <x:v>01</x:v>
      </x:c>
    </x:row>
    <x:row r="462">
      <x:c r="A462" t="n">
        <x:v>461</x:v>
      </x:c>
      <x:c r="B462" s="330"/>
      <x:c r="C462" s="330" t="n">
        <x:v>46155</x:v>
      </x:c>
      <x:c r="D462" t="n">
        <x:v>2025</x:v>
      </x:c>
      <x:c r="E462"/>
      <x:c r="F462" t="str">
        <x:v>25056/25/CBMP-HN</x:v>
      </x:c>
      <x:c r="G462"/>
      <x:c r="H462" t="str">
        <x:v>Daring Siren</x:v>
      </x:c>
      <x:c r="I462"/>
      <x:c r="J462" t="str">
        <x:v>Khác</x:v>
      </x:c>
      <x:c r="K462"/>
      <x:c r="L462" t="str">
        <x:v>Công ty TNHH Sinh Dược Bio</x:v>
      </x:c>
      <x:c r="M462"/>
      <x:c r="N462" t="str">
        <x:v>Công ty TNHH mỹ phẩm Việt Hương</x:v>
      </x:c>
      <x:c r="O462" t="str">
        <x:v>Đình chỉ lưu hành, thu hồi và tiêu hủy – Công văn 1772/QLD-MP</x:v>
      </x:c>
      <x:c r="P462" t="str">
        <x:v>A++ – Cục Quản lý Dược; tổ chức chịu trách nhiệm explicit</x:v>
      </x:c>
      <x:c r="Q462" t="str">
        <x:v>Phụ lục 511 sản phẩm, STT 390, trang 13. Công ty Việt Hương là cơ sở sản xuất; cột tổ chức chịu trách nhiệm lấy nguyên văn từ phụ lục.</x:v>
      </x:c>
      <x:c r="R462" t="str">
        <x:v>https://dav.gov.vn/cong-van-so-1772qld-mp-ve-viec-dinh-chi-luu-hanh-thu-hoi-va-tieu-huy-my-pham-vi-pham-cong-ty-tnhh-my-pham-viet-huong-n5334.html</x:v>
      </x:c>
      <x:c r="S462" t="str">
        <x:v>Hà Nội</x:v>
      </x:c>
      <x:c r="T462" t="str">
        <x:v>01</x:v>
      </x:c>
    </x:row>
    <x:row r="463">
      <x:c r="A463" t="n">
        <x:v>462</x:v>
      </x:c>
      <x:c r="B463" s="330"/>
      <x:c r="C463" s="330" t="n">
        <x:v>46155</x:v>
      </x:c>
      <x:c r="D463" t="n">
        <x:v>2025</x:v>
      </x:c>
      <x:c r="E463"/>
      <x:c r="F463" t="str">
        <x:v>25057/25/CBMP-HN</x:v>
      </x:c>
      <x:c r="G463"/>
      <x:c r="H463" t="str">
        <x:v>Refreshacne toner GLB</x:v>
      </x:c>
      <x:c r="I463"/>
      <x:c r="J463" t="str">
        <x:v>Serum/Essence da</x:v>
      </x:c>
      <x:c r="K463"/>
      <x:c r="L463" t="str">
        <x:v>Công ty TNHH Sinh Dược Bio</x:v>
      </x:c>
      <x:c r="M463"/>
      <x:c r="N463" t="str">
        <x:v>Công ty TNHH mỹ phẩm Việt Hương</x:v>
      </x:c>
      <x:c r="O463" t="str">
        <x:v>Đình chỉ lưu hành, thu hồi và tiêu hủy – Công văn 1772/QLD-MP</x:v>
      </x:c>
      <x:c r="P463" t="str">
        <x:v>A++ – Cục Quản lý Dược; tổ chức chịu trách nhiệm explicit</x:v>
      </x:c>
      <x:c r="Q463" t="str">
        <x:v>Phụ lục 511 sản phẩm, STT 391, trang 13. Công ty Việt Hương là cơ sở sản xuất; cột tổ chức chịu trách nhiệm lấy nguyên văn từ phụ lục.</x:v>
      </x:c>
      <x:c r="R463" t="str">
        <x:v>https://dav.gov.vn/cong-van-so-1772qld-mp-ve-viec-dinh-chi-luu-hanh-thu-hoi-va-tieu-huy-my-pham-vi-pham-cong-ty-tnhh-my-pham-viet-huong-n5334.html</x:v>
      </x:c>
      <x:c r="S463" t="str">
        <x:v>Hà Nội</x:v>
      </x:c>
      <x:c r="T463" t="str">
        <x:v>01</x:v>
      </x:c>
    </x:row>
    <x:row r="464">
      <x:c r="A464" t="n">
        <x:v>463</x:v>
      </x:c>
      <x:c r="B464" s="330"/>
      <x:c r="C464" s="330" t="n">
        <x:v>46155</x:v>
      </x:c>
      <x:c r="D464" t="n">
        <x:v>2025</x:v>
      </x:c>
      <x:c r="E464"/>
      <x:c r="F464" t="str">
        <x:v>25058/25/CBMP-HN</x:v>
      </x:c>
      <x:c r="G464"/>
      <x:c r="H464" t="str">
        <x:v>Mildrelief cleanser GLB</x:v>
      </x:c>
      <x:c r="I464"/>
      <x:c r="J464" t="str">
        <x:v>Sữa rửa mặt</x:v>
      </x:c>
      <x:c r="K464"/>
      <x:c r="L464" t="str">
        <x:v>Công ty TNHH Sinh Dược Bio</x:v>
      </x:c>
      <x:c r="M464"/>
      <x:c r="N464" t="str">
        <x:v>Công ty TNHH mỹ phẩm Việt Hương</x:v>
      </x:c>
      <x:c r="O464" t="str">
        <x:v>Đình chỉ lưu hành, thu hồi và tiêu hủy – Công văn 1772/QLD-MP</x:v>
      </x:c>
      <x:c r="P464" t="str">
        <x:v>A++ – Cục Quản lý Dược; tổ chức chịu trách nhiệm explicit</x:v>
      </x:c>
      <x:c r="Q464" t="str">
        <x:v>Phụ lục 511 sản phẩm, STT 392, trang 13. Công ty Việt Hương là cơ sở sản xuất; cột tổ chức chịu trách nhiệm lấy nguyên văn từ phụ lục.</x:v>
      </x:c>
      <x:c r="R464" t="str">
        <x:v>https://dav.gov.vn/cong-van-so-1772qld-mp-ve-viec-dinh-chi-luu-hanh-thu-hoi-va-tieu-huy-my-pham-vi-pham-cong-ty-tnhh-my-pham-viet-huong-n5334.html</x:v>
      </x:c>
      <x:c r="S464" t="str">
        <x:v>Hà Nội</x:v>
      </x:c>
      <x:c r="T464" t="str">
        <x:v>01</x:v>
      </x:c>
    </x:row>
    <x:row r="465">
      <x:c r="A465" t="n">
        <x:v>464</x:v>
      </x:c>
      <x:c r="B465" s="330"/>
      <x:c r="C465" s="330" t="n">
        <x:v>46155</x:v>
      </x:c>
      <x:c r="D465" t="n">
        <x:v>2025</x:v>
      </x:c>
      <x:c r="E465"/>
      <x:c r="F465" t="str">
        <x:v>25059/25/CBMP-HN</x:v>
      </x:c>
      <x:c r="G465"/>
      <x:c r="H465" t="str">
        <x:v>Triki plus GLB</x:v>
      </x:c>
      <x:c r="I465"/>
      <x:c r="J465" t="str">
        <x:v>Khác</x:v>
      </x:c>
      <x:c r="K465"/>
      <x:c r="L465" t="str">
        <x:v>Công ty TNHH Sinh Dược Bio</x:v>
      </x:c>
      <x:c r="M465"/>
      <x:c r="N465" t="str">
        <x:v>Công ty TNHH mỹ phẩm Việt Hương</x:v>
      </x:c>
      <x:c r="O465" t="str">
        <x:v>Đình chỉ lưu hành, thu hồi và tiêu hủy – Công văn 1772/QLD-MP</x:v>
      </x:c>
      <x:c r="P465" t="str">
        <x:v>A++ – Cục Quản lý Dược; tổ chức chịu trách nhiệm explicit</x:v>
      </x:c>
      <x:c r="Q465" t="str">
        <x:v>Phụ lục 511 sản phẩm, STT 393, trang 13. Công ty Việt Hương là cơ sở sản xuất; cột tổ chức chịu trách nhiệm lấy nguyên văn từ phụ lục.</x:v>
      </x:c>
      <x:c r="R465" t="str">
        <x:v>https://dav.gov.vn/cong-van-so-1772qld-mp-ve-viec-dinh-chi-luu-hanh-thu-hoi-va-tieu-huy-my-pham-vi-pham-cong-ty-tnhh-my-pham-viet-huong-n5334.html</x:v>
      </x:c>
      <x:c r="S465" t="str">
        <x:v>Hà Nội</x:v>
      </x:c>
      <x:c r="T465" t="str">
        <x:v>01</x:v>
      </x:c>
    </x:row>
    <x:row r="466">
      <x:c r="A466" t="n">
        <x:v>465</x:v>
      </x:c>
      <x:c r="B466" s="330"/>
      <x:c r="C466" s="330" t="n">
        <x:v>46155</x:v>
      </x:c>
      <x:c r="D466" t="n">
        <x:v>2025</x:v>
      </x:c>
      <x:c r="E466"/>
      <x:c r="F466" t="str">
        <x:v>25060/25/CBMP-HN</x:v>
      </x:c>
      <x:c r="G466"/>
      <x:c r="H466" t="str">
        <x:v>Infinity spray toner GLB</x:v>
      </x:c>
      <x:c r="I466"/>
      <x:c r="J466" t="str">
        <x:v>Serum/Essence da</x:v>
      </x:c>
      <x:c r="K466"/>
      <x:c r="L466" t="str">
        <x:v>Công ty TNHH Sinh Dược Bio</x:v>
      </x:c>
      <x:c r="M466"/>
      <x:c r="N466" t="str">
        <x:v>Công ty TNHH mỹ phẩm Việt Hương</x:v>
      </x:c>
      <x:c r="O466" t="str">
        <x:v>Đình chỉ lưu hành, thu hồi và tiêu hủy – Công văn 1772/QLD-MP</x:v>
      </x:c>
      <x:c r="P466" t="str">
        <x:v>A++ – Cục Quản lý Dược; tổ chức chịu trách nhiệm explicit</x:v>
      </x:c>
      <x:c r="Q466" t="str">
        <x:v>Phụ lục 511 sản phẩm, STT 394, trang 13. Công ty Việt Hương là cơ sở sản xuất; cột tổ chức chịu trách nhiệm lấy nguyên văn từ phụ lục.</x:v>
      </x:c>
      <x:c r="R466" t="str">
        <x:v>https://dav.gov.vn/cong-van-so-1772qld-mp-ve-viec-dinh-chi-luu-hanh-thu-hoi-va-tieu-huy-my-pham-vi-pham-cong-ty-tnhh-my-pham-viet-huong-n5334.html</x:v>
      </x:c>
      <x:c r="S466" t="str">
        <x:v>Hà Nội</x:v>
      </x:c>
      <x:c r="T466" t="str">
        <x:v>01</x:v>
      </x:c>
    </x:row>
    <x:row r="467">
      <x:c r="A467" t="n">
        <x:v>466</x:v>
      </x:c>
      <x:c r="B467" s="330"/>
      <x:c r="C467" s="330" t="n">
        <x:v>46155</x:v>
      </x:c>
      <x:c r="D467" t="n">
        <x:v>2025</x:v>
      </x:c>
      <x:c r="E467"/>
      <x:c r="F467" t="str">
        <x:v>25061/25/CBMP-HN</x:v>
      </x:c>
      <x:c r="G467"/>
      <x:c r="H467" t="str">
        <x:v>Cicamax refine serum GLB</x:v>
      </x:c>
      <x:c r="I467"/>
      <x:c r="J467" t="str">
        <x:v>Serum/Essence da</x:v>
      </x:c>
      <x:c r="K467"/>
      <x:c r="L467" t="str">
        <x:v>Công ty TNHH Sinh Dược Bio</x:v>
      </x:c>
      <x:c r="M467"/>
      <x:c r="N467" t="str">
        <x:v>Công ty TNHH mỹ phẩm Việt Hương</x:v>
      </x:c>
      <x:c r="O467" t="str">
        <x:v>Đình chỉ lưu hành, thu hồi và tiêu hủy – Công văn 1772/QLD-MP</x:v>
      </x:c>
      <x:c r="P467" t="str">
        <x:v>A++ – Cục Quản lý Dược; tổ chức chịu trách nhiệm explicit</x:v>
      </x:c>
      <x:c r="Q467" t="str">
        <x:v>Phụ lục 511 sản phẩm, STT 395, trang 13. Công ty Việt Hương là cơ sở sản xuất; cột tổ chức chịu trách nhiệm lấy nguyên văn từ phụ lục.</x:v>
      </x:c>
      <x:c r="R467" t="str">
        <x:v>https://dav.gov.vn/cong-van-so-1772qld-mp-ve-viec-dinh-chi-luu-hanh-thu-hoi-va-tieu-huy-my-pham-vi-pham-cong-ty-tnhh-my-pham-viet-huong-n5334.html</x:v>
      </x:c>
      <x:c r="S467" t="str">
        <x:v>Hà Nội</x:v>
      </x:c>
      <x:c r="T467" t="str">
        <x:v>01</x:v>
      </x:c>
    </x:row>
    <x:row r="468">
      <x:c r="A468" t="n">
        <x:v>467</x:v>
      </x:c>
      <x:c r="B468" s="330"/>
      <x:c r="C468" s="330" t="n">
        <x:v>46155</x:v>
      </x:c>
      <x:c r="D468" t="n">
        <x:v>2025</x:v>
      </x:c>
      <x:c r="E468"/>
      <x:c r="F468" t="str">
        <x:v>25062/25/CBMP-HN</x:v>
      </x:c>
      <x:c r="G468"/>
      <x:c r="H468" t="str">
        <x:v>Deepclean oil cleanser GLB</x:v>
      </x:c>
      <x:c r="I468"/>
      <x:c r="J468" t="str">
        <x:v>Sữa rửa mặt</x:v>
      </x:c>
      <x:c r="K468"/>
      <x:c r="L468" t="str">
        <x:v>Công ty TNHH Sinh Dược Bio</x:v>
      </x:c>
      <x:c r="M468"/>
      <x:c r="N468" t="str">
        <x:v>Công ty TNHH mỹ phẩm Việt Hương</x:v>
      </x:c>
      <x:c r="O468" t="str">
        <x:v>Đình chỉ lưu hành, thu hồi và tiêu hủy – Công văn 1772/QLD-MP</x:v>
      </x:c>
      <x:c r="P468" t="str">
        <x:v>A++ – Cục Quản lý Dược; tổ chức chịu trách nhiệm explicit</x:v>
      </x:c>
      <x:c r="Q468" t="str">
        <x:v>Phụ lục 511 sản phẩm, STT 396, trang 13. Công ty Việt Hương là cơ sở sản xuất; cột tổ chức chịu trách nhiệm lấy nguyên văn từ phụ lục.</x:v>
      </x:c>
      <x:c r="R468" t="str">
        <x:v>https://dav.gov.vn/cong-van-so-1772qld-mp-ve-viec-dinh-chi-luu-hanh-thu-hoi-va-tieu-huy-my-pham-vi-pham-cong-ty-tnhh-my-pham-viet-huong-n5334.html</x:v>
      </x:c>
      <x:c r="S468" t="str">
        <x:v>Hà Nội</x:v>
      </x:c>
      <x:c r="T468" t="str">
        <x:v>01</x:v>
      </x:c>
    </x:row>
    <x:row r="469">
      <x:c r="A469" t="n">
        <x:v>468</x:v>
      </x:c>
      <x:c r="B469" s="330"/>
      <x:c r="C469" s="330" t="n">
        <x:v>46155</x:v>
      </x:c>
      <x:c r="D469" t="n">
        <x:v>2025</x:v>
      </x:c>
      <x:c r="E469"/>
      <x:c r="F469" t="str">
        <x:v>25077/25/CBMP-HN</x:v>
      </x:c>
      <x:c r="G469"/>
      <x:c r="H469" t="str">
        <x:v>Mildrelief makeup remover GLB</x:v>
      </x:c>
      <x:c r="I469"/>
      <x:c r="J469" t="str">
        <x:v>Tẩy trang</x:v>
      </x:c>
      <x:c r="K469"/>
      <x:c r="L469" t="str">
        <x:v>Công ty TNHH Sinh Dược Bio</x:v>
      </x:c>
      <x:c r="M469"/>
      <x:c r="N469" t="str">
        <x:v>Công ty TNHH mỹ phẩm Việt Hương</x:v>
      </x:c>
      <x:c r="O469" t="str">
        <x:v>Đình chỉ lưu hành, thu hồi và tiêu hủy – Công văn 1772/QLD-MP</x:v>
      </x:c>
      <x:c r="P469" t="str">
        <x:v>A++ – Cục Quản lý Dược; tổ chức chịu trách nhiệm explicit</x:v>
      </x:c>
      <x:c r="Q469" t="str">
        <x:v>Phụ lục 511 sản phẩm, STT 397, trang 13. Công ty Việt Hương là cơ sở sản xuất; cột tổ chức chịu trách nhiệm lấy nguyên văn từ phụ lục.</x:v>
      </x:c>
      <x:c r="R469" t="str">
        <x:v>https://dav.gov.vn/cong-van-so-1772qld-mp-ve-viec-dinh-chi-luu-hanh-thu-hoi-va-tieu-huy-my-pham-vi-pham-cong-ty-tnhh-my-pham-viet-huong-n5334.html</x:v>
      </x:c>
      <x:c r="S469" t="str">
        <x:v>Hà Nội</x:v>
      </x:c>
      <x:c r="T469" t="str">
        <x:v>01</x:v>
      </x:c>
    </x:row>
    <x:row r="470">
      <x:c r="A470" t="n">
        <x:v>469</x:v>
      </x:c>
      <x:c r="B470" s="330"/>
      <x:c r="C470" s="330" t="n">
        <x:v>46155</x:v>
      </x:c>
      <x:c r="D470" t="n">
        <x:v>2025</x:v>
      </x:c>
      <x:c r="E470"/>
      <x:c r="F470" t="str">
        <x:v>25161/25/CBMP-HN</x:v>
      </x:c>
      <x:c r="G470"/>
      <x:c r="H470" t="str">
        <x:v>The Cente Lea toner GLB</x:v>
      </x:c>
      <x:c r="I470"/>
      <x:c r="J470" t="str">
        <x:v>Serum/Essence da</x:v>
      </x:c>
      <x:c r="K470"/>
      <x:c r="L470" t="str">
        <x:v>Công ty TNHH Sinh Dược Bio</x:v>
      </x:c>
      <x:c r="M470"/>
      <x:c r="N470" t="str">
        <x:v>Công ty TNHH mỹ phẩm Việt Hương</x:v>
      </x:c>
      <x:c r="O470" t="str">
        <x:v>Đình chỉ lưu hành, thu hồi và tiêu hủy – Công văn 1772/QLD-MP</x:v>
      </x:c>
      <x:c r="P470" t="str">
        <x:v>A++ – Cục Quản lý Dược; tổ chức chịu trách nhiệm explicit</x:v>
      </x:c>
      <x:c r="Q470" t="str">
        <x:v>Phụ lục 511 sản phẩm, STT 398, trang 13. Công ty Việt Hương là cơ sở sản xuất; cột tổ chức chịu trách nhiệm lấy nguyên văn từ phụ lục.</x:v>
      </x:c>
      <x:c r="R470" t="str">
        <x:v>https://dav.gov.vn/cong-van-so-1772qld-mp-ve-viec-dinh-chi-luu-hanh-thu-hoi-va-tieu-huy-my-pham-vi-pham-cong-ty-tnhh-my-pham-viet-huong-n5334.html</x:v>
      </x:c>
      <x:c r="S470" t="str">
        <x:v>Hà Nội</x:v>
      </x:c>
      <x:c r="T470" t="str">
        <x:v>01</x:v>
      </x:c>
    </x:row>
    <x:row r="471">
      <x:c r="A471" t="n">
        <x:v>470</x:v>
      </x:c>
      <x:c r="B471" s="330"/>
      <x:c r="C471" s="330" t="n">
        <x:v>46155</x:v>
      </x:c>
      <x:c r="D471" t="n">
        <x:v>2025</x:v>
      </x:c>
      <x:c r="E471"/>
      <x:c r="F471" t="str">
        <x:v>25162/25/CBMP-HN</x:v>
      </x:c>
      <x:c r="G471"/>
      <x:c r="H471" t="str">
        <x:v>The Cente Lea serum</x:v>
      </x:c>
      <x:c r="I471"/>
      <x:c r="J471" t="str">
        <x:v>Serum/Essence da</x:v>
      </x:c>
      <x:c r="K471"/>
      <x:c r="L471" t="str">
        <x:v>Công ty TNHH Sinh Dược Bio</x:v>
      </x:c>
      <x:c r="M471"/>
      <x:c r="N471" t="str">
        <x:v>Công ty TNHH mỹ phẩm Việt Hương</x:v>
      </x:c>
      <x:c r="O471" t="str">
        <x:v>Đình chỉ lưu hành, thu hồi và tiêu hủy – Công văn 1772/QLD-MP</x:v>
      </x:c>
      <x:c r="P471" t="str">
        <x:v>A++ – Cục Quản lý Dược; tổ chức chịu trách nhiệm explicit</x:v>
      </x:c>
      <x:c r="Q471" t="str">
        <x:v>Phụ lục 511 sản phẩm, STT 399, trang 13. Công ty Việt Hương là cơ sở sản xuất; cột tổ chức chịu trách nhiệm lấy nguyên văn từ phụ lục.</x:v>
      </x:c>
      <x:c r="R471" t="str">
        <x:v>https://dav.gov.vn/cong-van-so-1772qld-mp-ve-viec-dinh-chi-luu-hanh-thu-hoi-va-tieu-huy-my-pham-vi-pham-cong-ty-tnhh-my-pham-viet-huong-n5334.html</x:v>
      </x:c>
      <x:c r="S471" t="str">
        <x:v>Hà Nội</x:v>
      </x:c>
      <x:c r="T471" t="str">
        <x:v>01</x:v>
      </x:c>
    </x:row>
    <x:row r="472">
      <x:c r="A472" t="n">
        <x:v>471</x:v>
      </x:c>
      <x:c r="B472" s="330"/>
      <x:c r="C472" s="330" t="n">
        <x:v>46155</x:v>
      </x:c>
      <x:c r="D472" t="n">
        <x:v>2025</x:v>
      </x:c>
      <x:c r="E472"/>
      <x:c r="F472" t="str">
        <x:v>24562/25/CBMP-HN</x:v>
      </x:c>
      <x:c r="G472"/>
      <x:c r="H472" t="str">
        <x:v>Spot White Essence</x:v>
      </x:c>
      <x:c r="I472"/>
      <x:c r="J472" t="str">
        <x:v>Serum/Essence da</x:v>
      </x:c>
      <x:c r="K472"/>
      <x:c r="L472" t="str">
        <x:v>Công ty TNHH Sinh Dược Bio</x:v>
      </x:c>
      <x:c r="M472"/>
      <x:c r="N472" t="str">
        <x:v>Công ty TNHH mỹ phẩm Việt Hương</x:v>
      </x:c>
      <x:c r="O472" t="str">
        <x:v>Đình chỉ lưu hành, thu hồi và tiêu hủy – Công văn 1772/QLD-MP</x:v>
      </x:c>
      <x:c r="P472" t="str">
        <x:v>A++ – Cục Quản lý Dược; tổ chức chịu trách nhiệm explicit</x:v>
      </x:c>
      <x:c r="Q472" t="str">
        <x:v>Phụ lục 511 sản phẩm, STT 400, trang 13. Công ty Việt Hương là cơ sở sản xuất; cột tổ chức chịu trách nhiệm lấy nguyên văn từ phụ lục.</x:v>
      </x:c>
      <x:c r="R472" t="str">
        <x:v>https://dav.gov.vn/cong-van-so-1772qld-mp-ve-viec-dinh-chi-luu-hanh-thu-hoi-va-tieu-huy-my-pham-vi-pham-cong-ty-tnhh-my-pham-viet-huong-n5334.html</x:v>
      </x:c>
      <x:c r="S472" t="str">
        <x:v>Hà Nội</x:v>
      </x:c>
      <x:c r="T472" t="str">
        <x:v>01</x:v>
      </x:c>
    </x:row>
    <x:row r="473">
      <x:c r="A473" t="n">
        <x:v>472</x:v>
      </x:c>
      <x:c r="B473" s="330"/>
      <x:c r="C473" s="330" t="n">
        <x:v>46155</x:v>
      </x:c>
      <x:c r="D473" t="n">
        <x:v>2025</x:v>
      </x:c>
      <x:c r="E473"/>
      <x:c r="F473" t="str">
        <x:v>24563/25/CBMP-HN</x:v>
      </x:c>
      <x:c r="G473"/>
      <x:c r="H473" t="str">
        <x:v>Cicamax Refine Serum</x:v>
      </x:c>
      <x:c r="I473"/>
      <x:c r="J473" t="str">
        <x:v>Serum/Essence da</x:v>
      </x:c>
      <x:c r="K473"/>
      <x:c r="L473" t="str">
        <x:v>Công ty TNHH Sinh Dược Bio</x:v>
      </x:c>
      <x:c r="M473"/>
      <x:c r="N473" t="str">
        <x:v>Công ty TNHH mỹ phẩm Việt Hương</x:v>
      </x:c>
      <x:c r="O473" t="str">
        <x:v>Đình chỉ lưu hành, thu hồi và tiêu hủy – Công văn 1772/QLD-MP</x:v>
      </x:c>
      <x:c r="P473" t="str">
        <x:v>A++ – Cục Quản lý Dược; tổ chức chịu trách nhiệm explicit</x:v>
      </x:c>
      <x:c r="Q473" t="str">
        <x:v>Phụ lục 511 sản phẩm, STT 401, trang 13. Công ty Việt Hương là cơ sở sản xuất; cột tổ chức chịu trách nhiệm lấy nguyên văn từ phụ lục.</x:v>
      </x:c>
      <x:c r="R473" t="str">
        <x:v>https://dav.gov.vn/cong-van-so-1772qld-mp-ve-viec-dinh-chi-luu-hanh-thu-hoi-va-tieu-huy-my-pham-vi-pham-cong-ty-tnhh-my-pham-viet-huong-n5334.html</x:v>
      </x:c>
      <x:c r="S473" t="str">
        <x:v>Hà Nội</x:v>
      </x:c>
      <x:c r="T473" t="str">
        <x:v>01</x:v>
      </x:c>
    </x:row>
    <x:row r="474">
      <x:c r="A474" t="n">
        <x:v>473</x:v>
      </x:c>
      <x:c r="B474" s="330"/>
      <x:c r="C474" s="330" t="n">
        <x:v>46155</x:v>
      </x:c>
      <x:c r="D474" t="n">
        <x:v>2025</x:v>
      </x:c>
      <x:c r="E474"/>
      <x:c r="F474" t="str">
        <x:v>24564/25/CBMP-HN</x:v>
      </x:c>
      <x:c r="G474"/>
      <x:c r="H474" t="str">
        <x:v>Everyoung Serum</x:v>
      </x:c>
      <x:c r="I474"/>
      <x:c r="J474" t="str">
        <x:v>Serum/Essence da</x:v>
      </x:c>
      <x:c r="K474"/>
      <x:c r="L474" t="str">
        <x:v>Công ty TNHH Sinh Dược Bio</x:v>
      </x:c>
      <x:c r="M474"/>
      <x:c r="N474" t="str">
        <x:v>Công ty TNHH mỹ phẩm Việt Hương</x:v>
      </x:c>
      <x:c r="O474" t="str">
        <x:v>Đình chỉ lưu hành, thu hồi và tiêu hủy – Công văn 1772/QLD-MP</x:v>
      </x:c>
      <x:c r="P474" t="str">
        <x:v>A++ – Cục Quản lý Dược; tổ chức chịu trách nhiệm explicit</x:v>
      </x:c>
      <x:c r="Q474" t="str">
        <x:v>Phụ lục 511 sản phẩm, STT 402, trang 13. Công ty Việt Hương là cơ sở sản xuất; cột tổ chức chịu trách nhiệm lấy nguyên văn từ phụ lục.</x:v>
      </x:c>
      <x:c r="R474" t="str">
        <x:v>https://dav.gov.vn/cong-van-so-1772qld-mp-ve-viec-dinh-chi-luu-hanh-thu-hoi-va-tieu-huy-my-pham-vi-pham-cong-ty-tnhh-my-pham-viet-huong-n5334.html</x:v>
      </x:c>
      <x:c r="S474" t="str">
        <x:v>Hà Nội</x:v>
      </x:c>
      <x:c r="T474" t="str">
        <x:v>01</x:v>
      </x:c>
    </x:row>
    <x:row r="475">
      <x:c r="A475" t="n">
        <x:v>474</x:v>
      </x:c>
      <x:c r="B475" s="330"/>
      <x:c r="C475" s="330" t="n">
        <x:v>46155</x:v>
      </x:c>
      <x:c r="D475" t="n">
        <x:v>2025</x:v>
      </x:c>
      <x:c r="E475"/>
      <x:c r="F475" t="str">
        <x:v>25382/25/CBMP-HN</x:v>
      </x:c>
      <x:c r="G475"/>
      <x:c r="H475" t="str">
        <x:v>The cente lea cleanser</x:v>
      </x:c>
      <x:c r="I475"/>
      <x:c r="J475" t="str">
        <x:v>Sữa rửa mặt</x:v>
      </x:c>
      <x:c r="K475"/>
      <x:c r="L475" t="str">
        <x:v>Công ty TNHH Sinh Dược Bio</x:v>
      </x:c>
      <x:c r="M475"/>
      <x:c r="N475" t="str">
        <x:v>Công ty TNHH mỹ phẩm Việt Hương</x:v>
      </x:c>
      <x:c r="O475" t="str">
        <x:v>Đình chỉ lưu hành, thu hồi và tiêu hủy – Công văn 1772/QLD-MP</x:v>
      </x:c>
      <x:c r="P475" t="str">
        <x:v>A++ – Cục Quản lý Dược; tổ chức chịu trách nhiệm explicit</x:v>
      </x:c>
      <x:c r="Q475" t="str">
        <x:v>Phụ lục 511 sản phẩm, STT 403, trang 13. Công ty Việt Hương là cơ sở sản xuất; cột tổ chức chịu trách nhiệm lấy nguyên văn từ phụ lục.</x:v>
      </x:c>
      <x:c r="R475" t="str">
        <x:v>https://dav.gov.vn/cong-van-so-1772qld-mp-ve-viec-dinh-chi-luu-hanh-thu-hoi-va-tieu-huy-my-pham-vi-pham-cong-ty-tnhh-my-pham-viet-huong-n5334.html</x:v>
      </x:c>
      <x:c r="S475" t="str">
        <x:v>Hà Nội</x:v>
      </x:c>
      <x:c r="T475" t="str">
        <x:v>01</x:v>
      </x:c>
    </x:row>
    <x:row r="476">
      <x:c r="A476" t="n">
        <x:v>475</x:v>
      </x:c>
      <x:c r="B476" s="330"/>
      <x:c r="C476" s="330" t="n">
        <x:v>46155</x:v>
      </x:c>
      <x:c r="D476" t="n">
        <x:v>2025</x:v>
      </x:c>
      <x:c r="E476"/>
      <x:c r="F476" t="str">
        <x:v>25904/25/CBMP-HN</x:v>
      </x:c>
      <x:c r="G476"/>
      <x:c r="H476" t="str">
        <x:v>Coolrevive Toner</x:v>
      </x:c>
      <x:c r="I476"/>
      <x:c r="J476" t="str">
        <x:v>Serum/Essence da</x:v>
      </x:c>
      <x:c r="K476"/>
      <x:c r="L476" t="str">
        <x:v>Công ty TNHH Sinh Dược Bio</x:v>
      </x:c>
      <x:c r="M476"/>
      <x:c r="N476" t="str">
        <x:v>Công ty TNHH mỹ phẩm Việt Hương</x:v>
      </x:c>
      <x:c r="O476" t="str">
        <x:v>Đình chỉ lưu hành, thu hồi và tiêu hủy – Công văn 1772/QLD-MP</x:v>
      </x:c>
      <x:c r="P476" t="str">
        <x:v>A++ – Cục Quản lý Dược; tổ chức chịu trách nhiệm explicit</x:v>
      </x:c>
      <x:c r="Q476" t="str">
        <x:v>Phụ lục 511 sản phẩm, STT 404, trang 14. Công ty Việt Hương là cơ sở sản xuất; cột tổ chức chịu trách nhiệm lấy nguyên văn từ phụ lục.</x:v>
      </x:c>
      <x:c r="R476" t="str">
        <x:v>https://dav.gov.vn/cong-van-so-1772qld-mp-ve-viec-dinh-chi-luu-hanh-thu-hoi-va-tieu-huy-my-pham-vi-pham-cong-ty-tnhh-my-pham-viet-huong-n5334.html</x:v>
      </x:c>
      <x:c r="S476" t="str">
        <x:v>Hà Nội</x:v>
      </x:c>
      <x:c r="T476" t="str">
        <x:v>01</x:v>
      </x:c>
    </x:row>
    <x:row r="477">
      <x:c r="A477" t="n">
        <x:v>476</x:v>
      </x:c>
      <x:c r="B477" s="330"/>
      <x:c r="C477" s="330" t="n">
        <x:v>46155</x:v>
      </x:c>
      <x:c r="D477" t="n">
        <x:v>2024</x:v>
      </x:c>
      <x:c r="E477"/>
      <x:c r="F477" t="str">
        <x:v>22066/24/CBMP-HN</x:v>
      </x:c>
      <x:c r="G477"/>
      <x:c r="H477" t="str">
        <x:v>Thomas Pink</x:v>
      </x:c>
      <x:c r="I477"/>
      <x:c r="J477" t="str">
        <x:v>Khác</x:v>
      </x:c>
      <x:c r="K477"/>
      <x:c r="L477" t="str">
        <x:v>Công ty TNHH Mỹ phẩm Mộc Tâm Nature</x:v>
      </x:c>
      <x:c r="M477"/>
      <x:c r="N477" t="str">
        <x:v>Công ty TNHH mỹ phẩm Việt Hương</x:v>
      </x:c>
      <x:c r="O477" t="str">
        <x:v>Đình chỉ lưu hành, thu hồi và tiêu hủy – Công văn 1772/QLD-MP</x:v>
      </x:c>
      <x:c r="P477" t="str">
        <x:v>A++ – Cục Quản lý Dược; tổ chức chịu trách nhiệm explicit</x:v>
      </x:c>
      <x:c r="Q477" t="str">
        <x:v>Phụ lục 511 sản phẩm, STT 405, trang 14. Công ty Việt Hương là cơ sở sản xuất; cột tổ chức chịu trách nhiệm lấy nguyên văn từ phụ lục.</x:v>
      </x:c>
      <x:c r="R477" t="str">
        <x:v>https://dav.gov.vn/cong-van-so-1772qld-mp-ve-viec-dinh-chi-luu-hanh-thu-hoi-va-tieu-huy-my-pham-vi-pham-cong-ty-tnhh-my-pham-viet-huong-n5334.html</x:v>
      </x:c>
      <x:c r="S477" t="str">
        <x:v>Hà Nội</x:v>
      </x:c>
      <x:c r="T477" t="str">
        <x:v>01</x:v>
      </x:c>
    </x:row>
    <x:row r="478">
      <x:c r="A478" t="n">
        <x:v>477</x:v>
      </x:c>
      <x:c r="B478" s="330"/>
      <x:c r="C478" s="330" t="n">
        <x:v>46155</x:v>
      </x:c>
      <x:c r="D478" t="n">
        <x:v>2024</x:v>
      </x:c>
      <x:c r="E478"/>
      <x:c r="F478" t="str">
        <x:v>22067/24/CBMP-HN</x:v>
      </x:c>
      <x:c r="G478"/>
      <x:c r="H478" t="str">
        <x:v>By Red</x:v>
      </x:c>
      <x:c r="I478"/>
      <x:c r="J478" t="str">
        <x:v>Khác</x:v>
      </x:c>
      <x:c r="K478"/>
      <x:c r="L478" t="str">
        <x:v>Công ty TNHH Mỹ phẩm Mộc Tâm Nature</x:v>
      </x:c>
      <x:c r="M478"/>
      <x:c r="N478" t="str">
        <x:v>Công ty TNHH mỹ phẩm Việt Hương</x:v>
      </x:c>
      <x:c r="O478" t="str">
        <x:v>Đình chỉ lưu hành, thu hồi và tiêu hủy – Công văn 1772/QLD-MP</x:v>
      </x:c>
      <x:c r="P478" t="str">
        <x:v>A++ – Cục Quản lý Dược; tổ chức chịu trách nhiệm explicit</x:v>
      </x:c>
      <x:c r="Q478" t="str">
        <x:v>Phụ lục 511 sản phẩm, STT 406, trang 14. Công ty Việt Hương là cơ sở sản xuất; cột tổ chức chịu trách nhiệm lấy nguyên văn từ phụ lục.</x:v>
      </x:c>
      <x:c r="R478" t="str">
        <x:v>https://dav.gov.vn/cong-van-so-1772qld-mp-ve-viec-dinh-chi-luu-hanh-thu-hoi-va-tieu-huy-my-pham-vi-pham-cong-ty-tnhh-my-pham-viet-huong-n5334.html</x:v>
      </x:c>
      <x:c r="S478" t="str">
        <x:v>Hà Nội</x:v>
      </x:c>
      <x:c r="T478" t="str">
        <x:v>01</x:v>
      </x:c>
    </x:row>
    <x:row r="479">
      <x:c r="A479" t="n">
        <x:v>478</x:v>
      </x:c>
      <x:c r="B479" s="330"/>
      <x:c r="C479" s="330" t="n">
        <x:v>46155</x:v>
      </x:c>
      <x:c r="D479" t="n">
        <x:v>2024</x:v>
      </x:c>
      <x:c r="E479"/>
      <x:c r="F479" t="str">
        <x:v>22068/24/CBMP-HN</x:v>
      </x:c>
      <x:c r="G479"/>
      <x:c r="H479" t="str">
        <x:v>Meli Sweeter</x:v>
      </x:c>
      <x:c r="I479"/>
      <x:c r="J479" t="str">
        <x:v>Khác</x:v>
      </x:c>
      <x:c r="K479"/>
      <x:c r="L479" t="str">
        <x:v>Công ty TNHH Mỹ phẩm Mộc Tâm Nature</x:v>
      </x:c>
      <x:c r="M479"/>
      <x:c r="N479" t="str">
        <x:v>Công ty TNHH mỹ phẩm Việt Hương</x:v>
      </x:c>
      <x:c r="O479" t="str">
        <x:v>Đình chỉ lưu hành, thu hồi và tiêu hủy – Công văn 1772/QLD-MP</x:v>
      </x:c>
      <x:c r="P479" t="str">
        <x:v>A++ – Cục Quản lý Dược; tổ chức chịu trách nhiệm explicit</x:v>
      </x:c>
      <x:c r="Q479" t="str">
        <x:v>Phụ lục 511 sản phẩm, STT 407, trang 14. Công ty Việt Hương là cơ sở sản xuất; cột tổ chức chịu trách nhiệm lấy nguyên văn từ phụ lục.</x:v>
      </x:c>
      <x:c r="R479" t="str">
        <x:v>https://dav.gov.vn/cong-van-so-1772qld-mp-ve-viec-dinh-chi-luu-hanh-thu-hoi-va-tieu-huy-my-pham-vi-pham-cong-ty-tnhh-my-pham-viet-huong-n5334.html</x:v>
      </x:c>
      <x:c r="S479" t="str">
        <x:v>Hà Nội</x:v>
      </x:c>
      <x:c r="T479" t="str">
        <x:v>01</x:v>
      </x:c>
    </x:row>
    <x:row r="480">
      <x:c r="A480" t="n">
        <x:v>479</x:v>
      </x:c>
      <x:c r="B480" s="330"/>
      <x:c r="C480" s="330" t="n">
        <x:v>46155</x:v>
      </x:c>
      <x:c r="D480" t="n">
        <x:v>2024</x:v>
      </x:c>
      <x:c r="E480"/>
      <x:c r="F480" t="str">
        <x:v>22069/24/CBMP-HN</x:v>
      </x:c>
      <x:c r="G480"/>
      <x:c r="H480" t="str">
        <x:v>Mano Roses</x:v>
      </x:c>
      <x:c r="I480"/>
      <x:c r="J480" t="str">
        <x:v>Khác</x:v>
      </x:c>
      <x:c r="K480"/>
      <x:c r="L480" t="str">
        <x:v>Công ty TNHH Mỹ phẩm Mộc Tâm Nature</x:v>
      </x:c>
      <x:c r="M480"/>
      <x:c r="N480" t="str">
        <x:v>Công ty TNHH mỹ phẩm Việt Hương</x:v>
      </x:c>
      <x:c r="O480" t="str">
        <x:v>Đình chỉ lưu hành, thu hồi và tiêu hủy – Công văn 1772/QLD-MP</x:v>
      </x:c>
      <x:c r="P480" t="str">
        <x:v>A++ – Cục Quản lý Dược; tổ chức chịu trách nhiệm explicit</x:v>
      </x:c>
      <x:c r="Q480" t="str">
        <x:v>Phụ lục 511 sản phẩm, STT 408, trang 14. Công ty Việt Hương là cơ sở sản xuất; cột tổ chức chịu trách nhiệm lấy nguyên văn từ phụ lục.</x:v>
      </x:c>
      <x:c r="R480" t="str">
        <x:v>https://dav.gov.vn/cong-van-so-1772qld-mp-ve-viec-dinh-chi-luu-hanh-thu-hoi-va-tieu-huy-my-pham-vi-pham-cong-ty-tnhh-my-pham-viet-huong-n5334.html</x:v>
      </x:c>
      <x:c r="S480" t="str">
        <x:v>Hà Nội</x:v>
      </x:c>
      <x:c r="T480" t="str">
        <x:v>01</x:v>
      </x:c>
    </x:row>
    <x:row r="481">
      <x:c r="A481" t="n">
        <x:v>480</x:v>
      </x:c>
      <x:c r="B481" s="330"/>
      <x:c r="C481" s="330" t="n">
        <x:v>46155</x:v>
      </x:c>
      <x:c r="D481" t="n">
        <x:v>2024</x:v>
      </x:c>
      <x:c r="E481"/>
      <x:c r="F481" t="str">
        <x:v>22070/24/CBMP-HN</x:v>
      </x:c>
      <x:c r="G481"/>
      <x:c r="H481" t="str">
        <x:v>Anamy</x:v>
      </x:c>
      <x:c r="I481"/>
      <x:c r="J481" t="str">
        <x:v>Khác</x:v>
      </x:c>
      <x:c r="K481"/>
      <x:c r="L481" t="str">
        <x:v>Công ty TNHH Mỹ phẩm Mộc Tâm Nature</x:v>
      </x:c>
      <x:c r="M481"/>
      <x:c r="N481" t="str">
        <x:v>Công ty TNHH mỹ phẩm Việt Hương</x:v>
      </x:c>
      <x:c r="O481" t="str">
        <x:v>Đình chỉ lưu hành, thu hồi và tiêu hủy – Công văn 1772/QLD-MP</x:v>
      </x:c>
      <x:c r="P481" t="str">
        <x:v>A++ – Cục Quản lý Dược; tổ chức chịu trách nhiệm explicit</x:v>
      </x:c>
      <x:c r="Q481" t="str">
        <x:v>Phụ lục 511 sản phẩm, STT 409, trang 14. Công ty Việt Hương là cơ sở sản xuất; cột tổ chức chịu trách nhiệm lấy nguyên văn từ phụ lục.</x:v>
      </x:c>
      <x:c r="R481" t="str">
        <x:v>https://dav.gov.vn/cong-van-so-1772qld-mp-ve-viec-dinh-chi-luu-hanh-thu-hoi-va-tieu-huy-my-pham-vi-pham-cong-ty-tnhh-my-pham-viet-huong-n5334.html</x:v>
      </x:c>
      <x:c r="S481" t="str">
        <x:v>Hà Nội</x:v>
      </x:c>
      <x:c r="T481" t="str">
        <x:v>01</x:v>
      </x:c>
    </x:row>
    <x:row r="482">
      <x:c r="A482" t="n">
        <x:v>481</x:v>
      </x:c>
      <x:c r="B482" s="330"/>
      <x:c r="C482" s="330" t="n">
        <x:v>46155</x:v>
      </x:c>
      <x:c r="D482" t="n">
        <x:v>2025</x:v>
      </x:c>
      <x:c r="E482"/>
      <x:c r="F482" t="str">
        <x:v>23068/25/CBMP-HN</x:v>
      </x:c>
      <x:c r="G482"/>
      <x:c r="H482" t="str">
        <x:v>Combo Premium Limited</x:v>
      </x:c>
      <x:c r="I482"/>
      <x:c r="J482" t="str">
        <x:v>Khác</x:v>
      </x:c>
      <x:c r="K482"/>
      <x:c r="L482" t="str">
        <x:v>Công ty TNHH Mỹ phẩm Mộc Tâm Nature</x:v>
      </x:c>
      <x:c r="M482"/>
      <x:c r="N482" t="str">
        <x:v>Công ty TNHH mỹ phẩm Việt Hương</x:v>
      </x:c>
      <x:c r="O482" t="str">
        <x:v>Đình chỉ lưu hành, thu hồi và tiêu hủy – Công văn 1772/QLD-MP</x:v>
      </x:c>
      <x:c r="P482" t="str">
        <x:v>A++ – Cục Quản lý Dược; tổ chức chịu trách nhiệm explicit</x:v>
      </x:c>
      <x:c r="Q482" t="str">
        <x:v>Phụ lục 511 sản phẩm, STT 410, trang 14. Công ty Việt Hương là cơ sở sản xuất; cột tổ chức chịu trách nhiệm lấy nguyên văn từ phụ lục.</x:v>
      </x:c>
      <x:c r="R482" t="str">
        <x:v>https://dav.gov.vn/cong-van-so-1772qld-mp-ve-viec-dinh-chi-luu-hanh-thu-hoi-va-tieu-huy-my-pham-vi-pham-cong-ty-tnhh-my-pham-viet-huong-n5334.html</x:v>
      </x:c>
      <x:c r="S482" t="str">
        <x:v>Hà Nội</x:v>
      </x:c>
      <x:c r="T482" t="str">
        <x:v>01</x:v>
      </x:c>
    </x:row>
    <x:row r="483">
      <x:c r="A483" t="n">
        <x:v>482</x:v>
      </x:c>
      <x:c r="B483" s="330"/>
      <x:c r="C483" s="330" t="n">
        <x:v>46155</x:v>
      </x:c>
      <x:c r="D483" t="n">
        <x:v>2025</x:v>
      </x:c>
      <x:c r="E483"/>
      <x:c r="F483" t="str">
        <x:v>24172/25/CBMP-HN</x:v>
      </x:c>
      <x:c r="G483"/>
      <x:c r="H483" t="str">
        <x:v>Sữa tắm nước hoa</x:v>
      </x:c>
      <x:c r="I483"/>
      <x:c r="J483" t="str">
        <x:v>Sữa tắm/Gel tắm</x:v>
      </x:c>
      <x:c r="K483"/>
      <x:c r="L483" t="str">
        <x:v>Công ty TNHH Mỹ phẩm Mộc Tâm Nature</x:v>
      </x:c>
      <x:c r="M483"/>
      <x:c r="N483" t="str">
        <x:v>Công ty TNHH mỹ phẩm Việt Hương</x:v>
      </x:c>
      <x:c r="O483" t="str">
        <x:v>Đình chỉ lưu hành, thu hồi và tiêu hủy – Công văn 1772/QLD-MP</x:v>
      </x:c>
      <x:c r="P483" t="str">
        <x:v>A++ – Cục Quản lý Dược; tổ chức chịu trách nhiệm explicit</x:v>
      </x:c>
      <x:c r="Q483" t="str">
        <x:v>Phụ lục 511 sản phẩm, STT 411, trang 14. Công ty Việt Hương là cơ sở sản xuất; cột tổ chức chịu trách nhiệm lấy nguyên văn từ phụ lục.</x:v>
      </x:c>
      <x:c r="R483" t="str">
        <x:v>https://dav.gov.vn/cong-van-so-1772qld-mp-ve-viec-dinh-chi-luu-hanh-thu-hoi-va-tieu-huy-my-pham-vi-pham-cong-ty-tnhh-my-pham-viet-huong-n5334.html</x:v>
      </x:c>
      <x:c r="S483" t="str">
        <x:v>Hà Nội</x:v>
      </x:c>
      <x:c r="T483" t="str">
        <x:v>01</x:v>
      </x:c>
    </x:row>
    <x:row r="484">
      <x:c r="A484" t="n">
        <x:v>483</x:v>
      </x:c>
      <x:c r="B484" s="330"/>
      <x:c r="C484" s="330" t="n">
        <x:v>46155</x:v>
      </x:c>
      <x:c r="D484" t="n">
        <x:v>2025</x:v>
      </x:c>
      <x:c r="E484"/>
      <x:c r="F484" t="str">
        <x:v>24173/25/CBMP-HN</x:v>
      </x:c>
      <x:c r="G484"/>
      <x:c r="H484" t="str">
        <x:v>Body scrub</x:v>
      </x:c>
      <x:c r="I484"/>
      <x:c r="J484" t="str">
        <x:v>Khác</x:v>
      </x:c>
      <x:c r="K484"/>
      <x:c r="L484" t="str">
        <x:v>Công ty TNHH Mỹ phẩm Mộc Tâm Nature</x:v>
      </x:c>
      <x:c r="M484"/>
      <x:c r="N484" t="str">
        <x:v>Công ty TNHH mỹ phẩm Việt Hương</x:v>
      </x:c>
      <x:c r="O484" t="str">
        <x:v>Đình chỉ lưu hành, thu hồi và tiêu hủy – Công văn 1772/QLD-MP</x:v>
      </x:c>
      <x:c r="P484" t="str">
        <x:v>A++ – Cục Quản lý Dược; tổ chức chịu trách nhiệm explicit</x:v>
      </x:c>
      <x:c r="Q484" t="str">
        <x:v>Phụ lục 511 sản phẩm, STT 412, trang 14. Công ty Việt Hương là cơ sở sản xuất; cột tổ chức chịu trách nhiệm lấy nguyên văn từ phụ lục.</x:v>
      </x:c>
      <x:c r="R484" t="str">
        <x:v>https://dav.gov.vn/cong-van-so-1772qld-mp-ve-viec-dinh-chi-luu-hanh-thu-hoi-va-tieu-huy-my-pham-vi-pham-cong-ty-tnhh-my-pham-viet-huong-n5334.html</x:v>
      </x:c>
      <x:c r="S484" t="str">
        <x:v>Hà Nội</x:v>
      </x:c>
      <x:c r="T484" t="str">
        <x:v>01</x:v>
      </x:c>
    </x:row>
    <x:row r="485">
      <x:c r="A485" t="n">
        <x:v>484</x:v>
      </x:c>
      <x:c r="B485" s="330"/>
      <x:c r="C485" s="330" t="n">
        <x:v>46155</x:v>
      </x:c>
      <x:c r="D485" t="n">
        <x:v>2025</x:v>
      </x:c>
      <x:c r="E485"/>
      <x:c r="F485" t="str">
        <x:v>24474/25/CBMP-HN</x:v>
      </x:c>
      <x:c r="G485"/>
      <x:c r="H485" t="str">
        <x:v>Sữa rửa mặt</x:v>
      </x:c>
      <x:c r="I485"/>
      <x:c r="J485" t="str">
        <x:v>Sữa rửa mặt</x:v>
      </x:c>
      <x:c r="K485"/>
      <x:c r="L485" t="str">
        <x:v>Công ty TNHH Mỹ phẩm Mộc Tâm Nature</x:v>
      </x:c>
      <x:c r="M485"/>
      <x:c r="N485" t="str">
        <x:v>Công ty TNHH mỹ phẩm Việt Hương</x:v>
      </x:c>
      <x:c r="O485" t="str">
        <x:v>Đình chỉ lưu hành, thu hồi và tiêu hủy – Công văn 1772/QLD-MP</x:v>
      </x:c>
      <x:c r="P485" t="str">
        <x:v>A++ – Cục Quản lý Dược; tổ chức chịu trách nhiệm explicit</x:v>
      </x:c>
      <x:c r="Q485" t="str">
        <x:v>Phụ lục 511 sản phẩm, STT 413, trang 14. Công ty Việt Hương là cơ sở sản xuất; cột tổ chức chịu trách nhiệm lấy nguyên văn từ phụ lục.</x:v>
      </x:c>
      <x:c r="R485" t="str">
        <x:v>https://dav.gov.vn/cong-van-so-1772qld-mp-ve-viec-dinh-chi-luu-hanh-thu-hoi-va-tieu-huy-my-pham-vi-pham-cong-ty-tnhh-my-pham-viet-huong-n5334.html</x:v>
      </x:c>
      <x:c r="S485" t="str">
        <x:v>Hà Nội</x:v>
      </x:c>
      <x:c r="T485" t="str">
        <x:v>01</x:v>
      </x:c>
    </x:row>
    <x:row r="486">
      <x:c r="A486" t="n">
        <x:v>485</x:v>
      </x:c>
      <x:c r="B486" s="330"/>
      <x:c r="C486" s="330" t="n">
        <x:v>46155</x:v>
      </x:c>
      <x:c r="D486" t="n">
        <x:v>2025</x:v>
      </x:c>
      <x:c r="E486"/>
      <x:c r="F486" t="str">
        <x:v>24475/25/CBMP-HN</x:v>
      </x:c>
      <x:c r="G486"/>
      <x:c r="H486" t="str">
        <x:v>Dầu gội đầu</x:v>
      </x:c>
      <x:c r="I486"/>
      <x:c r="J486" t="str">
        <x:v>Dầu gội</x:v>
      </x:c>
      <x:c r="K486"/>
      <x:c r="L486" t="str">
        <x:v>Công ty TNHH Mỹ phẩm Mộc Tâm Nature</x:v>
      </x:c>
      <x:c r="M486"/>
      <x:c r="N486" t="str">
        <x:v>Công ty TNHH mỹ phẩm Việt Hương</x:v>
      </x:c>
      <x:c r="O486" t="str">
        <x:v>Đình chỉ lưu hành, thu hồi và tiêu hủy – Công văn 1772/QLD-MP</x:v>
      </x:c>
      <x:c r="P486" t="str">
        <x:v>A++ – Cục Quản lý Dược; tổ chức chịu trách nhiệm explicit</x:v>
      </x:c>
      <x:c r="Q486" t="str">
        <x:v>Phụ lục 511 sản phẩm, STT 414, trang 14. Công ty Việt Hương là cơ sở sản xuất; cột tổ chức chịu trách nhiệm lấy nguyên văn từ phụ lục.</x:v>
      </x:c>
      <x:c r="R486" t="str">
        <x:v>https://dav.gov.vn/cong-van-so-1772qld-mp-ve-viec-dinh-chi-luu-hanh-thu-hoi-va-tieu-huy-my-pham-vi-pham-cong-ty-tnhh-my-pham-viet-huong-n5334.html</x:v>
      </x:c>
      <x:c r="S486" t="str">
        <x:v>Hà Nội</x:v>
      </x:c>
      <x:c r="T486" t="str">
        <x:v>01</x:v>
      </x:c>
    </x:row>
    <x:row r="487">
      <x:c r="A487" t="n">
        <x:v>486</x:v>
      </x:c>
      <x:c r="B487" s="330"/>
      <x:c r="C487" s="330" t="n">
        <x:v>46155</x:v>
      </x:c>
      <x:c r="D487" t="n">
        <x:v>2025</x:v>
      </x:c>
      <x:c r="E487"/>
      <x:c r="F487" t="str">
        <x:v>24476/25/CBMP-HN</x:v>
      </x:c>
      <x:c r="G487"/>
      <x:c r="H487" t="str">
        <x:v>Ủ tóc</x:v>
      </x:c>
      <x:c r="I487"/>
      <x:c r="J487" t="str">
        <x:v>Khác</x:v>
      </x:c>
      <x:c r="K487"/>
      <x:c r="L487" t="str">
        <x:v>Công ty TNHH Mỹ phẩm Mộc Tâm Nature</x:v>
      </x:c>
      <x:c r="M487"/>
      <x:c r="N487" t="str">
        <x:v>Công ty TNHH mỹ phẩm Việt Hương</x:v>
      </x:c>
      <x:c r="O487" t="str">
        <x:v>Đình chỉ lưu hành, thu hồi và tiêu hủy – Công văn 1772/QLD-MP</x:v>
      </x:c>
      <x:c r="P487" t="str">
        <x:v>A++ – Cục Quản lý Dược; tổ chức chịu trách nhiệm explicit</x:v>
      </x:c>
      <x:c r="Q487" t="str">
        <x:v>Phụ lục 511 sản phẩm, STT 415, trang 14. Công ty Việt Hương là cơ sở sản xuất; cột tổ chức chịu trách nhiệm lấy nguyên văn từ phụ lục.</x:v>
      </x:c>
      <x:c r="R487" t="str">
        <x:v>https://dav.gov.vn/cong-van-so-1772qld-mp-ve-viec-dinh-chi-luu-hanh-thu-hoi-va-tieu-huy-my-pham-vi-pham-cong-ty-tnhh-my-pham-viet-huong-n5334.html</x:v>
      </x:c>
      <x:c r="S487" t="str">
        <x:v>Hà Nội</x:v>
      </x:c>
      <x:c r="T487" t="str">
        <x:v>01</x:v>
      </x:c>
    </x:row>
    <x:row r="488">
      <x:c r="A488" t="n">
        <x:v>487</x:v>
      </x:c>
      <x:c r="B488" s="330"/>
      <x:c r="C488" s="330" t="n">
        <x:v>46155</x:v>
      </x:c>
      <x:c r="D488" t="n">
        <x:v>2025</x:v>
      </x:c>
      <x:c r="E488"/>
      <x:c r="F488" t="str">
        <x:v>24599/25/CBMP-HN</x:v>
      </x:c>
      <x:c r="G488"/>
      <x:c r="H488" t="str">
        <x:v>Sữa Tắm Nước Hoa</x:v>
      </x:c>
      <x:c r="I488"/>
      <x:c r="J488" t="str">
        <x:v>Sữa tắm/Gel tắm</x:v>
      </x:c>
      <x:c r="K488"/>
      <x:c r="L488" t="str">
        <x:v>Công ty TNHH Mỹ phẩm Mộc Tâm Nature</x:v>
      </x:c>
      <x:c r="M488"/>
      <x:c r="N488" t="str">
        <x:v>Công ty TNHH mỹ phẩm Việt Hương</x:v>
      </x:c>
      <x:c r="O488" t="str">
        <x:v>Đình chỉ lưu hành, thu hồi và tiêu hủy – Công văn 1772/QLD-MP</x:v>
      </x:c>
      <x:c r="P488" t="str">
        <x:v>A++ – Cục Quản lý Dược; tổ chức chịu trách nhiệm explicit</x:v>
      </x:c>
      <x:c r="Q488" t="str">
        <x:v>Phụ lục 511 sản phẩm, STT 416, trang 14. Công ty Việt Hương là cơ sở sản xuất; cột tổ chức chịu trách nhiệm lấy nguyên văn từ phụ lục.</x:v>
      </x:c>
      <x:c r="R488" t="str">
        <x:v>https://dav.gov.vn/cong-van-so-1772qld-mp-ve-viec-dinh-chi-luu-hanh-thu-hoi-va-tieu-huy-my-pham-vi-pham-cong-ty-tnhh-my-pham-viet-huong-n5334.html</x:v>
      </x:c>
      <x:c r="S488" t="str">
        <x:v>Hà Nội</x:v>
      </x:c>
      <x:c r="T488" t="str">
        <x:v>01</x:v>
      </x:c>
    </x:row>
    <x:row r="489">
      <x:c r="A489" t="n">
        <x:v>488</x:v>
      </x:c>
      <x:c r="B489" s="330"/>
      <x:c r="C489" s="330" t="n">
        <x:v>46155</x:v>
      </x:c>
      <x:c r="D489" t="n">
        <x:v>2025</x:v>
      </x:c>
      <x:c r="E489"/>
      <x:c r="F489" t="str">
        <x:v>24735/25/CBMP-HN</x:v>
      </x:c>
      <x:c r="G489"/>
      <x:c r="H489" t="str">
        <x:v>Sữa tắm nước hoa</x:v>
      </x:c>
      <x:c r="I489"/>
      <x:c r="J489" t="str">
        <x:v>Sữa tắm/Gel tắm</x:v>
      </x:c>
      <x:c r="K489"/>
      <x:c r="L489" t="str">
        <x:v>Công ty TNHH Mỹ phẩm Mộc Tâm Nature</x:v>
      </x:c>
      <x:c r="M489"/>
      <x:c r="N489" t="str">
        <x:v>Công ty TNHH mỹ phẩm Việt Hương</x:v>
      </x:c>
      <x:c r="O489" t="str">
        <x:v>Đình chỉ lưu hành, thu hồi và tiêu hủy – Công văn 1772/QLD-MP</x:v>
      </x:c>
      <x:c r="P489" t="str">
        <x:v>A++ – Cục Quản lý Dược; tổ chức chịu trách nhiệm explicit</x:v>
      </x:c>
      <x:c r="Q489" t="str">
        <x:v>Phụ lục 511 sản phẩm, STT 417, trang 14. Công ty Việt Hương là cơ sở sản xuất; cột tổ chức chịu trách nhiệm lấy nguyên văn từ phụ lục.</x:v>
      </x:c>
      <x:c r="R489" t="str">
        <x:v>https://dav.gov.vn/cong-van-so-1772qld-mp-ve-viec-dinh-chi-luu-hanh-thu-hoi-va-tieu-huy-my-pham-vi-pham-cong-ty-tnhh-my-pham-viet-huong-n5334.html</x:v>
      </x:c>
      <x:c r="S489" t="str">
        <x:v>Hà Nội</x:v>
      </x:c>
      <x:c r="T489" t="str">
        <x:v>01</x:v>
      </x:c>
    </x:row>
    <x:row r="490">
      <x:c r="A490" t="n">
        <x:v>489</x:v>
      </x:c>
      <x:c r="B490" s="330"/>
      <x:c r="C490" s="330" t="n">
        <x:v>46155</x:v>
      </x:c>
      <x:c r="D490" t="n">
        <x:v>2025</x:v>
      </x:c>
      <x:c r="E490"/>
      <x:c r="F490" t="str">
        <x:v>24805/25/CBMP-HN</x:v>
      </x:c>
      <x:c r="G490"/>
      <x:c r="H490" t="str">
        <x:v>Love lady</x:v>
      </x:c>
      <x:c r="I490"/>
      <x:c r="J490" t="str">
        <x:v>Khác</x:v>
      </x:c>
      <x:c r="K490"/>
      <x:c r="L490" t="str">
        <x:v>Công ty TNHH Mỹ phẩm Mộc Tâm Nature</x:v>
      </x:c>
      <x:c r="M490"/>
      <x:c r="N490" t="str">
        <x:v>Công ty TNHH mỹ phẩm Việt Hương</x:v>
      </x:c>
      <x:c r="O490" t="str">
        <x:v>Đình chỉ lưu hành, thu hồi và tiêu hủy – Công văn 1772/QLD-MP</x:v>
      </x:c>
      <x:c r="P490" t="str">
        <x:v>A++ – Cục Quản lý Dược; tổ chức chịu trách nhiệm explicit</x:v>
      </x:c>
      <x:c r="Q490" t="str">
        <x:v>Phụ lục 511 sản phẩm, STT 418, trang 14. Công ty Việt Hương là cơ sở sản xuất; cột tổ chức chịu trách nhiệm lấy nguyên văn từ phụ lục.</x:v>
      </x:c>
      <x:c r="R490" t="str">
        <x:v>https://dav.gov.vn/cong-van-so-1772qld-mp-ve-viec-dinh-chi-luu-hanh-thu-hoi-va-tieu-huy-my-pham-vi-pham-cong-ty-tnhh-my-pham-viet-huong-n5334.html</x:v>
      </x:c>
      <x:c r="S490" t="str">
        <x:v>Hà Nội</x:v>
      </x:c>
      <x:c r="T490" t="str">
        <x:v>01</x:v>
      </x:c>
    </x:row>
    <x:row r="491">
      <x:c r="A491" t="n">
        <x:v>490</x:v>
      </x:c>
      <x:c r="B491" s="330"/>
      <x:c r="C491" s="330" t="n">
        <x:v>46155</x:v>
      </x:c>
      <x:c r="D491" t="n">
        <x:v>2025</x:v>
      </x:c>
      <x:c r="E491"/>
      <x:c r="F491" t="str">
        <x:v>24827/25/CBMP-HN</x:v>
      </x:c>
      <x:c r="G491"/>
      <x:c r="H491" t="str">
        <x:v>Scrub Lady</x:v>
      </x:c>
      <x:c r="I491"/>
      <x:c r="J491" t="str">
        <x:v>Khác</x:v>
      </x:c>
      <x:c r="K491"/>
      <x:c r="L491" t="str">
        <x:v>Công ty TNHH Mỹ phẩm Mộc Tâm Nature</x:v>
      </x:c>
      <x:c r="M491"/>
      <x:c r="N491" t="str">
        <x:v>Công ty TNHH mỹ phẩm Việt Hương</x:v>
      </x:c>
      <x:c r="O491" t="str">
        <x:v>Đình chỉ lưu hành, thu hồi và tiêu hủy – Công văn 1772/QLD-MP</x:v>
      </x:c>
      <x:c r="P491" t="str">
        <x:v>A++ – Cục Quản lý Dược; tổ chức chịu trách nhiệm explicit</x:v>
      </x:c>
      <x:c r="Q491" t="str">
        <x:v>Phụ lục 511 sản phẩm, STT 419, trang 14. Công ty Việt Hương là cơ sở sản xuất; cột tổ chức chịu trách nhiệm lấy nguyên văn từ phụ lục.</x:v>
      </x:c>
      <x:c r="R491" t="str">
        <x:v>https://dav.gov.vn/cong-van-so-1772qld-mp-ve-viec-dinh-chi-luu-hanh-thu-hoi-va-tieu-huy-my-pham-vi-pham-cong-ty-tnhh-my-pham-viet-huong-n5334.html</x:v>
      </x:c>
      <x:c r="S491" t="str">
        <x:v>Hà Nội</x:v>
      </x:c>
      <x:c r="T491" t="str">
        <x:v>01</x:v>
      </x:c>
    </x:row>
    <x:row r="492">
      <x:c r="A492" t="n">
        <x:v>491</x:v>
      </x:c>
      <x:c r="B492" s="330"/>
      <x:c r="C492" s="330" t="n">
        <x:v>46155</x:v>
      </x:c>
      <x:c r="D492" t="n">
        <x:v>2025</x:v>
      </x:c>
      <x:c r="E492"/>
      <x:c r="F492" t="str">
        <x:v>24991/25/CBMP-HN</x:v>
      </x:c>
      <x:c r="G492"/>
      <x:c r="H492" t="str">
        <x:v>Mist meli</x:v>
      </x:c>
      <x:c r="I492"/>
      <x:c r="J492" t="str">
        <x:v>Khác</x:v>
      </x:c>
      <x:c r="K492"/>
      <x:c r="L492" t="str">
        <x:v>Công ty TNHH Mỹ phẩm Mộc Tâm Nature</x:v>
      </x:c>
      <x:c r="M492"/>
      <x:c r="N492" t="str">
        <x:v>Công ty TNHH mỹ phẩm Việt Hương</x:v>
      </x:c>
      <x:c r="O492" t="str">
        <x:v>Đình chỉ lưu hành, thu hồi và tiêu hủy – Công văn 1772/QLD-MP</x:v>
      </x:c>
      <x:c r="P492" t="str">
        <x:v>A++ – Cục Quản lý Dược; tổ chức chịu trách nhiệm explicit</x:v>
      </x:c>
      <x:c r="Q492" t="str">
        <x:v>Phụ lục 511 sản phẩm, STT 420, trang 14. Công ty Việt Hương là cơ sở sản xuất; cột tổ chức chịu trách nhiệm lấy nguyên văn từ phụ lục.</x:v>
      </x:c>
      <x:c r="R492" t="str">
        <x:v>https://dav.gov.vn/cong-van-so-1772qld-mp-ve-viec-dinh-chi-luu-hanh-thu-hoi-va-tieu-huy-my-pham-vi-pham-cong-ty-tnhh-my-pham-viet-huong-n5334.html</x:v>
      </x:c>
      <x:c r="S492" t="str">
        <x:v>Hà Nội</x:v>
      </x:c>
      <x:c r="T492" t="str">
        <x:v>01</x:v>
      </x:c>
    </x:row>
    <x:row r="493">
      <x:c r="A493" t="n">
        <x:v>492</x:v>
      </x:c>
      <x:c r="B493" s="330"/>
      <x:c r="C493" s="330" t="n">
        <x:v>46155</x:v>
      </x:c>
      <x:c r="D493" t="n">
        <x:v>2024</x:v>
      </x:c>
      <x:c r="E493"/>
      <x:c r="F493" t="str">
        <x:v>22315/24/CBMP-HN</x:v>
      </x:c>
      <x:c r="G493"/>
      <x:c r="H493" t="str">
        <x:v>Ala Lipstick</x:v>
      </x:c>
      <x:c r="I493"/>
      <x:c r="J493" t="str">
        <x:v>Sản phẩm môi</x:v>
      </x:c>
      <x:c r="K493"/>
      <x:c r="L493" t="str">
        <x:v>Công ty CP dược mỹ phẩm Alashine</x:v>
      </x:c>
      <x:c r="M493"/>
      <x:c r="N493" t="str">
        <x:v>Công ty TNHH mỹ phẩm Việt Hương</x:v>
      </x:c>
      <x:c r="O493" t="str">
        <x:v>Đình chỉ lưu hành, thu hồi và tiêu hủy – Công văn 1772/QLD-MP</x:v>
      </x:c>
      <x:c r="P493" t="str">
        <x:v>A++ – Cục Quản lý Dược; tổ chức chịu trách nhiệm explicit</x:v>
      </x:c>
      <x:c r="Q493" t="str">
        <x:v>Phụ lục 511 sản phẩm, STT 421, trang 14. Công ty Việt Hương là cơ sở sản xuất; cột tổ chức chịu trách nhiệm lấy nguyên văn từ phụ lục.</x:v>
      </x:c>
      <x:c r="R493" t="str">
        <x:v>https://dav.gov.vn/cong-van-so-1772qld-mp-ve-viec-dinh-chi-luu-hanh-thu-hoi-va-tieu-huy-my-pham-vi-pham-cong-ty-tnhh-my-pham-viet-huong-n5334.html</x:v>
      </x:c>
      <x:c r="S493" t="str">
        <x:v>Hà Nội</x:v>
      </x:c>
      <x:c r="T493" t="str">
        <x:v>01</x:v>
      </x:c>
    </x:row>
    <x:row r="494">
      <x:c r="A494" t="n">
        <x:v>493</x:v>
      </x:c>
      <x:c r="B494" s="330"/>
      <x:c r="C494" s="330" t="n">
        <x:v>46155</x:v>
      </x:c>
      <x:c r="D494" t="n">
        <x:v>2024</x:v>
      </x:c>
      <x:c r="E494"/>
      <x:c r="F494" t="str">
        <x:v>22403/24/CBMP-HN</x:v>
      </x:c>
      <x:c r="G494"/>
      <x:c r="H494" t="str">
        <x:v>Stella 012</x:v>
      </x:c>
      <x:c r="I494"/>
      <x:c r="J494" t="str">
        <x:v>Khác</x:v>
      </x:c>
      <x:c r="K494"/>
      <x:c r="L494" t="str">
        <x:v>Công ty TNHH TN-Beauty</x:v>
      </x:c>
      <x:c r="M494"/>
      <x:c r="N494" t="str">
        <x:v>Công ty TNHH mỹ phẩm Việt Hương</x:v>
      </x:c>
      <x:c r="O494" t="str">
        <x:v>Đình chỉ lưu hành, thu hồi và tiêu hủy – Công văn 1772/QLD-MP</x:v>
      </x:c>
      <x:c r="P494" t="str">
        <x:v>A++ – Cục Quản lý Dược; tổ chức chịu trách nhiệm explicit</x:v>
      </x:c>
      <x:c r="Q494" t="str">
        <x:v>Phụ lục 511 sản phẩm, STT 422, trang 14. Công ty Việt Hương là cơ sở sản xuất; cột tổ chức chịu trách nhiệm lấy nguyên văn từ phụ lục.</x:v>
      </x:c>
      <x:c r="R494" t="str">
        <x:v>https://dav.gov.vn/cong-van-so-1772qld-mp-ve-viec-dinh-chi-luu-hanh-thu-hoi-va-tieu-huy-my-pham-vi-pham-cong-ty-tnhh-my-pham-viet-huong-n5334.html</x:v>
      </x:c>
      <x:c r="S494" t="str">
        <x:v>Hà Nội</x:v>
      </x:c>
      <x:c r="T494" t="str">
        <x:v>01</x:v>
      </x:c>
    </x:row>
    <x:row r="495">
      <x:c r="A495" t="n">
        <x:v>494</x:v>
      </x:c>
      <x:c r="B495" s="330"/>
      <x:c r="C495" s="330" t="n">
        <x:v>46155</x:v>
      </x:c>
      <x:c r="D495" t="n">
        <x:v>2024</x:v>
      </x:c>
      <x:c r="E495"/>
      <x:c r="F495" t="str">
        <x:v>22404/24/CBMP-HN</x:v>
      </x:c>
      <x:c r="G495"/>
      <x:c r="H495" t="str">
        <x:v>Stella 011</x:v>
      </x:c>
      <x:c r="I495"/>
      <x:c r="J495" t="str">
        <x:v>Khác</x:v>
      </x:c>
      <x:c r="K495"/>
      <x:c r="L495" t="str">
        <x:v>Công ty TNHH TN-Beauty</x:v>
      </x:c>
      <x:c r="M495"/>
      <x:c r="N495" t="str">
        <x:v>Công ty TNHH mỹ phẩm Việt Hương</x:v>
      </x:c>
      <x:c r="O495" t="str">
        <x:v>Đình chỉ lưu hành, thu hồi và tiêu hủy – Công văn 1772/QLD-MP</x:v>
      </x:c>
      <x:c r="P495" t="str">
        <x:v>A++ – Cục Quản lý Dược; tổ chức chịu trách nhiệm explicit</x:v>
      </x:c>
      <x:c r="Q495" t="str">
        <x:v>Phụ lục 511 sản phẩm, STT 423, trang 14. Công ty Việt Hương là cơ sở sản xuất; cột tổ chức chịu trách nhiệm lấy nguyên văn từ phụ lục.</x:v>
      </x:c>
      <x:c r="R495" t="str">
        <x:v>https://dav.gov.vn/cong-van-so-1772qld-mp-ve-viec-dinh-chi-luu-hanh-thu-hoi-va-tieu-huy-my-pham-vi-pham-cong-ty-tnhh-my-pham-viet-huong-n5334.html</x:v>
      </x:c>
      <x:c r="S495" t="str">
        <x:v>Hà Nội</x:v>
      </x:c>
      <x:c r="T495" t="str">
        <x:v>01</x:v>
      </x:c>
    </x:row>
    <x:row r="496">
      <x:c r="A496" t="n">
        <x:v>495</x:v>
      </x:c>
      <x:c r="B496" s="330"/>
      <x:c r="C496" s="330" t="n">
        <x:v>46155</x:v>
      </x:c>
      <x:c r="D496" t="n">
        <x:v>2024</x:v>
      </x:c>
      <x:c r="E496"/>
      <x:c r="F496" t="str">
        <x:v>22405/24/CBMP-HN</x:v>
      </x:c>
      <x:c r="G496"/>
      <x:c r="H496" t="str">
        <x:v>Stella 010</x:v>
      </x:c>
      <x:c r="I496"/>
      <x:c r="J496" t="str">
        <x:v>Khác</x:v>
      </x:c>
      <x:c r="K496"/>
      <x:c r="L496" t="str">
        <x:v>Công ty TNHH TN-Beauty</x:v>
      </x:c>
      <x:c r="M496"/>
      <x:c r="N496" t="str">
        <x:v>Công ty TNHH mỹ phẩm Việt Hương</x:v>
      </x:c>
      <x:c r="O496" t="str">
        <x:v>Đình chỉ lưu hành, thu hồi và tiêu hủy – Công văn 1772/QLD-MP</x:v>
      </x:c>
      <x:c r="P496" t="str">
        <x:v>A++ – Cục Quản lý Dược; tổ chức chịu trách nhiệm explicit</x:v>
      </x:c>
      <x:c r="Q496" t="str">
        <x:v>Phụ lục 511 sản phẩm, STT 424, trang 14. Công ty Việt Hương là cơ sở sản xuất; cột tổ chức chịu trách nhiệm lấy nguyên văn từ phụ lục.</x:v>
      </x:c>
      <x:c r="R496" t="str">
        <x:v>https://dav.gov.vn/cong-van-so-1772qld-mp-ve-viec-dinh-chi-luu-hanh-thu-hoi-va-tieu-huy-my-pham-vi-pham-cong-ty-tnhh-my-pham-viet-huong-n5334.html</x:v>
      </x:c>
      <x:c r="S496" t="str">
        <x:v>Hà Nội</x:v>
      </x:c>
      <x:c r="T496" t="str">
        <x:v>01</x:v>
      </x:c>
    </x:row>
    <x:row r="497">
      <x:c r="A497" t="n">
        <x:v>496</x:v>
      </x:c>
      <x:c r="B497" s="330"/>
      <x:c r="C497" s="330" t="n">
        <x:v>46155</x:v>
      </x:c>
      <x:c r="D497" t="n">
        <x:v>2024</x:v>
      </x:c>
      <x:c r="E497"/>
      <x:c r="F497" t="str">
        <x:v>22648/24/CBMP-HN</x:v>
      </x:c>
      <x:c r="G497"/>
      <x:c r="H497" t="str">
        <x:v>Melasma Facial Scrub</x:v>
      </x:c>
      <x:c r="I497"/>
      <x:c r="J497" t="str">
        <x:v>Khác</x:v>
      </x:c>
      <x:c r="K497"/>
      <x:c r="L497" t="str">
        <x:v>Công ty CP Dịch vụ Thương mại TLG Việt Nam</x:v>
      </x:c>
      <x:c r="M497"/>
      <x:c r="N497" t="str">
        <x:v>Công ty TNHH mỹ phẩm Việt Hương</x:v>
      </x:c>
      <x:c r="O497" t="str">
        <x:v>Đình chỉ lưu hành, thu hồi và tiêu hủy – Công văn 1772/QLD-MP</x:v>
      </x:c>
      <x:c r="P497" t="str">
        <x:v>A++ – Cục Quản lý Dược; tổ chức chịu trách nhiệm explicit</x:v>
      </x:c>
      <x:c r="Q497" t="str">
        <x:v>Phụ lục 511 sản phẩm, STT 425, trang 14. Công ty Việt Hương là cơ sở sản xuất; cột tổ chức chịu trách nhiệm lấy nguyên văn từ phụ lục.</x:v>
      </x:c>
      <x:c r="R497" t="str">
        <x:v>https://dav.gov.vn/cong-van-so-1772qld-mp-ve-viec-dinh-chi-luu-hanh-thu-hoi-va-tieu-huy-my-pham-vi-pham-cong-ty-tnhh-my-pham-viet-huong-n5334.html</x:v>
      </x:c>
      <x:c r="S497" t="str">
        <x:v>Hà Nội</x:v>
      </x:c>
      <x:c r="T497" t="str">
        <x:v>01</x:v>
      </x:c>
    </x:row>
    <x:row r="498">
      <x:c r="A498" t="n">
        <x:v>497</x:v>
      </x:c>
      <x:c r="B498" s="330"/>
      <x:c r="C498" s="330" t="n">
        <x:v>46155</x:v>
      </x:c>
      <x:c r="D498" t="n">
        <x:v>2024</x:v>
      </x:c>
      <x:c r="E498"/>
      <x:c r="F498" t="str">
        <x:v>22924/24/CBMP-HN</x:v>
      </x:c>
      <x:c r="G498"/>
      <x:c r="H498" t="str">
        <x:v>Melasma Cleanser</x:v>
      </x:c>
      <x:c r="I498"/>
      <x:c r="J498" t="str">
        <x:v>Sữa rửa mặt</x:v>
      </x:c>
      <x:c r="K498"/>
      <x:c r="L498" t="str">
        <x:v>Công ty CP Dịch vụ Thương mại TLG Việt Nam</x:v>
      </x:c>
      <x:c r="M498"/>
      <x:c r="N498" t="str">
        <x:v>Công ty TNHH mỹ phẩm Việt Hương</x:v>
      </x:c>
      <x:c r="O498" t="str">
        <x:v>Đình chỉ lưu hành, thu hồi và tiêu hủy – Công văn 1772/QLD-MP</x:v>
      </x:c>
      <x:c r="P498" t="str">
        <x:v>A++ – Cục Quản lý Dược; tổ chức chịu trách nhiệm explicit</x:v>
      </x:c>
      <x:c r="Q498" t="str">
        <x:v>Phụ lục 511 sản phẩm, STT 426, trang 14. Công ty Việt Hương là cơ sở sản xuất; cột tổ chức chịu trách nhiệm lấy nguyên văn từ phụ lục.</x:v>
      </x:c>
      <x:c r="R498" t="str">
        <x:v>https://dav.gov.vn/cong-van-so-1772qld-mp-ve-viec-dinh-chi-luu-hanh-thu-hoi-va-tieu-huy-my-pham-vi-pham-cong-ty-tnhh-my-pham-viet-huong-n5334.html</x:v>
      </x:c>
      <x:c r="S498" t="str">
        <x:v>Hà Nội</x:v>
      </x:c>
      <x:c r="T498" t="str">
        <x:v>01</x:v>
      </x:c>
    </x:row>
    <x:row r="499">
      <x:c r="A499" t="n">
        <x:v>498</x:v>
      </x:c>
      <x:c r="B499" s="330"/>
      <x:c r="C499" s="330" t="n">
        <x:v>46155</x:v>
      </x:c>
      <x:c r="D499" t="n">
        <x:v>2025</x:v>
      </x:c>
      <x:c r="E499"/>
      <x:c r="F499" t="str">
        <x:v>23213/25/CBMP-HN</x:v>
      </x:c>
      <x:c r="G499"/>
      <x:c r="H499" t="str">
        <x:v>Xịt khoáng Toner Cici</x:v>
      </x:c>
      <x:c r="I499"/>
      <x:c r="J499" t="str">
        <x:v>Serum/Essence da</x:v>
      </x:c>
      <x:c r="K499"/>
      <x:c r="L499" t="str">
        <x:v>Công ty CP Dịch vụ Thương mại TLG Việt Nam</x:v>
      </x:c>
      <x:c r="M499"/>
      <x:c r="N499" t="str">
        <x:v>Công ty TNHH mỹ phẩm Việt Hương</x:v>
      </x:c>
      <x:c r="O499" t="str">
        <x:v>Đình chỉ lưu hành, thu hồi và tiêu hủy – Công văn 1772/QLD-MP</x:v>
      </x:c>
      <x:c r="P499" t="str">
        <x:v>A++ – Cục Quản lý Dược; tổ chức chịu trách nhiệm explicit</x:v>
      </x:c>
      <x:c r="Q499" t="str">
        <x:v>Phụ lục 511 sản phẩm, STT 427, trang 14. Công ty Việt Hương là cơ sở sản xuất; cột tổ chức chịu trách nhiệm lấy nguyên văn từ phụ lục.</x:v>
      </x:c>
      <x:c r="R499" t="str">
        <x:v>https://dav.gov.vn/cong-van-so-1772qld-mp-ve-viec-dinh-chi-luu-hanh-thu-hoi-va-tieu-huy-my-pham-vi-pham-cong-ty-tnhh-my-pham-viet-huong-n5334.html</x:v>
      </x:c>
      <x:c r="S499" t="str">
        <x:v>Hà Nội</x:v>
      </x:c>
      <x:c r="T499" t="str">
        <x:v>01</x:v>
      </x:c>
    </x:row>
    <x:row r="500">
      <x:c r="A500" t="n">
        <x:v>499</x:v>
      </x:c>
      <x:c r="B500" s="330"/>
      <x:c r="C500" s="330" t="n">
        <x:v>46155</x:v>
      </x:c>
      <x:c r="D500" t="n">
        <x:v>2025</x:v>
      </x:c>
      <x:c r="E500"/>
      <x:c r="F500" t="str">
        <x:v>23367/25/CBMP-HN</x:v>
      </x:c>
      <x:c r="G500"/>
      <x:c r="H500" t="str">
        <x:v>Melasma Facial Cleanser</x:v>
      </x:c>
      <x:c r="I500"/>
      <x:c r="J500" t="str">
        <x:v>Sữa rửa mặt</x:v>
      </x:c>
      <x:c r="K500"/>
      <x:c r="L500" t="str">
        <x:v>Công ty CP Dịch vụ Thương mại TLG Việt Nam</x:v>
      </x:c>
      <x:c r="M500"/>
      <x:c r="N500" t="str">
        <x:v>Công ty TNHH mỹ phẩm Việt Hương</x:v>
      </x:c>
      <x:c r="O500" t="str">
        <x:v>Đình chỉ lưu hành, thu hồi và tiêu hủy – Công văn 1772/QLD-MP</x:v>
      </x:c>
      <x:c r="P500" t="str">
        <x:v>A++ – Cục Quản lý Dược; tổ chức chịu trách nhiệm explicit</x:v>
      </x:c>
      <x:c r="Q500" t="str">
        <x:v>Phụ lục 511 sản phẩm, STT 428, trang 14. Công ty Việt Hương là cơ sở sản xuất; cột tổ chức chịu trách nhiệm lấy nguyên văn từ phụ lục.</x:v>
      </x:c>
      <x:c r="R500" t="str">
        <x:v>https://dav.gov.vn/cong-van-so-1772qld-mp-ve-viec-dinh-chi-luu-hanh-thu-hoi-va-tieu-huy-my-pham-vi-pham-cong-ty-tnhh-my-pham-viet-huong-n5334.html</x:v>
      </x:c>
      <x:c r="S500" t="str">
        <x:v>Hà Nội</x:v>
      </x:c>
      <x:c r="T500" t="str">
        <x:v>01</x:v>
      </x:c>
    </x:row>
    <x:row r="501">
      <x:c r="A501" t="n">
        <x:v>500</x:v>
      </x:c>
      <x:c r="B501" s="330"/>
      <x:c r="C501" s="330" t="n">
        <x:v>46155</x:v>
      </x:c>
      <x:c r="D501" t="n">
        <x:v>2025</x:v>
      </x:c>
      <x:c r="E501"/>
      <x:c r="F501" t="str">
        <x:v>23957/25/CBMP-HN</x:v>
      </x:c>
      <x:c r="G501"/>
      <x:c r="H501" t="str">
        <x:v>Melasma sun shield</x:v>
      </x:c>
      <x:c r="I501"/>
      <x:c r="J501" t="str">
        <x:v>Khác</x:v>
      </x:c>
      <x:c r="K501"/>
      <x:c r="L501" t="str">
        <x:v>Công ty CP Dịch vụ Thương mại TLG Việt Nam</x:v>
      </x:c>
      <x:c r="M501"/>
      <x:c r="N501" t="str">
        <x:v>Công ty TNHH mỹ phẩm Việt Hương</x:v>
      </x:c>
      <x:c r="O501" t="str">
        <x:v>Đình chỉ lưu hành, thu hồi và tiêu hủy – Công văn 1772/QLD-MP</x:v>
      </x:c>
      <x:c r="P501" t="str">
        <x:v>A++ – Cục Quản lý Dược; tổ chức chịu trách nhiệm explicit</x:v>
      </x:c>
      <x:c r="Q501" t="str">
        <x:v>Phụ lục 511 sản phẩm, STT 429, trang 14. Công ty Việt Hương là cơ sở sản xuất; cột tổ chức chịu trách nhiệm lấy nguyên văn từ phụ lục.</x:v>
      </x:c>
      <x:c r="R501" t="str">
        <x:v>https://dav.gov.vn/cong-van-so-1772qld-mp-ve-viec-dinh-chi-luu-hanh-thu-hoi-va-tieu-huy-my-pham-vi-pham-cong-ty-tnhh-my-pham-viet-huong-n5334.html</x:v>
      </x:c>
      <x:c r="S501" t="str">
        <x:v>Hà Nội</x:v>
      </x:c>
      <x:c r="T501" t="str">
        <x:v>01</x:v>
      </x:c>
    </x:row>
    <x:row r="502">
      <x:c r="A502" t="n">
        <x:v>501</x:v>
      </x:c>
      <x:c r="B502" s="330"/>
      <x:c r="C502" s="330" t="n">
        <x:v>46155</x:v>
      </x:c>
      <x:c r="D502" t="n">
        <x:v>2025</x:v>
      </x:c>
      <x:c r="E502"/>
      <x:c r="F502" t="str">
        <x:v>23958/25/CBMP-HN</x:v>
      </x:c>
      <x:c r="G502"/>
      <x:c r="H502" t="str">
        <x:v>Melasma milky</x:v>
      </x:c>
      <x:c r="I502"/>
      <x:c r="J502" t="str">
        <x:v>Khác</x:v>
      </x:c>
      <x:c r="K502"/>
      <x:c r="L502" t="str">
        <x:v>Công ty CP Dịch vụ Thương mại TLG Việt Nam</x:v>
      </x:c>
      <x:c r="M502"/>
      <x:c r="N502" t="str">
        <x:v>Công ty TNHH mỹ phẩm Việt Hương</x:v>
      </x:c>
      <x:c r="O502" t="str">
        <x:v>Đình chỉ lưu hành, thu hồi và tiêu hủy – Công văn 1772/QLD-MP</x:v>
      </x:c>
      <x:c r="P502" t="str">
        <x:v>A++ – Cục Quản lý Dược; tổ chức chịu trách nhiệm explicit</x:v>
      </x:c>
      <x:c r="Q502" t="str">
        <x:v>Phụ lục 511 sản phẩm, STT 430, trang 14. Công ty Việt Hương là cơ sở sản xuất; cột tổ chức chịu trách nhiệm lấy nguyên văn từ phụ lục.</x:v>
      </x:c>
      <x:c r="R502" t="str">
        <x:v>https://dav.gov.vn/cong-van-so-1772qld-mp-ve-viec-dinh-chi-luu-hanh-thu-hoi-va-tieu-huy-my-pham-vi-pham-cong-ty-tnhh-my-pham-viet-huong-n5334.html</x:v>
      </x:c>
      <x:c r="S502" t="str">
        <x:v>Hà Nội</x:v>
      </x:c>
      <x:c r="T502" t="str">
        <x:v>01</x:v>
      </x:c>
    </x:row>
    <x:row r="503">
      <x:c r="A503" t="n">
        <x:v>502</x:v>
      </x:c>
      <x:c r="B503" s="330"/>
      <x:c r="C503" s="330" t="n">
        <x:v>46155</x:v>
      </x:c>
      <x:c r="D503" t="n">
        <x:v>2025</x:v>
      </x:c>
      <x:c r="E503"/>
      <x:c r="F503" t="str">
        <x:v>24077/25/CBMP-HN</x:v>
      </x:c>
      <x:c r="G503"/>
      <x:c r="H503" t="str">
        <x:v>Oli lab</x:v>
      </x:c>
      <x:c r="I503"/>
      <x:c r="J503" t="str">
        <x:v>Khác</x:v>
      </x:c>
      <x:c r="K503"/>
      <x:c r="L503" t="str">
        <x:v>Công ty CP Dịch vụ Thương mại TLG Việt Nam</x:v>
      </x:c>
      <x:c r="M503"/>
      <x:c r="N503" t="str">
        <x:v>Công ty TNHH mỹ phẩm Việt Hương</x:v>
      </x:c>
      <x:c r="O503" t="str">
        <x:v>Đình chỉ lưu hành, thu hồi và tiêu hủy – Công văn 1772/QLD-MP</x:v>
      </x:c>
      <x:c r="P503" t="str">
        <x:v>A++ – Cục Quản lý Dược; tổ chức chịu trách nhiệm explicit</x:v>
      </x:c>
      <x:c r="Q503" t="str">
        <x:v>Phụ lục 511 sản phẩm, STT 431, trang 14. Công ty Việt Hương là cơ sở sản xuất; cột tổ chức chịu trách nhiệm lấy nguyên văn từ phụ lục.</x:v>
      </x:c>
      <x:c r="R503" t="str">
        <x:v>https://dav.gov.vn/cong-van-so-1772qld-mp-ve-viec-dinh-chi-luu-hanh-thu-hoi-va-tieu-huy-my-pham-vi-pham-cong-ty-tnhh-my-pham-viet-huong-n5334.html</x:v>
      </x:c>
      <x:c r="S503" t="str">
        <x:v>Hà Nội</x:v>
      </x:c>
      <x:c r="T503" t="str">
        <x:v>01</x:v>
      </x:c>
    </x:row>
    <x:row r="504">
      <x:c r="A504" t="n">
        <x:v>503</x:v>
      </x:c>
      <x:c r="B504" s="330"/>
      <x:c r="C504" s="330" t="n">
        <x:v>46155</x:v>
      </x:c>
      <x:c r="D504" t="n">
        <x:v>2025</x:v>
      </x:c>
      <x:c r="E504"/>
      <x:c r="F504" t="str">
        <x:v>24477/25/CBMP-HN</x:v>
      </x:c>
      <x:c r="G504"/>
      <x:c r="H504" t="str">
        <x:v>Ola lab</x:v>
      </x:c>
      <x:c r="I504"/>
      <x:c r="J504" t="str">
        <x:v>Khác</x:v>
      </x:c>
      <x:c r="K504"/>
      <x:c r="L504" t="str">
        <x:v>Công ty CP Dịch vụ Thương mại TLG Việt Nam</x:v>
      </x:c>
      <x:c r="M504"/>
      <x:c r="N504" t="str">
        <x:v>Công ty TNHH mỹ phẩm Việt Hương</x:v>
      </x:c>
      <x:c r="O504" t="str">
        <x:v>Đình chỉ lưu hành, thu hồi và tiêu hủy – Công văn 1772/QLD-MP</x:v>
      </x:c>
      <x:c r="P504" t="str">
        <x:v>A++ – Cục Quản lý Dược; tổ chức chịu trách nhiệm explicit</x:v>
      </x:c>
      <x:c r="Q504" t="str">
        <x:v>Phụ lục 511 sản phẩm, STT 432, trang 14. Công ty Việt Hương là cơ sở sản xuất; cột tổ chức chịu trách nhiệm lấy nguyên văn từ phụ lục.</x:v>
      </x:c>
      <x:c r="R504" t="str">
        <x:v>https://dav.gov.vn/cong-van-so-1772qld-mp-ve-viec-dinh-chi-luu-hanh-thu-hoi-va-tieu-huy-my-pham-vi-pham-cong-ty-tnhh-my-pham-viet-huong-n5334.html</x:v>
      </x:c>
      <x:c r="S504" t="str">
        <x:v>Hà Nội</x:v>
      </x:c>
      <x:c r="T504" t="str">
        <x:v>01</x:v>
      </x:c>
    </x:row>
    <x:row r="505">
      <x:c r="A505" t="n">
        <x:v>504</x:v>
      </x:c>
      <x:c r="B505" s="330"/>
      <x:c r="C505" s="330" t="n">
        <x:v>46155</x:v>
      </x:c>
      <x:c r="D505" t="n">
        <x:v>2024</x:v>
      </x:c>
      <x:c r="E505"/>
      <x:c r="F505" t="str">
        <x:v>22649/24/CBMP-HN</x:v>
      </x:c>
      <x:c r="G505"/>
      <x:c r="H505" t="str">
        <x:v>Sữa tắm trẻ em</x:v>
      </x:c>
      <x:c r="I505"/>
      <x:c r="J505" t="str">
        <x:v>Sữa tắm/Gel tắm</x:v>
      </x:c>
      <x:c r="K505"/>
      <x:c r="L505" t="str">
        <x:v>Công ty TNHH Quốc tế Bebino</x:v>
      </x:c>
      <x:c r="M505"/>
      <x:c r="N505" t="str">
        <x:v>Công ty TNHH mỹ phẩm Việt Hương</x:v>
      </x:c>
      <x:c r="O505" t="str">
        <x:v>Đình chỉ lưu hành, thu hồi và tiêu hủy – Công văn 1772/QLD-MP</x:v>
      </x:c>
      <x:c r="P505" t="str">
        <x:v>A++ – Cục Quản lý Dược; tổ chức chịu trách nhiệm explicit</x:v>
      </x:c>
      <x:c r="Q505" t="str">
        <x:v>Phụ lục 511 sản phẩm, STT 433, trang 14. Công ty Việt Hương là cơ sở sản xuất; cột tổ chức chịu trách nhiệm lấy nguyên văn từ phụ lục.</x:v>
      </x:c>
      <x:c r="R505" t="str">
        <x:v>https://dav.gov.vn/cong-van-so-1772qld-mp-ve-viec-dinh-chi-luu-hanh-thu-hoi-va-tieu-huy-my-pham-vi-pham-cong-ty-tnhh-my-pham-viet-huong-n5334.html</x:v>
      </x:c>
      <x:c r="S505" t="str">
        <x:v>Hà Nội</x:v>
      </x:c>
      <x:c r="T505" t="str">
        <x:v>01</x:v>
      </x:c>
    </x:row>
    <x:row r="506">
      <x:c r="A506" t="n">
        <x:v>505</x:v>
      </x:c>
      <x:c r="B506" s="330"/>
      <x:c r="C506" s="330" t="n">
        <x:v>46155</x:v>
      </x:c>
      <x:c r="D506" t="n">
        <x:v>2024</x:v>
      </x:c>
      <x:c r="E506"/>
      <x:c r="F506" t="str">
        <x:v>22650/24/CBMP-HN</x:v>
      </x:c>
      <x:c r="G506"/>
      <x:c r="H506" t="str">
        <x:v>Tinh dầu Tràm</x:v>
      </x:c>
      <x:c r="I506"/>
      <x:c r="J506" t="str">
        <x:v>Khác</x:v>
      </x:c>
      <x:c r="K506"/>
      <x:c r="L506" t="str">
        <x:v>Công ty TNHH Quốc tế Bebino</x:v>
      </x:c>
      <x:c r="M506"/>
      <x:c r="N506" t="str">
        <x:v>Công ty TNHH mỹ phẩm Việt Hương</x:v>
      </x:c>
      <x:c r="O506" t="str">
        <x:v>Đình chỉ lưu hành, thu hồi và tiêu hủy – Công văn 1772/QLD-MP</x:v>
      </x:c>
      <x:c r="P506" t="str">
        <x:v>A++ – Cục Quản lý Dược; tổ chức chịu trách nhiệm explicit</x:v>
      </x:c>
      <x:c r="Q506" t="str">
        <x:v>Phụ lục 511 sản phẩm, STT 434, trang 14. Công ty Việt Hương là cơ sở sản xuất; cột tổ chức chịu trách nhiệm lấy nguyên văn từ phụ lục.</x:v>
      </x:c>
      <x:c r="R506" t="str">
        <x:v>https://dav.gov.vn/cong-van-so-1772qld-mp-ve-viec-dinh-chi-luu-hanh-thu-hoi-va-tieu-huy-my-pham-vi-pham-cong-ty-tnhh-my-pham-viet-huong-n5334.html</x:v>
      </x:c>
      <x:c r="S506" t="str">
        <x:v>Hà Nội</x:v>
      </x:c>
      <x:c r="T506" t="str">
        <x:v>01</x:v>
      </x:c>
    </x:row>
    <x:row r="507">
      <x:c r="A507" t="n">
        <x:v>506</x:v>
      </x:c>
      <x:c r="B507" s="330"/>
      <x:c r="C507" s="330" t="n">
        <x:v>46155</x:v>
      </x:c>
      <x:c r="D507" t="n">
        <x:v>2025</x:v>
      </x:c>
      <x:c r="E507"/>
      <x:c r="F507" t="str">
        <x:v>24954/25/CBMP-HN</x:v>
      </x:c>
      <x:c r="G507"/>
      <x:c r="H507" t="str">
        <x:v>Nước tắm bé</x:v>
      </x:c>
      <x:c r="I507"/>
      <x:c r="J507" t="str">
        <x:v>Khác</x:v>
      </x:c>
      <x:c r="K507"/>
      <x:c r="L507" t="str">
        <x:v>Công ty TNHH Quốc tế Bebino</x:v>
      </x:c>
      <x:c r="M507"/>
      <x:c r="N507" t="str">
        <x:v>Công ty TNHH mỹ phẩm Việt Hương</x:v>
      </x:c>
      <x:c r="O507" t="str">
        <x:v>Đình chỉ lưu hành, thu hồi và tiêu hủy – Công văn 1772/QLD-MP</x:v>
      </x:c>
      <x:c r="P507" t="str">
        <x:v>A++ – Cục Quản lý Dược; tổ chức chịu trách nhiệm explicit</x:v>
      </x:c>
      <x:c r="Q507" t="str">
        <x:v>Phụ lục 511 sản phẩm, STT 435, trang 14. Công ty Việt Hương là cơ sở sản xuất; cột tổ chức chịu trách nhiệm lấy nguyên văn từ phụ lục.</x:v>
      </x:c>
      <x:c r="R507" t="str">
        <x:v>https://dav.gov.vn/cong-van-so-1772qld-mp-ve-viec-dinh-chi-luu-hanh-thu-hoi-va-tieu-huy-my-pham-vi-pham-cong-ty-tnhh-my-pham-viet-huong-n5334.html</x:v>
      </x:c>
      <x:c r="S507" t="str">
        <x:v>Hà Nội</x:v>
      </x:c>
      <x:c r="T507" t="str">
        <x:v>01</x:v>
      </x:c>
    </x:row>
    <x:row r="508">
      <x:c r="A508" t="n">
        <x:v>507</x:v>
      </x:c>
      <x:c r="B508" s="330"/>
      <x:c r="C508" s="330" t="n">
        <x:v>46155</x:v>
      </x:c>
      <x:c r="D508" t="n">
        <x:v>2025</x:v>
      </x:c>
      <x:c r="E508"/>
      <x:c r="F508" t="str">
        <x:v>25575/25/CBMP-HN</x:v>
      </x:c>
      <x:c r="G508"/>
      <x:c r="H508" t="str">
        <x:v>Mamababy care oil</x:v>
      </x:c>
      <x:c r="I508"/>
      <x:c r="J508" t="str">
        <x:v>Khác</x:v>
      </x:c>
      <x:c r="K508"/>
      <x:c r="L508" t="str">
        <x:v>Công ty TNHH Quốc tế Bebino</x:v>
      </x:c>
      <x:c r="M508"/>
      <x:c r="N508" t="str">
        <x:v>Công ty TNHH mỹ phẩm Việt Hương</x:v>
      </x:c>
      <x:c r="O508" t="str">
        <x:v>Đình chỉ lưu hành, thu hồi và tiêu hủy – Công văn 1772/QLD-MP</x:v>
      </x:c>
      <x:c r="P508" t="str">
        <x:v>A++ – Cục Quản lý Dược; tổ chức chịu trách nhiệm explicit</x:v>
      </x:c>
      <x:c r="Q508" t="str">
        <x:v>Phụ lục 511 sản phẩm, STT 436, trang 14. Công ty Việt Hương là cơ sở sản xuất; cột tổ chức chịu trách nhiệm lấy nguyên văn từ phụ lục.</x:v>
      </x:c>
      <x:c r="R508" t="str">
        <x:v>https://dav.gov.vn/cong-van-so-1772qld-mp-ve-viec-dinh-chi-luu-hanh-thu-hoi-va-tieu-huy-my-pham-vi-pham-cong-ty-tnhh-my-pham-viet-huong-n5334.html</x:v>
      </x:c>
      <x:c r="S508" t="str">
        <x:v>Hà Nội</x:v>
      </x:c>
      <x:c r="T508" t="str">
        <x:v>01</x:v>
      </x:c>
    </x:row>
    <x:row r="509">
      <x:c r="A509" t="n">
        <x:v>508</x:v>
      </x:c>
      <x:c r="B509" s="330"/>
      <x:c r="C509" s="330" t="n">
        <x:v>46155</x:v>
      </x:c>
      <x:c r="D509" t="n">
        <x:v>2025</x:v>
      </x:c>
      <x:c r="E509"/>
      <x:c r="F509" t="str">
        <x:v>25576/25/CBMP-HN</x:v>
      </x:c>
      <x:c r="G509"/>
      <x:c r="H509" t="str">
        <x:v>Bibicream</x:v>
      </x:c>
      <x:c r="I509"/>
      <x:c r="J509" t="str">
        <x:v>Kem dưỡng da</x:v>
      </x:c>
      <x:c r="K509"/>
      <x:c r="L509" t="str">
        <x:v>Công ty TNHH Quốc tế Bebino</x:v>
      </x:c>
      <x:c r="M509"/>
      <x:c r="N509" t="str">
        <x:v>Công ty TNHH mỹ phẩm Việt Hương</x:v>
      </x:c>
      <x:c r="O509" t="str">
        <x:v>Đình chỉ lưu hành, thu hồi và tiêu hủy – Công văn 1772/QLD-MP</x:v>
      </x:c>
      <x:c r="P509" t="str">
        <x:v>A++ – Cục Quản lý Dược; tổ chức chịu trách nhiệm explicit</x:v>
      </x:c>
      <x:c r="Q509" t="str">
        <x:v>Phụ lục 511 sản phẩm, STT 437, trang 14. Công ty Việt Hương là cơ sở sản xuất; cột tổ chức chịu trách nhiệm lấy nguyên văn từ phụ lục.</x:v>
      </x:c>
      <x:c r="R509" t="str">
        <x:v>https://dav.gov.vn/cong-van-so-1772qld-mp-ve-viec-dinh-chi-luu-hanh-thu-hoi-va-tieu-huy-my-pham-vi-pham-cong-ty-tnhh-my-pham-viet-huong-n5334.html</x:v>
      </x:c>
      <x:c r="S509" t="str">
        <x:v>Hà Nội</x:v>
      </x:c>
      <x:c r="T509" t="str">
        <x:v>01</x:v>
      </x:c>
    </x:row>
    <x:row r="510">
      <x:c r="A510" t="n">
        <x:v>509</x:v>
      </x:c>
      <x:c r="B510" s="330"/>
      <x:c r="C510" s="330" t="n">
        <x:v>46155</x:v>
      </x:c>
      <x:c r="D510" t="n">
        <x:v>2024</x:v>
      </x:c>
      <x:c r="E510"/>
      <x:c r="F510" t="str">
        <x:v>22690/24/CBMP-HN</x:v>
      </x:c>
      <x:c r="G510"/>
      <x:c r="H510" t="str">
        <x:v>Dynamic</x:v>
      </x:c>
      <x:c r="I510"/>
      <x:c r="J510" t="str">
        <x:v>Khác</x:v>
      </x:c>
      <x:c r="K510"/>
      <x:c r="L510" t="str">
        <x:v>Công ty TNHH Achadu Group</x:v>
      </x:c>
      <x:c r="M510"/>
      <x:c r="N510" t="str">
        <x:v>Công ty TNHH mỹ phẩm Việt Hương</x:v>
      </x:c>
      <x:c r="O510" t="str">
        <x:v>Đình chỉ lưu hành, thu hồi và tiêu hủy – Công văn 1772/QLD-MP</x:v>
      </x:c>
      <x:c r="P510" t="str">
        <x:v>A++ – Cục Quản lý Dược; tổ chức chịu trách nhiệm explicit</x:v>
      </x:c>
      <x:c r="Q510" t="str">
        <x:v>Phụ lục 511 sản phẩm, STT 438, trang 14. Công ty Việt Hương là cơ sở sản xuất; cột tổ chức chịu trách nhiệm lấy nguyên văn từ phụ lục.</x:v>
      </x:c>
      <x:c r="R510" t="str">
        <x:v>https://dav.gov.vn/cong-van-so-1772qld-mp-ve-viec-dinh-chi-luu-hanh-thu-hoi-va-tieu-huy-my-pham-vi-pham-cong-ty-tnhh-my-pham-viet-huong-n5334.html</x:v>
      </x:c>
      <x:c r="S510" t="str">
        <x:v>Hà Nội</x:v>
      </x:c>
      <x:c r="T510" t="str">
        <x:v>01</x:v>
      </x:c>
    </x:row>
    <x:row r="511">
      <x:c r="A511" t="n">
        <x:v>510</x:v>
      </x:c>
      <x:c r="B511" s="330"/>
      <x:c r="C511" s="330" t="n">
        <x:v>46155</x:v>
      </x:c>
      <x:c r="D511" t="n">
        <x:v>2024</x:v>
      </x:c>
      <x:c r="E511"/>
      <x:c r="F511" t="str">
        <x:v>22691/24/CBMP-HN</x:v>
      </x:c>
      <x:c r="G511"/>
      <x:c r="H511" t="str">
        <x:v>First Love</x:v>
      </x:c>
      <x:c r="I511"/>
      <x:c r="J511" t="str">
        <x:v>Khác</x:v>
      </x:c>
      <x:c r="K511"/>
      <x:c r="L511" t="str">
        <x:v>Công ty TNHH Achadu Group</x:v>
      </x:c>
      <x:c r="M511"/>
      <x:c r="N511" t="str">
        <x:v>Công ty TNHH mỹ phẩm Việt Hương</x:v>
      </x:c>
      <x:c r="O511" t="str">
        <x:v>Đình chỉ lưu hành, thu hồi và tiêu hủy – Công văn 1772/QLD-MP</x:v>
      </x:c>
      <x:c r="P511" t="str">
        <x:v>A++ – Cục Quản lý Dược; tổ chức chịu trách nhiệm explicit</x:v>
      </x:c>
      <x:c r="Q511" t="str">
        <x:v>Phụ lục 511 sản phẩm, STT 439, trang 14. Công ty Việt Hương là cơ sở sản xuất; cột tổ chức chịu trách nhiệm lấy nguyên văn từ phụ lục.</x:v>
      </x:c>
      <x:c r="R511" t="str">
        <x:v>https://dav.gov.vn/cong-van-so-1772qld-mp-ve-viec-dinh-chi-luu-hanh-thu-hoi-va-tieu-huy-my-pham-vi-pham-cong-ty-tnhh-my-pham-viet-huong-n5334.html</x:v>
      </x:c>
      <x:c r="S511" t="str">
        <x:v>Hà Nội</x:v>
      </x:c>
      <x:c r="T511" t="str">
        <x:v>01</x:v>
      </x:c>
    </x:row>
    <x:row r="512">
      <x:c r="A512" t="n">
        <x:v>511</x:v>
      </x:c>
      <x:c r="B512" s="330"/>
      <x:c r="C512" s="330" t="n">
        <x:v>46155</x:v>
      </x:c>
      <x:c r="D512" t="n">
        <x:v>2024</x:v>
      </x:c>
      <x:c r="E512"/>
      <x:c r="F512" t="str">
        <x:v>22692/24/CBMP-HN</x:v>
      </x:c>
      <x:c r="G512"/>
      <x:c r="H512" t="str">
        <x:v>Honey Date</x:v>
      </x:c>
      <x:c r="I512"/>
      <x:c r="J512" t="str">
        <x:v>Khác</x:v>
      </x:c>
      <x:c r="K512"/>
      <x:c r="L512" t="str">
        <x:v>Công ty TNHH Achadu Group</x:v>
      </x:c>
      <x:c r="M512"/>
      <x:c r="N512" t="str">
        <x:v>Công ty TNHH mỹ phẩm Việt Hương</x:v>
      </x:c>
      <x:c r="O512" t="str">
        <x:v>Đình chỉ lưu hành, thu hồi và tiêu hủy – Công văn 1772/QLD-MP</x:v>
      </x:c>
      <x:c r="P512" t="str">
        <x:v>A++ – Cục Quản lý Dược; tổ chức chịu trách nhiệm explicit</x:v>
      </x:c>
      <x:c r="Q512" t="str">
        <x:v>Phụ lục 511 sản phẩm, STT 440, trang 14. Công ty Việt Hương là cơ sở sản xuất; cột tổ chức chịu trách nhiệm lấy nguyên văn từ phụ lục.</x:v>
      </x:c>
      <x:c r="R512" t="str">
        <x:v>https://dav.gov.vn/cong-van-so-1772qld-mp-ve-viec-dinh-chi-luu-hanh-thu-hoi-va-tieu-huy-my-pham-vi-pham-cong-ty-tnhh-my-pham-viet-huong-n5334.html</x:v>
      </x:c>
      <x:c r="S512" t="str">
        <x:v>Hà Nội</x:v>
      </x:c>
      <x:c r="T512" t="str">
        <x:v>01</x:v>
      </x:c>
    </x:row>
    <x:row r="513">
      <x:c r="A513" t="n">
        <x:v>512</x:v>
      </x:c>
      <x:c r="B513" s="330"/>
      <x:c r="C513" s="330" t="n">
        <x:v>46155</x:v>
      </x:c>
      <x:c r="D513" t="n">
        <x:v>2024</x:v>
      </x:c>
      <x:c r="E513"/>
      <x:c r="F513" t="str">
        <x:v>22693/24/CBMP-HN</x:v>
      </x:c>
      <x:c r="G513"/>
      <x:c r="H513" t="str">
        <x:v>Rose Sexy</x:v>
      </x:c>
      <x:c r="I513"/>
      <x:c r="J513" t="str">
        <x:v>Khác</x:v>
      </x:c>
      <x:c r="K513"/>
      <x:c r="L513" t="str">
        <x:v>Công ty TNHH Achadu Group</x:v>
      </x:c>
      <x:c r="M513"/>
      <x:c r="N513" t="str">
        <x:v>Công ty TNHH mỹ phẩm Việt Hương</x:v>
      </x:c>
      <x:c r="O513" t="str">
        <x:v>Đình chỉ lưu hành, thu hồi và tiêu hủy – Công văn 1772/QLD-MP</x:v>
      </x:c>
      <x:c r="P513" t="str">
        <x:v>A++ – Cục Quản lý Dược; tổ chức chịu trách nhiệm explicit</x:v>
      </x:c>
      <x:c r="Q513" t="str">
        <x:v>Phụ lục 511 sản phẩm, STT 441, trang 14. Công ty Việt Hương là cơ sở sản xuất; cột tổ chức chịu trách nhiệm lấy nguyên văn từ phụ lục.</x:v>
      </x:c>
      <x:c r="R513" t="str">
        <x:v>https://dav.gov.vn/cong-van-so-1772qld-mp-ve-viec-dinh-chi-luu-hanh-thu-hoi-va-tieu-huy-my-pham-vi-pham-cong-ty-tnhh-my-pham-viet-huong-n5334.html</x:v>
      </x:c>
      <x:c r="S513" t="str">
        <x:v>Hà Nội</x:v>
      </x:c>
      <x:c r="T513" t="str">
        <x:v>01</x:v>
      </x:c>
    </x:row>
    <x:row r="514">
      <x:c r="A514" t="n">
        <x:v>513</x:v>
      </x:c>
      <x:c r="B514" s="330"/>
      <x:c r="C514" s="330" t="n">
        <x:v>46155</x:v>
      </x:c>
      <x:c r="D514" t="n">
        <x:v>2024</x:v>
      </x:c>
      <x:c r="E514"/>
      <x:c r="F514" t="str">
        <x:v>22695/24/CBMP-HN</x:v>
      </x:c>
      <x:c r="G514"/>
      <x:c r="H514" t="str">
        <x:v>Creed For Man</x:v>
      </x:c>
      <x:c r="I514"/>
      <x:c r="J514" t="str">
        <x:v>Khác</x:v>
      </x:c>
      <x:c r="K514"/>
      <x:c r="L514" t="str">
        <x:v>Công ty TNHH Achadu Group</x:v>
      </x:c>
      <x:c r="M514"/>
      <x:c r="N514" t="str">
        <x:v>Công ty TNHH mỹ phẩm Việt Hương</x:v>
      </x:c>
      <x:c r="O514" t="str">
        <x:v>Đình chỉ lưu hành, thu hồi và tiêu hủy – Công văn 1772/QLD-MP</x:v>
      </x:c>
      <x:c r="P514" t="str">
        <x:v>A++ – Cục Quản lý Dược; tổ chức chịu trách nhiệm explicit</x:v>
      </x:c>
      <x:c r="Q514" t="str">
        <x:v>Phụ lục 511 sản phẩm, STT 442, trang 14. Công ty Việt Hương là cơ sở sản xuất; cột tổ chức chịu trách nhiệm lấy nguyên văn từ phụ lục.</x:v>
      </x:c>
      <x:c r="R514" t="str">
        <x:v>https://dav.gov.vn/cong-van-so-1772qld-mp-ve-viec-dinh-chi-luu-hanh-thu-hoi-va-tieu-huy-my-pham-vi-pham-cong-ty-tnhh-my-pham-viet-huong-n5334.html</x:v>
      </x:c>
      <x:c r="S514" t="str">
        <x:v>Hà Nội</x:v>
      </x:c>
      <x:c r="T514" t="str">
        <x:v>01</x:v>
      </x:c>
    </x:row>
    <x:row r="515">
      <x:c r="A515" t="n">
        <x:v>514</x:v>
      </x:c>
      <x:c r="B515" s="330"/>
      <x:c r="C515" s="330" t="n">
        <x:v>46155</x:v>
      </x:c>
      <x:c r="D515" t="n">
        <x:v>2024</x:v>
      </x:c>
      <x:c r="E515"/>
      <x:c r="F515" t="str">
        <x:v>22720/24/CBMP-HN</x:v>
      </x:c>
      <x:c r="G515"/>
      <x:c r="H515" t="str">
        <x:v>Gel tẩy da chết Cà Phê</x:v>
      </x:c>
      <x:c r="I515"/>
      <x:c r="J515" t="str">
        <x:v>Khác</x:v>
      </x:c>
      <x:c r="K515"/>
      <x:c r="L515" t="str">
        <x:v>Công ty TNHH Achadu Group</x:v>
      </x:c>
      <x:c r="M515"/>
      <x:c r="N515" t="str">
        <x:v>Công ty TNHH mỹ phẩm Việt Hương</x:v>
      </x:c>
      <x:c r="O515" t="str">
        <x:v>Đình chỉ lưu hành, thu hồi và tiêu hủy – Công văn 1772/QLD-MP</x:v>
      </x:c>
      <x:c r="P515" t="str">
        <x:v>A++ – Cục Quản lý Dược; tổ chức chịu trách nhiệm explicit</x:v>
      </x:c>
      <x:c r="Q515" t="str">
        <x:v>Phụ lục 511 sản phẩm, STT 443, trang 14. Công ty Việt Hương là cơ sở sản xuất; cột tổ chức chịu trách nhiệm lấy nguyên văn từ phụ lục.</x:v>
      </x:c>
      <x:c r="R515" t="str">
        <x:v>https://dav.gov.vn/cong-van-so-1772qld-mp-ve-viec-dinh-chi-luu-hanh-thu-hoi-va-tieu-huy-my-pham-vi-pham-cong-ty-tnhh-my-pham-viet-huong-n5334.html</x:v>
      </x:c>
      <x:c r="S515" t="str">
        <x:v>Hà Nội</x:v>
      </x:c>
      <x:c r="T515" t="str">
        <x:v>01</x:v>
      </x:c>
    </x:row>
    <x:row r="516">
      <x:c r="A516" t="n">
        <x:v>515</x:v>
      </x:c>
      <x:c r="B516" s="330"/>
      <x:c r="C516" s="330" t="n">
        <x:v>46155</x:v>
      </x:c>
      <x:c r="D516" t="n">
        <x:v>2025</x:v>
      </x:c>
      <x:c r="E516"/>
      <x:c r="F516" t="str">
        <x:v>26552/25/CBMP-HN</x:v>
      </x:c>
      <x:c r="G516"/>
      <x:c r="H516" t="str">
        <x:v>GEL TẨY DA CHẾT CÀ PHÊ</x:v>
      </x:c>
      <x:c r="I516"/>
      <x:c r="J516" t="str">
        <x:v>Khác</x:v>
      </x:c>
      <x:c r="K516"/>
      <x:c r="L516" t="str">
        <x:v>Công ty cổ phần sản phẩm thiên nhiên và hữu cơ Ona Global</x:v>
      </x:c>
      <x:c r="M516"/>
      <x:c r="N516" t="str">
        <x:v>Công ty TNHH mỹ phẩm Việt Hương</x:v>
      </x:c>
      <x:c r="O516" t="str">
        <x:v>Đình chỉ lưu hành, thu hồi và tiêu hủy – Công văn 1772/QLD-MP</x:v>
      </x:c>
      <x:c r="P516" t="str">
        <x:v>A++ – Cục Quản lý Dược; tổ chức chịu trách nhiệm explicit</x:v>
      </x:c>
      <x:c r="Q516" t="str">
        <x:v>Phụ lục 511 sản phẩm, STT 444, trang 15. Công ty Việt Hương là cơ sở sản xuất; cột tổ chức chịu trách nhiệm lấy nguyên văn từ phụ lục.</x:v>
      </x:c>
      <x:c r="R516" t="str">
        <x:v>https://dav.gov.vn/cong-van-so-1772qld-mp-ve-viec-dinh-chi-luu-hanh-thu-hoi-va-tieu-huy-my-pham-vi-pham-cong-ty-tnhh-my-pham-viet-huong-n5334.html</x:v>
      </x:c>
      <x:c r="S516" t="str">
        <x:v>Hà Nội</x:v>
      </x:c>
      <x:c r="T516" t="str">
        <x:v>01</x:v>
      </x:c>
    </x:row>
    <x:row r="517">
      <x:c r="A517" t="n">
        <x:v>516</x:v>
      </x:c>
      <x:c r="B517" s="330"/>
      <x:c r="C517" s="330" t="n">
        <x:v>46155</x:v>
      </x:c>
      <x:c r="D517" t="n">
        <x:v>2024</x:v>
      </x:c>
      <x:c r="E517"/>
      <x:c r="F517" t="str">
        <x:v>22923/24/CBMP-HN</x:v>
      </x:c>
      <x:c r="G517"/>
      <x:c r="H517" t="str">
        <x:v>Armpit Plus Serum</x:v>
      </x:c>
      <x:c r="I517"/>
      <x:c r="J517" t="str">
        <x:v>Serum/Essence da</x:v>
      </x:c>
      <x:c r="K517"/>
      <x:c r="L517" t="str">
        <x:v>Hộ kinh doanh Nhật Minh</x:v>
      </x:c>
      <x:c r="M517"/>
      <x:c r="N517" t="str">
        <x:v>Công ty TNHH mỹ phẩm Việt Hương</x:v>
      </x:c>
      <x:c r="O517" t="str">
        <x:v>Đình chỉ lưu hành, thu hồi và tiêu hủy – Công văn 1772/QLD-MP</x:v>
      </x:c>
      <x:c r="P517" t="str">
        <x:v>A++ – Cục Quản lý Dược; tổ chức chịu trách nhiệm explicit</x:v>
      </x:c>
      <x:c r="Q517" t="str">
        <x:v>Phụ lục 511 sản phẩm, STT 445, trang 15. Công ty Việt Hương là cơ sở sản xuất; cột tổ chức chịu trách nhiệm lấy nguyên văn từ phụ lục.</x:v>
      </x:c>
      <x:c r="R517" t="str">
        <x:v>https://dav.gov.vn/cong-van-so-1772qld-mp-ve-viec-dinh-chi-luu-hanh-thu-hoi-va-tieu-huy-my-pham-vi-pham-cong-ty-tnhh-my-pham-viet-huong-n5334.html</x:v>
      </x:c>
      <x:c r="S517" t="str">
        <x:v>Hà Nội</x:v>
      </x:c>
      <x:c r="T517" t="str">
        <x:v>01</x:v>
      </x:c>
    </x:row>
    <x:row r="518">
      <x:c r="A518" t="n">
        <x:v>517</x:v>
      </x:c>
      <x:c r="B518" s="330"/>
      <x:c r="C518" s="330" t="n">
        <x:v>46155</x:v>
      </x:c>
      <x:c r="D518" t="n">
        <x:v>2025</x:v>
      </x:c>
      <x:c r="E518"/>
      <x:c r="F518" t="str">
        <x:v>23139/25/CBMP-HN</x:v>
      </x:c>
      <x:c r="G518"/>
      <x:c r="H518" t="str">
        <x:v>Red sin</x:v>
      </x:c>
      <x:c r="I518"/>
      <x:c r="J518" t="str">
        <x:v>Khác</x:v>
      </x:c>
      <x:c r="K518"/>
      <x:c r="L518" t="str">
        <x:v>Công ty TNHH Đầu tư thương mại Gen Global</x:v>
      </x:c>
      <x:c r="M518"/>
      <x:c r="N518" t="str">
        <x:v>Công ty TNHH mỹ phẩm Việt Hương</x:v>
      </x:c>
      <x:c r="O518" t="str">
        <x:v>Đình chỉ lưu hành, thu hồi và tiêu hủy – Công văn 1772/QLD-MP</x:v>
      </x:c>
      <x:c r="P518" t="str">
        <x:v>A++ – Cục Quản lý Dược; tổ chức chịu trách nhiệm explicit</x:v>
      </x:c>
      <x:c r="Q518" t="str">
        <x:v>Phụ lục 511 sản phẩm, STT 446, trang 15. Công ty Việt Hương là cơ sở sản xuất; cột tổ chức chịu trách nhiệm lấy nguyên văn từ phụ lục.</x:v>
      </x:c>
      <x:c r="R518" t="str">
        <x:v>https://dav.gov.vn/cong-van-so-1772qld-mp-ve-viec-dinh-chi-luu-hanh-thu-hoi-va-tieu-huy-my-pham-vi-pham-cong-ty-tnhh-my-pham-viet-huong-n5334.html</x:v>
      </x:c>
      <x:c r="S518" t="str">
        <x:v>Hà Nội</x:v>
      </x:c>
      <x:c r="T518" t="str">
        <x:v>01</x:v>
      </x:c>
    </x:row>
    <x:row r="519">
      <x:c r="A519" t="n">
        <x:v>518</x:v>
      </x:c>
      <x:c r="B519" s="330"/>
      <x:c r="C519" s="330" t="n">
        <x:v>46155</x:v>
      </x:c>
      <x:c r="D519" t="n">
        <x:v>2025</x:v>
      </x:c>
      <x:c r="E519"/>
      <x:c r="F519" t="str">
        <x:v>23140/25/CBMP-HN</x:v>
      </x:c>
      <x:c r="G519"/>
      <x:c r="H519" t="str">
        <x:v>Sinful breeze</x:v>
      </x:c>
      <x:c r="I519"/>
      <x:c r="J519" t="str">
        <x:v>Khác</x:v>
      </x:c>
      <x:c r="K519"/>
      <x:c r="L519" t="str">
        <x:v>Công ty TNHH Đầu tư thương mại Gen Global</x:v>
      </x:c>
      <x:c r="M519"/>
      <x:c r="N519" t="str">
        <x:v>Công ty TNHH mỹ phẩm Việt Hương</x:v>
      </x:c>
      <x:c r="O519" t="str">
        <x:v>Đình chỉ lưu hành, thu hồi và tiêu hủy – Công văn 1772/QLD-MP</x:v>
      </x:c>
      <x:c r="P519" t="str">
        <x:v>A++ – Cục Quản lý Dược; tổ chức chịu trách nhiệm explicit</x:v>
      </x:c>
      <x:c r="Q519" t="str">
        <x:v>Phụ lục 511 sản phẩm, STT 447, trang 15. Công ty Việt Hương là cơ sở sản xuất; cột tổ chức chịu trách nhiệm lấy nguyên văn từ phụ lục.</x:v>
      </x:c>
      <x:c r="R519" t="str">
        <x:v>https://dav.gov.vn/cong-van-so-1772qld-mp-ve-viec-dinh-chi-luu-hanh-thu-hoi-va-tieu-huy-my-pham-vi-pham-cong-ty-tnhh-my-pham-viet-huong-n5334.html</x:v>
      </x:c>
      <x:c r="S519" t="str">
        <x:v>Hà Nội</x:v>
      </x:c>
      <x:c r="T519" t="str">
        <x:v>01</x:v>
      </x:c>
    </x:row>
    <x:row r="520">
      <x:c r="A520" t="n">
        <x:v>519</x:v>
      </x:c>
      <x:c r="B520" s="330"/>
      <x:c r="C520" s="330" t="n">
        <x:v>46155</x:v>
      </x:c>
      <x:c r="D520" t="n">
        <x:v>2025</x:v>
      </x:c>
      <x:c r="E520"/>
      <x:c r="F520" t="str">
        <x:v>23141/25/CBMP-HN</x:v>
      </x:c>
      <x:c r="G520"/>
      <x:c r="H520" t="str">
        <x:v>Lust of life</x:v>
      </x:c>
      <x:c r="I520"/>
      <x:c r="J520" t="str">
        <x:v>Khác</x:v>
      </x:c>
      <x:c r="K520"/>
      <x:c r="L520" t="str">
        <x:v>Công ty TNHH Đầu tư thương mại Gen Global</x:v>
      </x:c>
      <x:c r="M520"/>
      <x:c r="N520" t="str">
        <x:v>Công ty TNHH mỹ phẩm Việt Hương</x:v>
      </x:c>
      <x:c r="O520" t="str">
        <x:v>Đình chỉ lưu hành, thu hồi và tiêu hủy – Công văn 1772/QLD-MP</x:v>
      </x:c>
      <x:c r="P520" t="str">
        <x:v>A++ – Cục Quản lý Dược; tổ chức chịu trách nhiệm explicit</x:v>
      </x:c>
      <x:c r="Q520" t="str">
        <x:v>Phụ lục 511 sản phẩm, STT 448, trang 15. Công ty Việt Hương là cơ sở sản xuất; cột tổ chức chịu trách nhiệm lấy nguyên văn từ phụ lục.</x:v>
      </x:c>
      <x:c r="R520" t="str">
        <x:v>https://dav.gov.vn/cong-van-so-1772qld-mp-ve-viec-dinh-chi-luu-hanh-thu-hoi-va-tieu-huy-my-pham-vi-pham-cong-ty-tnhh-my-pham-viet-huong-n5334.html</x:v>
      </x:c>
      <x:c r="S520" t="str">
        <x:v>Hà Nội</x:v>
      </x:c>
      <x:c r="T520" t="str">
        <x:v>01</x:v>
      </x:c>
    </x:row>
    <x:row r="521">
      <x:c r="A521" t="n">
        <x:v>520</x:v>
      </x:c>
      <x:c r="B521" s="330"/>
      <x:c r="C521" s="330" t="n">
        <x:v>46155</x:v>
      </x:c>
      <x:c r="D521" t="n">
        <x:v>2025</x:v>
      </x:c>
      <x:c r="E521"/>
      <x:c r="F521" t="str">
        <x:v>23142/25/CBMP-HN</x:v>
      </x:c>
      <x:c r="G521"/>
      <x:c r="H521" t="str">
        <x:v>Blue murmur</x:v>
      </x:c>
      <x:c r="I521"/>
      <x:c r="J521" t="str">
        <x:v>Khác</x:v>
      </x:c>
      <x:c r="K521"/>
      <x:c r="L521" t="str">
        <x:v>Công ty TNHH Đầu tư thương mại Gen Global</x:v>
      </x:c>
      <x:c r="M521"/>
      <x:c r="N521" t="str">
        <x:v>Công ty TNHH mỹ phẩm Việt Hương</x:v>
      </x:c>
      <x:c r="O521" t="str">
        <x:v>Đình chỉ lưu hành, thu hồi và tiêu hủy – Công văn 1772/QLD-MP</x:v>
      </x:c>
      <x:c r="P521" t="str">
        <x:v>A++ – Cục Quản lý Dược; tổ chức chịu trách nhiệm explicit</x:v>
      </x:c>
      <x:c r="Q521" t="str">
        <x:v>Phụ lục 511 sản phẩm, STT 449, trang 15. Công ty Việt Hương là cơ sở sản xuất; cột tổ chức chịu trách nhiệm lấy nguyên văn từ phụ lục.</x:v>
      </x:c>
      <x:c r="R521" t="str">
        <x:v>https://dav.gov.vn/cong-van-so-1772qld-mp-ve-viec-dinh-chi-luu-hanh-thu-hoi-va-tieu-huy-my-pham-vi-pham-cong-ty-tnhh-my-pham-viet-huong-n5334.html</x:v>
      </x:c>
      <x:c r="S521" t="str">
        <x:v>Hà Nội</x:v>
      </x:c>
      <x:c r="T521" t="str">
        <x:v>01</x:v>
      </x:c>
    </x:row>
    <x:row r="522">
      <x:c r="A522" t="n">
        <x:v>521</x:v>
      </x:c>
      <x:c r="B522" s="330"/>
      <x:c r="C522" s="330" t="n">
        <x:v>46155</x:v>
      </x:c>
      <x:c r="D522" t="n">
        <x:v>2025</x:v>
      </x:c>
      <x:c r="E522"/>
      <x:c r="F522" t="str">
        <x:v>23143/25/CBMP-HN</x:v>
      </x:c>
      <x:c r="G522"/>
      <x:c r="H522" t="str">
        <x:v>Bare skin</x:v>
      </x:c>
      <x:c r="I522"/>
      <x:c r="J522" t="str">
        <x:v>Khác</x:v>
      </x:c>
      <x:c r="K522"/>
      <x:c r="L522" t="str">
        <x:v>Công ty TNHH Đầu tư thương mại Gen Global</x:v>
      </x:c>
      <x:c r="M522"/>
      <x:c r="N522" t="str">
        <x:v>Công ty TNHH mỹ phẩm Việt Hương</x:v>
      </x:c>
      <x:c r="O522" t="str">
        <x:v>Đình chỉ lưu hành, thu hồi và tiêu hủy – Công văn 1772/QLD-MP</x:v>
      </x:c>
      <x:c r="P522" t="str">
        <x:v>A++ – Cục Quản lý Dược; tổ chức chịu trách nhiệm explicit</x:v>
      </x:c>
      <x:c r="Q522" t="str">
        <x:v>Phụ lục 511 sản phẩm, STT 450, trang 15. Công ty Việt Hương là cơ sở sản xuất; cột tổ chức chịu trách nhiệm lấy nguyên văn từ phụ lục.</x:v>
      </x:c>
      <x:c r="R522" t="str">
        <x:v>https://dav.gov.vn/cong-van-so-1772qld-mp-ve-viec-dinh-chi-luu-hanh-thu-hoi-va-tieu-huy-my-pham-vi-pham-cong-ty-tnhh-my-pham-viet-huong-n5334.html</x:v>
      </x:c>
      <x:c r="S522" t="str">
        <x:v>Hà Nội</x:v>
      </x:c>
      <x:c r="T522" t="str">
        <x:v>01</x:v>
      </x:c>
    </x:row>
    <x:row r="523">
      <x:c r="A523" t="n">
        <x:v>522</x:v>
      </x:c>
      <x:c r="B523" s="330"/>
      <x:c r="C523" s="330" t="n">
        <x:v>46155</x:v>
      </x:c>
      <x:c r="D523" t="n">
        <x:v>2025</x:v>
      </x:c>
      <x:c r="E523"/>
      <x:c r="F523" t="str">
        <x:v>23144/25/CBMP-HN</x:v>
      </x:c>
      <x:c r="G523"/>
      <x:c r="H523" t="str">
        <x:v>Venom</x:v>
      </x:c>
      <x:c r="I523"/>
      <x:c r="J523" t="str">
        <x:v>Khác</x:v>
      </x:c>
      <x:c r="K523"/>
      <x:c r="L523" t="str">
        <x:v>Công ty TNHH Đầu tư thương mại Gen Global</x:v>
      </x:c>
      <x:c r="M523"/>
      <x:c r="N523" t="str">
        <x:v>Công ty TNHH mỹ phẩm Việt Hương</x:v>
      </x:c>
      <x:c r="O523" t="str">
        <x:v>Đình chỉ lưu hành, thu hồi và tiêu hủy – Công văn 1772/QLD-MP</x:v>
      </x:c>
      <x:c r="P523" t="str">
        <x:v>A++ – Cục Quản lý Dược; tổ chức chịu trách nhiệm explicit</x:v>
      </x:c>
      <x:c r="Q523" t="str">
        <x:v>Phụ lục 511 sản phẩm, STT 451, trang 15. Công ty Việt Hương là cơ sở sản xuất; cột tổ chức chịu trách nhiệm lấy nguyên văn từ phụ lục.</x:v>
      </x:c>
      <x:c r="R523" t="str">
        <x:v>https://dav.gov.vn/cong-van-so-1772qld-mp-ve-viec-dinh-chi-luu-hanh-thu-hoi-va-tieu-huy-my-pham-vi-pham-cong-ty-tnhh-my-pham-viet-huong-n5334.html</x:v>
      </x:c>
      <x:c r="S523" t="str">
        <x:v>Hà Nội</x:v>
      </x:c>
      <x:c r="T523" t="str">
        <x:v>01</x:v>
      </x:c>
    </x:row>
    <x:row r="524">
      <x:c r="A524" t="n">
        <x:v>523</x:v>
      </x:c>
      <x:c r="B524" s="330"/>
      <x:c r="C524" s="330" t="n">
        <x:v>46155</x:v>
      </x:c>
      <x:c r="D524" t="n">
        <x:v>2025</x:v>
      </x:c>
      <x:c r="E524"/>
      <x:c r="F524" t="str">
        <x:v>23145/25/CBMP-HN</x:v>
      </x:c>
      <x:c r="G524"/>
      <x:c r="H524" t="str">
        <x:v>Cloud luxe</x:v>
      </x:c>
      <x:c r="I524"/>
      <x:c r="J524" t="str">
        <x:v>Khác</x:v>
      </x:c>
      <x:c r="K524"/>
      <x:c r="L524" t="str">
        <x:v>Công ty TNHH Đầu tư thương mại Gen Global</x:v>
      </x:c>
      <x:c r="M524"/>
      <x:c r="N524" t="str">
        <x:v>Công ty TNHH mỹ phẩm Việt Hương</x:v>
      </x:c>
      <x:c r="O524" t="str">
        <x:v>Đình chỉ lưu hành, thu hồi và tiêu hủy – Công văn 1772/QLD-MP</x:v>
      </x:c>
      <x:c r="P524" t="str">
        <x:v>A++ – Cục Quản lý Dược; tổ chức chịu trách nhiệm explicit</x:v>
      </x:c>
      <x:c r="Q524" t="str">
        <x:v>Phụ lục 511 sản phẩm, STT 452, trang 15. Công ty Việt Hương là cơ sở sản xuất; cột tổ chức chịu trách nhiệm lấy nguyên văn từ phụ lục.</x:v>
      </x:c>
      <x:c r="R524" t="str">
        <x:v>https://dav.gov.vn/cong-van-so-1772qld-mp-ve-viec-dinh-chi-luu-hanh-thu-hoi-va-tieu-huy-my-pham-vi-pham-cong-ty-tnhh-my-pham-viet-huong-n5334.html</x:v>
      </x:c>
      <x:c r="S524" t="str">
        <x:v>Hà Nội</x:v>
      </x:c>
      <x:c r="T524" t="str">
        <x:v>01</x:v>
      </x:c>
    </x:row>
    <x:row r="525">
      <x:c r="A525" t="n">
        <x:v>524</x:v>
      </x:c>
      <x:c r="B525" s="330"/>
      <x:c r="C525" s="330" t="n">
        <x:v>46155</x:v>
      </x:c>
      <x:c r="D525" t="n">
        <x:v>2025</x:v>
      </x:c>
      <x:c r="E525"/>
      <x:c r="F525" t="str">
        <x:v>23359/25/CBMP-HN</x:v>
      </x:c>
      <x:c r="G525"/>
      <x:c r="H525" t="str">
        <x:v>Morning glow</x:v>
      </x:c>
      <x:c r="I525"/>
      <x:c r="J525" t="str">
        <x:v>Khác</x:v>
      </x:c>
      <x:c r="K525"/>
      <x:c r="L525" t="str">
        <x:v>Công ty TNHH đầu tư và phát triển thương mại Hòa Anh</x:v>
      </x:c>
      <x:c r="M525"/>
      <x:c r="N525" t="str">
        <x:v>Công ty TNHH mỹ phẩm Việt Hương</x:v>
      </x:c>
      <x:c r="O525" t="str">
        <x:v>Đình chỉ lưu hành, thu hồi và tiêu hủy – Công văn 1772/QLD-MP</x:v>
      </x:c>
      <x:c r="P525" t="str">
        <x:v>A++ – Cục Quản lý Dược; tổ chức chịu trách nhiệm explicit</x:v>
      </x:c>
      <x:c r="Q525" t="str">
        <x:v>Phụ lục 511 sản phẩm, STT 453, trang 15. Công ty Việt Hương là cơ sở sản xuất; cột tổ chức chịu trách nhiệm lấy nguyên văn từ phụ lục.</x:v>
      </x:c>
      <x:c r="R525" t="str">
        <x:v>https://dav.gov.vn/cong-van-so-1772qld-mp-ve-viec-dinh-chi-luu-hanh-thu-hoi-va-tieu-huy-my-pham-vi-pham-cong-ty-tnhh-my-pham-viet-huong-n5334.html</x:v>
      </x:c>
      <x:c r="S525" t="str">
        <x:v>Hà Nội</x:v>
      </x:c>
      <x:c r="T525" t="str">
        <x:v>01</x:v>
      </x:c>
    </x:row>
    <x:row r="526">
      <x:c r="A526" t="n">
        <x:v>525</x:v>
      </x:c>
      <x:c r="B526" s="330"/>
      <x:c r="C526" s="330" t="n">
        <x:v>46155</x:v>
      </x:c>
      <x:c r="D526" t="n">
        <x:v>2026</x:v>
      </x:c>
      <x:c r="E526"/>
      <x:c r="F526" t="str">
        <x:v>26561/26/CBMP-HN</x:v>
      </x:c>
      <x:c r="G526"/>
      <x:c r="H526" t="str">
        <x:v>SPOTLESS GLOW</x:v>
      </x:c>
      <x:c r="I526"/>
      <x:c r="J526" t="str">
        <x:v>Khác</x:v>
      </x:c>
      <x:c r="K526"/>
      <x:c r="L526" t="str">
        <x:v>Công ty TNHH đầu tư và phát triển thương mại Hòa Anh</x:v>
      </x:c>
      <x:c r="M526"/>
      <x:c r="N526" t="str">
        <x:v>Công ty TNHH mỹ phẩm Việt Hương</x:v>
      </x:c>
      <x:c r="O526" t="str">
        <x:v>Đình chỉ lưu hành, thu hồi và tiêu hủy – Công văn 1772/QLD-MP</x:v>
      </x:c>
      <x:c r="P526" t="str">
        <x:v>A++ – Cục Quản lý Dược; tổ chức chịu trách nhiệm explicit</x:v>
      </x:c>
      <x:c r="Q526" t="str">
        <x:v>Phụ lục 511 sản phẩm, STT 454, trang 15. Công ty Việt Hương là cơ sở sản xuất; cột tổ chức chịu trách nhiệm lấy nguyên văn từ phụ lục.</x:v>
      </x:c>
      <x:c r="R526" t="str">
        <x:v>https://dav.gov.vn/cong-van-so-1772qld-mp-ve-viec-dinh-chi-luu-hanh-thu-hoi-va-tieu-huy-my-pham-vi-pham-cong-ty-tnhh-my-pham-viet-huong-n5334.html</x:v>
      </x:c>
      <x:c r="S526" t="str">
        <x:v>Hà Nội</x:v>
      </x:c>
      <x:c r="T526" t="str">
        <x:v>01</x:v>
      </x:c>
    </x:row>
    <x:row r="527">
      <x:c r="A527" t="n">
        <x:v>526</x:v>
      </x:c>
      <x:c r="B527" s="330"/>
      <x:c r="C527" s="330" t="n">
        <x:v>46155</x:v>
      </x:c>
      <x:c r="D527" t="n">
        <x:v>2025</x:v>
      </x:c>
      <x:c r="E527"/>
      <x:c r="F527" t="str">
        <x:v>23669/25/CBMP-HN</x:v>
      </x:c>
      <x:c r="G527"/>
      <x:c r="H527" t="str">
        <x:v>Soft kiss makeup remover</x:v>
      </x:c>
      <x:c r="I527"/>
      <x:c r="J527" t="str">
        <x:v>Tẩy trang</x:v>
      </x:c>
      <x:c r="K527"/>
      <x:c r="L527" t="str">
        <x:v>Công ty TNHH đầu tư thương mại The gen global</x:v>
      </x:c>
      <x:c r="M527"/>
      <x:c r="N527" t="str">
        <x:v>Công ty TNHH mỹ phẩm Việt Hương</x:v>
      </x:c>
      <x:c r="O527" t="str">
        <x:v>Đình chỉ lưu hành, thu hồi và tiêu hủy – Công văn 1772/QLD-MP</x:v>
      </x:c>
      <x:c r="P527" t="str">
        <x:v>A++ – Cục Quản lý Dược; tổ chức chịu trách nhiệm explicit</x:v>
      </x:c>
      <x:c r="Q527" t="str">
        <x:v>Phụ lục 511 sản phẩm, STT 455, trang 15. Công ty Việt Hương là cơ sở sản xuất; cột tổ chức chịu trách nhiệm lấy nguyên văn từ phụ lục.</x:v>
      </x:c>
      <x:c r="R527" t="str">
        <x:v>https://dav.gov.vn/cong-van-so-1772qld-mp-ve-viec-dinh-chi-luu-hanh-thu-hoi-va-tieu-huy-my-pham-vi-pham-cong-ty-tnhh-my-pham-viet-huong-n5334.html</x:v>
      </x:c>
      <x:c r="S527" t="str">
        <x:v>Hà Nội</x:v>
      </x:c>
      <x:c r="T527" t="str">
        <x:v>01</x:v>
      </x:c>
    </x:row>
    <x:row r="528">
      <x:c r="A528" t="n">
        <x:v>527</x:v>
      </x:c>
      <x:c r="B528" s="330"/>
      <x:c r="C528" s="330" t="n">
        <x:v>46155</x:v>
      </x:c>
      <x:c r="D528" t="n">
        <x:v>2025</x:v>
      </x:c>
      <x:c r="E528"/>
      <x:c r="F528" t="str">
        <x:v>23745/25/CBMP-HN</x:v>
      </x:c>
      <x:c r="G528"/>
      <x:c r="H528" t="str">
        <x:v>Perfect facial cleanser</x:v>
      </x:c>
      <x:c r="I528"/>
      <x:c r="J528" t="str">
        <x:v>Sữa rửa mặt</x:v>
      </x:c>
      <x:c r="K528"/>
      <x:c r="L528" t="str">
        <x:v>Công ty TNHH MTV Polyco solutions</x:v>
      </x:c>
      <x:c r="M528"/>
      <x:c r="N528" t="str">
        <x:v>Công ty TNHH mỹ phẩm Việt Hương</x:v>
      </x:c>
      <x:c r="O528" t="str">
        <x:v>Đình chỉ lưu hành, thu hồi và tiêu hủy – Công văn 1772/QLD-MP</x:v>
      </x:c>
      <x:c r="P528" t="str">
        <x:v>A++ – Cục Quản lý Dược; tổ chức chịu trách nhiệm explicit</x:v>
      </x:c>
      <x:c r="Q528" t="str">
        <x:v>Phụ lục 511 sản phẩm, STT 456, trang 15. Công ty Việt Hương là cơ sở sản xuất; cột tổ chức chịu trách nhiệm lấy nguyên văn từ phụ lục.</x:v>
      </x:c>
      <x:c r="R528" t="str">
        <x:v>https://dav.gov.vn/cong-van-so-1772qld-mp-ve-viec-dinh-chi-luu-hanh-thu-hoi-va-tieu-huy-my-pham-vi-pham-cong-ty-tnhh-my-pham-viet-huong-n5334.html</x:v>
      </x:c>
      <x:c r="S528" t="str">
        <x:v>Hà Nội</x:v>
      </x:c>
      <x:c r="T528" t="str">
        <x:v>01</x:v>
      </x:c>
    </x:row>
    <x:row r="529">
      <x:c r="A529" t="n">
        <x:v>528</x:v>
      </x:c>
      <x:c r="B529" s="330"/>
      <x:c r="C529" s="330" t="n">
        <x:v>46155</x:v>
      </x:c>
      <x:c r="D529" t="n">
        <x:v>2025</x:v>
      </x:c>
      <x:c r="E529"/>
      <x:c r="F529" t="str">
        <x:v>23746/25/CBMP-HN</x:v>
      </x:c>
      <x:c r="G529"/>
      <x:c r="H529" t="str">
        <x:v>Almond gel exfoliant</x:v>
      </x:c>
      <x:c r="I529"/>
      <x:c r="J529" t="str">
        <x:v>Khác</x:v>
      </x:c>
      <x:c r="K529"/>
      <x:c r="L529" t="str">
        <x:v>Công ty TNHH MTV Polyco solutions</x:v>
      </x:c>
      <x:c r="M529"/>
      <x:c r="N529" t="str">
        <x:v>Công ty TNHH mỹ phẩm Việt Hương</x:v>
      </x:c>
      <x:c r="O529" t="str">
        <x:v>Đình chỉ lưu hành, thu hồi và tiêu hủy – Công văn 1772/QLD-MP</x:v>
      </x:c>
      <x:c r="P529" t="str">
        <x:v>A++ – Cục Quản lý Dược; tổ chức chịu trách nhiệm explicit</x:v>
      </x:c>
      <x:c r="Q529" t="str">
        <x:v>Phụ lục 511 sản phẩm, STT 457, trang 15. Công ty Việt Hương là cơ sở sản xuất; cột tổ chức chịu trách nhiệm lấy nguyên văn từ phụ lục.</x:v>
      </x:c>
      <x:c r="R529" t="str">
        <x:v>https://dav.gov.vn/cong-van-so-1772qld-mp-ve-viec-dinh-chi-luu-hanh-thu-hoi-va-tieu-huy-my-pham-vi-pham-cong-ty-tnhh-my-pham-viet-huong-n5334.html</x:v>
      </x:c>
      <x:c r="S529" t="str">
        <x:v>Hà Nội</x:v>
      </x:c>
      <x:c r="T529" t="str">
        <x:v>01</x:v>
      </x:c>
    </x:row>
    <x:row r="530">
      <x:c r="A530" t="n">
        <x:v>529</x:v>
      </x:c>
      <x:c r="B530" s="330"/>
      <x:c r="C530" s="330" t="n">
        <x:v>46155</x:v>
      </x:c>
      <x:c r="D530" t="n">
        <x:v>2025</x:v>
      </x:c>
      <x:c r="E530"/>
      <x:c r="F530" t="str">
        <x:v>23747/25/CBMP-HN</x:v>
      </x:c>
      <x:c r="G530"/>
      <x:c r="H530" t="str">
        <x:v>Sun protection cream</x:v>
      </x:c>
      <x:c r="I530"/>
      <x:c r="J530" t="str">
        <x:v>Kem dưỡng da</x:v>
      </x:c>
      <x:c r="K530"/>
      <x:c r="L530" t="str">
        <x:v>Công ty TNHH MTV Polyco solutions</x:v>
      </x:c>
      <x:c r="M530"/>
      <x:c r="N530" t="str">
        <x:v>Công ty TNHH mỹ phẩm Việt Hương</x:v>
      </x:c>
      <x:c r="O530" t="str">
        <x:v>Đình chỉ lưu hành, thu hồi và tiêu hủy – Công văn 1772/QLD-MP</x:v>
      </x:c>
      <x:c r="P530" t="str">
        <x:v>A++ – Cục Quản lý Dược; tổ chức chịu trách nhiệm explicit</x:v>
      </x:c>
      <x:c r="Q530" t="str">
        <x:v>Phụ lục 511 sản phẩm, STT 458, trang 15. Công ty Việt Hương là cơ sở sản xuất; cột tổ chức chịu trách nhiệm lấy nguyên văn từ phụ lục.</x:v>
      </x:c>
      <x:c r="R530" t="str">
        <x:v>https://dav.gov.vn/cong-van-so-1772qld-mp-ve-viec-dinh-chi-luu-hanh-thu-hoi-va-tieu-huy-my-pham-vi-pham-cong-ty-tnhh-my-pham-viet-huong-n5334.html</x:v>
      </x:c>
      <x:c r="S530" t="str">
        <x:v>Hà Nội</x:v>
      </x:c>
      <x:c r="T530" t="str">
        <x:v>01</x:v>
      </x:c>
    </x:row>
    <x:row r="531">
      <x:c r="A531" t="n">
        <x:v>530</x:v>
      </x:c>
      <x:c r="B531" s="330"/>
      <x:c r="C531" s="330" t="n">
        <x:v>46155</x:v>
      </x:c>
      <x:c r="D531" t="n">
        <x:v>2025</x:v>
      </x:c>
      <x:c r="E531"/>
      <x:c r="F531" t="str">
        <x:v>23748/25/CBMP-HN</x:v>
      </x:c>
      <x:c r="G531"/>
      <x:c r="H531" t="str">
        <x:v>Facial moisturizer</x:v>
      </x:c>
      <x:c r="I531"/>
      <x:c r="J531" t="str">
        <x:v>Khác</x:v>
      </x:c>
      <x:c r="K531"/>
      <x:c r="L531" t="str">
        <x:v>Công ty TNHH MTV Polyco solutions</x:v>
      </x:c>
      <x:c r="M531"/>
      <x:c r="N531" t="str">
        <x:v>Công ty TNHH mỹ phẩm Việt Hương</x:v>
      </x:c>
      <x:c r="O531" t="str">
        <x:v>Đình chỉ lưu hành, thu hồi và tiêu hủy – Công văn 1772/QLD-MP</x:v>
      </x:c>
      <x:c r="P531" t="str">
        <x:v>A++ – Cục Quản lý Dược; tổ chức chịu trách nhiệm explicit</x:v>
      </x:c>
      <x:c r="Q531" t="str">
        <x:v>Phụ lục 511 sản phẩm, STT 459, trang 15. Công ty Việt Hương là cơ sở sản xuất; cột tổ chức chịu trách nhiệm lấy nguyên văn từ phụ lục.</x:v>
      </x:c>
      <x:c r="R531" t="str">
        <x:v>https://dav.gov.vn/cong-van-so-1772qld-mp-ve-viec-dinh-chi-luu-hanh-thu-hoi-va-tieu-huy-my-pham-vi-pham-cong-ty-tnhh-my-pham-viet-huong-n5334.html</x:v>
      </x:c>
      <x:c r="S531" t="str">
        <x:v>Hà Nội</x:v>
      </x:c>
      <x:c r="T531" t="str">
        <x:v>01</x:v>
      </x:c>
    </x:row>
    <x:row r="532">
      <x:c r="A532" t="n">
        <x:v>531</x:v>
      </x:c>
      <x:c r="B532" s="330"/>
      <x:c r="C532" s="330" t="n">
        <x:v>46155</x:v>
      </x:c>
      <x:c r="D532" t="n">
        <x:v>2025</x:v>
      </x:c>
      <x:c r="E532"/>
      <x:c r="F532" t="str">
        <x:v>23764/25/CBMP-HN</x:v>
      </x:c>
      <x:c r="G532"/>
      <x:c r="H532" t="str">
        <x:v>Secret Sforza</x:v>
      </x:c>
      <x:c r="I532"/>
      <x:c r="J532" t="str">
        <x:v>Khác</x:v>
      </x:c>
      <x:c r="K532"/>
      <x:c r="L532" t="str">
        <x:v>Công Ty Cổ Phần Thời Trang Chancos Việt Nam</x:v>
      </x:c>
      <x:c r="M532"/>
      <x:c r="N532" t="str">
        <x:v>Công ty TNHH mỹ phẩm Việt Hương</x:v>
      </x:c>
      <x:c r="O532" t="str">
        <x:v>Đình chỉ lưu hành, thu hồi và tiêu hủy – Công văn 1772/QLD-MP</x:v>
      </x:c>
      <x:c r="P532" t="str">
        <x:v>A++ – Cục Quản lý Dược; tổ chức chịu trách nhiệm explicit</x:v>
      </x:c>
      <x:c r="Q532" t="str">
        <x:v>Phụ lục 511 sản phẩm, STT 460, trang 15. Công ty Việt Hương là cơ sở sản xuất; cột tổ chức chịu trách nhiệm lấy nguyên văn từ phụ lục.</x:v>
      </x:c>
      <x:c r="R532" t="str">
        <x:v>https://dav.gov.vn/cong-van-so-1772qld-mp-ve-viec-dinh-chi-luu-hanh-thu-hoi-va-tieu-huy-my-pham-vi-pham-cong-ty-tnhh-my-pham-viet-huong-n5334.html</x:v>
      </x:c>
      <x:c r="S532" t="str">
        <x:v>Hà Nội</x:v>
      </x:c>
      <x:c r="T532" t="str">
        <x:v>01</x:v>
      </x:c>
    </x:row>
    <x:row r="533">
      <x:c r="A533" t="n">
        <x:v>532</x:v>
      </x:c>
      <x:c r="B533" s="330"/>
      <x:c r="C533" s="330" t="n">
        <x:v>46155</x:v>
      </x:c>
      <x:c r="D533" t="n">
        <x:v>2025</x:v>
      </x:c>
      <x:c r="E533"/>
      <x:c r="F533" t="str">
        <x:v>23765/25/CBMP-HN</x:v>
      </x:c>
      <x:c r="G533"/>
      <x:c r="H533" t="str">
        <x:v>Montenapoleone</x:v>
      </x:c>
      <x:c r="I533"/>
      <x:c r="J533" t="str">
        <x:v>Khác</x:v>
      </x:c>
      <x:c r="K533"/>
      <x:c r="L533" t="str">
        <x:v>Công Ty Cổ Phần Thời Trang Chancos Việt Nam</x:v>
      </x:c>
      <x:c r="M533"/>
      <x:c r="N533" t="str">
        <x:v>Công ty TNHH mỹ phẩm Việt Hương</x:v>
      </x:c>
      <x:c r="O533" t="str">
        <x:v>Đình chỉ lưu hành, thu hồi và tiêu hủy – Công văn 1772/QLD-MP</x:v>
      </x:c>
      <x:c r="P533" t="str">
        <x:v>A++ – Cục Quản lý Dược; tổ chức chịu trách nhiệm explicit</x:v>
      </x:c>
      <x:c r="Q533" t="str">
        <x:v>Phụ lục 511 sản phẩm, STT 461, trang 15. Công ty Việt Hương là cơ sở sản xuất; cột tổ chức chịu trách nhiệm lấy nguyên văn từ phụ lục.</x:v>
      </x:c>
      <x:c r="R533" t="str">
        <x:v>https://dav.gov.vn/cong-van-so-1772qld-mp-ve-viec-dinh-chi-luu-hanh-thu-hoi-va-tieu-huy-my-pham-vi-pham-cong-ty-tnhh-my-pham-viet-huong-n5334.html</x:v>
      </x:c>
      <x:c r="S533" t="str">
        <x:v>Hà Nội</x:v>
      </x:c>
      <x:c r="T533" t="str">
        <x:v>01</x:v>
      </x:c>
    </x:row>
    <x:row r="534">
      <x:c r="A534" t="n">
        <x:v>533</x:v>
      </x:c>
      <x:c r="B534" s="330"/>
      <x:c r="C534" s="330" t="n">
        <x:v>46155</x:v>
      </x:c>
      <x:c r="D534" t="n">
        <x:v>2025</x:v>
      </x:c>
      <x:c r="E534"/>
      <x:c r="F534" t="str">
        <x:v>23766/25/CBMP-HN</x:v>
      </x:c>
      <x:c r="G534"/>
      <x:c r="H534" t="str">
        <x:v>Ambrosian Horizon</x:v>
      </x:c>
      <x:c r="I534"/>
      <x:c r="J534" t="str">
        <x:v>Khác</x:v>
      </x:c>
      <x:c r="K534"/>
      <x:c r="L534" t="str">
        <x:v>Công Ty Cổ Phần Thời Trang Chancos Việt Nam</x:v>
      </x:c>
      <x:c r="M534"/>
      <x:c r="N534" t="str">
        <x:v>Công ty TNHH mỹ phẩm Việt Hương</x:v>
      </x:c>
      <x:c r="O534" t="str">
        <x:v>Đình chỉ lưu hành, thu hồi và tiêu hủy – Công văn 1772/QLD-MP</x:v>
      </x:c>
      <x:c r="P534" t="str">
        <x:v>A++ – Cục Quản lý Dược; tổ chức chịu trách nhiệm explicit</x:v>
      </x:c>
      <x:c r="Q534" t="str">
        <x:v>Phụ lục 511 sản phẩm, STT 462, trang 15. Công ty Việt Hương là cơ sở sản xuất; cột tổ chức chịu trách nhiệm lấy nguyên văn từ phụ lục.</x:v>
      </x:c>
      <x:c r="R534" t="str">
        <x:v>https://dav.gov.vn/cong-van-so-1772qld-mp-ve-viec-dinh-chi-luu-hanh-thu-hoi-va-tieu-huy-my-pham-vi-pham-cong-ty-tnhh-my-pham-viet-huong-n5334.html</x:v>
      </x:c>
      <x:c r="S534" t="str">
        <x:v>Hà Nội</x:v>
      </x:c>
      <x:c r="T534" t="str">
        <x:v>01</x:v>
      </x:c>
    </x:row>
    <x:row r="535">
      <x:c r="A535" t="n">
        <x:v>534</x:v>
      </x:c>
      <x:c r="B535" s="330"/>
      <x:c r="C535" s="330" t="n">
        <x:v>46155</x:v>
      </x:c>
      <x:c r="D535" t="n">
        <x:v>2025</x:v>
      </x:c>
      <x:c r="E535"/>
      <x:c r="F535" t="str">
        <x:v>23767/25/CBMP-HN</x:v>
      </x:c>
      <x:c r="G535"/>
      <x:c r="H535" t="str">
        <x:v>Rêve Brera</x:v>
      </x:c>
      <x:c r="I535"/>
      <x:c r="J535" t="str">
        <x:v>Khác</x:v>
      </x:c>
      <x:c r="K535"/>
      <x:c r="L535" t="str">
        <x:v>Công Ty Cổ Phần Thời Trang Chancos Việt Nam</x:v>
      </x:c>
      <x:c r="M535"/>
      <x:c r="N535" t="str">
        <x:v>Công ty TNHH mỹ phẩm Việt Hương</x:v>
      </x:c>
      <x:c r="O535" t="str">
        <x:v>Đình chỉ lưu hành, thu hồi và tiêu hủy – Công văn 1772/QLD-MP</x:v>
      </x:c>
      <x:c r="P535" t="str">
        <x:v>A++ – Cục Quản lý Dược; tổ chức chịu trách nhiệm explicit</x:v>
      </x:c>
      <x:c r="Q535" t="str">
        <x:v>Phụ lục 511 sản phẩm, STT 463, trang 15. Công ty Việt Hương là cơ sở sản xuất; cột tổ chức chịu trách nhiệm lấy nguyên văn từ phụ lục.</x:v>
      </x:c>
      <x:c r="R535" t="str">
        <x:v>https://dav.gov.vn/cong-van-so-1772qld-mp-ve-viec-dinh-chi-luu-hanh-thu-hoi-va-tieu-huy-my-pham-vi-pham-cong-ty-tnhh-my-pham-viet-huong-n5334.html</x:v>
      </x:c>
      <x:c r="S535" t="str">
        <x:v>Hà Nội</x:v>
      </x:c>
      <x:c r="T535" t="str">
        <x:v>01</x:v>
      </x:c>
    </x:row>
    <x:row r="536">
      <x:c r="A536" t="n">
        <x:v>535</x:v>
      </x:c>
      <x:c r="B536" s="330"/>
      <x:c r="C536" s="330" t="n">
        <x:v>46155</x:v>
      </x:c>
      <x:c r="D536" t="n">
        <x:v>2025</x:v>
      </x:c>
      <x:c r="E536"/>
      <x:c r="F536" t="str">
        <x:v>23768/25/CBMP-HN</x:v>
      </x:c>
      <x:c r="G536"/>
      <x:c r="H536" t="str">
        <x:v>Soie Vicolo</x:v>
      </x:c>
      <x:c r="I536"/>
      <x:c r="J536" t="str">
        <x:v>Khác</x:v>
      </x:c>
      <x:c r="K536"/>
      <x:c r="L536" t="str">
        <x:v>Công Ty Cổ Phần Thời Trang Chancos Việt Nam</x:v>
      </x:c>
      <x:c r="M536"/>
      <x:c r="N536" t="str">
        <x:v>Công ty TNHH mỹ phẩm Việt Hương</x:v>
      </x:c>
      <x:c r="O536" t="str">
        <x:v>Đình chỉ lưu hành, thu hồi và tiêu hủy – Công văn 1772/QLD-MP</x:v>
      </x:c>
      <x:c r="P536" t="str">
        <x:v>A++ – Cục Quản lý Dược; tổ chức chịu trách nhiệm explicit</x:v>
      </x:c>
      <x:c r="Q536" t="str">
        <x:v>Phụ lục 511 sản phẩm, STT 464, trang 15. Công ty Việt Hương là cơ sở sản xuất; cột tổ chức chịu trách nhiệm lấy nguyên văn từ phụ lục.</x:v>
      </x:c>
      <x:c r="R536" t="str">
        <x:v>https://dav.gov.vn/cong-van-so-1772qld-mp-ve-viec-dinh-chi-luu-hanh-thu-hoi-va-tieu-huy-my-pham-vi-pham-cong-ty-tnhh-my-pham-viet-huong-n5334.html</x:v>
      </x:c>
      <x:c r="S536" t="str">
        <x:v>Hà Nội</x:v>
      </x:c>
      <x:c r="T536" t="str">
        <x:v>01</x:v>
      </x:c>
    </x:row>
    <x:row r="537">
      <x:c r="A537" t="n">
        <x:v>536</x:v>
      </x:c>
      <x:c r="B537" s="330"/>
      <x:c r="C537" s="330" t="n">
        <x:v>46155</x:v>
      </x:c>
      <x:c r="D537" t="n">
        <x:v>2025</x:v>
      </x:c>
      <x:c r="E537"/>
      <x:c r="F537" t="str">
        <x:v>23769/25/CBMP-HN</x:v>
      </x:c>
      <x:c r="G537"/>
      <x:c r="H537" t="str">
        <x:v>Velvet Nuova</x:v>
      </x:c>
      <x:c r="I537"/>
      <x:c r="J537" t="str">
        <x:v>Khác</x:v>
      </x:c>
      <x:c r="K537"/>
      <x:c r="L537" t="str">
        <x:v>Công Ty Cổ Phần Thời Trang Chancos Việt Nam</x:v>
      </x:c>
      <x:c r="M537"/>
      <x:c r="N537" t="str">
        <x:v>Công ty TNHH mỹ phẩm Việt Hương</x:v>
      </x:c>
      <x:c r="O537" t="str">
        <x:v>Đình chỉ lưu hành, thu hồi và tiêu hủy – Công văn 1772/QLD-MP</x:v>
      </x:c>
      <x:c r="P537" t="str">
        <x:v>A++ – Cục Quản lý Dược; tổ chức chịu trách nhiệm explicit</x:v>
      </x:c>
      <x:c r="Q537" t="str">
        <x:v>Phụ lục 511 sản phẩm, STT 465, trang 15. Công ty Việt Hương là cơ sở sản xuất; cột tổ chức chịu trách nhiệm lấy nguyên văn từ phụ lục.</x:v>
      </x:c>
      <x:c r="R537" t="str">
        <x:v>https://dav.gov.vn/cong-van-so-1772qld-mp-ve-viec-dinh-chi-luu-hanh-thu-hoi-va-tieu-huy-my-pham-vi-pham-cong-ty-tnhh-my-pham-viet-huong-n5334.html</x:v>
      </x:c>
      <x:c r="S537" t="str">
        <x:v>Hà Nội</x:v>
      </x:c>
      <x:c r="T537" t="str">
        <x:v>01</x:v>
      </x:c>
    </x:row>
    <x:row r="538">
      <x:c r="A538" t="n">
        <x:v>537</x:v>
      </x:c>
      <x:c r="B538" s="330"/>
      <x:c r="C538" s="330" t="n">
        <x:v>46155</x:v>
      </x:c>
      <x:c r="D538" t="n">
        <x:v>2025</x:v>
      </x:c>
      <x:c r="E538"/>
      <x:c r="F538" t="str">
        <x:v>23770/25/CBMP-HN</x:v>
      </x:c>
      <x:c r="G538"/>
      <x:c r="H538" t="str">
        <x:v>Duomo Eterno</x:v>
      </x:c>
      <x:c r="I538"/>
      <x:c r="J538" t="str">
        <x:v>Khác</x:v>
      </x:c>
      <x:c r="K538"/>
      <x:c r="L538" t="str">
        <x:v>Công Ty Cổ Phần Thời Trang Chancos Việt Nam</x:v>
      </x:c>
      <x:c r="M538"/>
      <x:c r="N538" t="str">
        <x:v>Công ty TNHH mỹ phẩm Việt Hương</x:v>
      </x:c>
      <x:c r="O538" t="str">
        <x:v>Đình chỉ lưu hành, thu hồi và tiêu hủy – Công văn 1772/QLD-MP</x:v>
      </x:c>
      <x:c r="P538" t="str">
        <x:v>A++ – Cục Quản lý Dược; tổ chức chịu trách nhiệm explicit</x:v>
      </x:c>
      <x:c r="Q538" t="str">
        <x:v>Phụ lục 511 sản phẩm, STT 466, trang 15. Công ty Việt Hương là cơ sở sản xuất; cột tổ chức chịu trách nhiệm lấy nguyên văn từ phụ lục.</x:v>
      </x:c>
      <x:c r="R538" t="str">
        <x:v>https://dav.gov.vn/cong-van-so-1772qld-mp-ve-viec-dinh-chi-luu-hanh-thu-hoi-va-tieu-huy-my-pham-vi-pham-cong-ty-tnhh-my-pham-viet-huong-n5334.html</x:v>
      </x:c>
      <x:c r="S538" t="str">
        <x:v>Hà Nội</x:v>
      </x:c>
      <x:c r="T538" t="str">
        <x:v>01</x:v>
      </x:c>
    </x:row>
    <x:row r="539">
      <x:c r="A539" t="n">
        <x:v>538</x:v>
      </x:c>
      <x:c r="B539" s="330"/>
      <x:c r="C539" s="330" t="n">
        <x:v>46155</x:v>
      </x:c>
      <x:c r="D539" t="n">
        <x:v>2025</x:v>
      </x:c>
      <x:c r="E539"/>
      <x:c r="F539" t="str">
        <x:v>23771/25/CBMP-HN</x:v>
      </x:c>
      <x:c r="G539"/>
      <x:c r="H539" t="str">
        <x:v>Scala Notturna</x:v>
      </x:c>
      <x:c r="I539"/>
      <x:c r="J539" t="str">
        <x:v>Khác</x:v>
      </x:c>
      <x:c r="K539"/>
      <x:c r="L539" t="str">
        <x:v>Công Ty Cổ Phần Thời Trang Chancos Việt Nam</x:v>
      </x:c>
      <x:c r="M539"/>
      <x:c r="N539" t="str">
        <x:v>Công ty TNHH mỹ phẩm Việt Hương</x:v>
      </x:c>
      <x:c r="O539" t="str">
        <x:v>Đình chỉ lưu hành, thu hồi và tiêu hủy – Công văn 1772/QLD-MP</x:v>
      </x:c>
      <x:c r="P539" t="str">
        <x:v>A++ – Cục Quản lý Dược; tổ chức chịu trách nhiệm explicit</x:v>
      </x:c>
      <x:c r="Q539" t="str">
        <x:v>Phụ lục 511 sản phẩm, STT 467, trang 15. Công ty Việt Hương là cơ sở sản xuất; cột tổ chức chịu trách nhiệm lấy nguyên văn từ phụ lục.</x:v>
      </x:c>
      <x:c r="R539" t="str">
        <x:v>https://dav.gov.vn/cong-van-so-1772qld-mp-ve-viec-dinh-chi-luu-hanh-thu-hoi-va-tieu-huy-my-pham-vi-pham-cong-ty-tnhh-my-pham-viet-huong-n5334.html</x:v>
      </x:c>
      <x:c r="S539" t="str">
        <x:v>Hà Nội</x:v>
      </x:c>
      <x:c r="T539" t="str">
        <x:v>01</x:v>
      </x:c>
    </x:row>
    <x:row r="540">
      <x:c r="A540" t="n">
        <x:v>539</x:v>
      </x:c>
      <x:c r="B540" s="330"/>
      <x:c r="C540" s="330" t="n">
        <x:v>46155</x:v>
      </x:c>
      <x:c r="D540" t="n">
        <x:v>2025</x:v>
      </x:c>
      <x:c r="E540"/>
      <x:c r="F540" t="str">
        <x:v>23772/25/CBMP-HN</x:v>
      </x:c>
      <x:c r="G540"/>
      <x:c r="H540" t="str">
        <x:v>Navigli Sereno</x:v>
      </x:c>
      <x:c r="I540"/>
      <x:c r="J540" t="str">
        <x:v>Khác</x:v>
      </x:c>
      <x:c r="K540"/>
      <x:c r="L540" t="str">
        <x:v>Công Ty Cổ Phần Thời Trang Chancos Việt Nam</x:v>
      </x:c>
      <x:c r="M540"/>
      <x:c r="N540" t="str">
        <x:v>Công ty TNHH mỹ phẩm Việt Hương</x:v>
      </x:c>
      <x:c r="O540" t="str">
        <x:v>Đình chỉ lưu hành, thu hồi và tiêu hủy – Công văn 1772/QLD-MP</x:v>
      </x:c>
      <x:c r="P540" t="str">
        <x:v>A++ – Cục Quản lý Dược; tổ chức chịu trách nhiệm explicit</x:v>
      </x:c>
      <x:c r="Q540" t="str">
        <x:v>Phụ lục 511 sản phẩm, STT 468, trang 15. Công ty Việt Hương là cơ sở sản xuất; cột tổ chức chịu trách nhiệm lấy nguyên văn từ phụ lục.</x:v>
      </x:c>
      <x:c r="R540" t="str">
        <x:v>https://dav.gov.vn/cong-van-so-1772qld-mp-ve-viec-dinh-chi-luu-hanh-thu-hoi-va-tieu-huy-my-pham-vi-pham-cong-ty-tnhh-my-pham-viet-huong-n5334.html</x:v>
      </x:c>
      <x:c r="S540" t="str">
        <x:v>Hà Nội</x:v>
      </x:c>
      <x:c r="T540" t="str">
        <x:v>01</x:v>
      </x:c>
    </x:row>
    <x:row r="541">
      <x:c r="A541" t="n">
        <x:v>540</x:v>
      </x:c>
      <x:c r="B541" s="330"/>
      <x:c r="C541" s="330" t="n">
        <x:v>46155</x:v>
      </x:c>
      <x:c r="D541" t="n">
        <x:v>2025</x:v>
      </x:c>
      <x:c r="E541"/>
      <x:c r="F541" t="str">
        <x:v>23773/25/CBMP-HN</x:v>
      </x:c>
      <x:c r="G541"/>
      <x:c r="H541" t="str">
        <x:v>Palazzo di Luce</x:v>
      </x:c>
      <x:c r="I541"/>
      <x:c r="J541" t="str">
        <x:v>Khác</x:v>
      </x:c>
      <x:c r="K541"/>
      <x:c r="L541" t="str">
        <x:v>Công Ty Cổ Phần Thời Trang Chancos Việt Nam</x:v>
      </x:c>
      <x:c r="M541"/>
      <x:c r="N541" t="str">
        <x:v>Công ty TNHH mỹ phẩm Việt Hương</x:v>
      </x:c>
      <x:c r="O541" t="str">
        <x:v>Đình chỉ lưu hành, thu hồi và tiêu hủy – Công văn 1772/QLD-MP</x:v>
      </x:c>
      <x:c r="P541" t="str">
        <x:v>A++ – Cục Quản lý Dược; tổ chức chịu trách nhiệm explicit</x:v>
      </x:c>
      <x:c r="Q541" t="str">
        <x:v>Phụ lục 511 sản phẩm, STT 469, trang 15. Công ty Việt Hương là cơ sở sản xuất; cột tổ chức chịu trách nhiệm lấy nguyên văn từ phụ lục.</x:v>
      </x:c>
      <x:c r="R541" t="str">
        <x:v>https://dav.gov.vn/cong-van-so-1772qld-mp-ve-viec-dinh-chi-luu-hanh-thu-hoi-va-tieu-huy-my-pham-vi-pham-cong-ty-tnhh-my-pham-viet-huong-n5334.html</x:v>
      </x:c>
      <x:c r="S541" t="str">
        <x:v>Hà Nội</x:v>
      </x:c>
      <x:c r="T541" t="str">
        <x:v>01</x:v>
      </x:c>
    </x:row>
    <x:row r="542">
      <x:c r="A542" t="n">
        <x:v>541</x:v>
      </x:c>
      <x:c r="B542" s="330"/>
      <x:c r="C542" s="330" t="n">
        <x:v>46155</x:v>
      </x:c>
      <x:c r="D542" t="n">
        <x:v>2025</x:v>
      </x:c>
      <x:c r="E542"/>
      <x:c r="F542" t="str">
        <x:v>23774/25/CBMP-HN</x:v>
      </x:c>
      <x:c r="G542"/>
      <x:c r="H542" t="str">
        <x:v>Luxe Galleria</x:v>
      </x:c>
      <x:c r="I542"/>
      <x:c r="J542" t="str">
        <x:v>Khác</x:v>
      </x:c>
      <x:c r="K542"/>
      <x:c r="L542" t="str">
        <x:v>Công Ty Cổ Phần Thời Trang Chancos Việt Nam</x:v>
      </x:c>
      <x:c r="M542"/>
      <x:c r="N542" t="str">
        <x:v>Công ty TNHH mỹ phẩm Việt Hương</x:v>
      </x:c>
      <x:c r="O542" t="str">
        <x:v>Đình chỉ lưu hành, thu hồi và tiêu hủy – Công văn 1772/QLD-MP</x:v>
      </x:c>
      <x:c r="P542" t="str">
        <x:v>A++ – Cục Quản lý Dược; tổ chức chịu trách nhiệm explicit</x:v>
      </x:c>
      <x:c r="Q542" t="str">
        <x:v>Phụ lục 511 sản phẩm, STT 470, trang 15. Công ty Việt Hương là cơ sở sản xuất; cột tổ chức chịu trách nhiệm lấy nguyên văn từ phụ lục.</x:v>
      </x:c>
      <x:c r="R542" t="str">
        <x:v>https://dav.gov.vn/cong-van-so-1772qld-mp-ve-viec-dinh-chi-luu-hanh-thu-hoi-va-tieu-huy-my-pham-vi-pham-cong-ty-tnhh-my-pham-viet-huong-n5334.html</x:v>
      </x:c>
      <x:c r="S542" t="str">
        <x:v>Hà Nội</x:v>
      </x:c>
      <x:c r="T542" t="str">
        <x:v>01</x:v>
      </x:c>
    </x:row>
    <x:row r="543">
      <x:c r="A543" t="n">
        <x:v>542</x:v>
      </x:c>
      <x:c r="B543" s="330"/>
      <x:c r="C543" s="330" t="n">
        <x:v>46155</x:v>
      </x:c>
      <x:c r="D543" t="n">
        <x:v>2025</x:v>
      </x:c>
      <x:c r="E543"/>
      <x:c r="F543" t="str">
        <x:v>23775/25/CBMP-HN</x:v>
      </x:c>
      <x:c r="G543"/>
      <x:c r="H543" t="str">
        <x:v>Corso Sempione</x:v>
      </x:c>
      <x:c r="I543"/>
      <x:c r="J543" t="str">
        <x:v>Khác</x:v>
      </x:c>
      <x:c r="K543"/>
      <x:c r="L543" t="str">
        <x:v>Công Ty Cổ Phần Thời Trang Chancos Việt Nam</x:v>
      </x:c>
      <x:c r="M543"/>
      <x:c r="N543" t="str">
        <x:v>Công ty TNHH mỹ phẩm Việt Hương</x:v>
      </x:c>
      <x:c r="O543" t="str">
        <x:v>Đình chỉ lưu hành, thu hồi và tiêu hủy – Công văn 1772/QLD-MP</x:v>
      </x:c>
      <x:c r="P543" t="str">
        <x:v>A++ – Cục Quản lý Dược; tổ chức chịu trách nhiệm explicit</x:v>
      </x:c>
      <x:c r="Q543" t="str">
        <x:v>Phụ lục 511 sản phẩm, STT 471, trang 15. Công ty Việt Hương là cơ sở sản xuất; cột tổ chức chịu trách nhiệm lấy nguyên văn từ phụ lục.</x:v>
      </x:c>
      <x:c r="R543" t="str">
        <x:v>https://dav.gov.vn/cong-van-so-1772qld-mp-ve-viec-dinh-chi-luu-hanh-thu-hoi-va-tieu-huy-my-pham-vi-pham-cong-ty-tnhh-my-pham-viet-huong-n5334.html</x:v>
      </x:c>
      <x:c r="S543" t="str">
        <x:v>Hà Nội</x:v>
      </x:c>
      <x:c r="T543" t="str">
        <x:v>01</x:v>
      </x:c>
    </x:row>
    <x:row r="544">
      <x:c r="A544" t="n">
        <x:v>543</x:v>
      </x:c>
      <x:c r="B544" s="330"/>
      <x:c r="C544" s="330" t="n">
        <x:v>46155</x:v>
      </x:c>
      <x:c r="D544" t="n">
        <x:v>2025</x:v>
      </x:c>
      <x:c r="E544"/>
      <x:c r="F544" t="str">
        <x:v>23776/25/CBMP-HN</x:v>
      </x:c>
      <x:c r="G544"/>
      <x:c r="H544" t="str">
        <x:v>Aube Vittoria</x:v>
      </x:c>
      <x:c r="I544"/>
      <x:c r="J544" t="str">
        <x:v>Khác</x:v>
      </x:c>
      <x:c r="K544"/>
      <x:c r="L544" t="str">
        <x:v>Công Ty Cổ Phần Thời Trang Chancos Việt Nam</x:v>
      </x:c>
      <x:c r="M544"/>
      <x:c r="N544" t="str">
        <x:v>Công ty TNHH mỹ phẩm Việt Hương</x:v>
      </x:c>
      <x:c r="O544" t="str">
        <x:v>Đình chỉ lưu hành, thu hồi và tiêu hủy – Công văn 1772/QLD-MP</x:v>
      </x:c>
      <x:c r="P544" t="str">
        <x:v>A++ – Cục Quản lý Dược; tổ chức chịu trách nhiệm explicit</x:v>
      </x:c>
      <x:c r="Q544" t="str">
        <x:v>Phụ lục 511 sản phẩm, STT 472, trang 15. Công ty Việt Hương là cơ sở sản xuất; cột tổ chức chịu trách nhiệm lấy nguyên văn từ phụ lục.</x:v>
      </x:c>
      <x:c r="R544" t="str">
        <x:v>https://dav.gov.vn/cong-van-so-1772qld-mp-ve-viec-dinh-chi-luu-hanh-thu-hoi-va-tieu-huy-my-pham-vi-pham-cong-ty-tnhh-my-pham-viet-huong-n5334.html</x:v>
      </x:c>
      <x:c r="S544" t="str">
        <x:v>Hà Nội</x:v>
      </x:c>
      <x:c r="T544" t="str">
        <x:v>01</x:v>
      </x:c>
    </x:row>
    <x:row r="545">
      <x:c r="A545" t="n">
        <x:v>544</x:v>
      </x:c>
      <x:c r="B545" s="330"/>
      <x:c r="C545" s="330" t="n">
        <x:v>46155</x:v>
      </x:c>
      <x:c r="D545" t="n">
        <x:v>2025</x:v>
      </x:c>
      <x:c r="E545"/>
      <x:c r="F545" t="str">
        <x:v>23777/25/CBMP-HN</x:v>
      </x:c>
      <x:c r="G545"/>
      <x:c r="H545" t="str">
        <x:v>Milano Kiss</x:v>
      </x:c>
      <x:c r="I545"/>
      <x:c r="J545" t="str">
        <x:v>Khác</x:v>
      </x:c>
      <x:c r="K545"/>
      <x:c r="L545" t="str">
        <x:v>Công Ty Cổ Phần Thời Trang Chancos Việt Nam</x:v>
      </x:c>
      <x:c r="M545"/>
      <x:c r="N545" t="str">
        <x:v>Công ty TNHH mỹ phẩm Việt Hương</x:v>
      </x:c>
      <x:c r="O545" t="str">
        <x:v>Đình chỉ lưu hành, thu hồi và tiêu hủy – Công văn 1772/QLD-MP</x:v>
      </x:c>
      <x:c r="P545" t="str">
        <x:v>A++ – Cục Quản lý Dược; tổ chức chịu trách nhiệm explicit</x:v>
      </x:c>
      <x:c r="Q545" t="str">
        <x:v>Phụ lục 511 sản phẩm, STT 473, trang 15. Công ty Việt Hương là cơ sở sản xuất; cột tổ chức chịu trách nhiệm lấy nguyên văn từ phụ lục.</x:v>
      </x:c>
      <x:c r="R545" t="str">
        <x:v>https://dav.gov.vn/cong-van-so-1772qld-mp-ve-viec-dinh-chi-luu-hanh-thu-hoi-va-tieu-huy-my-pham-vi-pham-cong-ty-tnhh-my-pham-viet-huong-n5334.html</x:v>
      </x:c>
      <x:c r="S545" t="str">
        <x:v>Hà Nội</x:v>
      </x:c>
      <x:c r="T545" t="str">
        <x:v>01</x:v>
      </x:c>
    </x:row>
    <x:row r="546">
      <x:c r="A546" t="n">
        <x:v>545</x:v>
      </x:c>
      <x:c r="B546" s="330"/>
      <x:c r="C546" s="330" t="n">
        <x:v>46155</x:v>
      </x:c>
      <x:c r="D546" t="n">
        <x:v>2025</x:v>
      </x:c>
      <x:c r="E546"/>
      <x:c r="F546" t="str">
        <x:v>23996/25/CBMP-HN</x:v>
      </x:c>
      <x:c r="G546"/>
      <x:c r="H546" t="str">
        <x:v>Lush relief cream</x:v>
      </x:c>
      <x:c r="I546"/>
      <x:c r="J546" t="str">
        <x:v>Kem dưỡng da</x:v>
      </x:c>
      <x:c r="K546"/>
      <x:c r="L546" t="str">
        <x:v>Công ty TNHH đầu tư Minh Khang Việt Nam</x:v>
      </x:c>
      <x:c r="M546"/>
      <x:c r="N546" t="str">
        <x:v>Công ty TNHH mỹ phẩm Việt Hương</x:v>
      </x:c>
      <x:c r="O546" t="str">
        <x:v>Đình chỉ lưu hành, thu hồi và tiêu hủy – Công văn 1772/QLD-MP</x:v>
      </x:c>
      <x:c r="P546" t="str">
        <x:v>A++ – Cục Quản lý Dược; tổ chức chịu trách nhiệm explicit</x:v>
      </x:c>
      <x:c r="Q546" t="str">
        <x:v>Phụ lục 511 sản phẩm, STT 474, trang 15. Công ty Việt Hương là cơ sở sản xuất; cột tổ chức chịu trách nhiệm lấy nguyên văn từ phụ lục.</x:v>
      </x:c>
      <x:c r="R546" t="str">
        <x:v>https://dav.gov.vn/cong-van-so-1772qld-mp-ve-viec-dinh-chi-luu-hanh-thu-hoi-va-tieu-huy-my-pham-vi-pham-cong-ty-tnhh-my-pham-viet-huong-n5334.html</x:v>
      </x:c>
      <x:c r="S546" t="str">
        <x:v>Hà Nội</x:v>
      </x:c>
      <x:c r="T546" t="str">
        <x:v>01</x:v>
      </x:c>
    </x:row>
    <x:row r="547">
      <x:c r="A547" t="n">
        <x:v>546</x:v>
      </x:c>
      <x:c r="B547" s="330"/>
      <x:c r="C547" s="330" t="n">
        <x:v>46155</x:v>
      </x:c>
      <x:c r="D547" t="n">
        <x:v>2025</x:v>
      </x:c>
      <x:c r="E547"/>
      <x:c r="F547" t="str">
        <x:v>23997/25/CBMP-HN</x:v>
      </x:c>
      <x:c r="G547"/>
      <x:c r="H547" t="str">
        <x:v>Clearskin 2-days serum</x:v>
      </x:c>
      <x:c r="I547"/>
      <x:c r="J547" t="str">
        <x:v>Serum/Essence da</x:v>
      </x:c>
      <x:c r="K547"/>
      <x:c r="L547" t="str">
        <x:v>Công ty TNHH đầu tư Minh Khang Việt Nam</x:v>
      </x:c>
      <x:c r="M547"/>
      <x:c r="N547" t="str">
        <x:v>Công ty TNHH mỹ phẩm Việt Hương</x:v>
      </x:c>
      <x:c r="O547" t="str">
        <x:v>Đình chỉ lưu hành, thu hồi và tiêu hủy – Công văn 1772/QLD-MP</x:v>
      </x:c>
      <x:c r="P547" t="str">
        <x:v>A++ – Cục Quản lý Dược; tổ chức chịu trách nhiệm explicit</x:v>
      </x:c>
      <x:c r="Q547" t="str">
        <x:v>Phụ lục 511 sản phẩm, STT 475, trang 15. Công ty Việt Hương là cơ sở sản xuất; cột tổ chức chịu trách nhiệm lấy nguyên văn từ phụ lục.</x:v>
      </x:c>
      <x:c r="R547" t="str">
        <x:v>https://dav.gov.vn/cong-van-so-1772qld-mp-ve-viec-dinh-chi-luu-hanh-thu-hoi-va-tieu-huy-my-pham-vi-pham-cong-ty-tnhh-my-pham-viet-huong-n5334.html</x:v>
      </x:c>
      <x:c r="S547" t="str">
        <x:v>Hà Nội</x:v>
      </x:c>
      <x:c r="T547" t="str">
        <x:v>01</x:v>
      </x:c>
    </x:row>
    <x:row r="548">
      <x:c r="A548" t="n">
        <x:v>547</x:v>
      </x:c>
      <x:c r="B548" s="330"/>
      <x:c r="C548" s="330" t="n">
        <x:v>46155</x:v>
      </x:c>
      <x:c r="D548" t="n">
        <x:v>2025</x:v>
      </x:c>
      <x:c r="E548"/>
      <x:c r="F548" t="str">
        <x:v>23998/25/CBMP-HN</x:v>
      </x:c>
      <x:c r="G548"/>
      <x:c r="H548" t="str">
        <x:v>Skinrenew cleanser</x:v>
      </x:c>
      <x:c r="I548"/>
      <x:c r="J548" t="str">
        <x:v>Sữa rửa mặt</x:v>
      </x:c>
      <x:c r="K548"/>
      <x:c r="L548" t="str">
        <x:v>Công ty TNHH đầu tư Minh Khang Việt Nam</x:v>
      </x:c>
      <x:c r="M548"/>
      <x:c r="N548" t="str">
        <x:v>Công ty TNHH mỹ phẩm Việt Hương</x:v>
      </x:c>
      <x:c r="O548" t="str">
        <x:v>Đình chỉ lưu hành, thu hồi và tiêu hủy – Công văn 1772/QLD-MP</x:v>
      </x:c>
      <x:c r="P548" t="str">
        <x:v>A++ – Cục Quản lý Dược; tổ chức chịu trách nhiệm explicit</x:v>
      </x:c>
      <x:c r="Q548" t="str">
        <x:v>Phụ lục 511 sản phẩm, STT 476, trang 15. Công ty Việt Hương là cơ sở sản xuất; cột tổ chức chịu trách nhiệm lấy nguyên văn từ phụ lục.</x:v>
      </x:c>
      <x:c r="R548" t="str">
        <x:v>https://dav.gov.vn/cong-van-so-1772qld-mp-ve-viec-dinh-chi-luu-hanh-thu-hoi-va-tieu-huy-my-pham-vi-pham-cong-ty-tnhh-my-pham-viet-huong-n5334.html</x:v>
      </x:c>
      <x:c r="S548" t="str">
        <x:v>Hà Nội</x:v>
      </x:c>
      <x:c r="T548" t="str">
        <x:v>01</x:v>
      </x:c>
    </x:row>
    <x:row r="549">
      <x:c r="A549" t="n">
        <x:v>548</x:v>
      </x:c>
      <x:c r="B549" s="330"/>
      <x:c r="C549" s="330" t="n">
        <x:v>46155</x:v>
      </x:c>
      <x:c r="D549" t="n">
        <x:v>2025</x:v>
      </x:c>
      <x:c r="E549"/>
      <x:c r="F549" t="str">
        <x:v>24072/25/CBMP-HN</x:v>
      </x:c>
      <x:c r="G549"/>
      <x:c r="H549" t="str">
        <x:v>Bloomskin serum</x:v>
      </x:c>
      <x:c r="I549"/>
      <x:c r="J549" t="str">
        <x:v>Serum/Essence da</x:v>
      </x:c>
      <x:c r="K549"/>
      <x:c r="L549" t="str">
        <x:v>Công ty TNHH đầu tư Minh Khang Việt Nam</x:v>
      </x:c>
      <x:c r="M549"/>
      <x:c r="N549" t="str">
        <x:v>Công ty TNHH mỹ phẩm Việt Hương</x:v>
      </x:c>
      <x:c r="O549" t="str">
        <x:v>Đình chỉ lưu hành, thu hồi và tiêu hủy – Công văn 1772/QLD-MP</x:v>
      </x:c>
      <x:c r="P549" t="str">
        <x:v>A++ – Cục Quản lý Dược; tổ chức chịu trách nhiệm explicit</x:v>
      </x:c>
      <x:c r="Q549" t="str">
        <x:v>Phụ lục 511 sản phẩm, STT 477, trang 15. Công ty Việt Hương là cơ sở sản xuất; cột tổ chức chịu trách nhiệm lấy nguyên văn từ phụ lục.</x:v>
      </x:c>
      <x:c r="R549" t="str">
        <x:v>https://dav.gov.vn/cong-van-so-1772qld-mp-ve-viec-dinh-chi-luu-hanh-thu-hoi-va-tieu-huy-my-pham-vi-pham-cong-ty-tnhh-my-pham-viet-huong-n5334.html</x:v>
      </x:c>
      <x:c r="S549" t="str">
        <x:v>Hà Nội</x:v>
      </x:c>
      <x:c r="T549" t="str">
        <x:v>01</x:v>
      </x:c>
    </x:row>
    <x:row r="550">
      <x:c r="A550" t="n">
        <x:v>549</x:v>
      </x:c>
      <x:c r="B550" s="330"/>
      <x:c r="C550" s="330" t="n">
        <x:v>46155</x:v>
      </x:c>
      <x:c r="D550" t="n">
        <x:v>2025</x:v>
      </x:c>
      <x:c r="E550"/>
      <x:c r="F550" t="str">
        <x:v>24000/25/CBMP-HN</x:v>
      </x:c>
      <x:c r="G550"/>
      <x:c r="H550" t="str">
        <x:v>Kem chống nắng</x:v>
      </x:c>
      <x:c r="I550"/>
      <x:c r="J550" t="str">
        <x:v>Kem chống nắng</x:v>
      </x:c>
      <x:c r="K550"/>
      <x:c r="L550" t="str">
        <x:v>Công ty TNHH Dược mỹ phẩm Hoài Nguyên Organic</x:v>
      </x:c>
      <x:c r="M550"/>
      <x:c r="N550" t="str">
        <x:v>Công ty TNHH mỹ phẩm Việt Hương</x:v>
      </x:c>
      <x:c r="O550" t="str">
        <x:v>Đình chỉ lưu hành, thu hồi và tiêu hủy – Công văn 1772/QLD-MP</x:v>
      </x:c>
      <x:c r="P550" t="str">
        <x:v>A++ – Cục Quản lý Dược; tổ chức chịu trách nhiệm explicit</x:v>
      </x:c>
      <x:c r="Q550" t="str">
        <x:v>Phụ lục 511 sản phẩm, STT 478, trang 15. Công ty Việt Hương là cơ sở sản xuất; cột tổ chức chịu trách nhiệm lấy nguyên văn từ phụ lục.</x:v>
      </x:c>
      <x:c r="R550" t="str">
        <x:v>https://dav.gov.vn/cong-van-so-1772qld-mp-ve-viec-dinh-chi-luu-hanh-thu-hoi-va-tieu-huy-my-pham-vi-pham-cong-ty-tnhh-my-pham-viet-huong-n5334.html</x:v>
      </x:c>
      <x:c r="S550" t="str">
        <x:v>Hà Nội</x:v>
      </x:c>
      <x:c r="T550" t="str">
        <x:v>01</x:v>
      </x:c>
    </x:row>
    <x:row r="551">
      <x:c r="A551" t="n">
        <x:v>550</x:v>
      </x:c>
      <x:c r="B551" s="330"/>
      <x:c r="C551" s="330" t="n">
        <x:v>46155</x:v>
      </x:c>
      <x:c r="D551" t="n">
        <x:v>2025</x:v>
      </x:c>
      <x:c r="E551"/>
      <x:c r="F551" t="str">
        <x:v>24076/25/CBMP-HN</x:v>
      </x:c>
      <x:c r="G551"/>
      <x:c r="H551" t="str">
        <x:v>Xịt dưỡng tóc tinh dầu bưởi</x:v>
      </x:c>
      <x:c r="I551"/>
      <x:c r="J551" t="str">
        <x:v>Khác</x:v>
      </x:c>
      <x:c r="K551"/>
      <x:c r="L551" t="str">
        <x:v>Công ty TNHH The Gloria</x:v>
      </x:c>
      <x:c r="M551"/>
      <x:c r="N551" t="str">
        <x:v>Công ty TNHH mỹ phẩm Việt Hương</x:v>
      </x:c>
      <x:c r="O551" t="str">
        <x:v>Đình chỉ lưu hành, thu hồi và tiêu hủy – Công văn 1772/QLD-MP</x:v>
      </x:c>
      <x:c r="P551" t="str">
        <x:v>A++ – Cục Quản lý Dược; tổ chức chịu trách nhiệm explicit</x:v>
      </x:c>
      <x:c r="Q551" t="str">
        <x:v>Phụ lục 511 sản phẩm, STT 479, trang 15. Công ty Việt Hương là cơ sở sản xuất; cột tổ chức chịu trách nhiệm lấy nguyên văn từ phụ lục.</x:v>
      </x:c>
      <x:c r="R551" t="str">
        <x:v>https://dav.gov.vn/cong-van-so-1772qld-mp-ve-viec-dinh-chi-luu-hanh-thu-hoi-va-tieu-huy-my-pham-vi-pham-cong-ty-tnhh-my-pham-viet-huong-n5334.html</x:v>
      </x:c>
      <x:c r="S551" t="str">
        <x:v>Hà Nội</x:v>
      </x:c>
      <x:c r="T551" t="str">
        <x:v>01</x:v>
      </x:c>
    </x:row>
    <x:row r="552">
      <x:c r="A552" t="n">
        <x:v>551</x:v>
      </x:c>
      <x:c r="B552" s="330"/>
      <x:c r="C552" s="330" t="n">
        <x:v>46155</x:v>
      </x:c>
      <x:c r="D552" t="n">
        <x:v>2025</x:v>
      </x:c>
      <x:c r="E552"/>
      <x:c r="F552" t="str">
        <x:v>24478/25/CBMP-HN</x:v>
      </x:c>
      <x:c r="G552"/>
      <x:c r="H552" t="str">
        <x:v>Hôi nách</x:v>
      </x:c>
      <x:c r="I552"/>
      <x:c r="J552" t="str">
        <x:v>Khử mùi</x:v>
      </x:c>
      <x:c r="K552"/>
      <x:c r="L552" t="str">
        <x:v>Công ty TNHH The Gloria</x:v>
      </x:c>
      <x:c r="M552"/>
      <x:c r="N552" t="str">
        <x:v>Công ty TNHH mỹ phẩm Việt Hương</x:v>
      </x:c>
      <x:c r="O552" t="str">
        <x:v>Đình chỉ lưu hành, thu hồi và tiêu hủy – Công văn 1772/QLD-MP</x:v>
      </x:c>
      <x:c r="P552" t="str">
        <x:v>A++ – Cục Quản lý Dược; tổ chức chịu trách nhiệm explicit</x:v>
      </x:c>
      <x:c r="Q552" t="str">
        <x:v>Phụ lục 511 sản phẩm, STT 480, trang 15. Công ty Việt Hương là cơ sở sản xuất; cột tổ chức chịu trách nhiệm lấy nguyên văn từ phụ lục.</x:v>
      </x:c>
      <x:c r="R552" t="str">
        <x:v>https://dav.gov.vn/cong-van-so-1772qld-mp-ve-viec-dinh-chi-luu-hanh-thu-hoi-va-tieu-huy-my-pham-vi-pham-cong-ty-tnhh-my-pham-viet-huong-n5334.html</x:v>
      </x:c>
      <x:c r="S552" t="str">
        <x:v>Hà Nội</x:v>
      </x:c>
      <x:c r="T552" t="str">
        <x:v>01</x:v>
      </x:c>
    </x:row>
    <x:row r="553">
      <x:c r="A553" t="n">
        <x:v>552</x:v>
      </x:c>
      <x:c r="B553" s="330"/>
      <x:c r="C553" s="330" t="n">
        <x:v>46155</x:v>
      </x:c>
      <x:c r="D553" t="n">
        <x:v>2025</x:v>
      </x:c>
      <x:c r="E553"/>
      <x:c r="F553" t="str">
        <x:v>24479/25/CBMP-HN</x:v>
      </x:c>
      <x:c r="G553"/>
      <x:c r="H553" t="str">
        <x:v>Serum mụn Dạ Thảo Liên</x:v>
      </x:c>
      <x:c r="I553"/>
      <x:c r="J553" t="str">
        <x:v>Serum/Essence da</x:v>
      </x:c>
      <x:c r="K553"/>
      <x:c r="L553" t="str">
        <x:v>Công ty TNHH thương mại Tự Do Phát Tài</x:v>
      </x:c>
      <x:c r="M553"/>
      <x:c r="N553" t="str">
        <x:v>Công ty TNHH mỹ phẩm Việt Hương</x:v>
      </x:c>
      <x:c r="O553" t="str">
        <x:v>Đình chỉ lưu hành, thu hồi và tiêu hủy – Công văn 1772/QLD-MP</x:v>
      </x:c>
      <x:c r="P553" t="str">
        <x:v>A++ – Cục Quản lý Dược; tổ chức chịu trách nhiệm explicit</x:v>
      </x:c>
      <x:c r="Q553" t="str">
        <x:v>Phụ lục 511 sản phẩm, STT 481, trang 16. Công ty Việt Hương là cơ sở sản xuất; cột tổ chức chịu trách nhiệm lấy nguyên văn từ phụ lục.</x:v>
      </x:c>
      <x:c r="R553" t="str">
        <x:v>https://dav.gov.vn/cong-van-so-1772qld-mp-ve-viec-dinh-chi-luu-hanh-thu-hoi-va-tieu-huy-my-pham-vi-pham-cong-ty-tnhh-my-pham-viet-huong-n5334.html</x:v>
      </x:c>
      <x:c r="S553" t="str">
        <x:v>Hà Nội</x:v>
      </x:c>
      <x:c r="T553" t="str">
        <x:v>01</x:v>
      </x:c>
    </x:row>
    <x:row r="554">
      <x:c r="A554" t="n">
        <x:v>553</x:v>
      </x:c>
      <x:c r="B554" s="330"/>
      <x:c r="C554" s="330" t="n">
        <x:v>46155</x:v>
      </x:c>
      <x:c r="D554" t="n">
        <x:v>2025</x:v>
      </x:c>
      <x:c r="E554"/>
      <x:c r="F554" t="str">
        <x:v>24499/25/CBMP-HN</x:v>
      </x:c>
      <x:c r="G554"/>
      <x:c r="H554" t="str">
        <x:v>Nước tắm thảo mộc</x:v>
      </x:c>
      <x:c r="I554"/>
      <x:c r="J554" t="str">
        <x:v>Khác</x:v>
      </x:c>
      <x:c r="K554"/>
      <x:c r="L554" t="str">
        <x:v>HKD Momo KID</x:v>
      </x:c>
      <x:c r="M554"/>
      <x:c r="N554" t="str">
        <x:v>Công ty TNHH mỹ phẩm Việt Hương</x:v>
      </x:c>
      <x:c r="O554" t="str">
        <x:v>Đình chỉ lưu hành, thu hồi và tiêu hủy – Công văn 1772/QLD-MP</x:v>
      </x:c>
      <x:c r="P554" t="str">
        <x:v>A++ – Cục Quản lý Dược; tổ chức chịu trách nhiệm explicit</x:v>
      </x:c>
      <x:c r="Q554" t="str">
        <x:v>Phụ lục 511 sản phẩm, STT 482, trang 16. Công ty Việt Hương là cơ sở sản xuất; cột tổ chức chịu trách nhiệm lấy nguyên văn từ phụ lục.</x:v>
      </x:c>
      <x:c r="R554" t="str">
        <x:v>https://dav.gov.vn/cong-van-so-1772qld-mp-ve-viec-dinh-chi-luu-hanh-thu-hoi-va-tieu-huy-my-pham-vi-pham-cong-ty-tnhh-my-pham-viet-huong-n5334.html</x:v>
      </x:c>
      <x:c r="S554" t="str">
        <x:v>Hà Nội</x:v>
      </x:c>
      <x:c r="T554" t="str">
        <x:v>01</x:v>
      </x:c>
    </x:row>
    <x:row r="555">
      <x:c r="A555" t="n">
        <x:v>554</x:v>
      </x:c>
      <x:c r="B555" s="330"/>
      <x:c r="C555" s="330" t="n">
        <x:v>46155</x:v>
      </x:c>
      <x:c r="D555" t="n">
        <x:v>2025</x:v>
      </x:c>
      <x:c r="E555"/>
      <x:c r="F555" t="str">
        <x:v>24734/25/CBMP-HN</x:v>
      </x:c>
      <x:c r="G555"/>
      <x:c r="H555" t="str">
        <x:v>Aftercare tattoo balm</x:v>
      </x:c>
      <x:c r="I555"/>
      <x:c r="J555" t="str">
        <x:v>Khác</x:v>
      </x:c>
      <x:c r="K555"/>
      <x:c r="L555" t="str">
        <x:v>Công ty TNHH Ink.Inc Tattoo Hà Nội</x:v>
      </x:c>
      <x:c r="M555"/>
      <x:c r="N555" t="str">
        <x:v>Công ty TNHH mỹ phẩm Việt Hương</x:v>
      </x:c>
      <x:c r="O555" t="str">
        <x:v>Đình chỉ lưu hành, thu hồi và tiêu hủy – Công văn 1772/QLD-MP</x:v>
      </x:c>
      <x:c r="P555" t="str">
        <x:v>A++ – Cục Quản lý Dược; tổ chức chịu trách nhiệm explicit</x:v>
      </x:c>
      <x:c r="Q555" t="str">
        <x:v>Phụ lục 511 sản phẩm, STT 483, trang 16. Công ty Việt Hương là cơ sở sản xuất; cột tổ chức chịu trách nhiệm lấy nguyên văn từ phụ lục.</x:v>
      </x:c>
      <x:c r="R555" t="str">
        <x:v>https://dav.gov.vn/cong-van-so-1772qld-mp-ve-viec-dinh-chi-luu-hanh-thu-hoi-va-tieu-huy-my-pham-vi-pham-cong-ty-tnhh-my-pham-viet-huong-n5334.html</x:v>
      </x:c>
      <x:c r="S555" t="str">
        <x:v>Hà Nội</x:v>
      </x:c>
      <x:c r="T555" t="str">
        <x:v>01</x:v>
      </x:c>
    </x:row>
    <x:row r="556">
      <x:c r="A556" t="n">
        <x:v>555</x:v>
      </x:c>
      <x:c r="B556" s="330"/>
      <x:c r="C556" s="330" t="n">
        <x:v>46155</x:v>
      </x:c>
      <x:c r="D556" t="n">
        <x:v>2025</x:v>
      </x:c>
      <x:c r="E556"/>
      <x:c r="F556" t="str">
        <x:v>25236/25/CBMP-HN</x:v>
      </x:c>
      <x:c r="G556"/>
      <x:c r="H556" t="str">
        <x:v>Phủ bạc Ecocharm Black Hair</x:v>
      </x:c>
      <x:c r="I556"/>
      <x:c r="J556" t="str">
        <x:v>Nhuộm/tẩy màu tóc</x:v>
      </x:c>
      <x:c r="K556"/>
      <x:c r="L556" t="str">
        <x:v>Công ty TNHH nghiên cứu và phát triển dược liệu Ecocharm Việt Nam</x:v>
      </x:c>
      <x:c r="M556"/>
      <x:c r="N556" t="str">
        <x:v>Công ty TNHH mỹ phẩm Việt Hương</x:v>
      </x:c>
      <x:c r="O556" t="str">
        <x:v>Đình chỉ lưu hành, thu hồi và tiêu hủy – Công văn 1772/QLD-MP</x:v>
      </x:c>
      <x:c r="P556" t="str">
        <x:v>A++ – Cục Quản lý Dược; tổ chức chịu trách nhiệm explicit</x:v>
      </x:c>
      <x:c r="Q556" t="str">
        <x:v>Phụ lục 511 sản phẩm, STT 484, trang 16. Công ty Việt Hương là cơ sở sản xuất; cột tổ chức chịu trách nhiệm lấy nguyên văn từ phụ lục.</x:v>
      </x:c>
      <x:c r="R556" t="str">
        <x:v>https://dav.gov.vn/cong-van-so-1772qld-mp-ve-viec-dinh-chi-luu-hanh-thu-hoi-va-tieu-huy-my-pham-vi-pham-cong-ty-tnhh-my-pham-viet-huong-n5334.html</x:v>
      </x:c>
      <x:c r="S556" t="str">
        <x:v>Hà Nội</x:v>
      </x:c>
      <x:c r="T556" t="str">
        <x:v>01</x:v>
      </x:c>
    </x:row>
    <x:row r="557">
      <x:c r="A557" t="n">
        <x:v>556</x:v>
      </x:c>
      <x:c r="B557" s="330"/>
      <x:c r="C557" s="330" t="n">
        <x:v>46155</x:v>
      </x:c>
      <x:c r="D557" t="n">
        <x:v>2025</x:v>
      </x:c>
      <x:c r="E557"/>
      <x:c r="F557" t="str">
        <x:v>25383/25/CBMP-HN</x:v>
      </x:c>
      <x:c r="G557"/>
      <x:c r="H557" t="str">
        <x:v>Dakami cleanser</x:v>
      </x:c>
      <x:c r="I557"/>
      <x:c r="J557" t="str">
        <x:v>Sữa rửa mặt</x:v>
      </x:c>
      <x:c r="K557"/>
      <x:c r="L557" t="str">
        <x:v>Công ty TNHH Olahi</x:v>
      </x:c>
      <x:c r="M557"/>
      <x:c r="N557" t="str">
        <x:v>Công ty TNHH mỹ phẩm Việt Hương</x:v>
      </x:c>
      <x:c r="O557" t="str">
        <x:v>Đình chỉ lưu hành, thu hồi và tiêu hủy – Công văn 1772/QLD-MP</x:v>
      </x:c>
      <x:c r="P557" t="str">
        <x:v>A++ – Cục Quản lý Dược; tổ chức chịu trách nhiệm explicit</x:v>
      </x:c>
      <x:c r="Q557" t="str">
        <x:v>Phụ lục 511 sản phẩm, STT 485, trang 16. Công ty Việt Hương là cơ sở sản xuất; cột tổ chức chịu trách nhiệm lấy nguyên văn từ phụ lục.</x:v>
      </x:c>
      <x:c r="R557" t="str">
        <x:v>https://dav.gov.vn/cong-van-so-1772qld-mp-ve-viec-dinh-chi-luu-hanh-thu-hoi-va-tieu-huy-my-pham-vi-pham-cong-ty-tnhh-my-pham-viet-huong-n5334.html</x:v>
      </x:c>
      <x:c r="S557" t="str">
        <x:v>Hà Nội</x:v>
      </x:c>
      <x:c r="T557" t="str">
        <x:v>01</x:v>
      </x:c>
    </x:row>
    <x:row r="558">
      <x:c r="A558" t="n">
        <x:v>557</x:v>
      </x:c>
      <x:c r="B558" s="330"/>
      <x:c r="C558" s="330" t="n">
        <x:v>46155</x:v>
      </x:c>
      <x:c r="D558" t="n">
        <x:v>2025</x:v>
      </x:c>
      <x:c r="E558"/>
      <x:c r="F558" t="str">
        <x:v>25573/25/CBMP-HN</x:v>
      </x:c>
      <x:c r="G558"/>
      <x:c r="H558" t="str">
        <x:v>Sữa rửa mặt</x:v>
      </x:c>
      <x:c r="I558"/>
      <x:c r="J558" t="str">
        <x:v>Sữa rửa mặt</x:v>
      </x:c>
      <x:c r="K558"/>
      <x:c r="L558" t="str">
        <x:v>Công ty TNHH Cầu Bình An</x:v>
      </x:c>
      <x:c r="M558"/>
      <x:c r="N558" t="str">
        <x:v>Công ty TNHH mỹ phẩm Việt Hương</x:v>
      </x:c>
      <x:c r="O558" t="str">
        <x:v>Đình chỉ lưu hành, thu hồi và tiêu hủy – Công văn 1772/QLD-MP</x:v>
      </x:c>
      <x:c r="P558" t="str">
        <x:v>A++ – Cục Quản lý Dược; tổ chức chịu trách nhiệm explicit</x:v>
      </x:c>
      <x:c r="Q558" t="str">
        <x:v>Phụ lục 511 sản phẩm, STT 486, trang 16. Công ty Việt Hương là cơ sở sản xuất; cột tổ chức chịu trách nhiệm lấy nguyên văn từ phụ lục.</x:v>
      </x:c>
      <x:c r="R558" t="str">
        <x:v>https://dav.gov.vn/cong-van-so-1772qld-mp-ve-viec-dinh-chi-luu-hanh-thu-hoi-va-tieu-huy-my-pham-vi-pham-cong-ty-tnhh-my-pham-viet-huong-n5334.html</x:v>
      </x:c>
      <x:c r="S558" t="str">
        <x:v>Hà Nội</x:v>
      </x:c>
      <x:c r="T558" t="str">
        <x:v>01</x:v>
      </x:c>
    </x:row>
    <x:row r="559">
      <x:c r="A559" t="n">
        <x:v>558</x:v>
      </x:c>
      <x:c r="B559" s="330"/>
      <x:c r="C559" s="330" t="n">
        <x:v>46155</x:v>
      </x:c>
      <x:c r="D559" t="n">
        <x:v>2025</x:v>
      </x:c>
      <x:c r="E559"/>
      <x:c r="F559" t="str">
        <x:v>25574/25/CBMP-HN</x:v>
      </x:c>
      <x:c r="G559"/>
      <x:c r="H559" t="str">
        <x:v>Kem massage</x:v>
      </x:c>
      <x:c r="I559"/>
      <x:c r="J559" t="str">
        <x:v>Khác</x:v>
      </x:c>
      <x:c r="K559"/>
      <x:c r="L559" t="str">
        <x:v>Công ty TNHH mỹ phẩm Ngân Bình</x:v>
      </x:c>
      <x:c r="M559"/>
      <x:c r="N559" t="str">
        <x:v>Công ty TNHH mỹ phẩm Việt Hương</x:v>
      </x:c>
      <x:c r="O559" t="str">
        <x:v>Đình chỉ lưu hành, thu hồi và tiêu hủy – Công văn 1772/QLD-MP</x:v>
      </x:c>
      <x:c r="P559" t="str">
        <x:v>A++ – Cục Quản lý Dược; tổ chức chịu trách nhiệm explicit</x:v>
      </x:c>
      <x:c r="Q559" t="str">
        <x:v>Phụ lục 511 sản phẩm, STT 487, trang 16. Công ty Việt Hương là cơ sở sản xuất; cột tổ chức chịu trách nhiệm lấy nguyên văn từ phụ lục.</x:v>
      </x:c>
      <x:c r="R559" t="str">
        <x:v>https://dav.gov.vn/cong-van-so-1772qld-mp-ve-viec-dinh-chi-luu-hanh-thu-hoi-va-tieu-huy-my-pham-vi-pham-cong-ty-tnhh-my-pham-viet-huong-n5334.html</x:v>
      </x:c>
      <x:c r="S559" t="str">
        <x:v>Hà Nội</x:v>
      </x:c>
      <x:c r="T559" t="str">
        <x:v>01</x:v>
      </x:c>
    </x:row>
    <x:row r="560">
      <x:c r="A560" t="n">
        <x:v>559</x:v>
      </x:c>
      <x:c r="B560" s="330"/>
      <x:c r="C560" s="330" t="n">
        <x:v>46155</x:v>
      </x:c>
      <x:c r="D560" t="n">
        <x:v>2025</x:v>
      </x:c>
      <x:c r="E560"/>
      <x:c r="F560" t="str">
        <x:v>25586/25/CBMP-HN</x:v>
      </x:c>
      <x:c r="G560"/>
      <x:c r="H560" t="str">
        <x:v>Yu deep cleanser</x:v>
      </x:c>
      <x:c r="I560"/>
      <x:c r="J560" t="str">
        <x:v>Sữa rửa mặt</x:v>
      </x:c>
      <x:c r="K560"/>
      <x:c r="L560" t="str">
        <x:v>Công ty TNHH Yulas</x:v>
      </x:c>
      <x:c r="M560"/>
      <x:c r="N560" t="str">
        <x:v>Công ty TNHH mỹ phẩm Việt Hương</x:v>
      </x:c>
      <x:c r="O560" t="str">
        <x:v>Đình chỉ lưu hành, thu hồi và tiêu hủy – Công văn 1772/QLD-MP</x:v>
      </x:c>
      <x:c r="P560" t="str">
        <x:v>A++ – Cục Quản lý Dược; tổ chức chịu trách nhiệm explicit</x:v>
      </x:c>
      <x:c r="Q560" t="str">
        <x:v>Phụ lục 511 sản phẩm, STT 488, trang 16. Công ty Việt Hương là cơ sở sản xuất; cột tổ chức chịu trách nhiệm lấy nguyên văn từ phụ lục.</x:v>
      </x:c>
      <x:c r="R560" t="str">
        <x:v>https://dav.gov.vn/cong-van-so-1772qld-mp-ve-viec-dinh-chi-luu-hanh-thu-hoi-va-tieu-huy-my-pham-vi-pham-cong-ty-tnhh-my-pham-viet-huong-n5334.html</x:v>
      </x:c>
      <x:c r="S560" t="str">
        <x:v>Hà Nội</x:v>
      </x:c>
      <x:c r="T560" t="str">
        <x:v>01</x:v>
      </x:c>
    </x:row>
    <x:row r="561">
      <x:c r="A561" t="n">
        <x:v>560</x:v>
      </x:c>
      <x:c r="B561" s="330"/>
      <x:c r="C561" s="330" t="n">
        <x:v>46155</x:v>
      </x:c>
      <x:c r="D561" t="n">
        <x:v>2025</x:v>
      </x:c>
      <x:c r="E561"/>
      <x:c r="F561" t="str">
        <x:v>25587/25/CBMP-HN</x:v>
      </x:c>
      <x:c r="G561"/>
      <x:c r="H561" t="str">
        <x:v>Yu pure cleanser</x:v>
      </x:c>
      <x:c r="I561"/>
      <x:c r="J561" t="str">
        <x:v>Sữa rửa mặt</x:v>
      </x:c>
      <x:c r="K561"/>
      <x:c r="L561" t="str">
        <x:v>Công ty TNHH Yulas</x:v>
      </x:c>
      <x:c r="M561"/>
      <x:c r="N561" t="str">
        <x:v>Công ty TNHH mỹ phẩm Việt Hương</x:v>
      </x:c>
      <x:c r="O561" t="str">
        <x:v>Đình chỉ lưu hành, thu hồi và tiêu hủy – Công văn 1772/QLD-MP</x:v>
      </x:c>
      <x:c r="P561" t="str">
        <x:v>A++ – Cục Quản lý Dược; tổ chức chịu trách nhiệm explicit</x:v>
      </x:c>
      <x:c r="Q561" t="str">
        <x:v>Phụ lục 511 sản phẩm, STT 489, trang 16. Công ty Việt Hương là cơ sở sản xuất; cột tổ chức chịu trách nhiệm lấy nguyên văn từ phụ lục.</x:v>
      </x:c>
      <x:c r="R561" t="str">
        <x:v>https://dav.gov.vn/cong-van-so-1772qld-mp-ve-viec-dinh-chi-luu-hanh-thu-hoi-va-tieu-huy-my-pham-vi-pham-cong-ty-tnhh-my-pham-viet-huong-n5334.html</x:v>
      </x:c>
      <x:c r="S561" t="str">
        <x:v>Hà Nội</x:v>
      </x:c>
      <x:c r="T561" t="str">
        <x:v>01</x:v>
      </x:c>
    </x:row>
    <x:row r="562">
      <x:c r="A562" t="n">
        <x:v>561</x:v>
      </x:c>
      <x:c r="B562" s="330"/>
      <x:c r="C562" s="330" t="n">
        <x:v>46155</x:v>
      </x:c>
      <x:c r="D562" t="n">
        <x:v>2025</x:v>
      </x:c>
      <x:c r="E562"/>
      <x:c r="F562" t="str">
        <x:v>25588/25/CBMP-HN</x:v>
      </x:c>
      <x:c r="G562"/>
      <x:c r="H562" t="str">
        <x:v>Yu green serum</x:v>
      </x:c>
      <x:c r="I562"/>
      <x:c r="J562" t="str">
        <x:v>Serum/Essence da</x:v>
      </x:c>
      <x:c r="K562"/>
      <x:c r="L562" t="str">
        <x:v>Công ty TNHH Yulas</x:v>
      </x:c>
      <x:c r="M562"/>
      <x:c r="N562" t="str">
        <x:v>Công ty TNHH mỹ phẩm Việt Hương</x:v>
      </x:c>
      <x:c r="O562" t="str">
        <x:v>Đình chỉ lưu hành, thu hồi và tiêu hủy – Công văn 1772/QLD-MP</x:v>
      </x:c>
      <x:c r="P562" t="str">
        <x:v>A++ – Cục Quản lý Dược; tổ chức chịu trách nhiệm explicit</x:v>
      </x:c>
      <x:c r="Q562" t="str">
        <x:v>Phụ lục 511 sản phẩm, STT 490, trang 16. Công ty Việt Hương là cơ sở sản xuất; cột tổ chức chịu trách nhiệm lấy nguyên văn từ phụ lục.</x:v>
      </x:c>
      <x:c r="R562" t="str">
        <x:v>https://dav.gov.vn/cong-van-so-1772qld-mp-ve-viec-dinh-chi-luu-hanh-thu-hoi-va-tieu-huy-my-pham-vi-pham-cong-ty-tnhh-my-pham-viet-huong-n5334.html</x:v>
      </x:c>
      <x:c r="S562" t="str">
        <x:v>Hà Nội</x:v>
      </x:c>
      <x:c r="T562" t="str">
        <x:v>01</x:v>
      </x:c>
    </x:row>
    <x:row r="563">
      <x:c r="A563" t="n">
        <x:v>562</x:v>
      </x:c>
      <x:c r="B563" s="330"/>
      <x:c r="C563" s="330" t="n">
        <x:v>46155</x:v>
      </x:c>
      <x:c r="D563" t="n">
        <x:v>2025</x:v>
      </x:c>
      <x:c r="E563"/>
      <x:c r="F563" t="str">
        <x:v>25589/25/CBMP-HN</x:v>
      </x:c>
      <x:c r="G563"/>
      <x:c r="H563" t="str">
        <x:v>Yu sensitive remover</x:v>
      </x:c>
      <x:c r="I563"/>
      <x:c r="J563" t="str">
        <x:v>Tẩy trang</x:v>
      </x:c>
      <x:c r="K563"/>
      <x:c r="L563" t="str">
        <x:v>Công ty TNHH Yulas</x:v>
      </x:c>
      <x:c r="M563"/>
      <x:c r="N563" t="str">
        <x:v>Công ty TNHH mỹ phẩm Việt Hương</x:v>
      </x:c>
      <x:c r="O563" t="str">
        <x:v>Đình chỉ lưu hành, thu hồi và tiêu hủy – Công văn 1772/QLD-MP</x:v>
      </x:c>
      <x:c r="P563" t="str">
        <x:v>A++ – Cục Quản lý Dược; tổ chức chịu trách nhiệm explicit</x:v>
      </x:c>
      <x:c r="Q563" t="str">
        <x:v>Phụ lục 511 sản phẩm, STT 491, trang 16. Công ty Việt Hương là cơ sở sản xuất; cột tổ chức chịu trách nhiệm lấy nguyên văn từ phụ lục.</x:v>
      </x:c>
      <x:c r="R563" t="str">
        <x:v>https://dav.gov.vn/cong-van-so-1772qld-mp-ve-viec-dinh-chi-luu-hanh-thu-hoi-va-tieu-huy-my-pham-vi-pham-cong-ty-tnhh-my-pham-viet-huong-n5334.html</x:v>
      </x:c>
      <x:c r="S563" t="str">
        <x:v>Hà Nội</x:v>
      </x:c>
      <x:c r="T563" t="str">
        <x:v>01</x:v>
      </x:c>
    </x:row>
    <x:row r="564">
      <x:c r="A564" t="n">
        <x:v>563</x:v>
      </x:c>
      <x:c r="B564" s="330"/>
      <x:c r="C564" s="330" t="n">
        <x:v>46155</x:v>
      </x:c>
      <x:c r="D564" t="n">
        <x:v>2025</x:v>
      </x:c>
      <x:c r="E564"/>
      <x:c r="F564" t="str">
        <x:v>25753/25/CBMP-HN</x:v>
      </x:c>
      <x:c r="G564"/>
      <x:c r="H564" t="str">
        <x:v>Yu bright guard</x:v>
      </x:c>
      <x:c r="I564"/>
      <x:c r="J564" t="str">
        <x:v>Khác</x:v>
      </x:c>
      <x:c r="K564"/>
      <x:c r="L564" t="str">
        <x:v>Công ty TNHH Yulas</x:v>
      </x:c>
      <x:c r="M564"/>
      <x:c r="N564" t="str">
        <x:v>Công ty TNHH mỹ phẩm Việt Hương</x:v>
      </x:c>
      <x:c r="O564" t="str">
        <x:v>Đình chỉ lưu hành, thu hồi và tiêu hủy – Công văn 1772/QLD-MP</x:v>
      </x:c>
      <x:c r="P564" t="str">
        <x:v>A++ – Cục Quản lý Dược; tổ chức chịu trách nhiệm explicit</x:v>
      </x:c>
      <x:c r="Q564" t="str">
        <x:v>Phụ lục 511 sản phẩm, STT 492, trang 16. Công ty Việt Hương là cơ sở sản xuất; cột tổ chức chịu trách nhiệm lấy nguyên văn từ phụ lục.</x:v>
      </x:c>
      <x:c r="R564" t="str">
        <x:v>https://dav.gov.vn/cong-van-so-1772qld-mp-ve-viec-dinh-chi-luu-hanh-thu-hoi-va-tieu-huy-my-pham-vi-pham-cong-ty-tnhh-my-pham-viet-huong-n5334.html</x:v>
      </x:c>
      <x:c r="S564" t="str">
        <x:v>Hà Nội</x:v>
      </x:c>
      <x:c r="T564" t="str">
        <x:v>01</x:v>
      </x:c>
    </x:row>
    <x:row r="565">
      <x:c r="A565" t="n">
        <x:v>564</x:v>
      </x:c>
      <x:c r="B565" s="330"/>
      <x:c r="C565" s="330" t="n">
        <x:v>46155</x:v>
      </x:c>
      <x:c r="D565" t="n">
        <x:v>2025</x:v>
      </x:c>
      <x:c r="E565"/>
      <x:c r="F565" t="str">
        <x:v>25701/25/CBMP-HN</x:v>
      </x:c>
      <x:c r="G565"/>
      <x:c r="H565" t="str">
        <x:v>Dầu gội Hamayna natural</x:v>
      </x:c>
      <x:c r="I565"/>
      <x:c r="J565" t="str">
        <x:v>Dầu gội</x:v>
      </x:c>
      <x:c r="K565"/>
      <x:c r="L565" t="str">
        <x:v>Công ty TNHH thương mại Hamayna</x:v>
      </x:c>
      <x:c r="M565"/>
      <x:c r="N565" t="str">
        <x:v>Công ty TNHH mỹ phẩm Việt Hương</x:v>
      </x:c>
      <x:c r="O565" t="str">
        <x:v>Đình chỉ lưu hành, thu hồi và tiêu hủy – Công văn 1772/QLD-MP</x:v>
      </x:c>
      <x:c r="P565" t="str">
        <x:v>A++ – Cục Quản lý Dược; tổ chức chịu trách nhiệm explicit</x:v>
      </x:c>
      <x:c r="Q565" t="str">
        <x:v>Phụ lục 511 sản phẩm, STT 493, trang 16. Công ty Việt Hương là cơ sở sản xuất; cột tổ chức chịu trách nhiệm lấy nguyên văn từ phụ lục.</x:v>
      </x:c>
      <x:c r="R565" t="str">
        <x:v>https://dav.gov.vn/cong-van-so-1772qld-mp-ve-viec-dinh-chi-luu-hanh-thu-hoi-va-tieu-huy-my-pham-vi-pham-cong-ty-tnhh-my-pham-viet-huong-n5334.html</x:v>
      </x:c>
      <x:c r="S565" t="str">
        <x:v>Hà Nội</x:v>
      </x:c>
      <x:c r="T565" t="str">
        <x:v>01</x:v>
      </x:c>
    </x:row>
    <x:row r="566">
      <x:c r="A566" t="n">
        <x:v>565</x:v>
      </x:c>
      <x:c r="B566" s="330"/>
      <x:c r="C566" s="330" t="n">
        <x:v>46155</x:v>
      </x:c>
      <x:c r="D566" t="n">
        <x:v>2025</x:v>
      </x:c>
      <x:c r="E566"/>
      <x:c r="F566" t="str">
        <x:v>25702/25/CBMP-HN</x:v>
      </x:c>
      <x:c r="G566"/>
      <x:c r="H566" t="str">
        <x:v>Dầu xả Hamayna restoring</x:v>
      </x:c>
      <x:c r="I566"/>
      <x:c r="J566" t="str">
        <x:v>Dầu xả</x:v>
      </x:c>
      <x:c r="K566"/>
      <x:c r="L566" t="str">
        <x:v>Công ty TNHH thương mại Hamayna</x:v>
      </x:c>
      <x:c r="M566"/>
      <x:c r="N566" t="str">
        <x:v>Công ty TNHH mỹ phẩm Việt Hương</x:v>
      </x:c>
      <x:c r="O566" t="str">
        <x:v>Đình chỉ lưu hành, thu hồi và tiêu hủy – Công văn 1772/QLD-MP</x:v>
      </x:c>
      <x:c r="P566" t="str">
        <x:v>A++ – Cục Quản lý Dược; tổ chức chịu trách nhiệm explicit</x:v>
      </x:c>
      <x:c r="Q566" t="str">
        <x:v>Phụ lục 511 sản phẩm, STT 494, trang 16. Công ty Việt Hương là cơ sở sản xuất; cột tổ chức chịu trách nhiệm lấy nguyên văn từ phụ lục.</x:v>
      </x:c>
      <x:c r="R566" t="str">
        <x:v>https://dav.gov.vn/cong-van-so-1772qld-mp-ve-viec-dinh-chi-luu-hanh-thu-hoi-va-tieu-huy-my-pham-vi-pham-cong-ty-tnhh-my-pham-viet-huong-n5334.html</x:v>
      </x:c>
      <x:c r="S566" t="str">
        <x:v>Hà Nội</x:v>
      </x:c>
      <x:c r="T566" t="str">
        <x:v>01</x:v>
      </x:c>
    </x:row>
    <x:row r="567">
      <x:c r="A567" t="n">
        <x:v>566</x:v>
      </x:c>
      <x:c r="B567" s="330"/>
      <x:c r="C567" s="330" t="n">
        <x:v>46155</x:v>
      </x:c>
      <x:c r="D567" t="n">
        <x:v>2025</x:v>
      </x:c>
      <x:c r="E567"/>
      <x:c r="F567" t="str">
        <x:v>25703/25/CBMP-HN</x:v>
      </x:c>
      <x:c r="G567"/>
      <x:c r="H567" t="str">
        <x:v>Gentle hair care</x:v>
      </x:c>
      <x:c r="I567"/>
      <x:c r="J567" t="str">
        <x:v>Khác</x:v>
      </x:c>
      <x:c r="K567"/>
      <x:c r="L567" t="str">
        <x:v>Công ty TNHH thương mại Hamayna</x:v>
      </x:c>
      <x:c r="M567"/>
      <x:c r="N567" t="str">
        <x:v>Công ty TNHH mỹ phẩm Việt Hương</x:v>
      </x:c>
      <x:c r="O567" t="str">
        <x:v>Đình chỉ lưu hành, thu hồi và tiêu hủy – Công văn 1772/QLD-MP</x:v>
      </x:c>
      <x:c r="P567" t="str">
        <x:v>A++ – Cục Quản lý Dược; tổ chức chịu trách nhiệm explicit</x:v>
      </x:c>
      <x:c r="Q567" t="str">
        <x:v>Phụ lục 511 sản phẩm, STT 495, trang 16. Công ty Việt Hương là cơ sở sản xuất; cột tổ chức chịu trách nhiệm lấy nguyên văn từ phụ lục.</x:v>
      </x:c>
      <x:c r="R567" t="str">
        <x:v>https://dav.gov.vn/cong-van-so-1772qld-mp-ve-viec-dinh-chi-luu-hanh-thu-hoi-va-tieu-huy-my-pham-vi-pham-cong-ty-tnhh-my-pham-viet-huong-n5334.html</x:v>
      </x:c>
      <x:c r="S567" t="str">
        <x:v>Hà Nội</x:v>
      </x:c>
      <x:c r="T567" t="str">
        <x:v>01</x:v>
      </x:c>
    </x:row>
    <x:row r="568">
      <x:c r="A568" t="n">
        <x:v>567</x:v>
      </x:c>
      <x:c r="B568" s="330"/>
      <x:c r="C568" s="330" t="n">
        <x:v>46155</x:v>
      </x:c>
      <x:c r="D568" t="n">
        <x:v>2025</x:v>
      </x:c>
      <x:c r="E568"/>
      <x:c r="F568" t="str">
        <x:v>25705/25/CBMP-HN</x:v>
      </x:c>
      <x:c r="G568"/>
      <x:c r="H568" t="str">
        <x:v>Son dưỡng môi hồng Gogo Tales</x:v>
      </x:c>
      <x:c r="I568"/>
      <x:c r="J568" t="str">
        <x:v>Sản phẩm môi</x:v>
      </x:c>
      <x:c r="K568"/>
      <x:c r="L568" t="str">
        <x:v>Hộ kinh doanh Trần Thị Phương Thảo</x:v>
      </x:c>
      <x:c r="M568"/>
      <x:c r="N568" t="str">
        <x:v>Công ty TNHH mỹ phẩm Việt Hương</x:v>
      </x:c>
      <x:c r="O568" t="str">
        <x:v>Đình chỉ lưu hành, thu hồi và tiêu hủy – Công văn 1772/QLD-MP</x:v>
      </x:c>
      <x:c r="P568" t="str">
        <x:v>A++ – Cục Quản lý Dược; tổ chức chịu trách nhiệm explicit</x:v>
      </x:c>
      <x:c r="Q568" t="str">
        <x:v>Phụ lục 511 sản phẩm, STT 496, trang 16. Công ty Việt Hương là cơ sở sản xuất; cột tổ chức chịu trách nhiệm lấy nguyên văn từ phụ lục.</x:v>
      </x:c>
      <x:c r="R568" t="str">
        <x:v>https://dav.gov.vn/cong-van-so-1772qld-mp-ve-viec-dinh-chi-luu-hanh-thu-hoi-va-tieu-huy-my-pham-vi-pham-cong-ty-tnhh-my-pham-viet-huong-n5334.html</x:v>
      </x:c>
      <x:c r="S568" t="str">
        <x:v>Hà Nội</x:v>
      </x:c>
      <x:c r="T568" t="str">
        <x:v>01</x:v>
      </x:c>
    </x:row>
    <x:row r="569">
      <x:c r="A569" t="n">
        <x:v>568</x:v>
      </x:c>
      <x:c r="B569" s="330"/>
      <x:c r="C569" s="330" t="n">
        <x:v>46155</x:v>
      </x:c>
      <x:c r="D569" t="n">
        <x:v>2025</x:v>
      </x:c>
      <x:c r="E569"/>
      <x:c r="F569" t="str">
        <x:v>25752/25/CBMP-HN</x:v>
      </x:c>
      <x:c r="G569"/>
      <x:c r="H569" t="str">
        <x:v>Cleanser dry skin care</x:v>
      </x:c>
      <x:c r="I569"/>
      <x:c r="J569" t="str">
        <x:v>Sữa rửa mặt</x:v>
      </x:c>
      <x:c r="K569"/>
      <x:c r="L569" t="str">
        <x:v>Hộ kinh doanh Phạn Quốc Thái - Hải Phú</x:v>
      </x:c>
      <x:c r="M569"/>
      <x:c r="N569" t="str">
        <x:v>Công ty TNHH mỹ phẩm Việt Hương</x:v>
      </x:c>
      <x:c r="O569" t="str">
        <x:v>Đình chỉ lưu hành, thu hồi và tiêu hủy – Công văn 1772/QLD-MP</x:v>
      </x:c>
      <x:c r="P569" t="str">
        <x:v>A++ – Cục Quản lý Dược; tổ chức chịu trách nhiệm explicit</x:v>
      </x:c>
      <x:c r="Q569" t="str">
        <x:v>Phụ lục 511 sản phẩm, STT 497, trang 16. Công ty Việt Hương là cơ sở sản xuất; cột tổ chức chịu trách nhiệm lấy nguyên văn từ phụ lục.</x:v>
      </x:c>
      <x:c r="R569" t="str">
        <x:v>https://dav.gov.vn/cong-van-so-1772qld-mp-ve-viec-dinh-chi-luu-hanh-thu-hoi-va-tieu-huy-my-pham-vi-pham-cong-ty-tnhh-my-pham-viet-huong-n5334.html</x:v>
      </x:c>
      <x:c r="S569" t="str">
        <x:v>Hà Nội</x:v>
      </x:c>
      <x:c r="T569" t="str">
        <x:v>01</x:v>
      </x:c>
    </x:row>
    <x:row r="570">
      <x:c r="A570" t="n">
        <x:v>569</x:v>
      </x:c>
      <x:c r="B570" s="330"/>
      <x:c r="C570" s="330" t="n">
        <x:v>46155</x:v>
      </x:c>
      <x:c r="D570" t="n">
        <x:v>2025</x:v>
      </x:c>
      <x:c r="E570"/>
      <x:c r="F570" t="str">
        <x:v>25905/25/CBMP-HN</x:v>
      </x:c>
      <x:c r="G570"/>
      <x:c r="H570" t="str">
        <x:v>Sữa Tắm Than</x:v>
      </x:c>
      <x:c r="I570"/>
      <x:c r="J570" t="str">
        <x:v>Sữa tắm/Gel tắm</x:v>
      </x:c>
      <x:c r="K570"/>
      <x:c r="L570" t="str">
        <x:v>Công ty TNHH Cầu Bình An</x:v>
      </x:c>
      <x:c r="M570"/>
      <x:c r="N570" t="str">
        <x:v>Công ty TNHH mỹ phẩm Việt Hương</x:v>
      </x:c>
      <x:c r="O570" t="str">
        <x:v>Đình chỉ lưu hành, thu hồi và tiêu hủy – Công văn 1772/QLD-MP</x:v>
      </x:c>
      <x:c r="P570" t="str">
        <x:v>A++ – Cục Quản lý Dược; tổ chức chịu trách nhiệm explicit</x:v>
      </x:c>
      <x:c r="Q570" t="str">
        <x:v>Phụ lục 511 sản phẩm, STT 498, trang 16. Công ty Việt Hương là cơ sở sản xuất; cột tổ chức chịu trách nhiệm lấy nguyên văn từ phụ lục.</x:v>
      </x:c>
      <x:c r="R570" t="str">
        <x:v>https://dav.gov.vn/cong-van-so-1772qld-mp-ve-viec-dinh-chi-luu-hanh-thu-hoi-va-tieu-huy-my-pham-vi-pham-cong-ty-tnhh-my-pham-viet-huong-n5334.html</x:v>
      </x:c>
      <x:c r="S570" t="str">
        <x:v>Hà Nội</x:v>
      </x:c>
      <x:c r="T570" t="str">
        <x:v>01</x:v>
      </x:c>
    </x:row>
    <x:row r="571">
      <x:c r="A571" t="n">
        <x:v>570</x:v>
      </x:c>
      <x:c r="B571" s="330"/>
      <x:c r="C571" s="330" t="n">
        <x:v>46155</x:v>
      </x:c>
      <x:c r="D571" t="n">
        <x:v>2025</x:v>
      </x:c>
      <x:c r="E571"/>
      <x:c r="F571" t="str">
        <x:v>25945/25/CBMP-HN</x:v>
      </x:c>
      <x:c r="G571"/>
      <x:c r="H571" t="str">
        <x:v>Silk Shine Conditioner</x:v>
      </x:c>
      <x:c r="I571"/>
      <x:c r="J571" t="str">
        <x:v>Dầu xả</x:v>
      </x:c>
      <x:c r="K571"/>
      <x:c r="L571" t="str">
        <x:v>Công ty TNHH Beauty Cosmetics Việt Nam</x:v>
      </x:c>
      <x:c r="M571"/>
      <x:c r="N571" t="str">
        <x:v>Công ty TNHH mỹ phẩm Việt Hương</x:v>
      </x:c>
      <x:c r="O571" t="str">
        <x:v>Đình chỉ lưu hành, thu hồi và tiêu hủy – Công văn 1772/QLD-MP</x:v>
      </x:c>
      <x:c r="P571" t="str">
        <x:v>A++ – Cục Quản lý Dược; tổ chức chịu trách nhiệm explicit</x:v>
      </x:c>
      <x:c r="Q571" t="str">
        <x:v>Phụ lục 511 sản phẩm, STT 499, trang 16. Công ty Việt Hương là cơ sở sản xuất; cột tổ chức chịu trách nhiệm lấy nguyên văn từ phụ lục.</x:v>
      </x:c>
      <x:c r="R571" t="str">
        <x:v>https://dav.gov.vn/cong-van-so-1772qld-mp-ve-viec-dinh-chi-luu-hanh-thu-hoi-va-tieu-huy-my-pham-vi-pham-cong-ty-tnhh-my-pham-viet-huong-n5334.html</x:v>
      </x:c>
      <x:c r="S571" t="str">
        <x:v>Hà Nội</x:v>
      </x:c>
      <x:c r="T571" t="str">
        <x:v>01</x:v>
      </x:c>
    </x:row>
    <x:row r="572">
      <x:c r="A572" t="n">
        <x:v>571</x:v>
      </x:c>
      <x:c r="B572" s="330"/>
      <x:c r="C572" s="330" t="n">
        <x:v>46155</x:v>
      </x:c>
      <x:c r="D572" t="n">
        <x:v>2025</x:v>
      </x:c>
      <x:c r="E572"/>
      <x:c r="F572" t="str">
        <x:v>25946/25/CBMP-HN</x:v>
      </x:c>
      <x:c r="G572"/>
      <x:c r="H572" t="str">
        <x:v>Silk Shine Shampoo</x:v>
      </x:c>
      <x:c r="I572"/>
      <x:c r="J572" t="str">
        <x:v>Dầu gội</x:v>
      </x:c>
      <x:c r="K572"/>
      <x:c r="L572" t="str">
        <x:v>Công ty TNHH Beauty Cosmetics Việt Nam</x:v>
      </x:c>
      <x:c r="M572"/>
      <x:c r="N572" t="str">
        <x:v>Công ty TNHH mỹ phẩm Việt Hương</x:v>
      </x:c>
      <x:c r="O572" t="str">
        <x:v>Đình chỉ lưu hành, thu hồi và tiêu hủy – Công văn 1772/QLD-MP</x:v>
      </x:c>
      <x:c r="P572" t="str">
        <x:v>A++ – Cục Quản lý Dược; tổ chức chịu trách nhiệm explicit</x:v>
      </x:c>
      <x:c r="Q572" t="str">
        <x:v>Phụ lục 511 sản phẩm, STT 500, trang 16. Công ty Việt Hương là cơ sở sản xuất; cột tổ chức chịu trách nhiệm lấy nguyên văn từ phụ lục.</x:v>
      </x:c>
      <x:c r="R572" t="str">
        <x:v>https://dav.gov.vn/cong-van-so-1772qld-mp-ve-viec-dinh-chi-luu-hanh-thu-hoi-va-tieu-huy-my-pham-vi-pham-cong-ty-tnhh-my-pham-viet-huong-n5334.html</x:v>
      </x:c>
      <x:c r="S572" t="str">
        <x:v>Hà Nội</x:v>
      </x:c>
      <x:c r="T572" t="str">
        <x:v>01</x:v>
      </x:c>
    </x:row>
    <x:row r="573">
      <x:c r="A573" t="n">
        <x:v>572</x:v>
      </x:c>
      <x:c r="B573" s="330"/>
      <x:c r="C573" s="330" t="n">
        <x:v>46155</x:v>
      </x:c>
      <x:c r="D573" t="n">
        <x:v>2025</x:v>
      </x:c>
      <x:c r="E573"/>
      <x:c r="F573" t="str">
        <x:v>26076/25/CBMP-HN</x:v>
      </x:c>
      <x:c r="G573"/>
      <x:c r="H573" t="str">
        <x:v>Sữa rửa mặt Alpha man</x:v>
      </x:c>
      <x:c r="I573"/>
      <x:c r="J573" t="str">
        <x:v>Sữa rửa mặt</x:v>
      </x:c>
      <x:c r="K573"/>
      <x:c r="L573" t="str">
        <x:v>Công ty TNHH sản xuất và thương mại TM&amp;TD Việt Nam</x:v>
      </x:c>
      <x:c r="M573"/>
      <x:c r="N573" t="str">
        <x:v>Công ty TNHH mỹ phẩm Việt Hương</x:v>
      </x:c>
      <x:c r="O573" t="str">
        <x:v>Đình chỉ lưu hành, thu hồi và tiêu hủy – Công văn 1772/QLD-MP</x:v>
      </x:c>
      <x:c r="P573" t="str">
        <x:v>A++ – Cục Quản lý Dược; tổ chức chịu trách nhiệm explicit</x:v>
      </x:c>
      <x:c r="Q573" t="str">
        <x:v>Phụ lục 511 sản phẩm, STT 501, trang 16. Công ty Việt Hương là cơ sở sản xuất; cột tổ chức chịu trách nhiệm lấy nguyên văn từ phụ lục.</x:v>
      </x:c>
      <x:c r="R573" t="str">
        <x:v>https://dav.gov.vn/cong-van-so-1772qld-mp-ve-viec-dinh-chi-luu-hanh-thu-hoi-va-tieu-huy-my-pham-vi-pham-cong-ty-tnhh-my-pham-viet-huong-n5334.html</x:v>
      </x:c>
      <x:c r="S573" t="str">
        <x:v>Hà Nội</x:v>
      </x:c>
      <x:c r="T573" t="str">
        <x:v>01</x:v>
      </x:c>
    </x:row>
    <x:row r="574">
      <x:c r="A574" t="n">
        <x:v>573</x:v>
      </x:c>
      <x:c r="B574" s="330"/>
      <x:c r="C574" s="330" t="n">
        <x:v>46155</x:v>
      </x:c>
      <x:c r="D574" t="n">
        <x:v>2025</x:v>
      </x:c>
      <x:c r="E574"/>
      <x:c r="F574" t="str">
        <x:v>26077/25/CBMP-HN</x:v>
      </x:c>
      <x:c r="G574"/>
      <x:c r="H574" t="str">
        <x:v>Sáp vuốt tóc Alpha man</x:v>
      </x:c>
      <x:c r="I574"/>
      <x:c r="J574" t="str">
        <x:v>Khác</x:v>
      </x:c>
      <x:c r="K574"/>
      <x:c r="L574" t="str">
        <x:v>Công ty TNHH sản xuất và thương mại TM&amp;TD Việt Nam</x:v>
      </x:c>
      <x:c r="M574"/>
      <x:c r="N574" t="str">
        <x:v>Công ty TNHH mỹ phẩm Việt Hương</x:v>
      </x:c>
      <x:c r="O574" t="str">
        <x:v>Đình chỉ lưu hành, thu hồi và tiêu hủy – Công văn 1772/QLD-MP</x:v>
      </x:c>
      <x:c r="P574" t="str">
        <x:v>A++ – Cục Quản lý Dược; tổ chức chịu trách nhiệm explicit</x:v>
      </x:c>
      <x:c r="Q574" t="str">
        <x:v>Phụ lục 511 sản phẩm, STT 502, trang 16. Công ty Việt Hương là cơ sở sản xuất; cột tổ chức chịu trách nhiệm lấy nguyên văn từ phụ lục.</x:v>
      </x:c>
      <x:c r="R574" t="str">
        <x:v>https://dav.gov.vn/cong-van-so-1772qld-mp-ve-viec-dinh-chi-luu-hanh-thu-hoi-va-tieu-huy-my-pham-vi-pham-cong-ty-tnhh-my-pham-viet-huong-n5334.html</x:v>
      </x:c>
      <x:c r="S574" t="str">
        <x:v>Hà Nội</x:v>
      </x:c>
      <x:c r="T574" t="str">
        <x:v>01</x:v>
      </x:c>
    </x:row>
    <x:row r="575">
      <x:c r="A575" t="n">
        <x:v>574</x:v>
      </x:c>
      <x:c r="B575" s="330"/>
      <x:c r="C575" s="330" t="n">
        <x:v>46155</x:v>
      </x:c>
      <x:c r="D575" t="n">
        <x:v>2025</x:v>
      </x:c>
      <x:c r="E575"/>
      <x:c r="F575" t="str">
        <x:v>26081/25/CBMP-HN</x:v>
      </x:c>
      <x:c r="G575"/>
      <x:c r="H575" t="str">
        <x:v>Glowsy</x:v>
      </x:c>
      <x:c r="I575"/>
      <x:c r="J575" t="str">
        <x:v>Khác</x:v>
      </x:c>
      <x:c r="K575"/>
      <x:c r="L575" t="str">
        <x:v>Công ty TNHH Vini TM Group</x:v>
      </x:c>
      <x:c r="M575"/>
      <x:c r="N575" t="str">
        <x:v>Công ty TNHH mỹ phẩm Việt Hương</x:v>
      </x:c>
      <x:c r="O575" t="str">
        <x:v>Đình chỉ lưu hành, thu hồi và tiêu hủy – Công văn 1772/QLD-MP</x:v>
      </x:c>
      <x:c r="P575" t="str">
        <x:v>A++ – Cục Quản lý Dược; tổ chức chịu trách nhiệm explicit</x:v>
      </x:c>
      <x:c r="Q575" t="str">
        <x:v>Phụ lục 511 sản phẩm, STT 503, trang 16. Công ty Việt Hương là cơ sở sản xuất; cột tổ chức chịu trách nhiệm lấy nguyên văn từ phụ lục.</x:v>
      </x:c>
      <x:c r="R575" t="str">
        <x:v>https://dav.gov.vn/cong-van-so-1772qld-mp-ve-viec-dinh-chi-luu-hanh-thu-hoi-va-tieu-huy-my-pham-vi-pham-cong-ty-tnhh-my-pham-viet-huong-n5334.html</x:v>
      </x:c>
      <x:c r="S575" t="str">
        <x:v>Hà Nội</x:v>
      </x:c>
      <x:c r="T575" t="str">
        <x:v>01</x:v>
      </x:c>
    </x:row>
    <x:row r="576">
      <x:c r="A576" t="n">
        <x:v>575</x:v>
      </x:c>
      <x:c r="B576" s="330"/>
      <x:c r="C576" s="330" t="n">
        <x:v>46155</x:v>
      </x:c>
      <x:c r="D576" t="n">
        <x:v>2025</x:v>
      </x:c>
      <x:c r="E576"/>
      <x:c r="F576" t="str">
        <x:v>26083/25/CBMP-HN</x:v>
      </x:c>
      <x:c r="G576"/>
      <x:c r="H576" t="str">
        <x:v>Dakami Black Ginseng night</x:v>
      </x:c>
      <x:c r="I576"/>
      <x:c r="J576" t="str">
        <x:v>Khác</x:v>
      </x:c>
      <x:c r="K576"/>
      <x:c r="L576" t="str">
        <x:v>Công ty cổ phần Dakami group</x:v>
      </x:c>
      <x:c r="M576"/>
      <x:c r="N576" t="str">
        <x:v>Công ty TNHH mỹ phẩm Việt Hương</x:v>
      </x:c>
      <x:c r="O576" t="str">
        <x:v>Đình chỉ lưu hành, thu hồi và tiêu hủy – Công văn 1772/QLD-MP</x:v>
      </x:c>
      <x:c r="P576" t="str">
        <x:v>A++ – Cục Quản lý Dược; tổ chức chịu trách nhiệm explicit</x:v>
      </x:c>
      <x:c r="Q576" t="str">
        <x:v>Phụ lục 511 sản phẩm, STT 504, trang 16. Công ty Việt Hương là cơ sở sản xuất; cột tổ chức chịu trách nhiệm lấy nguyên văn từ phụ lục.</x:v>
      </x:c>
      <x:c r="R576" t="str">
        <x:v>https://dav.gov.vn/cong-van-so-1772qld-mp-ve-viec-dinh-chi-luu-hanh-thu-hoi-va-tieu-huy-my-pham-vi-pham-cong-ty-tnhh-my-pham-viet-huong-n5334.html</x:v>
      </x:c>
      <x:c r="S576" t="str">
        <x:v>Hà Nội</x:v>
      </x:c>
      <x:c r="T576" t="str">
        <x:v>01</x:v>
      </x:c>
    </x:row>
    <x:row r="577">
      <x:c r="A577" t="n">
        <x:v>576</x:v>
      </x:c>
      <x:c r="B577" s="330"/>
      <x:c r="C577" s="330" t="n">
        <x:v>46155</x:v>
      </x:c>
      <x:c r="D577" t="n">
        <x:v>2025</x:v>
      </x:c>
      <x:c r="E577"/>
      <x:c r="F577" t="str">
        <x:v>26134/25/CBMP-HN</x:v>
      </x:c>
      <x:c r="G577"/>
      <x:c r="H577" t="str">
        <x:v>Refresh cleansing gel</x:v>
      </x:c>
      <x:c r="I577"/>
      <x:c r="J577" t="str">
        <x:v>Sữa rửa mặt</x:v>
      </x:c>
      <x:c r="K577"/>
      <x:c r="L577" t="str">
        <x:v>Công ty TNHH Fujiwon</x:v>
      </x:c>
      <x:c r="M577"/>
      <x:c r="N577" t="str">
        <x:v>Công ty TNHH mỹ phẩm Việt Hương</x:v>
      </x:c>
      <x:c r="O577" t="str">
        <x:v>Đình chỉ lưu hành, thu hồi và tiêu hủy – Công văn 1772/QLD-MP</x:v>
      </x:c>
      <x:c r="P577" t="str">
        <x:v>A++ – Cục Quản lý Dược; tổ chức chịu trách nhiệm explicit</x:v>
      </x:c>
      <x:c r="Q577" t="str">
        <x:v>Phụ lục 511 sản phẩm, STT 505, trang 16. Công ty Việt Hương là cơ sở sản xuất; cột tổ chức chịu trách nhiệm lấy nguyên văn từ phụ lục.</x:v>
      </x:c>
      <x:c r="R577" t="str">
        <x:v>https://dav.gov.vn/cong-van-so-1772qld-mp-ve-viec-dinh-chi-luu-hanh-thu-hoi-va-tieu-huy-my-pham-vi-pham-cong-ty-tnhh-my-pham-viet-huong-n5334.html</x:v>
      </x:c>
      <x:c r="S577" t="str">
        <x:v>Hà Nội</x:v>
      </x:c>
      <x:c r="T577" t="str">
        <x:v>01</x:v>
      </x:c>
    </x:row>
    <x:row r="578">
      <x:c r="A578" t="n">
        <x:v>577</x:v>
      </x:c>
      <x:c r="B578" s="330"/>
      <x:c r="C578" s="330" t="n">
        <x:v>46155</x:v>
      </x:c>
      <x:c r="D578" t="n">
        <x:v>2025</x:v>
      </x:c>
      <x:c r="E578"/>
      <x:c r="F578" t="str">
        <x:v>26185/25/CBMP-HN</x:v>
      </x:c>
      <x:c r="G578"/>
      <x:c r="H578" t="str">
        <x:v>Kwhite</x:v>
      </x:c>
      <x:c r="I578"/>
      <x:c r="J578" t="str">
        <x:v>Khác</x:v>
      </x:c>
      <x:c r="K578"/>
      <x:c r="L578" t="str">
        <x:v>Công ty cổ phần Dakami group</x:v>
      </x:c>
      <x:c r="M578"/>
      <x:c r="N578" t="str">
        <x:v>Công ty TNHH mỹ phẩm Việt Hương</x:v>
      </x:c>
      <x:c r="O578" t="str">
        <x:v>Đình chỉ lưu hành, thu hồi và tiêu hủy – Công văn 1772/QLD-MP</x:v>
      </x:c>
      <x:c r="P578" t="str">
        <x:v>A++ – Cục Quản lý Dược; tổ chức chịu trách nhiệm explicit</x:v>
      </x:c>
      <x:c r="Q578" t="str">
        <x:v>Phụ lục 511 sản phẩm, STT 506, trang 16. Công ty Việt Hương là cơ sở sản xuất; cột tổ chức chịu trách nhiệm lấy nguyên văn từ phụ lục.</x:v>
      </x:c>
      <x:c r="R578" t="str">
        <x:v>https://dav.gov.vn/cong-van-so-1772qld-mp-ve-viec-dinh-chi-luu-hanh-thu-hoi-va-tieu-huy-my-pham-vi-pham-cong-ty-tnhh-my-pham-viet-huong-n5334.html</x:v>
      </x:c>
      <x:c r="S578" t="str">
        <x:v>Hà Nội</x:v>
      </x:c>
      <x:c r="T578" t="str">
        <x:v>01</x:v>
      </x:c>
    </x:row>
    <x:row r="579">
      <x:c r="A579" t="n">
        <x:v>578</x:v>
      </x:c>
      <x:c r="B579" s="330"/>
      <x:c r="C579" s="330" t="n">
        <x:v>46155</x:v>
      </x:c>
      <x:c r="D579" t="n">
        <x:v>2025</x:v>
      </x:c>
      <x:c r="E579"/>
      <x:c r="F579" t="str">
        <x:v>26421/25/CBMP-HN</x:v>
      </x:c>
      <x:c r="G579"/>
      <x:c r="H579" t="str">
        <x:v>DAKAMI BLACK GINSENG DAY</x:v>
      </x:c>
      <x:c r="I579"/>
      <x:c r="J579" t="str">
        <x:v>Khác</x:v>
      </x:c>
      <x:c r="K579"/>
      <x:c r="L579" t="str">
        <x:v>Công ty cổ phần Dakami group</x:v>
      </x:c>
      <x:c r="M579"/>
      <x:c r="N579" t="str">
        <x:v>Công ty TNHH mỹ phẩm Việt Hương</x:v>
      </x:c>
      <x:c r="O579" t="str">
        <x:v>Đình chỉ lưu hành, thu hồi và tiêu hủy – Công văn 1772/QLD-MP</x:v>
      </x:c>
      <x:c r="P579" t="str">
        <x:v>A++ – Cục Quản lý Dược; tổ chức chịu trách nhiệm explicit</x:v>
      </x:c>
      <x:c r="Q579" t="str">
        <x:v>Phụ lục 511 sản phẩm, STT 507, trang 16. Công ty Việt Hương là cơ sở sản xuất; cột tổ chức chịu trách nhiệm lấy nguyên văn từ phụ lục.</x:v>
      </x:c>
      <x:c r="R579" t="str">
        <x:v>https://dav.gov.vn/cong-van-so-1772qld-mp-ve-viec-dinh-chi-luu-hanh-thu-hoi-va-tieu-huy-my-pham-vi-pham-cong-ty-tnhh-my-pham-viet-huong-n5334.html</x:v>
      </x:c>
      <x:c r="S579" t="str">
        <x:v>Hà Nội</x:v>
      </x:c>
      <x:c r="T579" t="str">
        <x:v>01</x:v>
      </x:c>
    </x:row>
    <x:row r="580">
      <x:c r="A580" t="n">
        <x:v>579</x:v>
      </x:c>
      <x:c r="B580" s="330"/>
      <x:c r="C580" s="330" t="n">
        <x:v>46155</x:v>
      </x:c>
      <x:c r="D580" t="n">
        <x:v>2025</x:v>
      </x:c>
      <x:c r="E580"/>
      <x:c r="F580" t="str">
        <x:v>26422/25/CBMP-HN</x:v>
      </x:c>
      <x:c r="G580"/>
      <x:c r="H580" t="str">
        <x:v>DAKAMI BLACK GINSENG SERUM</x:v>
      </x:c>
      <x:c r="I580"/>
      <x:c r="J580" t="str">
        <x:v>Serum/Essence da</x:v>
      </x:c>
      <x:c r="K580"/>
      <x:c r="L580" t="str">
        <x:v>Công ty cổ phần Dakami group</x:v>
      </x:c>
      <x:c r="M580"/>
      <x:c r="N580" t="str">
        <x:v>Công ty TNHH mỹ phẩm Việt Hương</x:v>
      </x:c>
      <x:c r="O580" t="str">
        <x:v>Đình chỉ lưu hành, thu hồi và tiêu hủy – Công văn 1772/QLD-MP</x:v>
      </x:c>
      <x:c r="P580" t="str">
        <x:v>A++ – Cục Quản lý Dược; tổ chức chịu trách nhiệm explicit</x:v>
      </x:c>
      <x:c r="Q580" t="str">
        <x:v>Phụ lục 511 sản phẩm, STT 508, trang 16. Công ty Việt Hương là cơ sở sản xuất; cột tổ chức chịu trách nhiệm lấy nguyên văn từ phụ lục.</x:v>
      </x:c>
      <x:c r="R580" t="str">
        <x:v>https://dav.gov.vn/cong-van-so-1772qld-mp-ve-viec-dinh-chi-luu-hanh-thu-hoi-va-tieu-huy-my-pham-vi-pham-cong-ty-tnhh-my-pham-viet-huong-n5334.html</x:v>
      </x:c>
      <x:c r="S580" t="str">
        <x:v>Hà Nội</x:v>
      </x:c>
      <x:c r="T580" t="str">
        <x:v>01</x:v>
      </x:c>
    </x:row>
    <x:row r="581">
      <x:c r="A581" t="n">
        <x:v>580</x:v>
      </x:c>
      <x:c r="B581" s="330"/>
      <x:c r="C581" s="330" t="n">
        <x:v>46155</x:v>
      </x:c>
      <x:c r="D581" t="n">
        <x:v>2025</x:v>
      </x:c>
      <x:c r="E581"/>
      <x:c r="F581" t="str">
        <x:v>26455/25/CBMP-HN</x:v>
      </x:c>
      <x:c r="G581"/>
      <x:c r="H581" t="str">
        <x:v>BLACK GINSENG SERUM</x:v>
      </x:c>
      <x:c r="I581"/>
      <x:c r="J581" t="str">
        <x:v>Serum/Essence da</x:v>
      </x:c>
      <x:c r="K581"/>
      <x:c r="L581" t="str">
        <x:v>Công ty cổ phần Dakami group</x:v>
      </x:c>
      <x:c r="M581"/>
      <x:c r="N581" t="str">
        <x:v>Công ty TNHH mỹ phẩm Việt Hương</x:v>
      </x:c>
      <x:c r="O581" t="str">
        <x:v>Đình chỉ lưu hành, thu hồi và tiêu hủy – Công văn 1772/QLD-MP</x:v>
      </x:c>
      <x:c r="P581" t="str">
        <x:v>A++ – Cục Quản lý Dược; tổ chức chịu trách nhiệm explicit</x:v>
      </x:c>
      <x:c r="Q581" t="str">
        <x:v>Phụ lục 511 sản phẩm, STT 509, trang 16. Công ty Việt Hương là cơ sở sản xuất; cột tổ chức chịu trách nhiệm lấy nguyên văn từ phụ lục.</x:v>
      </x:c>
      <x:c r="R581" t="str">
        <x:v>https://dav.gov.vn/cong-van-so-1772qld-mp-ve-viec-dinh-chi-luu-hanh-thu-hoi-va-tieu-huy-my-pham-vi-pham-cong-ty-tnhh-my-pham-viet-huong-n5334.html</x:v>
      </x:c>
      <x:c r="S581" t="str">
        <x:v>Hà Nội</x:v>
      </x:c>
      <x:c r="T581" t="str">
        <x:v>01</x:v>
      </x:c>
    </x:row>
    <x:row r="582">
      <x:c r="A582" t="n">
        <x:v>581</x:v>
      </x:c>
      <x:c r="B582" s="330"/>
      <x:c r="C582" s="330" t="n">
        <x:v>46155</x:v>
      </x:c>
      <x:c r="D582" t="n">
        <x:v>2025</x:v>
      </x:c>
      <x:c r="E582"/>
      <x:c r="F582" t="str">
        <x:v>25984/25/CBMP-HN</x:v>
      </x:c>
      <x:c r="G582"/>
      <x:c r="H582" t="str">
        <x:v>Red carnation lipstick</x:v>
      </x:c>
      <x:c r="I582"/>
      <x:c r="J582" t="str">
        <x:v>Sản phẩm môi</x:v>
      </x:c>
      <x:c r="K582"/>
      <x:c r="L582" t="str">
        <x:v>Công ty cổ phần Dakami group</x:v>
      </x:c>
      <x:c r="M582"/>
      <x:c r="N582" t="str">
        <x:v>Công ty TNHH mỹ phẩm Việt Hương</x:v>
      </x:c>
      <x:c r="O582" t="str">
        <x:v>Đình chỉ lưu hành, thu hồi và tiêu hủy – Công văn 1772/QLD-MP</x:v>
      </x:c>
      <x:c r="P582" t="str">
        <x:v>A++ – Cục Quản lý Dược; tổ chức chịu trách nhiệm explicit</x:v>
      </x:c>
      <x:c r="Q582" t="str">
        <x:v>Phụ lục 511 sản phẩm, STT 510, trang 16. Công ty Việt Hương là cơ sở sản xuất; cột tổ chức chịu trách nhiệm lấy nguyên văn từ phụ lục.</x:v>
      </x:c>
      <x:c r="R582" t="str">
        <x:v>https://dav.gov.vn/cong-van-so-1772qld-mp-ve-viec-dinh-chi-luu-hanh-thu-hoi-va-tieu-huy-my-pham-vi-pham-cong-ty-tnhh-my-pham-viet-huong-n5334.html</x:v>
      </x:c>
      <x:c r="S582" t="str">
        <x:v>Hà Nội</x:v>
      </x:c>
      <x:c r="T582" t="str">
        <x:v>01</x:v>
      </x:c>
    </x:row>
    <x:row r="583">
      <x:c r="A583" t="n">
        <x:v>582</x:v>
      </x:c>
      <x:c r="B583" s="330"/>
      <x:c r="C583" s="330" t="n">
        <x:v>46155</x:v>
      </x:c>
      <x:c r="D583" t="n">
        <x:v>2025</x:v>
      </x:c>
      <x:c r="E583"/>
      <x:c r="F583" t="str">
        <x:v>26523/25/CBMP-HN</x:v>
      </x:c>
      <x:c r="G583"/>
      <x:c r="H583" t="str">
        <x:v>PHỦ BẠC CRGANIC100</x:v>
      </x:c>
      <x:c r="I583"/>
      <x:c r="J583" t="str">
        <x:v>Nhuộm/tẩy màu tóc</x:v>
      </x:c>
      <x:c r="K583"/>
      <x:c r="L583" t="str">
        <x:v>Hộ Kinh Doanh Organic 100</x:v>
      </x:c>
      <x:c r="M583"/>
      <x:c r="N583" t="str">
        <x:v>Công ty TNHH mỹ phẩm Việt Hương</x:v>
      </x:c>
      <x:c r="O583" t="str">
        <x:v>Đình chỉ lưu hành, thu hồi và tiêu hủy – Công văn 1772/QLD-MP</x:v>
      </x:c>
      <x:c r="P583" t="str">
        <x:v>A++ – Cục Quản lý Dược; tổ chức chịu trách nhiệm explicit</x:v>
      </x:c>
      <x:c r="Q583" t="str">
        <x:v>Phụ lục 511 sản phẩm, STT 511, trang 16. Công ty Việt Hương là cơ sở sản xuất; cột tổ chức chịu trách nhiệm lấy nguyên văn từ phụ lục.</x:v>
      </x:c>
      <x:c r="R583" t="str">
        <x:v>https://dav.gov.vn/cong-van-so-1772qld-mp-ve-viec-dinh-chi-luu-hanh-thu-hoi-va-tieu-huy-my-pham-vi-pham-cong-ty-tnhh-my-pham-viet-huong-n5334.html</x:v>
      </x:c>
      <x:c r="S583" t="str">
        <x:v>Hà Nội</x:v>
      </x:c>
      <x:c r="T583" t="str">
        <x:v>01</x:v>
      </x:c>
    </x:row>
    <x:row r="584">
      <x:c r="A584" s="340" t="n">
        <x:v>583</x:v>
      </x:c>
      <x:c r="B584" s="506" t="n">
        <x:v>46108</x:v>
      </x:c>
      <x:c r="C584" s="506" t="n">
        <x:v>46140</x:v>
      </x:c>
      <x:c r="D584" s="340" t="n">
        <x:v>2026</x:v>
      </x:c>
      <x:c r="E584" s="340" t="n">
        <x:v>3</x:v>
      </x:c>
      <x:c r="F584" s="340" t="str">
        <x:v>27221/2026/CBMP-HN</x:v>
      </x:c>
      <x:c r="G584" s="340"/>
      <x:c r="H584" s="340" t="str">
        <x:v>ROSE GARDEN</x:v>
      </x:c>
      <x:c r="I584" s="340" t="str">
        <x:v>MỘC AN</x:v>
      </x:c>
      <x:c r="J584" s="340" t="str">
        <x:v>Khác</x:v>
      </x:c>
      <x:c r="K584" s="340"/>
      <x:c r="L584" s="340" t="str">
        <x:v>HỘ KINH DOANH MỘC AN</x:v>
      </x:c>
      <x:c r="M584" s="340"/>
      <x:c r="N584" s="340"/>
      <x:c r="O584" s="340" t="str">
        <x:v>Đã cấp số tiếp nhận</x:v>
      </x:c>
      <x:c r="P584" s="340" t="str">
        <x:v>A++ – danh sách cấp số tiếp nhận mỹ phẩm Sở Y tế Hà Nội</x:v>
      </x:c>
      <x:c r="Q584" s="340" t="str">
        <x:v>Clean gate đủ: CBMP + tên sản phẩm + cơ sở công bố; PIF ngoài phạm vi.</x:v>
      </x:c>
      <x:c r="R584" s="340" t="str">
        <x:v>https://datafiles.hanoi.gov.vn/gov-hni/6778/VanBan/2026/4/28/37481.pdf</x:v>
      </x:c>
      <x:c r="S584" s="340" t="str">
        <x:v>Hà Nội</x:v>
      </x:c>
      <x:c r="T584" s="340" t="str">
        <x:v>01</x:v>
      </x:c>
    </x:row>
    <x:row r="585">
      <x:c r="A585" s="340" t="n">
        <x:v>584</x:v>
      </x:c>
      <x:c r="B585" s="506" t="n">
        <x:v>46108</x:v>
      </x:c>
      <x:c r="C585" s="506" t="n">
        <x:v>46140</x:v>
      </x:c>
      <x:c r="D585" s="340" t="n">
        <x:v>2026</x:v>
      </x:c>
      <x:c r="E585" s="340" t="n">
        <x:v>3</x:v>
      </x:c>
      <x:c r="F585" s="340" t="str">
        <x:v>27222/2026/CBMP-HN</x:v>
      </x:c>
      <x:c r="G585" s="340"/>
      <x:c r="H585" s="340" t="str">
        <x:v>KIDDMOS</x:v>
      </x:c>
      <x:c r="I585" s="340"/>
      <x:c r="J585" s="340" t="str">
        <x:v>Khác</x:v>
      </x:c>
      <x:c r="K585" s="340"/>
      <x:c r="L585" s="340" t="str">
        <x:v>CÔNG TY TNHH PHÁT TRIỂN THƯƠNG MẠI VÀ DỊCH VỤ I-SUN PHARMA VIỆT NAM</x:v>
      </x:c>
      <x:c r="M585" s="340"/>
      <x:c r="N585" s="340"/>
      <x:c r="O585" s="340" t="str">
        <x:v>Đã cấp số tiếp nhận</x:v>
      </x:c>
      <x:c r="P585" s="340" t="str">
        <x:v>A++ – danh sách cấp số tiếp nhận mỹ phẩm Sở Y tế Hà Nội</x:v>
      </x:c>
      <x:c r="Q585" s="340" t="str">
        <x:v>Clean gate đủ: CBMP + tên sản phẩm + cơ sở công bố; PIF ngoài phạm vi.</x:v>
      </x:c>
      <x:c r="R585" s="340" t="str">
        <x:v>https://datafiles.hanoi.gov.vn/gov-hni/6778/VanBan/2026/4/28/37481.pdf</x:v>
      </x:c>
      <x:c r="S585" s="340" t="str">
        <x:v>Hà Nội</x:v>
      </x:c>
      <x:c r="T585" s="340" t="str">
        <x:v>01</x:v>
      </x:c>
    </x:row>
    <x:row r="586">
      <x:c r="A586" s="340" t="n">
        <x:v>585</x:v>
      </x:c>
      <x:c r="B586" s="506" t="n">
        <x:v>46108</x:v>
      </x:c>
      <x:c r="C586" s="506" t="n">
        <x:v>46140</x:v>
      </x:c>
      <x:c r="D586" s="340" t="n">
        <x:v>2026</x:v>
      </x:c>
      <x:c r="E586" s="340" t="n">
        <x:v>3</x:v>
      </x:c>
      <x:c r="F586" s="340" t="str">
        <x:v>27223/2026/CBMP-HN</x:v>
      </x:c>
      <x:c r="G586" s="340"/>
      <x:c r="H586" s="340" t="str">
        <x:v>DẦU GỘI HƯƠNG CẦM</x:v>
      </x:c>
      <x:c r="I586" s="340"/>
      <x:c r="J586" s="340" t="str">
        <x:v>Dầu gội</x:v>
      </x:c>
      <x:c r="K586" s="340"/>
      <x:c r="L586" s="340" t="str">
        <x:v>CÔNG TY TNHH PHÁT TRIỂN THƯƠNG MẠI VÀ DỊCH VỤ I-SUN PHARMA VIỆT NAM</x:v>
      </x:c>
      <x:c r="M586" s="340"/>
      <x:c r="N586" s="340"/>
      <x:c r="O586" s="340" t="str">
        <x:v>Đã cấp số tiếp nhận</x:v>
      </x:c>
      <x:c r="P586" s="340" t="str">
        <x:v>A++ – danh sách cấp số tiếp nhận mỹ phẩm Sở Y tế Hà Nội</x:v>
      </x:c>
      <x:c r="Q586" s="340" t="str">
        <x:v>Clean gate đủ: CBMP + tên sản phẩm + cơ sở công bố; PIF ngoài phạm vi.</x:v>
      </x:c>
      <x:c r="R586" s="340" t="str">
        <x:v>https://datafiles.hanoi.gov.vn/gov-hni/6778/VanBan/2026/4/28/37481.pdf</x:v>
      </x:c>
      <x:c r="S586" s="340" t="str">
        <x:v>Hà Nội</x:v>
      </x:c>
      <x:c r="T586" s="340" t="str">
        <x:v>01</x:v>
      </x:c>
    </x:row>
    <x:row r="587">
      <x:c r="A587" s="340" t="n">
        <x:v>586</x:v>
      </x:c>
      <x:c r="B587" s="506" t="n">
        <x:v>46108</x:v>
      </x:c>
      <x:c r="C587" s="506" t="n">
        <x:v>46140</x:v>
      </x:c>
      <x:c r="D587" s="340" t="n">
        <x:v>2026</x:v>
      </x:c>
      <x:c r="E587" s="340" t="n">
        <x:v>3</x:v>
      </x:c>
      <x:c r="F587" s="340" t="str">
        <x:v>27224/2026/CBMP-HN</x:v>
      </x:c>
      <x:c r="G587" s="340"/>
      <x:c r="H587" s="340" t="str">
        <x:v>LUMINOUS CREAM</x:v>
      </x:c>
      <x:c r="I587" s="340" t="str">
        <x:v>NES LUMI</x:v>
      </x:c>
      <x:c r="J587" s="340" t="str">
        <x:v>Kem dưỡng da</x:v>
      </x:c>
      <x:c r="K587" s="340"/>
      <x:c r="L587" s="340" t="str">
        <x:v>CÔNG TY TNHH NES LUMI</x:v>
      </x:c>
      <x:c r="M587" s="340"/>
      <x:c r="N587" s="340"/>
      <x:c r="O587" s="340" t="str">
        <x:v>Đã cấp số tiếp nhận</x:v>
      </x:c>
      <x:c r="P587" s="340" t="str">
        <x:v>A++ – danh sách cấp số tiếp nhận mỹ phẩm Sở Y tế Hà Nội</x:v>
      </x:c>
      <x:c r="Q587" s="340" t="str">
        <x:v>Clean gate đủ: CBMP + tên sản phẩm + cơ sở công bố; PIF ngoài phạm vi.</x:v>
      </x:c>
      <x:c r="R587" s="340" t="str">
        <x:v>https://datafiles.hanoi.gov.vn/gov-hni/6778/VanBan/2026/4/28/37481.pdf</x:v>
      </x:c>
      <x:c r="S587" s="340" t="str">
        <x:v>Hà Nội</x:v>
      </x:c>
      <x:c r="T587" s="340" t="str">
        <x:v>01</x:v>
      </x:c>
    </x:row>
    <x:row r="588">
      <x:c r="A588" s="340" t="n">
        <x:v>587</x:v>
      </x:c>
      <x:c r="B588" s="506" t="n">
        <x:v>46108</x:v>
      </x:c>
      <x:c r="C588" s="506" t="n">
        <x:v>46140</x:v>
      </x:c>
      <x:c r="D588" s="340" t="n">
        <x:v>2026</x:v>
      </x:c>
      <x:c r="E588" s="340" t="n">
        <x:v>3</x:v>
      </x:c>
      <x:c r="F588" s="340" t="str">
        <x:v>27225/2026/CBMP-HN</x:v>
      </x:c>
      <x:c r="G588" s="340"/>
      <x:c r="H588" s="340" t="str">
        <x:v>SMOOTH SKIN CREAM</x:v>
      </x:c>
      <x:c r="I588" s="340" t="str">
        <x:v>NES LUMI</x:v>
      </x:c>
      <x:c r="J588" s="340" t="str">
        <x:v>Kem dưỡng da</x:v>
      </x:c>
      <x:c r="K588" s="340"/>
      <x:c r="L588" s="340" t="str">
        <x:v>CÔNG TY TNHH NES LUMI</x:v>
      </x:c>
      <x:c r="M588" s="340"/>
      <x:c r="N588" s="340"/>
      <x:c r="O588" s="340" t="str">
        <x:v>Đã cấp số tiếp nhận</x:v>
      </x:c>
      <x:c r="P588" s="340" t="str">
        <x:v>A++ – danh sách cấp số tiếp nhận mỹ phẩm Sở Y tế Hà Nội</x:v>
      </x:c>
      <x:c r="Q588" s="340" t="str">
        <x:v>Clean gate đủ: CBMP + tên sản phẩm + cơ sở công bố; PIF ngoài phạm vi.</x:v>
      </x:c>
      <x:c r="R588" s="340" t="str">
        <x:v>https://datafiles.hanoi.gov.vn/gov-hni/6778/VanBan/2026/4/28/37481.pdf</x:v>
      </x:c>
      <x:c r="S588" s="340" t="str">
        <x:v>Hà Nội</x:v>
      </x:c>
      <x:c r="T588" s="340" t="str">
        <x:v>01</x:v>
      </x:c>
    </x:row>
    <x:row r="589">
      <x:c r="A589" s="340" t="n">
        <x:v>588</x:v>
      </x:c>
      <x:c r="B589" s="506" t="n">
        <x:v>46108</x:v>
      </x:c>
      <x:c r="C589" s="506" t="n">
        <x:v>46140</x:v>
      </x:c>
      <x:c r="D589" s="340" t="n">
        <x:v>2026</x:v>
      </x:c>
      <x:c r="E589" s="340" t="n">
        <x:v>3</x:v>
      </x:c>
      <x:c r="F589" s="340" t="str">
        <x:v>27226/2026/CBMP-HN</x:v>
      </x:c>
      <x:c r="G589" s="340"/>
      <x:c r="H589" s="340" t="str">
        <x:v>CLEANSER SKIN</x:v>
      </x:c>
      <x:c r="I589" s="340" t="str">
        <x:v>LAMEC</x:v>
      </x:c>
      <x:c r="J589" s="340" t="str">
        <x:v>Sữa rửa mặt/Tẩy trang</x:v>
      </x:c>
      <x:c r="K589" s="340"/>
      <x:c r="L589" s="340" t="str">
        <x:v>CÔNG TY CỔ PHẦN DƯỢC MỸ PHẨM LAMEC</x:v>
      </x:c>
      <x:c r="M589" s="340"/>
      <x:c r="N589" s="340"/>
      <x:c r="O589" s="340" t="str">
        <x:v>Đã cấp số tiếp nhận</x:v>
      </x:c>
      <x:c r="P589" s="340" t="str">
        <x:v>A++ – danh sách cấp số tiếp nhận mỹ phẩm Sở Y tế Hà Nội</x:v>
      </x:c>
      <x:c r="Q589" s="340" t="str">
        <x:v>Clean gate đủ: CBMP + tên sản phẩm + cơ sở công bố; PIF ngoài phạm vi.</x:v>
      </x:c>
      <x:c r="R589" s="340" t="str">
        <x:v>https://datafiles.hanoi.gov.vn/gov-hni/6778/VanBan/2026/4/28/37481.pdf</x:v>
      </x:c>
      <x:c r="S589" s="340" t="str">
        <x:v>Hà Nội</x:v>
      </x:c>
      <x:c r="T589" s="340" t="str">
        <x:v>01</x:v>
      </x:c>
    </x:row>
    <x:row r="590">
      <x:c r="A590" s="340" t="n">
        <x:v>589</x:v>
      </x:c>
      <x:c r="B590" s="506" t="n">
        <x:v>46111</x:v>
      </x:c>
      <x:c r="C590" s="506" t="n">
        <x:v>46140</x:v>
      </x:c>
      <x:c r="D590" s="340" t="n">
        <x:v>2026</x:v>
      </x:c>
      <x:c r="E590" s="340" t="n">
        <x:v>3</x:v>
      </x:c>
      <x:c r="F590" s="340" t="str">
        <x:v>27227/2026/CBMP-HN</x:v>
      </x:c>
      <x:c r="G590" s="340"/>
      <x:c r="H590" s="340" t="str">
        <x:v>DEEP SMOOTH CONDITIONER</x:v>
      </x:c>
      <x:c r="I590" s="340" t="str">
        <x:v>LUNAFAM</x:v>
      </x:c>
      <x:c r="J590" s="340" t="str">
        <x:v>Dầu xả</x:v>
      </x:c>
      <x:c r="K590" s="340"/>
      <x:c r="L590" s="340" t="str">
        <x:v>CÔNG TY TNHH DỊCH VỤ THƯƠNG MẠI QUỐC TẾ TL M&amp;C</x:v>
      </x:c>
      <x:c r="M590" s="340"/>
      <x:c r="N590" s="340"/>
      <x:c r="O590" s="340" t="str">
        <x:v>Đã cấp số tiếp nhận</x:v>
      </x:c>
      <x:c r="P590" s="340" t="str">
        <x:v>A++ – danh sách cấp số tiếp nhận mỹ phẩm Sở Y tế Hà Nội</x:v>
      </x:c>
      <x:c r="Q590" s="340" t="str">
        <x:v>Clean gate đủ: CBMP + tên sản phẩm + cơ sở công bố; PIF ngoài phạm vi.</x:v>
      </x:c>
      <x:c r="R590" s="340" t="str">
        <x:v>https://datafiles.hanoi.gov.vn/gov-hni/6778/VanBan/2026/4/28/37481.pdf</x:v>
      </x:c>
      <x:c r="S590" s="340" t="str">
        <x:v>Hà Nội</x:v>
      </x:c>
      <x:c r="T590" s="340" t="str">
        <x:v>01</x:v>
      </x:c>
    </x:row>
    <x:row r="591">
      <x:c r="A591" s="340" t="n">
        <x:v>590</x:v>
      </x:c>
      <x:c r="B591" s="506" t="n">
        <x:v>46111</x:v>
      </x:c>
      <x:c r="C591" s="506" t="n">
        <x:v>46140</x:v>
      </x:c>
      <x:c r="D591" s="340" t="n">
        <x:v>2026</x:v>
      </x:c>
      <x:c r="E591" s="340" t="n">
        <x:v>3</x:v>
      </x:c>
      <x:c r="F591" s="340" t="str">
        <x:v>27228/2026/CBMP-HN</x:v>
      </x:c>
      <x:c r="G591" s="340"/>
      <x:c r="H591" s="340" t="str">
        <x:v>KEYEL EVEN TONE CREAM</x:v>
      </x:c>
      <x:c r="I591" s="340" t="str">
        <x:v>KEYEL</x:v>
      </x:c>
      <x:c r="J591" s="340" t="str">
        <x:v>Kem dưỡng da</x:v>
      </x:c>
      <x:c r="K591" s="340"/>
      <x:c r="L591" s="340" t="str">
        <x:v>CÔNG TY TNHH DỊCH VỤ THƯƠNG MẠI QUỐC TẾ TL M&amp;C</x:v>
      </x:c>
      <x:c r="M591" s="340"/>
      <x:c r="N591" s="340"/>
      <x:c r="O591" s="340" t="str">
        <x:v>Đã cấp số tiếp nhận</x:v>
      </x:c>
      <x:c r="P591" s="340" t="str">
        <x:v>A++ – danh sách cấp số tiếp nhận mỹ phẩm Sở Y tế Hà Nội</x:v>
      </x:c>
      <x:c r="Q591" s="340" t="str">
        <x:v>Clean gate đủ: CBMP + tên sản phẩm + cơ sở công bố; PIF ngoài phạm vi.</x:v>
      </x:c>
      <x:c r="R591" s="340" t="str">
        <x:v>https://datafiles.hanoi.gov.vn/gov-hni/6778/VanBan/2026/4/28/37481.pdf</x:v>
      </x:c>
      <x:c r="S591" s="340" t="str">
        <x:v>Hà Nội</x:v>
      </x:c>
      <x:c r="T591" s="340" t="str">
        <x:v>01</x:v>
      </x:c>
    </x:row>
    <x:row r="592">
      <x:c r="A592" s="340" t="n">
        <x:v>591</x:v>
      </x:c>
      <x:c r="B592" s="506" t="n">
        <x:v>46112</x:v>
      </x:c>
      <x:c r="C592" s="506" t="n">
        <x:v>46140</x:v>
      </x:c>
      <x:c r="D592" s="340" t="n">
        <x:v>2026</x:v>
      </x:c>
      <x:c r="E592" s="340" t="n">
        <x:v>3</x:v>
      </x:c>
      <x:c r="F592" s="340" t="str">
        <x:v>27229/2026/CBMP-HN</x:v>
      </x:c>
      <x:c r="G592" s="340"/>
      <x:c r="H592" s="340" t="str">
        <x:v>Sumigyno</x:v>
      </x:c>
      <x:c r="I592" s="340"/>
      <x:c r="J592" s="340" t="str">
        <x:v>Khác</x:v>
      </x:c>
      <x:c r="K592" s="340"/>
      <x:c r="L592" s="340" t="str">
        <x:v>Công ty TNHH ESDI Việt Nam</x:v>
      </x:c>
      <x:c r="M592" s="340"/>
      <x:c r="N592" s="340"/>
      <x:c r="O592" s="340" t="str">
        <x:v>Đã cấp số tiếp nhận</x:v>
      </x:c>
      <x:c r="P592" s="340" t="str">
        <x:v>A++ – danh sách cấp số tiếp nhận mỹ phẩm Sở Y tế Hà Nội</x:v>
      </x:c>
      <x:c r="Q592" s="340" t="str">
        <x:v>Clean gate đủ: CBMP + tên sản phẩm + cơ sở công bố; PIF ngoài phạm vi.</x:v>
      </x:c>
      <x:c r="R592" s="340" t="str">
        <x:v>https://datafiles.hanoi.gov.vn/gov-hni/6778/VanBan/2026/4/28/37481.pdf</x:v>
      </x:c>
      <x:c r="S592" s="340" t="str">
        <x:v>Hà Nội</x:v>
      </x:c>
      <x:c r="T592" s="340" t="str">
        <x:v>01</x:v>
      </x:c>
    </x:row>
    <x:row r="593">
      <x:c r="A593" s="340" t="n">
        <x:v>592</x:v>
      </x:c>
      <x:c r="B593" s="506" t="n">
        <x:v>46112</x:v>
      </x:c>
      <x:c r="C593" s="506" t="n">
        <x:v>46140</x:v>
      </x:c>
      <x:c r="D593" s="340" t="n">
        <x:v>2026</x:v>
      </x:c>
      <x:c r="E593" s="340" t="n">
        <x:v>3</x:v>
      </x:c>
      <x:c r="F593" s="340" t="str">
        <x:v>27230/2026/CBMP-HN</x:v>
      </x:c>
      <x:c r="G593" s="340"/>
      <x:c r="H593" s="340" t="str">
        <x:v>VALORA SERUM</x:v>
      </x:c>
      <x:c r="I593" s="340"/>
      <x:c r="J593" s="340" t="str">
        <x:v>Serum/Essence da</x:v>
      </x:c>
      <x:c r="K593" s="340"/>
      <x:c r="L593" s="340" t="str">
        <x:v>CÔNG TY TNHH DƯỢC MỸ PHẨM QUỐC TẾ SAYOBE</x:v>
      </x:c>
      <x:c r="M593" s="340"/>
      <x:c r="N593" s="340"/>
      <x:c r="O593" s="340" t="str">
        <x:v>Đã cấp số tiếp nhận</x:v>
      </x:c>
      <x:c r="P593" s="340" t="str">
        <x:v>A++ – danh sách cấp số tiếp nhận mỹ phẩm Sở Y tế Hà Nội</x:v>
      </x:c>
      <x:c r="Q593" s="340" t="str">
        <x:v>Clean gate đủ: CBMP + tên sản phẩm + cơ sở công bố; PIF ngoài phạm vi.</x:v>
      </x:c>
      <x:c r="R593" s="340" t="str">
        <x:v>https://datafiles.hanoi.gov.vn/gov-hni/6778/VanBan/2026/4/28/37481.pdf</x:v>
      </x:c>
      <x:c r="S593" s="340" t="str">
        <x:v>Hà Nội</x:v>
      </x:c>
      <x:c r="T593" s="340" t="str">
        <x:v>01</x:v>
      </x:c>
    </x:row>
    <x:row r="594">
      <x:c r="A594" s="340" t="n">
        <x:v>593</x:v>
      </x:c>
      <x:c r="B594" s="506" t="n">
        <x:v>46112</x:v>
      </x:c>
      <x:c r="C594" s="506" t="n">
        <x:v>46140</x:v>
      </x:c>
      <x:c r="D594" s="340" t="n">
        <x:v>2026</x:v>
      </x:c>
      <x:c r="E594" s="340" t="n">
        <x:v>3</x:v>
      </x:c>
      <x:c r="F594" s="340" t="str">
        <x:v>27231/2026/CBMP-HN</x:v>
      </x:c>
      <x:c r="G594" s="340"/>
      <x:c r="H594" s="340" t="str">
        <x:v>XỊT STOPVI TIMACO</x:v>
      </x:c>
      <x:c r="I594" s="340"/>
      <x:c r="J594" s="340" t="str">
        <x:v>Khác</x:v>
      </x:c>
      <x:c r="K594" s="340"/>
      <x:c r="L594" s="340" t="str">
        <x:v>CÔNG TY TNHH THƯƠNG MẠI VÀ THIẾT BỊ Y TẾ TIẾN MẠNH</x:v>
      </x:c>
      <x:c r="M594" s="340"/>
      <x:c r="N594" s="340"/>
      <x:c r="O594" s="340" t="str">
        <x:v>Đã cấp số tiếp nhận</x:v>
      </x:c>
      <x:c r="P594" s="340" t="str">
        <x:v>A++ – danh sách cấp số tiếp nhận mỹ phẩm Sở Y tế Hà Nội</x:v>
      </x:c>
      <x:c r="Q594" s="340" t="str">
        <x:v>Clean gate đủ: CBMP + tên sản phẩm + cơ sở công bố; PIF ngoài phạm vi.</x:v>
      </x:c>
      <x:c r="R594" s="340" t="str">
        <x:v>https://datafiles.hanoi.gov.vn/gov-hni/6778/VanBan/2026/4/28/37481.pdf</x:v>
      </x:c>
      <x:c r="S594" s="340" t="str">
        <x:v>Hà Nội</x:v>
      </x:c>
      <x:c r="T594" s="340" t="str">
        <x:v>01</x:v>
      </x:c>
    </x:row>
    <x:row r="595">
      <x:c r="A595" s="340" t="n">
        <x:v>594</x:v>
      </x:c>
      <x:c r="B595" s="506" t="n">
        <x:v>46112</x:v>
      </x:c>
      <x:c r="C595" s="506" t="n">
        <x:v>46140</x:v>
      </x:c>
      <x:c r="D595" s="340" t="n">
        <x:v>2026</x:v>
      </x:c>
      <x:c r="E595" s="340" t="n">
        <x:v>3</x:v>
      </x:c>
      <x:c r="F595" s="340" t="str">
        <x:v>27232/2026/CBMP-HN</x:v>
      </x:c>
      <x:c r="G595" s="340"/>
      <x:c r="H595" s="340" t="str">
        <x:v>DUNG DỊCH VỆ SINH BIODREAMAXLL PLUS</x:v>
      </x:c>
      <x:c r="I595" s="340"/>
      <x:c r="J595" s="340" t="str">
        <x:v>Dung dịch vệ sinh</x:v>
      </x:c>
      <x:c r="K595" s="340"/>
      <x:c r="L595" s="340" t="str">
        <x:v>CÔNG TY TNHH DƯỢC MỸ PHẨM QUỐC TẾ SAYOBE</x:v>
      </x:c>
      <x:c r="M595" s="340"/>
      <x:c r="N595" s="340"/>
      <x:c r="O595" s="340" t="str">
        <x:v>Đã cấp số tiếp nhận</x:v>
      </x:c>
      <x:c r="P595" s="340" t="str">
        <x:v>A++ – danh sách cấp số tiếp nhận mỹ phẩm Sở Y tế Hà Nội</x:v>
      </x:c>
      <x:c r="Q595" s="340" t="str">
        <x:v>Clean gate đủ: CBMP + tên sản phẩm + cơ sở công bố; PIF ngoài phạm vi.</x:v>
      </x:c>
      <x:c r="R595" s="340" t="str">
        <x:v>https://datafiles.hanoi.gov.vn/gov-hni/6778/VanBan/2026/4/28/37481.pdf</x:v>
      </x:c>
      <x:c r="S595" s="340" t="str">
        <x:v>Hà Nội</x:v>
      </x:c>
      <x:c r="T595" s="340" t="str">
        <x:v>01</x:v>
      </x:c>
    </x:row>
    <x:row r="596">
      <x:c r="A596" s="340" t="n">
        <x:v>595</x:v>
      </x:c>
      <x:c r="B596" s="506" t="n">
        <x:v>46112</x:v>
      </x:c>
      <x:c r="C596" s="506" t="n">
        <x:v>46140</x:v>
      </x:c>
      <x:c r="D596" s="340" t="n">
        <x:v>2026</x:v>
      </x:c>
      <x:c r="E596" s="340" t="n">
        <x:v>3</x:v>
      </x:c>
      <x:c r="F596" s="340" t="str">
        <x:v>27234/2026/CBMP-HN</x:v>
      </x:c>
      <x:c r="G596" s="340"/>
      <x:c r="H596" s="340" t="str">
        <x:v>GEL HEMOREAM</x:v>
      </x:c>
      <x:c r="I596" s="340"/>
      <x:c r="J596" s="340" t="str">
        <x:v>Khác</x:v>
      </x:c>
      <x:c r="K596" s="340"/>
      <x:c r="L596" s="340" t="str">
        <x:v>Công ty Cổ phần Hóa dược Việt Nam</x:v>
      </x:c>
      <x:c r="M596" s="340"/>
      <x:c r="N596" s="340"/>
      <x:c r="O596" s="340" t="str">
        <x:v>Đã cấp số tiếp nhận</x:v>
      </x:c>
      <x:c r="P596" s="340" t="str">
        <x:v>A++ – danh sách cấp số tiếp nhận mỹ phẩm Sở Y tế Hà Nội</x:v>
      </x:c>
      <x:c r="Q596" s="340" t="str">
        <x:v>Clean gate đủ: CBMP + tên sản phẩm + cơ sở công bố; PIF ngoài phạm vi.</x:v>
      </x:c>
      <x:c r="R596" s="340" t="str">
        <x:v>https://datafiles.hanoi.gov.vn/gov-hni/6778/VanBan/2026/4/28/37481.pdf</x:v>
      </x:c>
      <x:c r="S596" s="340" t="str">
        <x:v>Hà Nội</x:v>
      </x:c>
      <x:c r="T596" s="340" t="str">
        <x:v>01</x:v>
      </x:c>
    </x:row>
    <x:row r="597">
      <x:c r="A597" s="340" t="n">
        <x:v>596</x:v>
      </x:c>
      <x:c r="B597" s="506" t="n">
        <x:v>46112</x:v>
      </x:c>
      <x:c r="C597" s="506" t="n">
        <x:v>46140</x:v>
      </x:c>
      <x:c r="D597" s="340" t="n">
        <x:v>2026</x:v>
      </x:c>
      <x:c r="E597" s="340" t="n">
        <x:v>3</x:v>
      </x:c>
      <x:c r="F597" s="340" t="str">
        <x:v>27235/2026/CBMP-HN</x:v>
      </x:c>
      <x:c r="G597" s="340"/>
      <x:c r="H597" s="340" t="str">
        <x:v>M05 CREAM</x:v>
      </x:c>
      <x:c r="I597" s="340" t="str">
        <x:v>M.CELLS</x:v>
      </x:c>
      <x:c r="J597" s="340" t="str">
        <x:v>Kem dưỡng da</x:v>
      </x:c>
      <x:c r="K597" s="340"/>
      <x:c r="L597" s="340" t="str">
        <x:v>CÔNG TY TNHH DƯỢC MỸ PHẨM DO.MYC GROUP</x:v>
      </x:c>
      <x:c r="M597" s="340"/>
      <x:c r="N597" s="340"/>
      <x:c r="O597" s="340" t="str">
        <x:v>Đã cấp số tiếp nhận</x:v>
      </x:c>
      <x:c r="P597" s="340" t="str">
        <x:v>A++ – danh sách cấp số tiếp nhận mỹ phẩm Sở Y tế Hà Nội</x:v>
      </x:c>
      <x:c r="Q597" s="340" t="str">
        <x:v>Clean gate đủ: CBMP + tên sản phẩm + cơ sở công bố; PIF ngoài phạm vi.</x:v>
      </x:c>
      <x:c r="R597" s="340" t="str">
        <x:v>https://datafiles.hanoi.gov.vn/gov-hni/6778/VanBan/2026/4/28/37481.pdf</x:v>
      </x:c>
      <x:c r="S597" s="340" t="str">
        <x:v>Hà Nội</x:v>
      </x:c>
      <x:c r="T597" s="340" t="str">
        <x:v>01</x:v>
      </x:c>
    </x:row>
    <x:row r="598">
      <x:c r="A598" s="340" t="n">
        <x:v>597</x:v>
      </x:c>
      <x:c r="B598" s="506" t="n">
        <x:v>46112</x:v>
      </x:c>
      <x:c r="C598" s="506" t="n">
        <x:v>46140</x:v>
      </x:c>
      <x:c r="D598" s="340" t="n">
        <x:v>2026</x:v>
      </x:c>
      <x:c r="E598" s="340" t="n">
        <x:v>3</x:v>
      </x:c>
      <x:c r="F598" s="340" t="str">
        <x:v>27236/2026/CBMP-HN</x:v>
      </x:c>
      <x:c r="G598" s="340"/>
      <x:c r="H598" s="340" t="str">
        <x:v>M06 CREAM</x:v>
      </x:c>
      <x:c r="I598" s="340" t="str">
        <x:v>M.CELLS</x:v>
      </x:c>
      <x:c r="J598" s="340" t="str">
        <x:v>Kem dưỡng da</x:v>
      </x:c>
      <x:c r="K598" s="340"/>
      <x:c r="L598" s="340" t="str">
        <x:v>CÔNG TY TNHH DƯỢC MỸ PHẨM DO.MYC GROUP</x:v>
      </x:c>
      <x:c r="M598" s="340"/>
      <x:c r="N598" s="340"/>
      <x:c r="O598" s="340" t="str">
        <x:v>Đã cấp số tiếp nhận</x:v>
      </x:c>
      <x:c r="P598" s="340" t="str">
        <x:v>A++ – danh sách cấp số tiếp nhận mỹ phẩm Sở Y tế Hà Nội</x:v>
      </x:c>
      <x:c r="Q598" s="340" t="str">
        <x:v>Clean gate đủ: CBMP + tên sản phẩm + cơ sở công bố; PIF ngoài phạm vi.</x:v>
      </x:c>
      <x:c r="R598" s="340" t="str">
        <x:v>https://datafiles.hanoi.gov.vn/gov-hni/6778/VanBan/2026/4/28/37481.pdf</x:v>
      </x:c>
      <x:c r="S598" s="340" t="str">
        <x:v>Hà Nội</x:v>
      </x:c>
      <x:c r="T598" s="340" t="str">
        <x:v>01</x:v>
      </x:c>
    </x:row>
    <x:row r="599">
      <x:c r="A599" s="340" t="n">
        <x:v>598</x:v>
      </x:c>
      <x:c r="B599" s="506" t="n">
        <x:v>46112</x:v>
      </x:c>
      <x:c r="C599" s="506" t="n">
        <x:v>46140</x:v>
      </x:c>
      <x:c r="D599" s="340" t="n">
        <x:v>2026</x:v>
      </x:c>
      <x:c r="E599" s="340" t="n">
        <x:v>3</x:v>
      </x:c>
      <x:c r="F599" s="340" t="str">
        <x:v>27237/2026/CBMP-HN</x:v>
      </x:c>
      <x:c r="G599" s="340"/>
      <x:c r="H599" s="340" t="str">
        <x:v>KEM DƯỠNG ẨM KIỀM DẦU RAU - MA</x:v>
      </x:c>
      <x:c r="I599" s="340" t="str">
        <x:v>CỎ MỀM</x:v>
      </x:c>
      <x:c r="J599" s="340" t="str">
        <x:v>Kem dưỡng da</x:v>
      </x:c>
      <x:c r="K599" s="340"/>
      <x:c r="L599" s="340" t="str">
        <x:v>CÔNG TY CỔ PHẦN MỸ PHẨM THIÊN NHIÊN SONG AN</x:v>
      </x:c>
      <x:c r="M599" s="340"/>
      <x:c r="N599" s="340"/>
      <x:c r="O599" s="340" t="str">
        <x:v>Đã cấp số tiếp nhận</x:v>
      </x:c>
      <x:c r="P599" s="340" t="str">
        <x:v>A++ – danh sách cấp số tiếp nhận mỹ phẩm Sở Y tế Hà Nội</x:v>
      </x:c>
      <x:c r="Q599" s="340" t="str">
        <x:v>Clean gate đủ: CBMP + tên sản phẩm + cơ sở công bố; PIF ngoài phạm vi.</x:v>
      </x:c>
      <x:c r="R599" s="340" t="str">
        <x:v>https://datafiles.hanoi.gov.vn/gov-hni/6778/VanBan/2026/4/28/37481.pdf</x:v>
      </x:c>
      <x:c r="S599" s="340" t="str">
        <x:v>Hà Nội</x:v>
      </x:c>
      <x:c r="T599" s="340" t="str">
        <x:v>01</x:v>
      </x:c>
    </x:row>
    <x:row r="600">
      <x:c r="A600" s="340" t="n">
        <x:v>599</x:v>
      </x:c>
      <x:c r="B600" s="506" t="n">
        <x:v>46112</x:v>
      </x:c>
      <x:c r="C600" s="506" t="n">
        <x:v>46140</x:v>
      </x:c>
      <x:c r="D600" s="340" t="n">
        <x:v>2026</x:v>
      </x:c>
      <x:c r="E600" s="340" t="n">
        <x:v>3</x:v>
      </x:c>
      <x:c r="F600" s="340" t="str">
        <x:v>27238/2026/CBMP-HN</x:v>
      </x:c>
      <x:c r="G600" s="340"/>
      <x:c r="H600" s="340" t="str">
        <x:v>NƯỚC SÚC MIỆNG DENTISTRY</x:v>
      </x:c>
      <x:c r="I600" s="340"/>
      <x:c r="J600" s="340" t="str">
        <x:v>Chăm sóc răng miệng</x:v>
      </x:c>
      <x:c r="K600" s="340"/>
      <x:c r="L600" s="340" t="str">
        <x:v>CÔNG TY TNHH ĐẦU TƯ KINH DOANH THƯƠNG MẠI MAI LINH</x:v>
      </x:c>
      <x:c r="M600" s="340"/>
      <x:c r="N600" s="340"/>
      <x:c r="O600" s="340" t="str">
        <x:v>Đã cấp số tiếp nhận</x:v>
      </x:c>
      <x:c r="P600" s="340" t="str">
        <x:v>A++ – danh sách cấp số tiếp nhận mỹ phẩm Sở Y tế Hà Nội</x:v>
      </x:c>
      <x:c r="Q600" s="340" t="str">
        <x:v>Clean gate đủ: CBMP + tên sản phẩm + cơ sở công bố; PIF ngoài phạm vi.</x:v>
      </x:c>
      <x:c r="R600" s="340" t="str">
        <x:v>https://datafiles.hanoi.gov.vn/gov-hni/6778/VanBan/2026/4/28/37481.pdf</x:v>
      </x:c>
      <x:c r="S600" s="340" t="str">
        <x:v>Hà Nội</x:v>
      </x:c>
      <x:c r="T600" s="340" t="str">
        <x:v>01</x:v>
      </x:c>
    </x:row>
    <x:row r="601">
      <x:c r="A601" s="340" t="n">
        <x:v>600</x:v>
      </x:c>
      <x:c r="B601" s="506" t="n">
        <x:v>46112</x:v>
      </x:c>
      <x:c r="C601" s="506" t="n">
        <x:v>46140</x:v>
      </x:c>
      <x:c r="D601" s="340" t="n">
        <x:v>2026</x:v>
      </x:c>
      <x:c r="E601" s="340" t="n">
        <x:v>3</x:v>
      </x:c>
      <x:c r="F601" s="340" t="str">
        <x:v>27239/2026/CBMP-HN</x:v>
      </x:c>
      <x:c r="G601" s="340"/>
      <x:c r="H601" s="340" t="str">
        <x:v>BRIGHTENING TONE UP DAY</x:v>
      </x:c>
      <x:c r="I601" s="340" t="str">
        <x:v>MUGESS+</x:v>
      </x:c>
      <x:c r="J601" s="340" t="str">
        <x:v>Khác</x:v>
      </x:c>
      <x:c r="K601" s="340"/>
      <x:c r="L601" s="340" t="str">
        <x:v>CÔNG TY TNHH THƯƠNG MẠI YVES</x:v>
      </x:c>
      <x:c r="M601" s="340"/>
      <x:c r="N601" s="340"/>
      <x:c r="O601" s="340" t="str">
        <x:v>Đã cấp số tiếp nhận</x:v>
      </x:c>
      <x:c r="P601" s="340" t="str">
        <x:v>A++ – danh sách cấp số tiếp nhận mỹ phẩm Sở Y tế Hà Nội</x:v>
      </x:c>
      <x:c r="Q601" s="340" t="str">
        <x:v>Clean gate đủ: CBMP + tên sản phẩm + cơ sở công bố; PIF ngoài phạm vi.</x:v>
      </x:c>
      <x:c r="R601" s="340" t="str">
        <x:v>https://datafiles.hanoi.gov.vn/gov-hni/6778/VanBan/2026/4/28/37481.pdf</x:v>
      </x:c>
      <x:c r="S601" s="340" t="str">
        <x:v>Hà Nội</x:v>
      </x:c>
      <x:c r="T601" s="340" t="str">
        <x:v>01</x:v>
      </x:c>
    </x:row>
    <x:row r="602">
      <x:c r="A602" s="340" t="n">
        <x:v>601</x:v>
      </x:c>
      <x:c r="B602" s="506" t="n">
        <x:v>46112</x:v>
      </x:c>
      <x:c r="C602" s="506" t="n">
        <x:v>46140</x:v>
      </x:c>
      <x:c r="D602" s="340" t="n">
        <x:v>2026</x:v>
      </x:c>
      <x:c r="E602" s="340" t="n">
        <x:v>3</x:v>
      </x:c>
      <x:c r="F602" s="340" t="str">
        <x:v>27240/2026/CBMP-HN</x:v>
      </x:c>
      <x:c r="G602" s="340"/>
      <x:c r="H602" s="340" t="str">
        <x:v>SERUM B5 NIACINAMIDE</x:v>
      </x:c>
      <x:c r="I602" s="340" t="str">
        <x:v>MUGESS+</x:v>
      </x:c>
      <x:c r="J602" s="340" t="str">
        <x:v>Serum/Essence da</x:v>
      </x:c>
      <x:c r="K602" s="340"/>
      <x:c r="L602" s="340" t="str">
        <x:v>CÔNG TY TNHH THƯƠNG MẠI YVES</x:v>
      </x:c>
      <x:c r="M602" s="340"/>
      <x:c r="N602" s="340"/>
      <x:c r="O602" s="340" t="str">
        <x:v>Đã cấp số tiếp nhận</x:v>
      </x:c>
      <x:c r="P602" s="340" t="str">
        <x:v>A++ – danh sách cấp số tiếp nhận mỹ phẩm Sở Y tế Hà Nội</x:v>
      </x:c>
      <x:c r="Q602" s="340" t="str">
        <x:v>Clean gate đủ: CBMP + tên sản phẩm + cơ sở công bố; PIF ngoài phạm vi.</x:v>
      </x:c>
      <x:c r="R602" s="340" t="str">
        <x:v>https://datafiles.hanoi.gov.vn/gov-hni/6778/VanBan/2026/4/28/37481.pdf</x:v>
      </x:c>
      <x:c r="S602" s="340" t="str">
        <x:v>Hà Nội</x:v>
      </x:c>
      <x:c r="T602" s="340" t="str">
        <x:v>01</x:v>
      </x:c>
    </x:row>
    <x:row r="603">
      <x:c r="A603" s="340" t="n">
        <x:v>602</x:v>
      </x:c>
      <x:c r="B603" s="506" t="n">
        <x:v>46112</x:v>
      </x:c>
      <x:c r="C603" s="506" t="n">
        <x:v>46140</x:v>
      </x:c>
      <x:c r="D603" s="340" t="n">
        <x:v>2026</x:v>
      </x:c>
      <x:c r="E603" s="340" t="n">
        <x:v>3</x:v>
      </x:c>
      <x:c r="F603" s="340" t="str">
        <x:v>27241/2026/CBMP-HN</x:v>
      </x:c>
      <x:c r="G603" s="340"/>
      <x:c r="H603" s="340" t="str">
        <x:v>D-SKIN SERUM</x:v>
      </x:c>
      <x:c r="I603" s="340" t="str">
        <x:v>MUGESS+</x:v>
      </x:c>
      <x:c r="J603" s="340" t="str">
        <x:v>Serum/Essence da</x:v>
      </x:c>
      <x:c r="K603" s="340"/>
      <x:c r="L603" s="340" t="str">
        <x:v>CÔNG TY TNHH THƯƠNG MẠI YVES</x:v>
      </x:c>
      <x:c r="M603" s="340"/>
      <x:c r="N603" s="340"/>
      <x:c r="O603" s="340" t="str">
        <x:v>Đã cấp số tiếp nhận</x:v>
      </x:c>
      <x:c r="P603" s="340" t="str">
        <x:v>A++ – danh sách cấp số tiếp nhận mỹ phẩm Sở Y tế Hà Nội</x:v>
      </x:c>
      <x:c r="Q603" s="340" t="str">
        <x:v>Clean gate đủ: CBMP + tên sản phẩm + cơ sở công bố; PIF ngoài phạm vi.</x:v>
      </x:c>
      <x:c r="R603" s="340" t="str">
        <x:v>https://datafiles.hanoi.gov.vn/gov-hni/6778/VanBan/2026/4/28/37481.pdf</x:v>
      </x:c>
      <x:c r="S603" s="340" t="str">
        <x:v>Hà Nội</x:v>
      </x:c>
      <x:c r="T603" s="340" t="str">
        <x:v>01</x:v>
      </x:c>
    </x:row>
    <x:row r="604">
      <x:c r="A604" s="340" t="n">
        <x:v>603</x:v>
      </x:c>
      <x:c r="B604" s="506" t="n">
        <x:v>46112</x:v>
      </x:c>
      <x:c r="C604" s="506" t="n">
        <x:v>46140</x:v>
      </x:c>
      <x:c r="D604" s="340" t="n">
        <x:v>2026</x:v>
      </x:c>
      <x:c r="E604" s="340" t="n">
        <x:v>3</x:v>
      </x:c>
      <x:c r="F604" s="340" t="str">
        <x:v>27242/2026/CBMP-HN</x:v>
      </x:c>
      <x:c r="G604" s="340"/>
      <x:c r="H604" s="340" t="str">
        <x:v>PHYTO CREAM</x:v>
      </x:c>
      <x:c r="I604" s="340" t="str">
        <x:v>NINE9</x:v>
      </x:c>
      <x:c r="J604" s="340" t="str">
        <x:v>Kem dưỡng da</x:v>
      </x:c>
      <x:c r="K604" s="340"/>
      <x:c r="L604" s="340" t="str">
        <x:v>CÔNG TY TNHH SẢN XUẤT THƯƠNG MẠI VÀ XUẤT NHẬP KHẨU HOÀNG PHƯƠNG</x:v>
      </x:c>
      <x:c r="M604" s="340"/>
      <x:c r="N604" s="340"/>
      <x:c r="O604" s="340" t="str">
        <x:v>Đã cấp số tiếp nhận</x:v>
      </x:c>
      <x:c r="P604" s="340" t="str">
        <x:v>A++ – danh sách cấp số tiếp nhận mỹ phẩm Sở Y tế Hà Nội</x:v>
      </x:c>
      <x:c r="Q604" s="340" t="str">
        <x:v>Clean gate đủ: CBMP + tên sản phẩm + cơ sở công bố; PIF ngoài phạm vi.</x:v>
      </x:c>
      <x:c r="R604" s="340" t="str">
        <x:v>https://datafiles.hanoi.gov.vn/gov-hni/6778/VanBan/2026/4/28/37481.pdf</x:v>
      </x:c>
      <x:c r="S604" s="340" t="str">
        <x:v>Hà Nội</x:v>
      </x:c>
      <x:c r="T604" s="340" t="str">
        <x:v>01</x:v>
      </x:c>
    </x:row>
    <x:row r="605">
      <x:c r="A605" s="340" t="n">
        <x:v>604</x:v>
      </x:c>
      <x:c r="B605" s="506" t="n">
        <x:v>46112</x:v>
      </x:c>
      <x:c r="C605" s="506" t="n">
        <x:v>46140</x:v>
      </x:c>
      <x:c r="D605" s="340" t="n">
        <x:v>2026</x:v>
      </x:c>
      <x:c r="E605" s="340" t="n">
        <x:v>3</x:v>
      </x:c>
      <x:c r="F605" s="340" t="str">
        <x:v>27243/2026/CBMP-HN</x:v>
      </x:c>
      <x:c r="G605" s="340"/>
      <x:c r="H605" s="340" t="str">
        <x:v>SYN LOVE</x:v>
      </x:c>
      <x:c r="I605" s="340" t="str">
        <x:v>SYNCHOICE</x:v>
      </x:c>
      <x:c r="J605" s="340" t="str">
        <x:v>Khác</x:v>
      </x:c>
      <x:c r="K605" s="340"/>
      <x:c r="L605" s="340" t="str">
        <x:v>HỘ KINH DOANH SYNDRA</x:v>
      </x:c>
      <x:c r="M605" s="340"/>
      <x:c r="N605" s="340"/>
      <x:c r="O605" s="340" t="str">
        <x:v>Đã cấp số tiếp nhận</x:v>
      </x:c>
      <x:c r="P605" s="340" t="str">
        <x:v>A++ – danh sách cấp số tiếp nhận mỹ phẩm Sở Y tế Hà Nội</x:v>
      </x:c>
      <x:c r="Q605" s="340" t="str">
        <x:v>Clean gate đủ: CBMP + tên sản phẩm + cơ sở công bố; PIF ngoài phạm vi.</x:v>
      </x:c>
      <x:c r="R605" s="340" t="str">
        <x:v>https://datafiles.hanoi.gov.vn/gov-hni/6778/VanBan/2026/4/28/37481.pdf</x:v>
      </x:c>
      <x:c r="S605" s="340" t="str">
        <x:v>Hà Nội</x:v>
      </x:c>
      <x:c r="T605" s="340" t="str">
        <x:v>01</x:v>
      </x:c>
    </x:row>
    <x:row r="606">
      <x:c r="A606" s="340" t="n">
        <x:v>605</x:v>
      </x:c>
      <x:c r="B606" s="506" t="n">
        <x:v>46112</x:v>
      </x:c>
      <x:c r="C606" s="506" t="n">
        <x:v>46140</x:v>
      </x:c>
      <x:c r="D606" s="340" t="n">
        <x:v>2026</x:v>
      </x:c>
      <x:c r="E606" s="340" t="n">
        <x:v>3</x:v>
      </x:c>
      <x:c r="F606" s="340" t="str">
        <x:v>27244/2026/CBMP-HN</x:v>
      </x:c>
      <x:c r="G606" s="340"/>
      <x:c r="H606" s="340" t="str">
        <x:v>SYN KISS</x:v>
      </x:c>
      <x:c r="I606" s="340" t="str">
        <x:v>SYNCHOICE</x:v>
      </x:c>
      <x:c r="J606" s="340" t="str">
        <x:v>Khác</x:v>
      </x:c>
      <x:c r="K606" s="340"/>
      <x:c r="L606" s="340" t="str">
        <x:v>HỘ KINH DOANH SYNDRA</x:v>
      </x:c>
      <x:c r="M606" s="340"/>
      <x:c r="N606" s="340"/>
      <x:c r="O606" s="340" t="str">
        <x:v>Đã cấp số tiếp nhận</x:v>
      </x:c>
      <x:c r="P606" s="340" t="str">
        <x:v>A++ – danh sách cấp số tiếp nhận mỹ phẩm Sở Y tế Hà Nội</x:v>
      </x:c>
      <x:c r="Q606" s="340" t="str">
        <x:v>Clean gate đủ: CBMP + tên sản phẩm + cơ sở công bố; PIF ngoài phạm vi.</x:v>
      </x:c>
      <x:c r="R606" s="340" t="str">
        <x:v>https://datafiles.hanoi.gov.vn/gov-hni/6778/VanBan/2026/4/28/37481.pdf</x:v>
      </x:c>
      <x:c r="S606" s="340" t="str">
        <x:v>Hà Nội</x:v>
      </x:c>
      <x:c r="T606" s="340" t="str">
        <x:v>01</x:v>
      </x:c>
    </x:row>
    <x:row r="607">
      <x:c r="A607" s="340" t="n">
        <x:v>606</x:v>
      </x:c>
      <x:c r="B607" s="506" t="n">
        <x:v>46112</x:v>
      </x:c>
      <x:c r="C607" s="506" t="n">
        <x:v>46140</x:v>
      </x:c>
      <x:c r="D607" s="340" t="n">
        <x:v>2026</x:v>
      </x:c>
      <x:c r="E607" s="340" t="n">
        <x:v>3</x:v>
      </x:c>
      <x:c r="F607" s="340" t="str">
        <x:v>27246/2026/CBMP-HN</x:v>
      </x:c>
      <x:c r="G607" s="340"/>
      <x:c r="H607" s="340" t="str">
        <x:v>NƯỚC TẨY TRANG</x:v>
      </x:c>
      <x:c r="I607" s="340" t="str">
        <x:v>9P5 SKINCARE</x:v>
      </x:c>
      <x:c r="J607" s="340" t="str">
        <x:v>Sữa rửa mặt/Tẩy trang</x:v>
      </x:c>
      <x:c r="K607" s="340"/>
      <x:c r="L607" s="340" t="str">
        <x:v>CÔNG TY TNHH DƯỢC MỸ PHẨM VÀ THẨM MỸ COSVIA</x:v>
      </x:c>
      <x:c r="M607" s="340"/>
      <x:c r="N607" s="340"/>
      <x:c r="O607" s="340" t="str">
        <x:v>Đã cấp số tiếp nhận</x:v>
      </x:c>
      <x:c r="P607" s="340" t="str">
        <x:v>A++ – danh sách cấp số tiếp nhận mỹ phẩm Sở Y tế Hà Nội</x:v>
      </x:c>
      <x:c r="Q607" s="340" t="str">
        <x:v>Clean gate đủ: CBMP + tên sản phẩm + cơ sở công bố; PIF ngoài phạm vi.</x:v>
      </x:c>
      <x:c r="R607" s="340" t="str">
        <x:v>https://datafiles.hanoi.gov.vn/gov-hni/6778/VanBan/2026/4/28/37481.pdf</x:v>
      </x:c>
      <x:c r="S607" s="340" t="str">
        <x:v>Hà Nội</x:v>
      </x:c>
      <x:c r="T607" s="340" t="str">
        <x:v>01</x:v>
      </x:c>
    </x:row>
    <x:row r="608">
      <x:c r="A608" s="340" t="n">
        <x:v>607</x:v>
      </x:c>
      <x:c r="B608" s="506" t="n">
        <x:v>46112</x:v>
      </x:c>
      <x:c r="C608" s="506" t="n">
        <x:v>46140</x:v>
      </x:c>
      <x:c r="D608" s="340" t="n">
        <x:v>2026</x:v>
      </x:c>
      <x:c r="E608" s="340" t="n">
        <x:v>3</x:v>
      </x:c>
      <x:c r="F608" s="340" t="str">
        <x:v>27247/2026/CBMP-HN</x:v>
      </x:c>
      <x:c r="G608" s="340"/>
      <x:c r="H608" s="340" t="str">
        <x:v>EISENE BODY S</x:v>
      </x:c>
      <x:c r="I608" s="340"/>
      <x:c r="J608" s="340" t="str">
        <x:v>Khác</x:v>
      </x:c>
      <x:c r="K608" s="340"/>
      <x:c r="L608" s="340" t="str">
        <x:v>CÔNG TY TNHH BODY HEALTH</x:v>
      </x:c>
      <x:c r="M608" s="340"/>
      <x:c r="N608" s="340"/>
      <x:c r="O608" s="340" t="str">
        <x:v>Đã cấp số tiếp nhận</x:v>
      </x:c>
      <x:c r="P608" s="340" t="str">
        <x:v>A++ – danh sách cấp số tiếp nhận mỹ phẩm Sở Y tế Hà Nội</x:v>
      </x:c>
      <x:c r="Q608" s="340" t="str">
        <x:v>Clean gate đủ: CBMP + tên sản phẩm + cơ sở công bố; PIF ngoài phạm vi.</x:v>
      </x:c>
      <x:c r="R608" s="340" t="str">
        <x:v>https://datafiles.hanoi.gov.vn/gov-hni/6778/VanBan/2026/4/28/37481.pdf</x:v>
      </x:c>
      <x:c r="S608" s="340" t="str">
        <x:v>Hà Nội</x:v>
      </x:c>
      <x:c r="T608" s="340" t="str">
        <x:v>01</x:v>
      </x:c>
    </x:row>
    <x:row r="609">
      <x:c r="A609" s="340" t="n">
        <x:v>608</x:v>
      </x:c>
      <x:c r="B609" s="506" t="n">
        <x:v>46112</x:v>
      </x:c>
      <x:c r="C609" s="506" t="n">
        <x:v>46140</x:v>
      </x:c>
      <x:c r="D609" s="340" t="n">
        <x:v>2026</x:v>
      </x:c>
      <x:c r="E609" s="340" t="n">
        <x:v>3</x:v>
      </x:c>
      <x:c r="F609" s="340" t="str">
        <x:v>27249/2026/CBMP-HN</x:v>
      </x:c>
      <x:c r="G609" s="340"/>
      <x:c r="H609" s="340" t="str">
        <x:v>ROOT &amp; SCALP SHAMPOO</x:v>
      </x:c>
      <x:c r="I609" s="340" t="str">
        <x:v>LUNAFAM</x:v>
      </x:c>
      <x:c r="J609" s="340" t="str">
        <x:v>Dầu gội</x:v>
      </x:c>
      <x:c r="K609" s="340"/>
      <x:c r="L609" s="340" t="str">
        <x:v>CÔNG TY TNHH DỊCH VỤ THƯƠNG MẠI QUỐC TẾ TL M&amp;C</x:v>
      </x:c>
      <x:c r="M609" s="340"/>
      <x:c r="N609" s="340"/>
      <x:c r="O609" s="340" t="str">
        <x:v>Đã cấp số tiếp nhận</x:v>
      </x:c>
      <x:c r="P609" s="340" t="str">
        <x:v>A++ – danh sách cấp số tiếp nhận mỹ phẩm Sở Y tế Hà Nội</x:v>
      </x:c>
      <x:c r="Q609" s="340" t="str">
        <x:v>Clean gate đủ: CBMP + tên sản phẩm + cơ sở công bố; PIF ngoài phạm vi.</x:v>
      </x:c>
      <x:c r="R609" s="340" t="str">
        <x:v>https://datafiles.hanoi.gov.vn/gov-hni/6778/VanBan/2026/4/28/37481.pdf</x:v>
      </x:c>
      <x:c r="S609" s="340" t="str">
        <x:v>Hà Nội</x:v>
      </x:c>
      <x:c r="T609" s="340" t="str">
        <x:v>01</x:v>
      </x:c>
    </x:row>
    <x:row r="610">
      <x:c r="A610" s="340" t="n">
        <x:v>609</x:v>
      </x:c>
      <x:c r="B610" s="506" t="n">
        <x:v>46112</x:v>
      </x:c>
      <x:c r="C610" s="506" t="n">
        <x:v>46140</x:v>
      </x:c>
      <x:c r="D610" s="340" t="n">
        <x:v>2026</x:v>
      </x:c>
      <x:c r="E610" s="340" t="n">
        <x:v>3</x:v>
      </x:c>
      <x:c r="F610" s="340" t="str">
        <x:v>27250/2026/CBMP-HN</x:v>
      </x:c>
      <x:c r="G610" s="340"/>
      <x:c r="H610" s="340" t="str">
        <x:v>NƯỚC GỘI ĐẦU KAROSE SHINE</x:v>
      </x:c>
      <x:c r="I610" s="340" t="str">
        <x:v>KAROSE</x:v>
      </x:c>
      <x:c r="J610" s="340" t="str">
        <x:v>Dầu gội</x:v>
      </x:c>
      <x:c r="K610" s="340"/>
      <x:c r="L610" s="340" t="str">
        <x:v>Công ty TNHH Rosa Valley Việt Nam</x:v>
      </x:c>
      <x:c r="M610" s="340"/>
      <x:c r="N610" s="340"/>
      <x:c r="O610" s="340" t="str">
        <x:v>Đã cấp số tiếp nhận</x:v>
      </x:c>
      <x:c r="P610" s="340" t="str">
        <x:v>A++ – danh sách cấp số tiếp nhận mỹ phẩm Sở Y tế Hà Nội</x:v>
      </x:c>
      <x:c r="Q610" s="340" t="str">
        <x:v>Clean gate đủ: CBMP + tên sản phẩm + cơ sở công bố; PIF ngoài phạm vi.</x:v>
      </x:c>
      <x:c r="R610" s="340" t="str">
        <x:v>https://datafiles.hanoi.gov.vn/gov-hni/6778/VanBan/2026/4/28/37481.pdf</x:v>
      </x:c>
      <x:c r="S610" s="340" t="str">
        <x:v>Hà Nội</x:v>
      </x:c>
      <x:c r="T610" s="340" t="str">
        <x:v>01</x:v>
      </x:c>
    </x:row>
    <x:row r="611">
      <x:c r="A611" s="340" t="n">
        <x:v>610</x:v>
      </x:c>
      <x:c r="B611" s="506" t="n">
        <x:v>46112</x:v>
      </x:c>
      <x:c r="C611" s="506" t="n">
        <x:v>46140</x:v>
      </x:c>
      <x:c r="D611" s="340" t="n">
        <x:v>2026</x:v>
      </x:c>
      <x:c r="E611" s="340" t="n">
        <x:v>3</x:v>
      </x:c>
      <x:c r="F611" s="340" t="str">
        <x:v>27253/2026/CBMP-HN</x:v>
      </x:c>
      <x:c r="G611" s="340"/>
      <x:c r="H611" s="340" t="str">
        <x:v>SERUM KEYEL</x:v>
      </x:c>
      <x:c r="I611" s="340" t="str">
        <x:v>KEYEL</x:v>
      </x:c>
      <x:c r="J611" s="340" t="str">
        <x:v>Serum/Essence da</x:v>
      </x:c>
      <x:c r="K611" s="340"/>
      <x:c r="L611" s="340" t="str">
        <x:v>CÔNG TY TNHH DỊCH VỤ THƯƠNG MẠI QUỐC TẾ TL M&amp;C</x:v>
      </x:c>
      <x:c r="M611" s="340"/>
      <x:c r="N611" s="340"/>
      <x:c r="O611" s="340" t="str">
        <x:v>Đã cấp số tiếp nhận</x:v>
      </x:c>
      <x:c r="P611" s="340" t="str">
        <x:v>A++ – danh sách cấp số tiếp nhận mỹ phẩm Sở Y tế Hà Nội</x:v>
      </x:c>
      <x:c r="Q611" s="340" t="str">
        <x:v>Clean gate đủ: CBMP + tên sản phẩm + cơ sở công bố; PIF ngoài phạm vi.</x:v>
      </x:c>
      <x:c r="R611" s="340" t="str">
        <x:v>https://datafiles.hanoi.gov.vn/gov-hni/6778/VanBan/2026/4/28/37481.pdf</x:v>
      </x:c>
      <x:c r="S611" s="340" t="str">
        <x:v>Hà Nội</x:v>
      </x:c>
      <x:c r="T611" s="340" t="str">
        <x:v>01</x:v>
      </x:c>
    </x:row>
    <x:row r="612">
      <x:c r="A612" s="340" t="n">
        <x:v>611</x:v>
      </x:c>
      <x:c r="B612" s="506" t="n">
        <x:v>46112</x:v>
      </x:c>
      <x:c r="C612" s="506" t="n">
        <x:v>46140</x:v>
      </x:c>
      <x:c r="D612" s="340" t="n">
        <x:v>2026</x:v>
      </x:c>
      <x:c r="E612" s="340" t="n">
        <x:v>3</x:v>
      </x:c>
      <x:c r="F612" s="340" t="str">
        <x:v>27254/2026/CBMP-HN</x:v>
      </x:c>
      <x:c r="G612" s="340"/>
      <x:c r="H612" s="340" t="str">
        <x:v>CONCEALER CREAM N2</x:v>
      </x:c>
      <x:c r="I612" s="340" t="str">
        <x:v>NINE9</x:v>
      </x:c>
      <x:c r="J612" s="340" t="str">
        <x:v>Kem dưỡng da</x:v>
      </x:c>
      <x:c r="K612" s="340"/>
      <x:c r="L612" s="340" t="str">
        <x:v>CÔNG TY TNHH SẢN XUẤT THƯƠNG MẠI VÀ XUẤT NHẬP KHẨU HOÀNG PHƯƠNG</x:v>
      </x:c>
      <x:c r="M612" s="340"/>
      <x:c r="N612" s="340"/>
      <x:c r="O612" s="340" t="str">
        <x:v>Đã cấp số tiếp nhận</x:v>
      </x:c>
      <x:c r="P612" s="340" t="str">
        <x:v>A++ – danh sách cấp số tiếp nhận mỹ phẩm Sở Y tế Hà Nội</x:v>
      </x:c>
      <x:c r="Q612" s="340" t="str">
        <x:v>Clean gate đủ: CBMP + tên sản phẩm + cơ sở công bố; PIF ngoài phạm vi.</x:v>
      </x:c>
      <x:c r="R612" s="340" t="str">
        <x:v>https://datafiles.hanoi.gov.vn/gov-hni/6778/VanBan/2026/4/28/37481.pdf</x:v>
      </x:c>
      <x:c r="S612" s="340" t="str">
        <x:v>Hà Nội</x:v>
      </x:c>
      <x:c r="T612" s="340" t="str">
        <x:v>01</x:v>
      </x:c>
    </x:row>
    <x:row r="613">
      <x:c r="A613" s="340" t="n">
        <x:v>612</x:v>
      </x:c>
      <x:c r="B613" s="506" t="n">
        <x:v>46112</x:v>
      </x:c>
      <x:c r="C613" s="506" t="n">
        <x:v>46140</x:v>
      </x:c>
      <x:c r="D613" s="340" t="n">
        <x:v>2026</x:v>
      </x:c>
      <x:c r="E613" s="340" t="n">
        <x:v>3</x:v>
      </x:c>
      <x:c r="F613" s="340" t="str">
        <x:v>27255/2026/CBMP-HN</x:v>
      </x:c>
      <x:c r="G613" s="340"/>
      <x:c r="H613" s="340" t="str">
        <x:v>BEAUTY SMILE</x:v>
      </x:c>
      <x:c r="I613" s="340" t="str">
        <x:v>SACOVAH</x:v>
      </x:c>
      <x:c r="J613" s="340" t="str">
        <x:v>Khác</x:v>
      </x:c>
      <x:c r="K613" s="340"/>
      <x:c r="L613" s="340" t="str">
        <x:v>CÔNG TY TNHH ĐẦU TƯ VÀ THƯƠNG MẠI THÁI HƯƠNG</x:v>
      </x:c>
      <x:c r="M613" s="340"/>
      <x:c r="N613" s="340"/>
      <x:c r="O613" s="340" t="str">
        <x:v>Đã cấp số tiếp nhận</x:v>
      </x:c>
      <x:c r="P613" s="340" t="str">
        <x:v>A++ – danh sách cấp số tiếp nhận mỹ phẩm Sở Y tế Hà Nội</x:v>
      </x:c>
      <x:c r="Q613" s="340" t="str">
        <x:v>Clean gate đủ: CBMP + tên sản phẩm + cơ sở công bố; PIF ngoài phạm vi.</x:v>
      </x:c>
      <x:c r="R613" s="340" t="str">
        <x:v>https://datafiles.hanoi.gov.vn/gov-hni/6778/VanBan/2026/4/28/37481.pdf</x:v>
      </x:c>
      <x:c r="S613" s="340" t="str">
        <x:v>Hà Nội</x:v>
      </x:c>
      <x:c r="T613" s="340" t="str">
        <x:v>01</x:v>
      </x:c>
    </x:row>
    <x:row r="614">
      <x:c r="A614" s="340" t="n">
        <x:v>613</x:v>
      </x:c>
      <x:c r="B614" s="506" t="n">
        <x:v>46112</x:v>
      </x:c>
      <x:c r="C614" s="506" t="n">
        <x:v>46140</x:v>
      </x:c>
      <x:c r="D614" s="340" t="n">
        <x:v>2026</x:v>
      </x:c>
      <x:c r="E614" s="340" t="n">
        <x:v>3</x:v>
      </x:c>
      <x:c r="F614" s="340" t="str">
        <x:v>27256/2026/CBMP-HN</x:v>
      </x:c>
      <x:c r="G614" s="340"/>
      <x:c r="H614" s="340" t="str">
        <x:v>VALORA PERFUME</x:v>
      </x:c>
      <x:c r="I614" s="340"/>
      <x:c r="J614" s="340" t="str">
        <x:v>Nước hoa</x:v>
      </x:c>
      <x:c r="K614" s="340"/>
      <x:c r="L614" s="340" t="str">
        <x:v>CÔNG TY TNHH DƯỢC MỸ PHẨM QUỐC TẾ SAYOBE</x:v>
      </x:c>
      <x:c r="M614" s="340"/>
      <x:c r="N614" s="340"/>
      <x:c r="O614" s="340" t="str">
        <x:v>Đã cấp số tiếp nhận</x:v>
      </x:c>
      <x:c r="P614" s="340" t="str">
        <x:v>A++ – danh sách cấp số tiếp nhận mỹ phẩm Sở Y tế Hà Nội</x:v>
      </x:c>
      <x:c r="Q614" s="340" t="str">
        <x:v>Clean gate đủ: CBMP + tên sản phẩm + cơ sở công bố; PIF ngoài phạm vi.</x:v>
      </x:c>
      <x:c r="R614" s="340" t="str">
        <x:v>https://datafiles.hanoi.gov.vn/gov-hni/6778/VanBan/2026/4/28/37481.pdf</x:v>
      </x:c>
      <x:c r="S614" s="340" t="str">
        <x:v>Hà Nội</x:v>
      </x:c>
      <x:c r="T614" s="340" t="str">
        <x:v>01</x:v>
      </x:c>
    </x:row>
    <x:row r="615">
      <x:c r="A615" s="340" t="n">
        <x:v>614</x:v>
      </x:c>
      <x:c r="B615" s="340"/>
      <x:c r="C615" s="506" t="n">
        <x:v>46085</x:v>
      </x:c>
      <x:c r="D615" s="340" t="n">
        <x:v>2023</x:v>
      </x:c>
      <x:c r="E615" s="340"/>
      <x:c r="F615" s="340" t="str">
        <x:v>16601/23/CBMP-HN</x:v>
      </x:c>
      <x:c r="G615" s="340"/>
      <x:c r="H615" s="340" t="str">
        <x:v>Premium Whitening Body Cream</x:v>
      </x:c>
      <x:c r="I615" s="340" t="str">
        <x:v>Kmbeauty</x:v>
      </x:c>
      <x:c r="J615" s="340" t="str">
        <x:v>Kem dưỡng da</x:v>
      </x:c>
      <x:c r="K615" s="340"/>
      <x:c r="L615" s="340" t="str">
        <x:v>Hộ kinh doanh Phan Thị Kiều Minh</x:v>
      </x:c>
      <x:c r="M615" s="340"/>
      <x:c r="N615" s="340" t="str">
        <x:v>Công ty cổ phần Dược mỹ phẩm Butter-C</x:v>
      </x:c>
      <x:c r="O615" s="340" t="str">
        <x:v>Đã thu hồi số tiếp nhận</x:v>
      </x:c>
      <x:c r="P615" s="340" t="str">
        <x:v>A++ – QĐ 940/QĐ-SYT Hà Nội; mirror cơ quan nhà nước</x:v>
      </x:c>
      <x:c r="Q615" s="340" t="str">
        <x:v>Clean gate đủ: CBMP + tên sản phẩm + cơ sở công bố; thu hồi do Butter-C chấm dứt ủy quyền; PIF ngoài phạm vi.</x:v>
      </x:c>
      <x:c r="R615" s="340" t="str">
        <x:v>https://soyte.hatinh.gov.vn/upload/1000030/20260429/So_y_te_Ha_Noi_DSThuhoiSCBMPQI_2026_fd5c936f22.pdf</x:v>
      </x:c>
      <x:c r="S615" s="340" t="str">
        <x:v>Hà Nội</x:v>
      </x:c>
      <x:c r="T615" s="340" t="str">
        <x:v>01</x:v>
      </x:c>
    </x:row>
    <x:row r="616">
      <x:c r="A616" s="340" t="n">
        <x:v>615</x:v>
      </x:c>
      <x:c r="B616" s="340"/>
      <x:c r="C616" s="506" t="n">
        <x:v>46085</x:v>
      </x:c>
      <x:c r="D616" s="340" t="n">
        <x:v>2023</x:v>
      </x:c>
      <x:c r="E616" s="340"/>
      <x:c r="F616" s="340" t="str">
        <x:v>16637/23/CBMP-HN</x:v>
      </x:c>
      <x:c r="G616" s="340"/>
      <x:c r="H616" s="340" t="str">
        <x:v>Sichateeth</x:v>
      </x:c>
      <x:c r="I616" s="340"/>
      <x:c r="J616" s="340" t="str">
        <x:v>Khác</x:v>
      </x:c>
      <x:c r="K616" s="340"/>
      <x:c r="L616" s="340" t="str">
        <x:v>Công ty TNHH Dược mỹ phẩm Sichaly</x:v>
      </x:c>
      <x:c r="M616" s="340"/>
      <x:c r="N616" s="340" t="str">
        <x:v>Công ty cổ phần Dược mỹ phẩm Butter-C</x:v>
      </x:c>
      <x:c r="O616" s="340" t="str">
        <x:v>Đã thu hồi số tiếp nhận</x:v>
      </x:c>
      <x:c r="P616" s="340" t="str">
        <x:v>A++ – QĐ 940/QĐ-SYT Hà Nội; mirror cơ quan nhà nước</x:v>
      </x:c>
      <x:c r="Q616" s="340" t="str">
        <x:v>Clean gate đủ: CBMP + tên sản phẩm + cơ sở công bố; thu hồi do Butter-C chấm dứt ủy quyền; PIF ngoài phạm vi.</x:v>
      </x:c>
      <x:c r="R616" s="340" t="str">
        <x:v>https://soyte.hatinh.gov.vn/upload/1000030/20260429/So_y_te_Ha_Noi_DSThuhoiSCBMPQI_2026_fd5c936f22.pdf</x:v>
      </x:c>
      <x:c r="S616" s="340" t="str">
        <x:v>Hà Nội</x:v>
      </x:c>
      <x:c r="T616" s="340" t="str">
        <x:v>01</x:v>
      </x:c>
    </x:row>
    <x:row r="617">
      <x:c r="A617" s="340" t="n">
        <x:v>616</x:v>
      </x:c>
      <x:c r="B617" s="340"/>
      <x:c r="C617" s="506" t="n">
        <x:v>46085</x:v>
      </x:c>
      <x:c r="D617" s="340" t="n">
        <x:v>2023</x:v>
      </x:c>
      <x:c r="E617" s="340"/>
      <x:c r="F617" s="340" t="str">
        <x:v>16704/23/CBMP-HN</x:v>
      </x:c>
      <x:c r="G617" s="340"/>
      <x:c r="H617" s="340" t="str">
        <x:v>O'Hara Flora</x:v>
      </x:c>
      <x:c r="I617" s="340"/>
      <x:c r="J617" s="340" t="str">
        <x:v>Khác</x:v>
      </x:c>
      <x:c r="K617" s="340"/>
      <x:c r="L617" s="340" t="str">
        <x:v>Công ty TNHH công nghệ Oppa</x:v>
      </x:c>
      <x:c r="M617" s="340"/>
      <x:c r="N617" s="340" t="str">
        <x:v>Công ty cổ phần Dược mỹ phẩm Butter-C</x:v>
      </x:c>
      <x:c r="O617" s="340" t="str">
        <x:v>Đã thu hồi số tiếp nhận</x:v>
      </x:c>
      <x:c r="P617" s="340" t="str">
        <x:v>A++ – QĐ 940/QĐ-SYT Hà Nội; mirror cơ quan nhà nước</x:v>
      </x:c>
      <x:c r="Q617" s="340" t="str">
        <x:v>Clean gate đủ: CBMP + tên sản phẩm + cơ sở công bố; thu hồi do Butter-C chấm dứt ủy quyền; PIF ngoài phạm vi.</x:v>
      </x:c>
      <x:c r="R617" s="340" t="str">
        <x:v>https://soyte.hatinh.gov.vn/upload/1000030/20260429/So_y_te_Ha_Noi_DSThuhoiSCBMPQI_2026_fd5c936f22.pdf</x:v>
      </x:c>
      <x:c r="S617" s="340" t="str">
        <x:v>Hà Nội</x:v>
      </x:c>
      <x:c r="T617" s="340" t="str">
        <x:v>01</x:v>
      </x:c>
    </x:row>
    <x:row r="618">
      <x:c r="A618" s="340" t="n">
        <x:v>617</x:v>
      </x:c>
      <x:c r="B618" s="340"/>
      <x:c r="C618" s="506" t="n">
        <x:v>46085</x:v>
      </x:c>
      <x:c r="D618" s="340" t="n">
        <x:v>2023</x:v>
      </x:c>
      <x:c r="E618" s="340"/>
      <x:c r="F618" s="340" t="str">
        <x:v>17192/23/CBMP-HN</x:v>
      </x:c>
      <x:c r="G618" s="340"/>
      <x:c r="H618" s="340" t="str">
        <x:v>Dung dịch vệ sinh thiên nhiên 8.3</x:v>
      </x:c>
      <x:c r="I618" s="340"/>
      <x:c r="J618" s="340" t="str">
        <x:v>Dung dịch vệ sinh</x:v>
      </x:c>
      <x:c r="K618" s="340"/>
      <x:c r="L618" s="340" t="str">
        <x:v>Công ty TNHH Dược phẩm Biomed</x:v>
      </x:c>
      <x:c r="M618" s="340"/>
      <x:c r="N618" s="340" t="str">
        <x:v>Công ty cổ phần Dược mỹ phẩm Butter-C</x:v>
      </x:c>
      <x:c r="O618" s="340" t="str">
        <x:v>Đã thu hồi số tiếp nhận</x:v>
      </x:c>
      <x:c r="P618" s="340" t="str">
        <x:v>A++ – QĐ 940/QĐ-SYT Hà Nội; mirror cơ quan nhà nước</x:v>
      </x:c>
      <x:c r="Q618" s="340" t="str">
        <x:v>Clean gate đủ: CBMP + tên sản phẩm + cơ sở công bố; thu hồi do Butter-C chấm dứt ủy quyền; PIF ngoài phạm vi.</x:v>
      </x:c>
      <x:c r="R618" s="340" t="str">
        <x:v>https://soyte.hatinh.gov.vn/upload/1000030/20260429/So_y_te_Ha_Noi_DSThuhoiSCBMPQI_2026_fd5c936f22.pdf</x:v>
      </x:c>
      <x:c r="S618" s="340" t="str">
        <x:v>Hà Nội</x:v>
      </x:c>
      <x:c r="T618" s="340" t="str">
        <x:v>01</x:v>
      </x:c>
    </x:row>
    <x:row r="619">
      <x:c r="A619" s="340" t="n">
        <x:v>618</x:v>
      </x:c>
      <x:c r="B619" s="340"/>
      <x:c r="C619" s="506" t="n">
        <x:v>46085</x:v>
      </x:c>
      <x:c r="D619" s="340" t="n">
        <x:v>2023</x:v>
      </x:c>
      <x:c r="E619" s="340"/>
      <x:c r="F619" s="340" t="str">
        <x:v>17231/23/CBMP-HN</x:v>
      </x:c>
      <x:c r="G619" s="340"/>
      <x:c r="H619" s="340" t="str">
        <x:v>Manlio Mouth Wash</x:v>
      </x:c>
      <x:c r="I619" s="340"/>
      <x:c r="J619" s="340" t="str">
        <x:v>Chăm sóc răng miệng</x:v>
      </x:c>
      <x:c r="K619" s="340"/>
      <x:c r="L619" s="340" t="str">
        <x:v>Công ty cổ phần mỹ phẩm Dinh Việt Nam</x:v>
      </x:c>
      <x:c r="M619" s="340"/>
      <x:c r="N619" s="340" t="str">
        <x:v>Công ty cổ phần Dược mỹ phẩm Butter-C</x:v>
      </x:c>
      <x:c r="O619" s="340" t="str">
        <x:v>Đã thu hồi số tiếp nhận</x:v>
      </x:c>
      <x:c r="P619" s="340" t="str">
        <x:v>A++ – QĐ 940/QĐ-SYT Hà Nội; mirror cơ quan nhà nước</x:v>
      </x:c>
      <x:c r="Q619" s="340" t="str">
        <x:v>Clean gate đủ: CBMP + tên sản phẩm + cơ sở công bố; thu hồi do Butter-C chấm dứt ủy quyền; PIF ngoài phạm vi.</x:v>
      </x:c>
      <x:c r="R619" s="340" t="str">
        <x:v>https://soyte.hatinh.gov.vn/upload/1000030/20260429/So_y_te_Ha_Noi_DSThuhoiSCBMPQI_2026_fd5c936f22.pdf</x:v>
      </x:c>
      <x:c r="S619" s="340" t="str">
        <x:v>Hà Nội</x:v>
      </x:c>
      <x:c r="T619" s="340" t="str">
        <x:v>01</x:v>
      </x:c>
    </x:row>
    <x:row r="620">
      <x:c r="A620" s="340" t="n">
        <x:v>619</x:v>
      </x:c>
      <x:c r="B620" s="340"/>
      <x:c r="C620" s="506" t="n">
        <x:v>46085</x:v>
      </x:c>
      <x:c r="D620" s="340" t="n">
        <x:v>2023</x:v>
      </x:c>
      <x:c r="E620" s="340"/>
      <x:c r="F620" s="340" t="str">
        <x:v>17462/23/CBMP-HN</x:v>
      </x:c>
      <x:c r="G620" s="340"/>
      <x:c r="H620" s="340" t="str">
        <x:v>Nước tắm thảo mộc Nhất Anh</x:v>
      </x:c>
      <x:c r="I620" s="340"/>
      <x:c r="J620" s="340" t="str">
        <x:v>Sữa tắm/Gel tắm</x:v>
      </x:c>
      <x:c r="K620" s="340"/>
      <x:c r="L620" s="340" t="str">
        <x:v>Công ty cổ phần dược mỹ phẩm Nhất Anh</x:v>
      </x:c>
      <x:c r="M620" s="340"/>
      <x:c r="N620" s="340" t="str">
        <x:v>Công ty cổ phần Dược mỹ phẩm Butter-C</x:v>
      </x:c>
      <x:c r="O620" s="340" t="str">
        <x:v>Đã thu hồi số tiếp nhận</x:v>
      </x:c>
      <x:c r="P620" s="340" t="str">
        <x:v>A++ – QĐ 940/QĐ-SYT Hà Nội; mirror cơ quan nhà nước</x:v>
      </x:c>
      <x:c r="Q620" s="340" t="str">
        <x:v>Clean gate đủ: CBMP + tên sản phẩm + cơ sở công bố; thu hồi do Butter-C chấm dứt ủy quyền; PIF ngoài phạm vi.</x:v>
      </x:c>
      <x:c r="R620" s="340" t="str">
        <x:v>https://soyte.hatinh.gov.vn/upload/1000030/20260429/So_y_te_Ha_Noi_DSThuhoiSCBMPQI_2026_fd5c936f22.pdf</x:v>
      </x:c>
      <x:c r="S620" s="340" t="str">
        <x:v>Hà Nội</x:v>
      </x:c>
      <x:c r="T620" s="340" t="str">
        <x:v>01</x:v>
      </x:c>
    </x:row>
    <x:row r="621">
      <x:c r="A621" s="340" t="n">
        <x:v>620</x:v>
      </x:c>
      <x:c r="B621" s="340"/>
      <x:c r="C621" s="506" t="n">
        <x:v>46085</x:v>
      </x:c>
      <x:c r="D621" s="340" t="n">
        <x:v>2023</x:v>
      </x:c>
      <x:c r="E621" s="340"/>
      <x:c r="F621" s="340" t="str">
        <x:v>18524/23/CBMP-HN</x:v>
      </x:c>
      <x:c r="G621" s="340"/>
      <x:c r="H621" s="340" t="str">
        <x:v>Fusin Tranex</x:v>
      </x:c>
      <x:c r="I621" s="340"/>
      <x:c r="J621" s="340" t="str">
        <x:v>Khác</x:v>
      </x:c>
      <x:c r="K621" s="340"/>
      <x:c r="L621" s="340" t="str">
        <x:v>Công ty TNHH dược mỹ phẩm Fusin Cosmetic</x:v>
      </x:c>
      <x:c r="M621" s="340"/>
      <x:c r="N621" s="340" t="str">
        <x:v>Công ty cổ phần Dược mỹ phẩm Butter-C</x:v>
      </x:c>
      <x:c r="O621" s="340" t="str">
        <x:v>Đã thu hồi số tiếp nhận</x:v>
      </x:c>
      <x:c r="P621" s="340" t="str">
        <x:v>A++ – QĐ 940/QĐ-SYT Hà Nội; mirror cơ quan nhà nước</x:v>
      </x:c>
      <x:c r="Q621" s="340" t="str">
        <x:v>Clean gate đủ: CBMP + tên sản phẩm + cơ sở công bố; thu hồi do Butter-C chấm dứt ủy quyền; PIF ngoài phạm vi.</x:v>
      </x:c>
      <x:c r="R621" s="340" t="str">
        <x:v>https://soyte.hatinh.gov.vn/upload/1000030/20260429/So_y_te_Ha_Noi_DSThuhoiSCBMPQI_2026_fd5c936f22.pdf</x:v>
      </x:c>
      <x:c r="S621" s="340" t="str">
        <x:v>Hà Nội</x:v>
      </x:c>
      <x:c r="T621" s="340" t="str">
        <x:v>01</x:v>
      </x:c>
    </x:row>
    <x:row r="622">
      <x:c r="A622" s="340" t="n">
        <x:v>621</x:v>
      </x:c>
      <x:c r="B622" s="340"/>
      <x:c r="C622" s="506" t="n">
        <x:v>46085</x:v>
      </x:c>
      <x:c r="D622" s="340" t="n">
        <x:v>2024</x:v>
      </x:c>
      <x:c r="E622" s="340"/>
      <x:c r="F622" s="340" t="str">
        <x:v>18779/24/CBMP-HN</x:v>
      </x:c>
      <x:c r="G622" s="340"/>
      <x:c r="H622" s="340" t="str">
        <x:v>Cosmi</x:v>
      </x:c>
      <x:c r="I622" s="340" t="str">
        <x:v>Cosmi</x:v>
      </x:c>
      <x:c r="J622" s="340" t="str">
        <x:v>Khác</x:v>
      </x:c>
      <x:c r="K622" s="340"/>
      <x:c r="L622" s="340" t="str">
        <x:v>Công ty cổ phần Dược mỹ phẩm quốc tế Cosmi</x:v>
      </x:c>
      <x:c r="M622" s="340"/>
      <x:c r="N622" s="340" t="str">
        <x:v>Công ty cổ phần Dược mỹ phẩm Butter-C</x:v>
      </x:c>
      <x:c r="O622" s="340" t="str">
        <x:v>Đã thu hồi số tiếp nhận</x:v>
      </x:c>
      <x:c r="P622" s="340" t="str">
        <x:v>A++ – QĐ 940/QĐ-SYT Hà Nội; mirror cơ quan nhà nước</x:v>
      </x:c>
      <x:c r="Q622" s="340" t="str">
        <x:v>Clean gate đủ: CBMP + tên sản phẩm + cơ sở công bố; thu hồi do Butter-C chấm dứt ủy quyền; PIF ngoài phạm vi.</x:v>
      </x:c>
      <x:c r="R622" s="340" t="str">
        <x:v>https://soyte.hatinh.gov.vn/upload/1000030/20260429/So_y_te_Ha_Noi_DSThuhoiSCBMPQI_2026_fd5c936f22.pdf</x:v>
      </x:c>
      <x:c r="S622" s="340" t="str">
        <x:v>Hà Nội</x:v>
      </x:c>
      <x:c r="T622" s="340" t="str">
        <x:v>01</x:v>
      </x:c>
    </x:row>
    <x:row r="623">
      <x:c r="A623" s="340" t="n">
        <x:v>622</x:v>
      </x:c>
      <x:c r="B623" s="340"/>
      <x:c r="C623" s="506" t="n">
        <x:v>46085</x:v>
      </x:c>
      <x:c r="D623" s="340" t="n">
        <x:v>2024</x:v>
      </x:c>
      <x:c r="E623" s="340"/>
      <x:c r="F623" s="340" t="str">
        <x:v>19018/24/CBMP-HN</x:v>
      </x:c>
      <x:c r="G623" s="340"/>
      <x:c r="H623" s="340" t="str">
        <x:v>Tắm gội thảo dược Tinokids</x:v>
      </x:c>
      <x:c r="I623" s="340"/>
      <x:c r="J623" s="340" t="str">
        <x:v>Sữa tắm/Gel tắm</x:v>
      </x:c>
      <x:c r="K623" s="340"/>
      <x:c r="L623" s="340" t="str">
        <x:v>Công ty TNHH thương mại Dược phẩm Thpharma</x:v>
      </x:c>
      <x:c r="M623" s="340"/>
      <x:c r="N623" s="340" t="str">
        <x:v>Công ty cổ phần Dược mỹ phẩm Butter-C</x:v>
      </x:c>
      <x:c r="O623" s="340" t="str">
        <x:v>Đã thu hồi số tiếp nhận</x:v>
      </x:c>
      <x:c r="P623" s="340" t="str">
        <x:v>A++ – QĐ 940/QĐ-SYT Hà Nội; mirror cơ quan nhà nước</x:v>
      </x:c>
      <x:c r="Q623" s="340" t="str">
        <x:v>Clean gate đủ: CBMP + tên sản phẩm + cơ sở công bố; thu hồi do Butter-C chấm dứt ủy quyền; PIF ngoài phạm vi.</x:v>
      </x:c>
      <x:c r="R623" s="340" t="str">
        <x:v>https://soyte.hatinh.gov.vn/upload/1000030/20260429/So_y_te_Ha_Noi_DSThuhoiSCBMPQI_2026_fd5c936f22.pdf</x:v>
      </x:c>
      <x:c r="S623" s="340" t="str">
        <x:v>Hà Nội</x:v>
      </x:c>
      <x:c r="T623" s="340" t="str">
        <x:v>01</x:v>
      </x:c>
    </x:row>
    <x:row r="624">
      <x:c r="A624" s="340" t="n">
        <x:v>623</x:v>
      </x:c>
      <x:c r="B624" s="340"/>
      <x:c r="C624" s="506" t="n">
        <x:v>46085</x:v>
      </x:c>
      <x:c r="D624" s="340" t="n">
        <x:v>2024</x:v>
      </x:c>
      <x:c r="E624" s="340"/>
      <x:c r="F624" s="340" t="str">
        <x:v>19019/24/CBMP-HN</x:v>
      </x:c>
      <x:c r="G624" s="340"/>
      <x:c r="H624" s="340" t="str">
        <x:v>Melody</x:v>
      </x:c>
      <x:c r="I624" s="340"/>
      <x:c r="J624" s="340" t="str">
        <x:v>Khác</x:v>
      </x:c>
      <x:c r="K624" s="340"/>
      <x:c r="L624" s="340" t="str">
        <x:v>Công ty TNHH thương mại Dược phẩm Thpharma</x:v>
      </x:c>
      <x:c r="M624" s="340"/>
      <x:c r="N624" s="340" t="str">
        <x:v>Công ty cổ phần Dược mỹ phẩm Butter-C</x:v>
      </x:c>
      <x:c r="O624" s="340" t="str">
        <x:v>Đã thu hồi số tiếp nhận</x:v>
      </x:c>
      <x:c r="P624" s="340" t="str">
        <x:v>A++ – QĐ 940/QĐ-SYT Hà Nội; mirror cơ quan nhà nước</x:v>
      </x:c>
      <x:c r="Q624" s="340" t="str">
        <x:v>Clean gate đủ: CBMP + tên sản phẩm + cơ sở công bố; thu hồi do Butter-C chấm dứt ủy quyền; PIF ngoài phạm vi.</x:v>
      </x:c>
      <x:c r="R624" s="340" t="str">
        <x:v>https://soyte.hatinh.gov.vn/upload/1000030/20260429/So_y_te_Ha_Noi_DSThuhoiSCBMPQI_2026_fd5c936f22.pdf</x:v>
      </x:c>
      <x:c r="S624" s="340" t="str">
        <x:v>Hà Nội</x:v>
      </x:c>
      <x:c r="T624" s="340" t="str">
        <x:v>01</x:v>
      </x:c>
    </x:row>
    <x:row r="625">
      <x:c r="A625" s="340" t="n">
        <x:v>624</x:v>
      </x:c>
      <x:c r="B625" s="340"/>
      <x:c r="C625" s="506" t="n">
        <x:v>46085</x:v>
      </x:c>
      <x:c r="D625" s="340" t="n">
        <x:v>2024</x:v>
      </x:c>
      <x:c r="E625" s="340"/>
      <x:c r="F625" s="340" t="str">
        <x:v>19163/24/CBMP-HN</x:v>
      </x:c>
      <x:c r="G625" s="340"/>
      <x:c r="H625" s="340" t="str">
        <x:v>Tắm tạo bọt Tinokids</x:v>
      </x:c>
      <x:c r="I625" s="340"/>
      <x:c r="J625" s="340" t="str">
        <x:v>Sữa tắm/Gel tắm</x:v>
      </x:c>
      <x:c r="K625" s="340"/>
      <x:c r="L625" s="340" t="str">
        <x:v>Công ty TNHH thương mại Dược phẩm Thpharma</x:v>
      </x:c>
      <x:c r="M625" s="340"/>
      <x:c r="N625" s="340" t="str">
        <x:v>Công ty cổ phần Dược mỹ phẩm Butter-C</x:v>
      </x:c>
      <x:c r="O625" s="340" t="str">
        <x:v>Đã thu hồi số tiếp nhận</x:v>
      </x:c>
      <x:c r="P625" s="340" t="str">
        <x:v>A++ – QĐ 940/QĐ-SYT Hà Nội; mirror cơ quan nhà nước</x:v>
      </x:c>
      <x:c r="Q625" s="340" t="str">
        <x:v>Clean gate đủ: CBMP + tên sản phẩm + cơ sở công bố; thu hồi do Butter-C chấm dứt ủy quyền; PIF ngoài phạm vi.</x:v>
      </x:c>
      <x:c r="R625" s="340" t="str">
        <x:v>https://soyte.hatinh.gov.vn/upload/1000030/20260429/So_y_te_Ha_Noi_DSThuhoiSCBMPQI_2026_fd5c936f22.pdf</x:v>
      </x:c>
      <x:c r="S625" s="340" t="str">
        <x:v>Hà Nội</x:v>
      </x:c>
      <x:c r="T625" s="340" t="str">
        <x:v>01</x:v>
      </x:c>
    </x:row>
    <x:row r="626">
      <x:c r="A626" s="340" t="n">
        <x:v>625</x:v>
      </x:c>
      <x:c r="B626" s="340"/>
      <x:c r="C626" s="506" t="n">
        <x:v>46085</x:v>
      </x:c>
      <x:c r="D626" s="340" t="n">
        <x:v>2024</x:v>
      </x:c>
      <x:c r="E626" s="340"/>
      <x:c r="F626" s="340" t="str">
        <x:v>19251/24/CBMP-HN</x:v>
      </x:c>
      <x:c r="G626" s="340"/>
      <x:c r="H626" s="340" t="str">
        <x:v>Nano Gold Sunscreen Plus</x:v>
      </x:c>
      <x:c r="I626" s="340" t="str">
        <x:v>Hpglamour</x:v>
      </x:c>
      <x:c r="J626" s="340" t="str">
        <x:v>Kem chống nắng</x:v>
      </x:c>
      <x:c r="K626" s="340"/>
      <x:c r="L626" s="340" t="str">
        <x:v>Công ty cổ phần mỹ phẩm Hoàng Phát</x:v>
      </x:c>
      <x:c r="M626" s="340"/>
      <x:c r="N626" s="340" t="str">
        <x:v>Công ty cổ phần Dược mỹ phẩm Butter-C</x:v>
      </x:c>
      <x:c r="O626" s="340" t="str">
        <x:v>Đã thu hồi số tiếp nhận</x:v>
      </x:c>
      <x:c r="P626" s="340" t="str">
        <x:v>A++ – QĐ 940/QĐ-SYT Hà Nội; mirror cơ quan nhà nước</x:v>
      </x:c>
      <x:c r="Q626" s="340" t="str">
        <x:v>Clean gate đủ: CBMP + tên sản phẩm + cơ sở công bố; thu hồi do Butter-C chấm dứt ủy quyền; PIF ngoài phạm vi.</x:v>
      </x:c>
      <x:c r="R626" s="340" t="str">
        <x:v>https://soyte.hatinh.gov.vn/upload/1000030/20260429/So_y_te_Ha_Noi_DSThuhoiSCBMPQI_2026_fd5c936f22.pdf</x:v>
      </x:c>
      <x:c r="S626" s="340" t="str">
        <x:v>Hà Nội</x:v>
      </x:c>
      <x:c r="T626" s="340" t="str">
        <x:v>01</x:v>
      </x:c>
    </x:row>
    <x:row r="627">
      <x:c r="A627" s="340" t="n">
        <x:v>626</x:v>
      </x:c>
      <x:c r="B627" s="340"/>
      <x:c r="C627" s="506" t="n">
        <x:v>46085</x:v>
      </x:c>
      <x:c r="D627" s="340" t="n">
        <x:v>2024</x:v>
      </x:c>
      <x:c r="E627" s="340"/>
      <x:c r="F627" s="340" t="str">
        <x:v>19285/24/CBMP-HN</x:v>
      </x:c>
      <x:c r="G627" s="340"/>
      <x:c r="H627" s="340" t="str">
        <x:v>Agarwood Plus</x:v>
      </x:c>
      <x:c r="I627" s="340"/>
      <x:c r="J627" s="340" t="str">
        <x:v>Khác</x:v>
      </x:c>
      <x:c r="K627" s="340"/>
      <x:c r="L627" s="340" t="str">
        <x:v>Công ty Cổ phần dược phẩm Pharmacist</x:v>
      </x:c>
      <x:c r="M627" s="340"/>
      <x:c r="N627" s="340" t="str">
        <x:v>Công ty cổ phần Dược mỹ phẩm Butter-C</x:v>
      </x:c>
      <x:c r="O627" s="340" t="str">
        <x:v>Đã thu hồi số tiếp nhận</x:v>
      </x:c>
      <x:c r="P627" s="340" t="str">
        <x:v>A++ – QĐ 940/QĐ-SYT Hà Nội; mirror cơ quan nhà nước</x:v>
      </x:c>
      <x:c r="Q627" s="340" t="str">
        <x:v>Clean gate đủ: CBMP + tên sản phẩm + cơ sở công bố; thu hồi do Butter-C chấm dứt ủy quyền; PIF ngoài phạm vi.</x:v>
      </x:c>
      <x:c r="R627" s="340" t="str">
        <x:v>https://soyte.hatinh.gov.vn/upload/1000030/20260429/So_y_te_Ha_Noi_DSThuhoiSCBMPQI_2026_fd5c936f22.pdf</x:v>
      </x:c>
      <x:c r="S627" s="340" t="str">
        <x:v>Hà Nội</x:v>
      </x:c>
      <x:c r="T627" s="340" t="str">
        <x:v>01</x:v>
      </x:c>
    </x:row>
    <x:row r="628">
      <x:c r="A628" s="340" t="n">
        <x:v>627</x:v>
      </x:c>
      <x:c r="B628" s="340"/>
      <x:c r="C628" s="506" t="n">
        <x:v>46085</x:v>
      </x:c>
      <x:c r="D628" s="340" t="n">
        <x:v>2024</x:v>
      </x:c>
      <x:c r="E628" s="340"/>
      <x:c r="F628" s="340" t="str">
        <x:v>19286/24/CBMP-HN</x:v>
      </x:c>
      <x:c r="G628" s="340"/>
      <x:c r="H628" s="340" t="str">
        <x:v>Lady One</x:v>
      </x:c>
      <x:c r="I628" s="340"/>
      <x:c r="J628" s="340" t="str">
        <x:v>Khác</x:v>
      </x:c>
      <x:c r="K628" s="340"/>
      <x:c r="L628" s="340" t="str">
        <x:v>Công ty Cổ phần dược phẩm Pharmacist</x:v>
      </x:c>
      <x:c r="M628" s="340"/>
      <x:c r="N628" s="340" t="str">
        <x:v>Công ty cổ phần Dược mỹ phẩm Butter-C</x:v>
      </x:c>
      <x:c r="O628" s="340" t="str">
        <x:v>Đã thu hồi số tiếp nhận</x:v>
      </x:c>
      <x:c r="P628" s="340" t="str">
        <x:v>A++ – QĐ 940/QĐ-SYT Hà Nội; mirror cơ quan nhà nước</x:v>
      </x:c>
      <x:c r="Q628" s="340" t="str">
        <x:v>Clean gate đủ: CBMP + tên sản phẩm + cơ sở công bố; thu hồi do Butter-C chấm dứt ủy quyền; PIF ngoài phạm vi.</x:v>
      </x:c>
      <x:c r="R628" s="340" t="str">
        <x:v>https://soyte.hatinh.gov.vn/upload/1000030/20260429/So_y_te_Ha_Noi_DSThuhoiSCBMPQI_2026_fd5c936f22.pdf</x:v>
      </x:c>
      <x:c r="S628" s="340" t="str">
        <x:v>Hà Nội</x:v>
      </x:c>
      <x:c r="T628" s="340" t="str">
        <x:v>01</x:v>
      </x:c>
    </x:row>
    <x:row r="629">
      <x:c r="A629" s="340" t="n">
        <x:v>628</x:v>
      </x:c>
      <x:c r="B629" s="340"/>
      <x:c r="C629" s="506" t="n">
        <x:v>46085</x:v>
      </x:c>
      <x:c r="D629" s="340" t="n">
        <x:v>2024</x:v>
      </x:c>
      <x:c r="E629" s="340"/>
      <x:c r="F629" s="340" t="str">
        <x:v>19348/24/CBMP-HN</x:v>
      </x:c>
      <x:c r="G629" s="340"/>
      <x:c r="H629" s="340" t="str">
        <x:v>Babypenthen</x:v>
      </x:c>
      <x:c r="I629" s="340"/>
      <x:c r="J629" s="340" t="str">
        <x:v>Khác</x:v>
      </x:c>
      <x:c r="K629" s="340"/>
      <x:c r="L629" s="340" t="str">
        <x:v>Công ty cổ phần Dược mỹ phẩm Nhất Anh</x:v>
      </x:c>
      <x:c r="M629" s="340"/>
      <x:c r="N629" s="340" t="str">
        <x:v>Công ty cổ phần Dược mỹ phẩm Butter-C</x:v>
      </x:c>
      <x:c r="O629" s="340" t="str">
        <x:v>Đã thu hồi số tiếp nhận</x:v>
      </x:c>
      <x:c r="P629" s="340" t="str">
        <x:v>A++ – QĐ 940/QĐ-SYT Hà Nội; mirror cơ quan nhà nước</x:v>
      </x:c>
      <x:c r="Q629" s="340" t="str">
        <x:v>Clean gate đủ: CBMP + tên sản phẩm + cơ sở công bố; thu hồi do Butter-C chấm dứt ủy quyền; PIF ngoài phạm vi.</x:v>
      </x:c>
      <x:c r="R629" s="340" t="str">
        <x:v>https://soyte.hatinh.gov.vn/upload/1000030/20260429/So_y_te_Ha_Noi_DSThuhoiSCBMPQI_2026_fd5c936f22.pdf</x:v>
      </x:c>
      <x:c r="S629" s="340" t="str">
        <x:v>Hà Nội</x:v>
      </x:c>
      <x:c r="T629" s="340" t="str">
        <x:v>01</x:v>
      </x:c>
    </x:row>
    <x:row r="630">
      <x:c r="A630" s="340" t="n">
        <x:v>629</x:v>
      </x:c>
      <x:c r="B630" s="340"/>
      <x:c r="C630" s="506" t="n">
        <x:v>46085</x:v>
      </x:c>
      <x:c r="D630" s="340" t="n">
        <x:v>2024</x:v>
      </x:c>
      <x:c r="E630" s="340"/>
      <x:c r="F630" s="340" t="str">
        <x:v>19453/24/CBMP-HN</x:v>
      </x:c>
      <x:c r="G630" s="340"/>
      <x:c r="H630" s="340" t="str">
        <x:v>Dung dịch vệ sinh Agarwood Plus</x:v>
      </x:c>
      <x:c r="I630" s="340"/>
      <x:c r="J630" s="340" t="str">
        <x:v>Dung dịch vệ sinh</x:v>
      </x:c>
      <x:c r="K630" s="340"/>
      <x:c r="L630" s="340" t="str">
        <x:v>Công ty Cổ phần dược phẩm Pharmacist</x:v>
      </x:c>
      <x:c r="M630" s="340"/>
      <x:c r="N630" s="340" t="str">
        <x:v>Công ty cổ phần Dược mỹ phẩm Butter-C</x:v>
      </x:c>
      <x:c r="O630" s="340" t="str">
        <x:v>Đã thu hồi số tiếp nhận</x:v>
      </x:c>
      <x:c r="P630" s="340" t="str">
        <x:v>A++ – QĐ 940/QĐ-SYT Hà Nội; mirror cơ quan nhà nước</x:v>
      </x:c>
      <x:c r="Q630" s="340" t="str">
        <x:v>Clean gate đủ: CBMP + tên sản phẩm + cơ sở công bố; thu hồi do Butter-C chấm dứt ủy quyền; PIF ngoài phạm vi.</x:v>
      </x:c>
      <x:c r="R630" s="340" t="str">
        <x:v>https://soyte.hatinh.gov.vn/upload/1000030/20260429/So_y_te_Ha_Noi_DSThuhoiSCBMPQI_2026_fd5c936f22.pdf</x:v>
      </x:c>
      <x:c r="S630" s="340" t="str">
        <x:v>Hà Nội</x:v>
      </x:c>
      <x:c r="T630" s="340" t="str">
        <x:v>01</x:v>
      </x:c>
    </x:row>
    <x:row r="631">
      <x:c r="A631" t="n">
        <x:v>630</x:v>
      </x:c>
      <x:c r="B631"/>
      <x:c r="C631" s="330" t="n">
        <x:v>46155</x:v>
      </x:c>
      <x:c r="D631" t="n">
        <x:v>2024</x:v>
      </x:c>
      <x:c r="E631"/>
      <x:c r="F631" t="str">
        <x:v>22633/24/CBMP-HN</x:v>
      </x:c>
      <x:c r="G631"/>
      <x:c r="H631" t="str">
        <x:v>Dưỡng môi Collagen</x:v>
      </x:c>
      <x:c r="I631"/>
      <x:c r="J631" t="str">
        <x:v>Sản phẩm môi</x:v>
      </x:c>
      <x:c r="K631"/>
      <x:c r="L631" t="str">
        <x:v>Công ty TNHH Dược mỹ phẩm Quốc tế Hồng Nguyên</x:v>
      </x:c>
      <x:c r="M631"/>
      <x:c r="N631" t="str">
        <x:v>Công ty cổ phần dược mỹ phẩm A.Q.P Việt Nam</x:v>
      </x:c>
      <x:c r="O631" t="str">
        <x:v>Đã thu hồi/đình chỉ lưu hành</x:v>
      </x:c>
      <x:c r="P631" t="str">
        <x:v>A++ – nguồn nhà nước; clean gate đủ</x:v>
      </x:c>
      <x:c r="Q631" t="str">
        <x:v>QĐ4503/CV1764; STT nguồn 153; PIF ngoài phạm vi.</x:v>
      </x:c>
      <x:c r="R631" t="str">
        <x:v>https://syt.angiang.gov.vn/Lists/TinTuc/Attachments/8904/14-5-2026-%20%C4%91%C3%ACnh%20ch%E1%BB%89%20l%C6%B0u%20h%C3%A0nh%2C%20thu%20h%E1%BB%93i%20v%C3%A0%20ti%C3%AAu%20h%E1%BB%A7y%20m%E1%BB%B9%20ph%E1%BA%A9m%20vi%20ph%E1%BA%A1m%20CV%201764%20Cuc%20QLD.pdf</x:v>
      </x:c>
      <x:c r="S631" t="str">
        <x:v>Hà Nội</x:v>
      </x:c>
      <x:c r="T631" t="str">
        <x:v>01</x:v>
      </x:c>
    </x:row>
    <x:row r="632">
      <x:c r="A632" t="n">
        <x:v>631</x:v>
      </x:c>
      <x:c r="B632"/>
      <x:c r="C632" s="330" t="n">
        <x:v>46155</x:v>
      </x:c>
      <x:c r="D632" t="n">
        <x:v>2024</x:v>
      </x:c>
      <x:c r="E632"/>
      <x:c r="F632" t="str">
        <x:v>18891/24/CBMP-HN</x:v>
      </x:c>
      <x:c r="G632"/>
      <x:c r="H632" t="str">
        <x:v>Sun Cream</x:v>
      </x:c>
      <x:c r="I632"/>
      <x:c r="J632" t="str">
        <x:v>Kem chống nắng</x:v>
      </x:c>
      <x:c r="K632"/>
      <x:c r="L632" t="str">
        <x:v>Công ty TNHH Thương mại Mỹ phẩm Ngọc Linh</x:v>
      </x:c>
      <x:c r="M632"/>
      <x:c r="N632" t="str">
        <x:v>Công ty cổ phần dược mỹ phẩm A.Q.P Việt Nam</x:v>
      </x:c>
      <x:c r="O632" t="str">
        <x:v>Đã thu hồi/đình chỉ lưu hành</x:v>
      </x:c>
      <x:c r="P632" t="str">
        <x:v>A++ – nguồn nhà nước; clean gate đủ</x:v>
      </x:c>
      <x:c r="Q632" t="str">
        <x:v>QĐ4503/CV1764; STT nguồn 154; PIF ngoài phạm vi.</x:v>
      </x:c>
      <x:c r="R632" t="str">
        <x:v>https://syt.angiang.gov.vn/Lists/TinTuc/Attachments/8904/14-5-2026-%20%C4%91%C3%ACnh%20ch%E1%BB%89%20l%C6%B0u%20h%C3%A0nh%2C%20thu%20h%E1%BB%93i%20v%C3%A0%20ti%C3%AAu%20h%E1%BB%A7y%20m%E1%BB%B9%20ph%E1%BA%A9m%20vi%20ph%E1%BA%A1m%20CV%201764%20Cuc%20QLD.pdf</x:v>
      </x:c>
      <x:c r="S632" t="str">
        <x:v>Hà Nội</x:v>
      </x:c>
      <x:c r="T632" t="str">
        <x:v>01</x:v>
      </x:c>
    </x:row>
    <x:row r="633">
      <x:c r="A633" t="n">
        <x:v>632</x:v>
      </x:c>
      <x:c r="B633"/>
      <x:c r="C633" s="330" t="n">
        <x:v>46155</x:v>
      </x:c>
      <x:c r="D633" t="n">
        <x:v>2024</x:v>
      </x:c>
      <x:c r="E633"/>
      <x:c r="F633" t="str">
        <x:v>19425/24/CBMP-HN</x:v>
      </x:c>
      <x:c r="G633"/>
      <x:c r="H633" t="str">
        <x:v>Daily Sun Cream</x:v>
      </x:c>
      <x:c r="I633"/>
      <x:c r="J633" t="str">
        <x:v>Kem chống nắng</x:v>
      </x:c>
      <x:c r="K633"/>
      <x:c r="L633" t="str">
        <x:v>Công ty TNHH Dịch vụ và Thương mại Gia Linh Garden</x:v>
      </x:c>
      <x:c r="M633"/>
      <x:c r="N633" t="str">
        <x:v>Công ty cổ phần dược mỹ phẩm A.Q.P Việt Nam</x:v>
      </x:c>
      <x:c r="O633" t="str">
        <x:v>Đã thu hồi/đình chỉ lưu hành</x:v>
      </x:c>
      <x:c r="P633" t="str">
        <x:v>A++ – nguồn nhà nước; clean gate đủ</x:v>
      </x:c>
      <x:c r="Q633" t="str">
        <x:v>QĐ4503/CV1764; STT nguồn 155; PIF ngoài phạm vi.</x:v>
      </x:c>
      <x:c r="R633" t="str">
        <x:v>https://syt.angiang.gov.vn/Lists/TinTuc/Attachments/8904/14-5-2026-%20%C4%91%C3%ACnh%20ch%E1%BB%89%20l%C6%B0u%20h%C3%A0nh%2C%20thu%20h%E1%BB%93i%20v%C3%A0%20ti%C3%AAu%20h%E1%BB%A7y%20m%E1%BB%B9%20ph%E1%BA%A9m%20vi%20ph%E1%BA%A1m%20CV%201764%20Cuc%20QLD.pdf</x:v>
      </x:c>
      <x:c r="S633" t="str">
        <x:v>Hà Nội</x:v>
      </x:c>
      <x:c r="T633" t="str">
        <x:v>01</x:v>
      </x:c>
    </x:row>
    <x:row r="634">
      <x:c r="A634" t="n">
        <x:v>633</x:v>
      </x:c>
      <x:c r="B634"/>
      <x:c r="C634" s="330" t="n">
        <x:v>46155</x:v>
      </x:c>
      <x:c r="D634" t="n">
        <x:v>2024</x:v>
      </x:c>
      <x:c r="E634"/>
      <x:c r="F634" t="str">
        <x:v>19426/24/CBMP-HN</x:v>
      </x:c>
      <x:c r="G634"/>
      <x:c r="H634" t="str">
        <x:v>Bio Mist Therapy</x:v>
      </x:c>
      <x:c r="I634"/>
      <x:c r="J634" t="str">
        <x:v>Khác</x:v>
      </x:c>
      <x:c r="K634"/>
      <x:c r="L634" t="str">
        <x:v>Công ty TNHH Dịch vụ và Thương mại Gia Linh Garden</x:v>
      </x:c>
      <x:c r="M634"/>
      <x:c r="N634" t="str">
        <x:v>Công ty cổ phần dược mỹ phẩm A.Q.P Việt Nam</x:v>
      </x:c>
      <x:c r="O634" t="str">
        <x:v>Đã thu hồi/đình chỉ lưu hành</x:v>
      </x:c>
      <x:c r="P634" t="str">
        <x:v>A++ – nguồn nhà nước; clean gate đủ</x:v>
      </x:c>
      <x:c r="Q634" t="str">
        <x:v>QĐ4503/CV1764; STT nguồn 156; PIF ngoài phạm vi.</x:v>
      </x:c>
      <x:c r="R634" t="str">
        <x:v>https://syt.angiang.gov.vn/Lists/TinTuc/Attachments/8904/14-5-2026-%20%C4%91%C3%ACnh%20ch%E1%BB%89%20l%C6%B0u%20h%C3%A0nh%2C%20thu%20h%E1%BB%93i%20v%C3%A0%20ti%C3%AAu%20h%E1%BB%A7y%20m%E1%BB%B9%20ph%E1%BA%A9m%20vi%20ph%E1%BA%A1m%20CV%201764%20Cuc%20QLD.pdf</x:v>
      </x:c>
      <x:c r="S634" t="str">
        <x:v>Hà Nội</x:v>
      </x:c>
      <x:c r="T634" t="str">
        <x:v>01</x:v>
      </x:c>
    </x:row>
    <x:row r="635">
      <x:c r="A635" t="n">
        <x:v>634</x:v>
      </x:c>
      <x:c r="B635"/>
      <x:c r="C635" s="330" t="n">
        <x:v>46155</x:v>
      </x:c>
      <x:c r="D635" t="n">
        <x:v>2024</x:v>
      </x:c>
      <x:c r="E635"/>
      <x:c r="F635" t="str">
        <x:v>19501/24/CBMP-HN</x:v>
      </x:c>
      <x:c r="G635"/>
      <x:c r="H635" t="str">
        <x:v>Ultra Sun Cream</x:v>
      </x:c>
      <x:c r="I635"/>
      <x:c r="J635" t="str">
        <x:v>Kem chống nắng</x:v>
      </x:c>
      <x:c r="K635"/>
      <x:c r="L635" t="str">
        <x:v>Công ty TNHH Thương mại và dịch vụ Kenas</x:v>
      </x:c>
      <x:c r="M635"/>
      <x:c r="N635" t="str">
        <x:v>Công ty cổ phần dược mỹ phẩm A.Q.P Việt Nam</x:v>
      </x:c>
      <x:c r="O635" t="str">
        <x:v>Đã thu hồi/đình chỉ lưu hành</x:v>
      </x:c>
      <x:c r="P635" t="str">
        <x:v>A++ – nguồn nhà nước; clean gate đủ</x:v>
      </x:c>
      <x:c r="Q635" t="str">
        <x:v>QĐ4503/CV1764; STT nguồn 157; PIF ngoài phạm vi.</x:v>
      </x:c>
      <x:c r="R635" t="str">
        <x:v>https://syt.angiang.gov.vn/Lists/TinTuc/Attachments/8904/14-5-2026-%20%C4%91%C3%ACnh%20ch%E1%BB%89%20l%C6%B0u%20h%C3%A0nh%2C%20thu%20h%E1%BB%93i%20v%C3%A0%20ti%C3%AAu%20h%E1%BB%A7y%20m%E1%BB%B9%20ph%E1%BA%A9m%20vi%20ph%E1%BA%A1m%20CV%201764%20Cuc%20QLD.pdf</x:v>
      </x:c>
      <x:c r="S635" t="str">
        <x:v>Hà Nội</x:v>
      </x:c>
      <x:c r="T635" t="str">
        <x:v>01</x:v>
      </x:c>
    </x:row>
    <x:row r="636">
      <x:c r="A636" t="n">
        <x:v>635</x:v>
      </x:c>
      <x:c r="B636"/>
      <x:c r="C636" s="330" t="n">
        <x:v>46155</x:v>
      </x:c>
      <x:c r="D636" t="n">
        <x:v>2024</x:v>
      </x:c>
      <x:c r="E636"/>
      <x:c r="F636" t="str">
        <x:v>19564/24/CBMP-HN</x:v>
      </x:c>
      <x:c r="G636"/>
      <x:c r="H636" t="str">
        <x:v>Sunscreen</x:v>
      </x:c>
      <x:c r="I636"/>
      <x:c r="J636" t="str">
        <x:v>Kem chống nắng</x:v>
      </x:c>
      <x:c r="K636"/>
      <x:c r="L636" t="str">
        <x:v>Công ty TNHH Mỹ phẩm quốc tế Đông Phương Group</x:v>
      </x:c>
      <x:c r="M636"/>
      <x:c r="N636" t="str">
        <x:v>Công ty cổ phần dược mỹ phẩm A.Q.P Việt Nam</x:v>
      </x:c>
      <x:c r="O636" t="str">
        <x:v>Đã thu hồi/đình chỉ lưu hành</x:v>
      </x:c>
      <x:c r="P636" t="str">
        <x:v>A++ – nguồn nhà nước; clean gate đủ</x:v>
      </x:c>
      <x:c r="Q636" t="str">
        <x:v>QĐ4503/CV1764; STT nguồn 158; PIF ngoài phạm vi.</x:v>
      </x:c>
      <x:c r="R636" t="str">
        <x:v>https://syt.angiang.gov.vn/Lists/TinTuc/Attachments/8904/14-5-2026-%20%C4%91%C3%ACnh%20ch%E1%BB%89%20l%C6%B0u%20h%C3%A0nh%2C%20thu%20h%E1%BB%93i%20v%C3%A0%20ti%C3%AAu%20h%E1%BB%A7y%20m%E1%BB%B9%20ph%E1%BA%A9m%20vi%20ph%E1%BA%A1m%20CV%201764%20Cuc%20QLD.pdf</x:v>
      </x:c>
      <x:c r="S636" t="str">
        <x:v>Hà Nội</x:v>
      </x:c>
      <x:c r="T636" t="str">
        <x:v>01</x:v>
      </x:c>
    </x:row>
    <x:row r="637">
      <x:c r="A637" t="n">
        <x:v>636</x:v>
      </x:c>
      <x:c r="B637"/>
      <x:c r="C637" s="330" t="n">
        <x:v>46155</x:v>
      </x:c>
      <x:c r="D637" t="n">
        <x:v>2024</x:v>
      </x:c>
      <x:c r="E637"/>
      <x:c r="F637" t="str">
        <x:v>19565/24/CBMP-HN</x:v>
      </x:c>
      <x:c r="G637"/>
      <x:c r="H637" t="str">
        <x:v>Body Whitening Cream</x:v>
      </x:c>
      <x:c r="I637"/>
      <x:c r="J637" t="str">
        <x:v>Kem body</x:v>
      </x:c>
      <x:c r="K637"/>
      <x:c r="L637" t="str">
        <x:v>Công ty TNHH Mỹ phẩm quốc tế Đông Phương Group</x:v>
      </x:c>
      <x:c r="M637"/>
      <x:c r="N637" t="str">
        <x:v>Công ty cổ phần dược mỹ phẩm A.Q.P Việt Nam</x:v>
      </x:c>
      <x:c r="O637" t="str">
        <x:v>Đã thu hồi/đình chỉ lưu hành</x:v>
      </x:c>
      <x:c r="P637" t="str">
        <x:v>A++ – nguồn nhà nước; clean gate đủ</x:v>
      </x:c>
      <x:c r="Q637" t="str">
        <x:v>QĐ4503/CV1764; STT nguồn 159; PIF ngoài phạm vi.</x:v>
      </x:c>
      <x:c r="R637" t="str">
        <x:v>https://syt.angiang.gov.vn/Lists/TinTuc/Attachments/8904/14-5-2026-%20%C4%91%C3%ACnh%20ch%E1%BB%89%20l%C6%B0u%20h%C3%A0nh%2C%20thu%20h%E1%BB%93i%20v%C3%A0%20ti%C3%AAu%20h%E1%BB%A7y%20m%E1%BB%B9%20ph%E1%BA%A9m%20vi%20ph%E1%BA%A1m%20CV%201764%20Cuc%20QLD.pdf</x:v>
      </x:c>
      <x:c r="S637" t="str">
        <x:v>Hà Nội</x:v>
      </x:c>
      <x:c r="T637" t="str">
        <x:v>01</x:v>
      </x:c>
    </x:row>
    <x:row r="638">
      <x:c r="A638" t="n">
        <x:v>637</x:v>
      </x:c>
      <x:c r="B638"/>
      <x:c r="C638" s="330" t="n">
        <x:v>46155</x:v>
      </x:c>
      <x:c r="D638" t="n">
        <x:v>2024</x:v>
      </x:c>
      <x:c r="E638"/>
      <x:c r="F638" t="str">
        <x:v>19709/24/CBMP-HN</x:v>
      </x:c>
      <x:c r="G638"/>
      <x:c r="H638" t="str">
        <x:v>Melasma Night Cream</x:v>
      </x:c>
      <x:c r="I638"/>
      <x:c r="J638" t="str">
        <x:v>Khác</x:v>
      </x:c>
      <x:c r="K638"/>
      <x:c r="L638" t="str">
        <x:v>Công ty Cổ phần Tập đoàn Minta</x:v>
      </x:c>
      <x:c r="M638"/>
      <x:c r="N638" t="str">
        <x:v>Công ty cổ phần dược mỹ phẩm A.Q.P Việt Nam</x:v>
      </x:c>
      <x:c r="O638" t="str">
        <x:v>Đã thu hồi/đình chỉ lưu hành</x:v>
      </x:c>
      <x:c r="P638" t="str">
        <x:v>A++ – nguồn nhà nước; clean gate đủ</x:v>
      </x:c>
      <x:c r="Q638" t="str">
        <x:v>QĐ4503/CV1764; STT nguồn 160; PIF ngoài phạm vi.</x:v>
      </x:c>
      <x:c r="R638" t="str">
        <x:v>https://syt.angiang.gov.vn/Lists/TinTuc/Attachments/8904/14-5-2026-%20%C4%91%C3%ACnh%20ch%E1%BB%89%20l%C6%B0u%20h%C3%A0nh%2C%20thu%20h%E1%BB%93i%20v%C3%A0%20ti%C3%AAu%20h%E1%BB%A7y%20m%E1%BB%B9%20ph%E1%BA%A9m%20vi%20ph%E1%BA%A1m%20CV%201764%20Cuc%20QLD.pdf</x:v>
      </x:c>
      <x:c r="S638" t="str">
        <x:v>Hà Nội</x:v>
      </x:c>
      <x:c r="T638" t="str">
        <x:v>01</x:v>
      </x:c>
    </x:row>
    <x:row r="639">
      <x:c r="A639" t="n">
        <x:v>638</x:v>
      </x:c>
      <x:c r="B639"/>
      <x:c r="C639" s="330" t="n">
        <x:v>46155</x:v>
      </x:c>
      <x:c r="D639" t="n">
        <x:v>2024</x:v>
      </x:c>
      <x:c r="E639"/>
      <x:c r="F639" t="str">
        <x:v>19710/24/CBMP-HN</x:v>
      </x:c>
      <x:c r="G639"/>
      <x:c r="H639" t="str">
        <x:v>White Day Premium</x:v>
      </x:c>
      <x:c r="I639"/>
      <x:c r="J639" t="str">
        <x:v>Khác</x:v>
      </x:c>
      <x:c r="K639"/>
      <x:c r="L639" t="str">
        <x:v>Công ty Cổ phần Tập đoàn Minta</x:v>
      </x:c>
      <x:c r="M639"/>
      <x:c r="N639" t="str">
        <x:v>Công ty cổ phần dược mỹ phẩm A.Q.P Việt Nam</x:v>
      </x:c>
      <x:c r="O639" t="str">
        <x:v>Đã thu hồi/đình chỉ lưu hành</x:v>
      </x:c>
      <x:c r="P639" t="str">
        <x:v>A++ – nguồn nhà nước; clean gate đủ</x:v>
      </x:c>
      <x:c r="Q639" t="str">
        <x:v>QĐ4503/CV1764; STT nguồn 161; PIF ngoài phạm vi.</x:v>
      </x:c>
      <x:c r="R639" t="str">
        <x:v>https://syt.angiang.gov.vn/Lists/TinTuc/Attachments/8904/14-5-2026-%20%C4%91%C3%ACnh%20ch%E1%BB%89%20l%C6%B0u%20h%C3%A0nh%2C%20thu%20h%E1%BB%93i%20v%C3%A0%20ti%C3%AAu%20h%E1%BB%A7y%20m%E1%BB%B9%20ph%E1%BA%A9m%20vi%20ph%E1%BA%A1m%20CV%201764%20Cuc%20QLD.pdf</x:v>
      </x:c>
      <x:c r="S639" t="str">
        <x:v>Hà Nội</x:v>
      </x:c>
      <x:c r="T639" t="str">
        <x:v>01</x:v>
      </x:c>
    </x:row>
    <x:row r="640">
      <x:c r="A640" t="n">
        <x:v>639</x:v>
      </x:c>
      <x:c r="B640"/>
      <x:c r="C640" s="330" t="n">
        <x:v>46155</x:v>
      </x:c>
      <x:c r="D640" t="n">
        <x:v>2024</x:v>
      </x:c>
      <x:c r="E640"/>
      <x:c r="F640" t="str">
        <x:v>19711/24/CBMP-HN</x:v>
      </x:c>
      <x:c r="G640"/>
      <x:c r="H640" t="str">
        <x:v>Sunsmart</x:v>
      </x:c>
      <x:c r="I640"/>
      <x:c r="J640" t="str">
        <x:v>Khác</x:v>
      </x:c>
      <x:c r="K640"/>
      <x:c r="L640" t="str">
        <x:v>Công ty Cổ phần Tập đoàn Minta</x:v>
      </x:c>
      <x:c r="M640"/>
      <x:c r="N640" t="str">
        <x:v>Công ty cổ phần dược mỹ phẩm A.Q.P Việt Nam</x:v>
      </x:c>
      <x:c r="O640" t="str">
        <x:v>Đã thu hồi/đình chỉ lưu hành</x:v>
      </x:c>
      <x:c r="P640" t="str">
        <x:v>A++ – nguồn nhà nước; clean gate đủ</x:v>
      </x:c>
      <x:c r="Q640" t="str">
        <x:v>QĐ4503/CV1764; STT nguồn 162; PIF ngoài phạm vi.</x:v>
      </x:c>
      <x:c r="R640" t="str">
        <x:v>https://syt.angiang.gov.vn/Lists/TinTuc/Attachments/8904/14-5-2026-%20%C4%91%C3%ACnh%20ch%E1%BB%89%20l%C6%B0u%20h%C3%A0nh%2C%20thu%20h%E1%BB%93i%20v%C3%A0%20ti%C3%AAu%20h%E1%BB%A7y%20m%E1%BB%B9%20ph%E1%BA%A9m%20vi%20ph%E1%BA%A1m%20CV%201764%20Cuc%20QLD.pdf</x:v>
      </x:c>
      <x:c r="S640" t="str">
        <x:v>Hà Nội</x:v>
      </x:c>
      <x:c r="T640" t="str">
        <x:v>01</x:v>
      </x:c>
    </x:row>
    <x:row r="641">
      <x:c r="A641" t="n">
        <x:v>640</x:v>
      </x:c>
      <x:c r="B641"/>
      <x:c r="C641" s="330" t="n">
        <x:v>46155</x:v>
      </x:c>
      <x:c r="D641" t="n">
        <x:v>2024</x:v>
      </x:c>
      <x:c r="E641"/>
      <x:c r="F641" t="str">
        <x:v>19712/24/CBMP-HN</x:v>
      </x:c>
      <x:c r="G641"/>
      <x:c r="H641" t="str">
        <x:v>Sữa rửa mặt Wash Face</x:v>
      </x:c>
      <x:c r="I641"/>
      <x:c r="J641" t="str">
        <x:v>Sữa rửa mặt</x:v>
      </x:c>
      <x:c r="K641"/>
      <x:c r="L641" t="str">
        <x:v>Công ty Cổ phần Tập đoàn Minta</x:v>
      </x:c>
      <x:c r="M641"/>
      <x:c r="N641" t="str">
        <x:v>Công ty cổ phần dược mỹ phẩm A.Q.P Việt Nam</x:v>
      </x:c>
      <x:c r="O641" t="str">
        <x:v>Đã thu hồi/đình chỉ lưu hành</x:v>
      </x:c>
      <x:c r="P641" t="str">
        <x:v>A++ – nguồn nhà nước; clean gate đủ</x:v>
      </x:c>
      <x:c r="Q641" t="str">
        <x:v>QĐ4503/CV1764; STT nguồn 163; PIF ngoài phạm vi.</x:v>
      </x:c>
      <x:c r="R641" t="str">
        <x:v>https://syt.angiang.gov.vn/Lists/TinTuc/Attachments/8904/14-5-2026-%20%C4%91%C3%ACnh%20ch%E1%BB%89%20l%C6%B0u%20h%C3%A0nh%2C%20thu%20h%E1%BB%93i%20v%C3%A0%20ti%C3%AAu%20h%E1%BB%A7y%20m%E1%BB%B9%20ph%E1%BA%A9m%20vi%20ph%E1%BA%A1m%20CV%201764%20Cuc%20QLD.pdf</x:v>
      </x:c>
      <x:c r="S641" t="str">
        <x:v>Hà Nội</x:v>
      </x:c>
      <x:c r="T641" t="str">
        <x:v>01</x:v>
      </x:c>
    </x:row>
    <x:row r="642">
      <x:c r="A642" t="n">
        <x:v>641</x:v>
      </x:c>
      <x:c r="B642"/>
      <x:c r="C642" s="330" t="n">
        <x:v>46155</x:v>
      </x:c>
      <x:c r="D642" t="n">
        <x:v>2024</x:v>
      </x:c>
      <x:c r="E642"/>
      <x:c r="F642" t="str">
        <x:v>19713/24/CBMP-HN</x:v>
      </x:c>
      <x:c r="G642"/>
      <x:c r="H642" t="str">
        <x:v>Xịt khử mùi Minta</x:v>
      </x:c>
      <x:c r="I642"/>
      <x:c r="J642" t="str">
        <x:v>Khác</x:v>
      </x:c>
      <x:c r="K642"/>
      <x:c r="L642" t="str">
        <x:v>Công ty Cổ phần Tập đoàn Minta</x:v>
      </x:c>
      <x:c r="M642"/>
      <x:c r="N642" t="str">
        <x:v>Công ty cổ phần dược mỹ phẩm A.Q.P Việt Nam</x:v>
      </x:c>
      <x:c r="O642" t="str">
        <x:v>Đã thu hồi/đình chỉ lưu hành</x:v>
      </x:c>
      <x:c r="P642" t="str">
        <x:v>A++ – nguồn nhà nước; clean gate đủ</x:v>
      </x:c>
      <x:c r="Q642" t="str">
        <x:v>QĐ4503/CV1764; STT nguồn 164; PIF ngoài phạm vi.</x:v>
      </x:c>
      <x:c r="R642" t="str">
        <x:v>https://syt.angiang.gov.vn/Lists/TinTuc/Attachments/8904/14-5-2026-%20%C4%91%C3%ACnh%20ch%E1%BB%89%20l%C6%B0u%20h%C3%A0nh%2C%20thu%20h%E1%BB%93i%20v%C3%A0%20ti%C3%AAu%20h%E1%BB%A7y%20m%E1%BB%B9%20ph%E1%BA%A9m%20vi%20ph%E1%BA%A1m%20CV%201764%20Cuc%20QLD.pdf</x:v>
      </x:c>
      <x:c r="S642" t="str">
        <x:v>Hà Nội</x:v>
      </x:c>
      <x:c r="T642" t="str">
        <x:v>01</x:v>
      </x:c>
    </x:row>
    <x:row r="643">
      <x:c r="A643" t="n">
        <x:v>642</x:v>
      </x:c>
      <x:c r="B643"/>
      <x:c r="C643" s="330" t="n">
        <x:v>46155</x:v>
      </x:c>
      <x:c r="D643" t="n">
        <x:v>2024</x:v>
      </x:c>
      <x:c r="E643"/>
      <x:c r="F643" t="str">
        <x:v>20374/24/CBMP-HN</x:v>
      </x:c>
      <x:c r="G643"/>
      <x:c r="H643" t="str">
        <x:v>Gel mụn Vitamin</x:v>
      </x:c>
      <x:c r="I643"/>
      <x:c r="J643" t="str">
        <x:v>Khác</x:v>
      </x:c>
      <x:c r="K643"/>
      <x:c r="L643" t="str">
        <x:v>Công ty Cổ phần Tập đoàn Minta</x:v>
      </x:c>
      <x:c r="M643"/>
      <x:c r="N643" t="str">
        <x:v>Công ty cổ phần dược mỹ phẩm A.Q.P Việt Nam</x:v>
      </x:c>
      <x:c r="O643" t="str">
        <x:v>Đã thu hồi/đình chỉ lưu hành</x:v>
      </x:c>
      <x:c r="P643" t="str">
        <x:v>A++ – nguồn nhà nước; clean gate đủ</x:v>
      </x:c>
      <x:c r="Q643" t="str">
        <x:v>QĐ4503/CV1764; STT nguồn 165; PIF ngoài phạm vi.</x:v>
      </x:c>
      <x:c r="R643" t="str">
        <x:v>https://syt.angiang.gov.vn/Lists/TinTuc/Attachments/8904/14-5-2026-%20%C4%91%C3%ACnh%20ch%E1%BB%89%20l%C6%B0u%20h%C3%A0nh%2C%20thu%20h%E1%BB%93i%20v%C3%A0%20ti%C3%AAu%20h%E1%BB%A7y%20m%E1%BB%B9%20ph%E1%BA%A9m%20vi%20ph%E1%BA%A1m%20CV%201764%20Cuc%20QLD.pdf</x:v>
      </x:c>
      <x:c r="S643" t="str">
        <x:v>Hà Nội</x:v>
      </x:c>
      <x:c r="T643" t="str">
        <x:v>01</x:v>
      </x:c>
    </x:row>
    <x:row r="644">
      <x:c r="A644" t="n">
        <x:v>643</x:v>
      </x:c>
      <x:c r="B644"/>
      <x:c r="C644" s="330" t="n">
        <x:v>46155</x:v>
      </x:c>
      <x:c r="D644" t="n">
        <x:v>2025</x:v>
      </x:c>
      <x:c r="E644"/>
      <x:c r="F644" t="str">
        <x:v>26519/25/CBMP-HN</x:v>
      </x:c>
      <x:c r="G644"/>
      <x:c r="H644" t="str">
        <x:v>Xịt khử mùi Minta</x:v>
      </x:c>
      <x:c r="I644"/>
      <x:c r="J644" t="str">
        <x:v>Khác</x:v>
      </x:c>
      <x:c r="K644"/>
      <x:c r="L644" t="str">
        <x:v>Công ty Cổ phần Tập đoàn Minta</x:v>
      </x:c>
      <x:c r="M644"/>
      <x:c r="N644" t="str">
        <x:v>Công ty cổ phần dược mỹ phẩm A.Q.P Việt Nam</x:v>
      </x:c>
      <x:c r="O644" t="str">
        <x:v>Đã thu hồi/đình chỉ lưu hành</x:v>
      </x:c>
      <x:c r="P644" t="str">
        <x:v>A++ – nguồn nhà nước; clean gate đủ</x:v>
      </x:c>
      <x:c r="Q644" t="str">
        <x:v>QĐ4503/CV1764; STT nguồn 166; PIF ngoài phạm vi.</x:v>
      </x:c>
      <x:c r="R644" t="str">
        <x:v>https://syt.angiang.gov.vn/Lists/TinTuc/Attachments/8904/14-5-2026-%20%C4%91%C3%ACnh%20ch%E1%BB%89%20l%C6%B0u%20h%C3%A0nh%2C%20thu%20h%E1%BB%93i%20v%C3%A0%20ti%C3%AAu%20h%E1%BB%A7y%20m%E1%BB%B9%20ph%E1%BA%A9m%20vi%20ph%E1%BA%A1m%20CV%201764%20Cuc%20QLD.pdf</x:v>
      </x:c>
      <x:c r="S644" t="str">
        <x:v>Hà Nội</x:v>
      </x:c>
      <x:c r="T644" t="str">
        <x:v>01</x:v>
      </x:c>
    </x:row>
    <x:row r="645">
      <x:c r="A645" t="n">
        <x:v>644</x:v>
      </x:c>
      <x:c r="B645"/>
      <x:c r="C645" s="330" t="n">
        <x:v>46155</x:v>
      </x:c>
      <x:c r="D645" t="n">
        <x:v>2024</x:v>
      </x:c>
      <x:c r="E645"/>
      <x:c r="F645" t="str">
        <x:v>19856/24/CBMP-HN</x:v>
      </x:c>
      <x:c r="G645"/>
      <x:c r="H645" t="str">
        <x:v>White X9</x:v>
      </x:c>
      <x:c r="I645"/>
      <x:c r="J645" t="str">
        <x:v>Khác</x:v>
      </x:c>
      <x:c r="K645"/>
      <x:c r="L645" t="str">
        <x:v>Hộ kinh doanh Giáp Thị Hương</x:v>
      </x:c>
      <x:c r="M645"/>
      <x:c r="N645" t="str">
        <x:v>Công ty cổ phần dược mỹ phẩm A.Q.P Việt Nam</x:v>
      </x:c>
      <x:c r="O645" t="str">
        <x:v>Đã thu hồi/đình chỉ lưu hành</x:v>
      </x:c>
      <x:c r="P645" t="str">
        <x:v>A++ – nguồn nhà nước; clean gate đủ</x:v>
      </x:c>
      <x:c r="Q645" t="str">
        <x:v>QĐ4503/CV1764; STT nguồn 167; PIF ngoài phạm vi.</x:v>
      </x:c>
      <x:c r="R645" t="str">
        <x:v>https://syt.angiang.gov.vn/Lists/TinTuc/Attachments/8904/14-5-2026-%20%C4%91%C3%ACnh%20ch%E1%BB%89%20l%C6%B0u%20h%C3%A0nh%2C%20thu%20h%E1%BB%93i%20v%C3%A0%20ti%C3%AAu%20h%E1%BB%A7y%20m%E1%BB%B9%20ph%E1%BA%A9m%20vi%20ph%E1%BA%A1m%20CV%201764%20Cuc%20QLD.pdf</x:v>
      </x:c>
      <x:c r="S645" t="str">
        <x:v>Hà Nội</x:v>
      </x:c>
      <x:c r="T645" t="str">
        <x:v>01</x:v>
      </x:c>
    </x:row>
    <x:row r="646">
      <x:c r="A646" t="n">
        <x:v>645</x:v>
      </x:c>
      <x:c r="B646"/>
      <x:c r="C646" s="330" t="n">
        <x:v>46155</x:v>
      </x:c>
      <x:c r="D646" t="n">
        <x:v>2024</x:v>
      </x:c>
      <x:c r="E646"/>
      <x:c r="F646" t="str">
        <x:v>19920/24/CBMP-HN</x:v>
      </x:c>
      <x:c r="G646"/>
      <x:c r="H646" t="str">
        <x:v>Sun Cream</x:v>
      </x:c>
      <x:c r="I646"/>
      <x:c r="J646" t="str">
        <x:v>Kem chống nắng</x:v>
      </x:c>
      <x:c r="K646"/>
      <x:c r="L646" t="str">
        <x:v>Hộ kinh doanh Nguyễn Thị Hồng 1984</x:v>
      </x:c>
      <x:c r="M646"/>
      <x:c r="N646" t="str">
        <x:v>Công ty cổ phần dược mỹ phẩm A.Q.P Việt Nam</x:v>
      </x:c>
      <x:c r="O646" t="str">
        <x:v>Đã thu hồi/đình chỉ lưu hành</x:v>
      </x:c>
      <x:c r="P646" t="str">
        <x:v>A++ – nguồn nhà nước; clean gate đủ</x:v>
      </x:c>
      <x:c r="Q646" t="str">
        <x:v>QĐ4503/CV1764; STT nguồn 168; PIF ngoài phạm vi.</x:v>
      </x:c>
      <x:c r="R646" t="str">
        <x:v>https://syt.angiang.gov.vn/Lists/TinTuc/Attachments/8904/14-5-2026-%20%C4%91%C3%ACnh%20ch%E1%BB%89%20l%C6%B0u%20h%C3%A0nh%2C%20thu%20h%E1%BB%93i%20v%C3%A0%20ti%C3%AAu%20h%E1%BB%A7y%20m%E1%BB%B9%20ph%E1%BA%A9m%20vi%20ph%E1%BA%A1m%20CV%201764%20Cuc%20QLD.pdf</x:v>
      </x:c>
      <x:c r="S646" t="str">
        <x:v>Hà Nội</x:v>
      </x:c>
      <x:c r="T646" t="str">
        <x:v>01</x:v>
      </x:c>
    </x:row>
    <x:row r="647">
      <x:c r="A647" t="n">
        <x:v>646</x:v>
      </x:c>
      <x:c r="B647"/>
      <x:c r="C647" s="330" t="n">
        <x:v>46155</x:v>
      </x:c>
      <x:c r="D647" t="n">
        <x:v>2024</x:v>
      </x:c>
      <x:c r="E647"/>
      <x:c r="F647" t="str">
        <x:v>20018/24/CBMP-HN</x:v>
      </x:c>
      <x:c r="G647"/>
      <x:c r="H647" t="str">
        <x:v>Acne Serum</x:v>
      </x:c>
      <x:c r="I647"/>
      <x:c r="J647" t="str">
        <x:v>Serum/Essence da</x:v>
      </x:c>
      <x:c r="K647"/>
      <x:c r="L647" t="str">
        <x:v>Hộ kinh doanh Nguyễn Đình Thắng 1</x:v>
      </x:c>
      <x:c r="M647"/>
      <x:c r="N647" t="str">
        <x:v>Công ty cổ phần dược mỹ phẩm A.Q.P Việt Nam</x:v>
      </x:c>
      <x:c r="O647" t="str">
        <x:v>Đã thu hồi/đình chỉ lưu hành</x:v>
      </x:c>
      <x:c r="P647" t="str">
        <x:v>A++ – nguồn nhà nước; clean gate đủ</x:v>
      </x:c>
      <x:c r="Q647" t="str">
        <x:v>QĐ4503/CV1764; STT nguồn 169; PIF ngoài phạm vi.</x:v>
      </x:c>
      <x:c r="R647" t="str">
        <x:v>https://syt.angiang.gov.vn/Lists/TinTuc/Attachments/8904/14-5-2026-%20%C4%91%C3%ACnh%20ch%E1%BB%89%20l%C6%B0u%20h%C3%A0nh%2C%20thu%20h%E1%BB%93i%20v%C3%A0%20ti%C3%AAu%20h%E1%BB%A7y%20m%E1%BB%B9%20ph%E1%BA%A9m%20vi%20ph%E1%BA%A1m%20CV%201764%20Cuc%20QLD.pdf</x:v>
      </x:c>
      <x:c r="S647" t="str">
        <x:v>Hà Nội</x:v>
      </x:c>
      <x:c r="T647" t="str">
        <x:v>01</x:v>
      </x:c>
    </x:row>
  </x:sheetData>
  <x:pageMargins left="0.7" right="0.7" top="0.75" bottom="0.75" header="0.3" footer="0.3"/>
</x:worksheet>
</file>

<file path=xl/worksheets/sheet10.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row r="2">
      <x:c r="A2" t="n">
        <x:v>1</x:v>
      </x:c>
      <x:c r="B2" s="330"/>
      <x:c r="C2" s="330" t="n">
        <x:v>46198</x:v>
      </x:c>
      <x:c r="D2" t="n">
        <x:v>2024</x:v>
      </x:c>
      <x:c r="E2"/>
      <x:c r="F2" t="str">
        <x:v>01/24/CBMP-HD</x:v>
      </x:c>
      <x:c r="G2"/>
      <x:c r="H2" t="str">
        <x:v>DẦU GỘI THẢO MỘC SÂM SAVINA 2 IN 1 (FORMEN)</x:v>
      </x:c>
      <x:c r="I2" t="str">
        <x:v>SÂM VIỆT NAM</x:v>
      </x:c>
      <x:c r="J2" t="str">
        <x:v>Dầu gội</x:v>
      </x:c>
      <x:c r="K2" t="str">
        <x:v>Chăm sóc tóc (sản phẩm làm sạch)</x:v>
      </x:c>
      <x:c r="L2" t="str">
        <x:v>Công ty TNHH Sản xuất và Thương mại Sâm Việt Nam</x:v>
      </x:c>
      <x:c r="M2" t="str">
        <x:v>Thôn Đông Xã Tự Lạn; huyện Việt Yên; tỉnh Bắc Giang; Việt Nam</x:v>
      </x:c>
      <x:c r="N2"/>
      <x:c r="O2" t="str">
        <x:v>Chưa đối chiếu thu hồi</x:v>
      </x:c>
      <x:c r="P2" t="str">
        <x:v>Nguồn XLSX chính thức – Cổng dữ liệu mở TP Hải Phòng</x:v>
      </x:c>
      <x:c r="Q2" t="str">
        <x:v>Địa bàn nguồn: Hải Dương (lịch sử). Thuộc 28/409 dòng đầu đã đọc trực tiếp; chưa phải bộ dữ liệu đầy đủ.</x:v>
      </x:c>
      <x:c r="R2" t="str">
        <x:v>https://data.haiphong.gov.vn/dataset/07fa5c03-31ee-453f-9bba-f7acd2ffeb6a/resource/4621ee58-725a-481d-b29c-931e46f220c5/download/khocsdl_trichxuatdulieu_dulieusotiepnhanphieucongbosanphammypham_2026-06-25.xlsx</x:v>
      </x:c>
      <x:c r="S2" t="str">
        <x:v>Hải Phòng</x:v>
      </x:c>
      <x:c r="T2" t="str">
        <x:v>31</x:v>
      </x:c>
    </x:row>
    <x:row r="3">
      <x:c r="A3" t="n">
        <x:v>2</x:v>
      </x:c>
      <x:c r="B3" s="330"/>
      <x:c r="C3" s="330" t="n">
        <x:v>46198</x:v>
      </x:c>
      <x:c r="D3" t="n">
        <x:v>2024</x:v>
      </x:c>
      <x:c r="E3"/>
      <x:c r="F3" t="str">
        <x:v>02/24/CBMP-HD</x:v>
      </x:c>
      <x:c r="G3"/>
      <x:c r="H3" t="str">
        <x:v>DẦU GỘI THẢO MỘC SÂM SAVINA</x:v>
      </x:c>
      <x:c r="I3" t="str">
        <x:v>SÂM VIỆT NAM</x:v>
      </x:c>
      <x:c r="J3" t="str">
        <x:v>Dầu gội</x:v>
      </x:c>
      <x:c r="K3" t="str">
        <x:v>Chăm sóc tóc (sản phẩm làm sạch)</x:v>
      </x:c>
      <x:c r="L3" t="str">
        <x:v>Công ty TNHH Sản xuất và Thương mại Sâm Việt Nam</x:v>
      </x:c>
      <x:c r="M3" t="str">
        <x:v>Thôn Đông Xã Tự Lạn; huyện Việt Yên; tỉnh Bắc Giang; Việt Nam</x:v>
      </x:c>
      <x:c r="N3"/>
      <x:c r="O3" t="str">
        <x:v>Chưa đối chiếu thu hồi</x:v>
      </x:c>
      <x:c r="P3" t="str">
        <x:v>Nguồn XLSX chính thức – Cổng dữ liệu mở TP Hải Phòng</x:v>
      </x:c>
      <x:c r="Q3" t="str">
        <x:v>Địa bàn nguồn: Hải Dương (lịch sử). Thuộc 28/409 dòng đầu đã đọc trực tiếp; chưa phải bộ dữ liệu đầy đủ.</x:v>
      </x:c>
      <x:c r="R3" t="str">
        <x:v>https://data.haiphong.gov.vn/dataset/07fa5c03-31ee-453f-9bba-f7acd2ffeb6a/resource/4621ee58-725a-481d-b29c-931e46f220c5/download/khocsdl_trichxuatdulieu_dulieusotiepnhanphieucongbosanphammypham_2026-06-25.xlsx</x:v>
      </x:c>
      <x:c r="S3" t="str">
        <x:v>Hải Phòng</x:v>
      </x:c>
      <x:c r="T3" t="str">
        <x:v>31</x:v>
      </x:c>
    </x:row>
    <x:row r="4">
      <x:c r="A4" t="n">
        <x:v>3</x:v>
      </x:c>
      <x:c r="B4" s="330"/>
      <x:c r="C4" s="330" t="n">
        <x:v>46198</x:v>
      </x:c>
      <x:c r="D4" t="n">
        <x:v>2024</x:v>
      </x:c>
      <x:c r="E4"/>
      <x:c r="F4" t="str">
        <x:v>03/24/CBMP-HD</x:v>
      </x:c>
      <x:c r="G4"/>
      <x:c r="H4" t="str">
        <x:v>DẦU XẢ THẢO MỘC SÂM SAVINA</x:v>
      </x:c>
      <x:c r="I4" t="str">
        <x:v>SÂM VIỆT NAM</x:v>
      </x:c>
      <x:c r="J4" t="str">
        <x:v>Dầu xả</x:v>
      </x:c>
      <x:c r="K4" t="str">
        <x:v>Sản phẩm chăm sóc tóc (sản phẩm dưỡng tóc)</x:v>
      </x:c>
      <x:c r="L4" t="str">
        <x:v>Công ty TNHH Sản xuất và Thương mại Sâm Việt Nam</x:v>
      </x:c>
      <x:c r="M4" t="str">
        <x:v>Thôn Đông Xã Tự Lạn; huyện Việt Yên; tỉnh Bắc Giang; Việt Nam</x:v>
      </x:c>
      <x:c r="N4"/>
      <x:c r="O4" t="str">
        <x:v>Chưa đối chiếu thu hồi</x:v>
      </x:c>
      <x:c r="P4" t="str">
        <x:v>Nguồn XLSX chính thức – Cổng dữ liệu mở TP Hải Phòng</x:v>
      </x:c>
      <x:c r="Q4" t="str">
        <x:v>Địa bàn nguồn: Hải Dương (lịch sử). Thuộc 28/409 dòng đầu đã đọc trực tiếp; chưa phải bộ dữ liệu đầy đủ.</x:v>
      </x:c>
      <x:c r="R4" t="str">
        <x:v>https://data.haiphong.gov.vn/dataset/07fa5c03-31ee-453f-9bba-f7acd2ffeb6a/resource/4621ee58-725a-481d-b29c-931e46f220c5/download/khocsdl_trichxuatdulieu_dulieusotiepnhanphieucongbosanphammypham_2026-06-25.xlsx</x:v>
      </x:c>
      <x:c r="S4" t="str">
        <x:v>Hải Phòng</x:v>
      </x:c>
      <x:c r="T4" t="str">
        <x:v>31</x:v>
      </x:c>
    </x:row>
    <x:row r="5">
      <x:c r="A5" t="n">
        <x:v>4</x:v>
      </x:c>
      <x:c r="B5" s="330"/>
      <x:c r="C5" s="330" t="n">
        <x:v>46198</x:v>
      </x:c>
      <x:c r="D5" t="n">
        <x:v>2024</x:v>
      </x:c>
      <x:c r="E5"/>
      <x:c r="F5" t="str">
        <x:v>04/24/CBMP-HD</x:v>
      </x:c>
      <x:c r="G5"/>
      <x:c r="H5" t="str">
        <x:v>SỮA TẮM DƯỢC LIỆU MỘC THIÊN PHƯỚC</x:v>
      </x:c>
      <x:c r="I5" t="str">
        <x:v>MỘC THIÊN PHƯỚC</x:v>
      </x:c>
      <x:c r="J5" t="str">
        <x:v>Sữa tắm/Gel tắm</x:v>
      </x:c>
      <x:c r="K5" t="str">
        <x:v>Sản phẩm để tắm</x:v>
      </x:c>
      <x:c r="L5" t="str">
        <x:v>Công ty CP Dược Mỹ phẩm Thiên Phước</x:v>
      </x:c>
      <x:c r="M5" t="str">
        <x:v>Số 2 Ngách 34/154; ngõ 154 đường Đình Thôn; phường Mỹ Đình 1; quận Nam Từ Liêm; tp Hà Nội; Việt Nam</x:v>
      </x:c>
      <x:c r="N5"/>
      <x:c r="O5" t="str">
        <x:v>Chưa đối chiếu thu hồi</x:v>
      </x:c>
      <x:c r="P5" t="str">
        <x:v>Nguồn XLSX chính thức – Cổng dữ liệu mở TP Hải Phòng</x:v>
      </x:c>
      <x:c r="Q5" t="str">
        <x:v>Địa bàn nguồn: Hải Dương (lịch sử). Thuộc 28/409 dòng đầu đã đọc trực tiếp; chưa phải bộ dữ liệu đầy đủ.</x:v>
      </x:c>
      <x:c r="R5" t="str">
        <x:v>https://data.haiphong.gov.vn/dataset/07fa5c03-31ee-453f-9bba-f7acd2ffeb6a/resource/4621ee58-725a-481d-b29c-931e46f220c5/download/khocsdl_trichxuatdulieu_dulieusotiepnhanphieucongbosanphammypham_2026-06-25.xlsx</x:v>
      </x:c>
      <x:c r="S5" t="str">
        <x:v>Hải Phòng</x:v>
      </x:c>
      <x:c r="T5" t="str">
        <x:v>31</x:v>
      </x:c>
    </x:row>
    <x:row r="6">
      <x:c r="A6" t="n">
        <x:v>5</x:v>
      </x:c>
      <x:c r="B6" s="330"/>
      <x:c r="C6" s="330" t="n">
        <x:v>46198</x:v>
      </x:c>
      <x:c r="D6" t="n">
        <x:v>2024</x:v>
      </x:c>
      <x:c r="E6"/>
      <x:c r="F6" t="str">
        <x:v>05/24/CBMP-HD</x:v>
      </x:c>
      <x:c r="G6"/>
      <x:c r="H6" t="str">
        <x:v>DẦU XẢ DƯỢC LIỆU</x:v>
      </x:c>
      <x:c r="I6" t="str">
        <x:v>MỘC THIÊN PHƯỚC</x:v>
      </x:c>
      <x:c r="J6" t="str">
        <x:v>Dầu xả</x:v>
      </x:c>
      <x:c r="K6" t="str">
        <x:v>Sản phẩm chăm sóc tóc (Sản phẩm dưỡng tóc)</x:v>
      </x:c>
      <x:c r="L6" t="str">
        <x:v>Công ty CP Dược Mỹ phẩm Thiên Phước</x:v>
      </x:c>
      <x:c r="M6" t="str">
        <x:v>Số 2 Ngách 34/154; ngõ 154 đường Đình Thôn; phường Mỹ Đình 1; quận Nam Từ Liêm; tp Hà Nội; Việt Nam</x:v>
      </x:c>
      <x:c r="N6"/>
      <x:c r="O6" t="str">
        <x:v>Chưa đối chiếu thu hồi</x:v>
      </x:c>
      <x:c r="P6" t="str">
        <x:v>Nguồn XLSX chính thức – Cổng dữ liệu mở TP Hải Phòng</x:v>
      </x:c>
      <x:c r="Q6" t="str">
        <x:v>Địa bàn nguồn: Hải Dương (lịch sử). Thuộc 28/409 dòng đầu đã đọc trực tiếp; chưa phải bộ dữ liệu đầy đủ.</x:v>
      </x:c>
      <x:c r="R6" t="str">
        <x:v>https://data.haiphong.gov.vn/dataset/07fa5c03-31ee-453f-9bba-f7acd2ffeb6a/resource/4621ee58-725a-481d-b29c-931e46f220c5/download/khocsdl_trichxuatdulieu_dulieusotiepnhanphieucongbosanphammypham_2026-06-25.xlsx</x:v>
      </x:c>
      <x:c r="S6" t="str">
        <x:v>Hải Phòng</x:v>
      </x:c>
      <x:c r="T6" t="str">
        <x:v>31</x:v>
      </x:c>
    </x:row>
    <x:row r="7">
      <x:c r="A7" t="n">
        <x:v>6</x:v>
      </x:c>
      <x:c r="B7" s="330"/>
      <x:c r="C7" s="330" t="n">
        <x:v>46198</x:v>
      </x:c>
      <x:c r="D7" t="n">
        <x:v>2024</x:v>
      </x:c>
      <x:c r="E7"/>
      <x:c r="F7" t="str">
        <x:v>06/24/CBMP-HD</x:v>
      </x:c>
      <x:c r="G7"/>
      <x:c r="H7" t="str">
        <x:v>DẦU GỘI DƯỢC LIỆU</x:v>
      </x:c>
      <x:c r="I7" t="str">
        <x:v>MỘC THIÊN PHƯỚC</x:v>
      </x:c>
      <x:c r="J7" t="str">
        <x:v>Dầu gội</x:v>
      </x:c>
      <x:c r="K7" t="str">
        <x:v>Sản phẩm chăm sóc tóc (Các sản phẩm làm sạch)</x:v>
      </x:c>
      <x:c r="L7" t="str">
        <x:v>Công ty CP Dược Mỹ phẩm Thiên Phước</x:v>
      </x:c>
      <x:c r="M7" t="str">
        <x:v>Số 2 Ngách 34/154; ngõ 154 đường Đình Thôn; phường Mỹ Đình 1; quận Nam Từ Liêm; tp Hà Nội; Việt Nam</x:v>
      </x:c>
      <x:c r="N7"/>
      <x:c r="O7" t="str">
        <x:v>Chưa đối chiếu thu hồi</x:v>
      </x:c>
      <x:c r="P7" t="str">
        <x:v>Nguồn XLSX chính thức – Cổng dữ liệu mở TP Hải Phòng</x:v>
      </x:c>
      <x:c r="Q7" t="str">
        <x:v>Địa bàn nguồn: Hải Dương (lịch sử). Thuộc 28/409 dòng đầu đã đọc trực tiếp; chưa phải bộ dữ liệu đầy đủ.</x:v>
      </x:c>
      <x:c r="R7" t="str">
        <x:v>https://data.haiphong.gov.vn/dataset/07fa5c03-31ee-453f-9bba-f7acd2ffeb6a/resource/4621ee58-725a-481d-b29c-931e46f220c5/download/khocsdl_trichxuatdulieu_dulieusotiepnhanphieucongbosanphammypham_2026-06-25.xlsx</x:v>
      </x:c>
      <x:c r="S7" t="str">
        <x:v>Hải Phòng</x:v>
      </x:c>
      <x:c r="T7" t="str">
        <x:v>31</x:v>
      </x:c>
    </x:row>
    <x:row r="8">
      <x:c r="A8" t="n">
        <x:v>7</x:v>
      </x:c>
      <x:c r="B8" s="330"/>
      <x:c r="C8" s="330" t="n">
        <x:v>46198</x:v>
      </x:c>
      <x:c r="D8" t="n">
        <x:v>2024</x:v>
      </x:c>
      <x:c r="E8"/>
      <x:c r="F8" t="str">
        <x:v>07/24/CBMP-HD</x:v>
      </x:c>
      <x:c r="G8"/>
      <x:c r="H8" t="str">
        <x:v>DẦU GỘI DƯỢC LIỆU MỘC THIÊN PHƯỚC</x:v>
      </x:c>
      <x:c r="I8" t="str">
        <x:v>MỘC THIÊN PHƯỚC</x:v>
      </x:c>
      <x:c r="J8" t="str">
        <x:v>Dầu gội</x:v>
      </x:c>
      <x:c r="K8" t="str">
        <x:v>Sản phẩm chăm sóc tóc (Các sản phẩm làm sạch)</x:v>
      </x:c>
      <x:c r="L8" t="str">
        <x:v>Công ty CP Dược Mỹ phẩm Thiên Phước</x:v>
      </x:c>
      <x:c r="M8" t="str">
        <x:v>Số 2 Ngách 34/154; ngõ 154 đường Đình Thôn; phường Mỹ Đình 1; quận Nam Từ Liêm; tp Hà Nội; Việt Nam</x:v>
      </x:c>
      <x:c r="N8"/>
      <x:c r="O8" t="str">
        <x:v>Chưa đối chiếu thu hồi</x:v>
      </x:c>
      <x:c r="P8" t="str">
        <x:v>Nguồn XLSX chính thức – Cổng dữ liệu mở TP Hải Phòng</x:v>
      </x:c>
      <x:c r="Q8" t="str">
        <x:v>Địa bàn nguồn: Hải Dương (lịch sử). Thuộc 28/409 dòng đầu đã đọc trực tiếp; chưa phải bộ dữ liệu đầy đủ.</x:v>
      </x:c>
      <x:c r="R8" t="str">
        <x:v>https://data.haiphong.gov.vn/dataset/07fa5c03-31ee-453f-9bba-f7acd2ffeb6a/resource/4621ee58-725a-481d-b29c-931e46f220c5/download/khocsdl_trichxuatdulieu_dulieusotiepnhanphieucongbosanphammypham_2026-06-25.xlsx</x:v>
      </x:c>
      <x:c r="S8" t="str">
        <x:v>Hải Phòng</x:v>
      </x:c>
      <x:c r="T8" t="str">
        <x:v>31</x:v>
      </x:c>
    </x:row>
    <x:row r="9">
      <x:c r="A9" t="n">
        <x:v>8</x:v>
      </x:c>
      <x:c r="B9" s="330"/>
      <x:c r="C9" s="330" t="n">
        <x:v>46198</x:v>
      </x:c>
      <x:c r="D9" t="n">
        <x:v>2024</x:v>
      </x:c>
      <x:c r="E9"/>
      <x:c r="F9" t="str">
        <x:v>08/24/CBMP-HD</x:v>
      </x:c>
      <x:c r="G9"/>
      <x:c r="H9" t="str">
        <x:v>DẦU XẢ DƯỢC LIỆU MỘC THIÊN PHƯỚC</x:v>
      </x:c>
      <x:c r="I9" t="str">
        <x:v>MỘC THIÊN PHƯỚC</x:v>
      </x:c>
      <x:c r="J9" t="str">
        <x:v>Dầu xả</x:v>
      </x:c>
      <x:c r="K9" t="str">
        <x:v>Sản phẩm chăm sóc tóc (Sản phẩm dưỡng tóc)</x:v>
      </x:c>
      <x:c r="L9" t="str">
        <x:v>Công ty CP Dược Mỹ phẩm Thiên Phước</x:v>
      </x:c>
      <x:c r="M9" t="str">
        <x:v>Số 2 Ngách 34/154; ngõ 154 đường Đình Thôn; phường Mỹ Đình 1; quận Nam Từ Liêm; tp Hà Nội; Việt Nam</x:v>
      </x:c>
      <x:c r="N9"/>
      <x:c r="O9" t="str">
        <x:v>Chưa đối chiếu thu hồi</x:v>
      </x:c>
      <x:c r="P9" t="str">
        <x:v>Nguồn XLSX chính thức – Cổng dữ liệu mở TP Hải Phòng</x:v>
      </x:c>
      <x:c r="Q9" t="str">
        <x:v>Địa bàn nguồn: Hải Dương (lịch sử). Thuộc 28/409 dòng đầu đã đọc trực tiếp; chưa phải bộ dữ liệu đầy đủ.</x:v>
      </x:c>
      <x:c r="R9" t="str">
        <x:v>https://data.haiphong.gov.vn/dataset/07fa5c03-31ee-453f-9bba-f7acd2ffeb6a/resource/4621ee58-725a-481d-b29c-931e46f220c5/download/khocsdl_trichxuatdulieu_dulieusotiepnhanphieucongbosanphammypham_2026-06-25.xlsx</x:v>
      </x:c>
      <x:c r="S9" t="str">
        <x:v>Hải Phòng</x:v>
      </x:c>
      <x:c r="T9" t="str">
        <x:v>31</x:v>
      </x:c>
    </x:row>
    <x:row r="10">
      <x:c r="A10" t="n">
        <x:v>9</x:v>
      </x:c>
      <x:c r="B10" s="330"/>
      <x:c r="C10" s="330" t="n">
        <x:v>46198</x:v>
      </x:c>
      <x:c r="D10" t="n">
        <x:v>2024</x:v>
      </x:c>
      <x:c r="E10"/>
      <x:c r="F10" t="str">
        <x:v>09/24/CBMP-HD</x:v>
      </x:c>
      <x:c r="G10"/>
      <x:c r="H10" t="str">
        <x:v>XỊT KHỬ MÙI HÔI CHÂN VÀ GIÀY</x:v>
      </x:c>
      <x:c r="I10" t="str">
        <x:v>DR.HERBAL</x:v>
      </x:c>
      <x:c r="J10" t="str">
        <x:v>Khử mùi</x:v>
      </x:c>
      <x:c r="K10" t="str">
        <x:v>Sản phẩm khử mùi và chống mùi (giảm mùi mồ hôi).</x:v>
      </x:c>
      <x:c r="L10" t="str">
        <x:v>Công ty CP Dược VTYT Hải Dương</x:v>
      </x:c>
      <x:c r="M10" t="str">
        <x:v>Số 102 Chi Lăng; phường Nguyễn Trãi; Thành phố Hải Dương; tỉnh Hải Dương</x:v>
      </x:c>
      <x:c r="N10"/>
      <x:c r="O10" t="str">
        <x:v>Chưa đối chiếu thu hồi</x:v>
      </x:c>
      <x:c r="P10" t="str">
        <x:v>Nguồn XLSX chính thức – Cổng dữ liệu mở TP Hải Phòng</x:v>
      </x:c>
      <x:c r="Q10" t="str">
        <x:v>Địa bàn nguồn: Hải Dương (lịch sử). Thuộc 28/409 dòng đầu đã đọc trực tiếp; chưa phải bộ dữ liệu đầy đủ.</x:v>
      </x:c>
      <x:c r="R10" t="str">
        <x:v>https://data.haiphong.gov.vn/dataset/07fa5c03-31ee-453f-9bba-f7acd2ffeb6a/resource/4621ee58-725a-481d-b29c-931e46f220c5/download/khocsdl_trichxuatdulieu_dulieusotiepnhanphieucongbosanphammypham_2026-06-25.xlsx</x:v>
      </x:c>
      <x:c r="S10" t="str">
        <x:v>Hải Phòng</x:v>
      </x:c>
      <x:c r="T10" t="str">
        <x:v>31</x:v>
      </x:c>
    </x:row>
    <x:row r="11">
      <x:c r="A11" t="n">
        <x:v>10</x:v>
      </x:c>
      <x:c r="B11" s="330"/>
      <x:c r="C11" s="330" t="n">
        <x:v>46198</x:v>
      </x:c>
      <x:c r="D11" t="n">
        <x:v>2024</x:v>
      </x:c>
      <x:c r="E11"/>
      <x:c r="F11" t="str">
        <x:v>10/24/CBMP-HD</x:v>
      </x:c>
      <x:c r="G11"/>
      <x:c r="H11" t="str">
        <x:v>DẦU GỘI THẢO MỘC</x:v>
      </x:c>
      <x:c r="I11" t="str">
        <x:v>PHÚC VĂN</x:v>
      </x:c>
      <x:c r="J11" t="str">
        <x:v>Dầu gội</x:v>
      </x:c>
      <x:c r="K11" t="str">
        <x:v>Sản phẩm chăm sóc tóc (sản phẩm làm sạch)</x:v>
      </x:c>
      <x:c r="L11" t="str">
        <x:v>Công ty TNHH Phúc Văn Cosmetics</x:v>
      </x:c>
      <x:c r="M11" t="str">
        <x:v>Thôn 10A xã Hải Xuân; tp Móng Cái; tỉnh Quảng Ninh; VN</x:v>
      </x:c>
      <x:c r="N11"/>
      <x:c r="O11" t="str">
        <x:v>Chưa đối chiếu thu hồi</x:v>
      </x:c>
      <x:c r="P11" t="str">
        <x:v>Nguồn XLSX chính thức – Cổng dữ liệu mở TP Hải Phòng</x:v>
      </x:c>
      <x:c r="Q11" t="str">
        <x:v>Địa bàn nguồn: Hải Dương (lịch sử). Thuộc 28/409 dòng đầu đã đọc trực tiếp; chưa phải bộ dữ liệu đầy đủ.</x:v>
      </x:c>
      <x:c r="R11" t="str">
        <x:v>https://data.haiphong.gov.vn/dataset/07fa5c03-31ee-453f-9bba-f7acd2ffeb6a/resource/4621ee58-725a-481d-b29c-931e46f220c5/download/khocsdl_trichxuatdulieu_dulieusotiepnhanphieucongbosanphammypham_2026-06-25.xlsx</x:v>
      </x:c>
      <x:c r="S11" t="str">
        <x:v>Hải Phòng</x:v>
      </x:c>
      <x:c r="T11" t="str">
        <x:v>31</x:v>
      </x:c>
    </x:row>
    <x:row r="12">
      <x:c r="A12" t="n">
        <x:v>11</x:v>
      </x:c>
      <x:c r="B12" s="330"/>
      <x:c r="C12" s="330" t="n">
        <x:v>46198</x:v>
      </x:c>
      <x:c r="D12" t="n">
        <x:v>2024</x:v>
      </x:c>
      <x:c r="E12"/>
      <x:c r="F12" t="str">
        <x:v>11/24/CBMP-HD</x:v>
      </x:c>
      <x:c r="G12"/>
      <x:c r="H12" t="str">
        <x:v>DẦU XẢ THẢO MỘC</x:v>
      </x:c>
      <x:c r="I12" t="str">
        <x:v>PHÚC VĂN</x:v>
      </x:c>
      <x:c r="J12" t="str">
        <x:v>Dầu xả</x:v>
      </x:c>
      <x:c r="K12" t="str">
        <x:v>Sản phẩm chăm sóc tóc (sản phẩm dưỡng tóc)</x:v>
      </x:c>
      <x:c r="L12" t="str">
        <x:v>Công ty TNHH Phúc Văn Cosmetics</x:v>
      </x:c>
      <x:c r="M12" t="str">
        <x:v>Thôn 10A xã Hải Xuân; tp Móng Cái; tỉnh Quảng Ninh; VN</x:v>
      </x:c>
      <x:c r="N12"/>
      <x:c r="O12" t="str">
        <x:v>Chưa đối chiếu thu hồi</x:v>
      </x:c>
      <x:c r="P12" t="str">
        <x:v>Nguồn XLSX chính thức – Cổng dữ liệu mở TP Hải Phòng</x:v>
      </x:c>
      <x:c r="Q12" t="str">
        <x:v>Địa bàn nguồn: Hải Dương (lịch sử). Thuộc 28/409 dòng đầu đã đọc trực tiếp; chưa phải bộ dữ liệu đầy đủ.</x:v>
      </x:c>
      <x:c r="R12" t="str">
        <x:v>https://data.haiphong.gov.vn/dataset/07fa5c03-31ee-453f-9bba-f7acd2ffeb6a/resource/4621ee58-725a-481d-b29c-931e46f220c5/download/khocsdl_trichxuatdulieu_dulieusotiepnhanphieucongbosanphammypham_2026-06-25.xlsx</x:v>
      </x:c>
      <x:c r="S12" t="str">
        <x:v>Hải Phòng</x:v>
      </x:c>
      <x:c r="T12" t="str">
        <x:v>31</x:v>
      </x:c>
    </x:row>
    <x:row r="13">
      <x:c r="A13" t="n">
        <x:v>12</x:v>
      </x:c>
      <x:c r="B13" s="330"/>
      <x:c r="C13" s="330" t="n">
        <x:v>46198</x:v>
      </x:c>
      <x:c r="D13" t="n">
        <x:v>2024</x:v>
      </x:c>
      <x:c r="E13"/>
      <x:c r="F13" t="str">
        <x:v>12/24/CBMP-HD</x:v>
      </x:c>
      <x:c r="G13"/>
      <x:c r="H13" t="str">
        <x:v>DẦU GỘI DƯỢC LIỆU METTA 1</x:v>
      </x:c>
      <x:c r="I13" t="str">
        <x:v>METTA SPA</x:v>
      </x:c>
      <x:c r="J13" t="str">
        <x:v>Dầu gội</x:v>
      </x:c>
      <x:c r="K13" t="str">
        <x:v>Sản phẩm chăm sóc tóc (sản phẩm làm sạch)</x:v>
      </x:c>
      <x:c r="L13" t="str">
        <x:v>Công ty Cổ phần sức khoẻ vàng METTA GROUP</x:v>
      </x:c>
      <x:c r="M13" t="str">
        <x:v>378 đường Tên Lửa; phường Bình Trị Đông B; quận Bình Tân; tp Hồ Chí Minh; VN</x:v>
      </x:c>
      <x:c r="N13"/>
      <x:c r="O13" t="str">
        <x:v>Chưa đối chiếu thu hồi</x:v>
      </x:c>
      <x:c r="P13" t="str">
        <x:v>Nguồn XLSX chính thức – Cổng dữ liệu mở TP Hải Phòng</x:v>
      </x:c>
      <x:c r="Q13" t="str">
        <x:v>Địa bàn nguồn: Hải Dương (lịch sử). Thuộc 28/409 dòng đầu đã đọc trực tiếp; chưa phải bộ dữ liệu đầy đủ.</x:v>
      </x:c>
      <x:c r="R13" t="str">
        <x:v>https://data.haiphong.gov.vn/dataset/07fa5c03-31ee-453f-9bba-f7acd2ffeb6a/resource/4621ee58-725a-481d-b29c-931e46f220c5/download/khocsdl_trichxuatdulieu_dulieusotiepnhanphieucongbosanphammypham_2026-06-25.xlsx</x:v>
      </x:c>
      <x:c r="S13" t="str">
        <x:v>Hải Phòng</x:v>
      </x:c>
      <x:c r="T13" t="str">
        <x:v>31</x:v>
      </x:c>
    </x:row>
    <x:row r="14">
      <x:c r="A14" t="n">
        <x:v>13</x:v>
      </x:c>
      <x:c r="B14" s="330"/>
      <x:c r="C14" s="330" t="n">
        <x:v>46198</x:v>
      </x:c>
      <x:c r="D14" t="n">
        <x:v>2024</x:v>
      </x:c>
      <x:c r="E14"/>
      <x:c r="F14" t="str">
        <x:v>13/24/CBMP-HD</x:v>
      </x:c>
      <x:c r="G14"/>
      <x:c r="H14" t="str">
        <x:v>DẦU GỘI DƯỢC LIỆU METTA 1</x:v>
      </x:c>
      <x:c r="I14" t="str">
        <x:v>METTA SPA</x:v>
      </x:c>
      <x:c r="J14" t="str">
        <x:v>Dầu gội</x:v>
      </x:c>
      <x:c r="K14" t="str">
        <x:v>Sản phẩm chăm sóc tóc (sản phẩm dưỡng tóc)</x:v>
      </x:c>
      <x:c r="L14" t="str">
        <x:v>Công ty Cổ phần sức khoẻ vàng METTA GROUP</x:v>
      </x:c>
      <x:c r="M14" t="str">
        <x:v>379 đường Tên Lửa; phường Bình Trị Đông B; quận Bình Tân; tp Hồ Chí Minh; VN</x:v>
      </x:c>
      <x:c r="N14"/>
      <x:c r="O14" t="str">
        <x:v>Chưa đối chiếu thu hồi</x:v>
      </x:c>
      <x:c r="P14" t="str">
        <x:v>Nguồn XLSX chính thức – Cổng dữ liệu mở TP Hải Phòng</x:v>
      </x:c>
      <x:c r="Q14" t="str">
        <x:v>Địa bàn nguồn: Hải Dương (lịch sử). Thuộc 28/409 dòng đầu đã đọc trực tiếp; chưa phải bộ dữ liệu đầy đủ.</x:v>
      </x:c>
      <x:c r="R14" t="str">
        <x:v>https://data.haiphong.gov.vn/dataset/07fa5c03-31ee-453f-9bba-f7acd2ffeb6a/resource/4621ee58-725a-481d-b29c-931e46f220c5/download/khocsdl_trichxuatdulieu_dulieusotiepnhanphieucongbosanphammypham_2026-06-25.xlsx</x:v>
      </x:c>
      <x:c r="S14" t="str">
        <x:v>Hải Phòng</x:v>
      </x:c>
      <x:c r="T14" t="str">
        <x:v>31</x:v>
      </x:c>
    </x:row>
    <x:row r="15">
      <x:c r="A15" t="n">
        <x:v>14</x:v>
      </x:c>
      <x:c r="B15" s="330"/>
      <x:c r="C15" s="330" t="n">
        <x:v>46198</x:v>
      </x:c>
      <x:c r="D15" t="n">
        <x:v>2024</x:v>
      </x:c>
      <x:c r="E15"/>
      <x:c r="F15" t="str">
        <x:v>14/24/CBMP-HD</x:v>
      </x:c>
      <x:c r="G15"/>
      <x:c r="H15" t="str">
        <x:v>DUNG DỊCH VỆ SINH PHỤ NỮ BÉATRICE</x:v>
      </x:c>
      <x:c r="I15"/>
      <x:c r="J15" t="str">
        <x:v>Dung dịch vệ sinh</x:v>
      </x:c>
      <x:c r="K15" t="str">
        <x:v>Sản phẩm dùng để vệ sinh cơ quan sinh dục ngoài</x:v>
      </x:c>
      <x:c r="L15" t="str">
        <x:v>Công ty TNHH TUVA</x:v>
      </x:c>
      <x:c r="M15" t="str">
        <x:v>số 91 Ngách 29/70 phố Khương Hạ; phường Khương Đình; quận Thanh Xuân; tp Hà Nội; VN</x:v>
      </x:c>
      <x:c r="N15"/>
      <x:c r="O15" t="str">
        <x:v>Chưa đối chiếu thu hồi</x:v>
      </x:c>
      <x:c r="P15" t="str">
        <x:v>Nguồn XLSX chính thức – Cổng dữ liệu mở TP Hải Phòng</x:v>
      </x:c>
      <x:c r="Q15" t="str">
        <x:v>Địa bàn nguồn: Hải Dương (lịch sử). Thuộc 28/409 dòng đầu đã đọc trực tiếp; chưa phải bộ dữ liệu đầy đủ.</x:v>
      </x:c>
      <x:c r="R15" t="str">
        <x:v>https://data.haiphong.gov.vn/dataset/07fa5c03-31ee-453f-9bba-f7acd2ffeb6a/resource/4621ee58-725a-481d-b29c-931e46f220c5/download/khocsdl_trichxuatdulieu_dulieusotiepnhanphieucongbosanphammypham_2026-06-25.xlsx</x:v>
      </x:c>
      <x:c r="S15" t="str">
        <x:v>Hải Phòng</x:v>
      </x:c>
      <x:c r="T15" t="str">
        <x:v>31</x:v>
      </x:c>
    </x:row>
    <x:row r="16">
      <x:c r="A16" t="n">
        <x:v>15</x:v>
      </x:c>
      <x:c r="B16" s="330"/>
      <x:c r="C16" s="330" t="n">
        <x:v>46198</x:v>
      </x:c>
      <x:c r="D16" t="n">
        <x:v>2024</x:v>
      </x:c>
      <x:c r="E16"/>
      <x:c r="F16" t="str">
        <x:v>15/24/CBMP-HD</x:v>
      </x:c>
      <x:c r="G16"/>
      <x:c r="H16" t="str">
        <x:v>GEL PK LADY EVA</x:v>
      </x:c>
      <x:c r="I16"/>
      <x:c r="J16" t="str">
        <x:v>Dung dịch vệ sinh</x:v>
      </x:c>
      <x:c r="K16" t="str">
        <x:v>Sản phẩm dùng để vệ sinh cơ quan sinh dục ngoài</x:v>
      </x:c>
      <x:c r="L16" t="str">
        <x:v>CÔNG TY CỔ PHẦN DƯỢC MỸ PHẨM TPHARMA</x:v>
      </x:c>
      <x:c r="M16" t="str">
        <x:v>KM 50 Đường An Định; phường Việt Hoà; tp Hải Dương</x:v>
      </x:c>
      <x:c r="N16"/>
      <x:c r="O16" t="str">
        <x:v>Chưa đối chiếu thu hồi</x:v>
      </x:c>
      <x:c r="P16" t="str">
        <x:v>Nguồn XLSX chính thức – Cổng dữ liệu mở TP Hải Phòng</x:v>
      </x:c>
      <x:c r="Q16" t="str">
        <x:v>Địa bàn nguồn: Hải Dương (lịch sử). Thuộc 28/409 dòng đầu đã đọc trực tiếp; chưa phải bộ dữ liệu đầy đủ.</x:v>
      </x:c>
      <x:c r="R16" t="str">
        <x:v>https://data.haiphong.gov.vn/dataset/07fa5c03-31ee-453f-9bba-f7acd2ffeb6a/resource/4621ee58-725a-481d-b29c-931e46f220c5/download/khocsdl_trichxuatdulieu_dulieusotiepnhanphieucongbosanphammypham_2026-06-25.xlsx</x:v>
      </x:c>
      <x:c r="S16" t="str">
        <x:v>Hải Phòng</x:v>
      </x:c>
      <x:c r="T16" t="str">
        <x:v>31</x:v>
      </x:c>
    </x:row>
    <x:row r="17">
      <x:c r="A17" t="n">
        <x:v>16</x:v>
      </x:c>
      <x:c r="B17" s="330"/>
      <x:c r="C17" s="330" t="n">
        <x:v>46198</x:v>
      </x:c>
      <x:c r="D17" t="n">
        <x:v>2024</x:v>
      </x:c>
      <x:c r="E17"/>
      <x:c r="F17" t="str">
        <x:v>16/24/CBMP-HD</x:v>
      </x:c>
      <x:c r="G17"/>
      <x:c r="H17" t="str">
        <x:v>DẦU GỘI DƯỢC LIỆU HƯƠNG THẢO</x:v>
      </x:c>
      <x:c r="I17"/>
      <x:c r="J17" t="str">
        <x:v>Dầu gội</x:v>
      </x:c>
      <x:c r="K17" t="str">
        <x:v>Sản phẩm chăm sóc tóc (sản phẩm làm sạch)</x:v>
      </x:c>
      <x:c r="L17" t="str">
        <x:v>Công ty CP Đầu tư và Thương mại Uy Long</x:v>
      </x:c>
      <x:c r="M17" t="str">
        <x:v>Số 319B Vĩnh Hưng; phường Thanh Trì; quận Hoàng Mai; tp Hà Nội; VN</x:v>
      </x:c>
      <x:c r="N17"/>
      <x:c r="O17" t="str">
        <x:v>Chưa đối chiếu thu hồi</x:v>
      </x:c>
      <x:c r="P17" t="str">
        <x:v>Nguồn XLSX chính thức – Cổng dữ liệu mở TP Hải Phòng</x:v>
      </x:c>
      <x:c r="Q17" t="str">
        <x:v>Địa bàn nguồn: Hải Dương (lịch sử). Thuộc 28/409 dòng đầu đã đọc trực tiếp; chưa phải bộ dữ liệu đầy đủ.</x:v>
      </x:c>
      <x:c r="R17" t="str">
        <x:v>https://data.haiphong.gov.vn/dataset/07fa5c03-31ee-453f-9bba-f7acd2ffeb6a/resource/4621ee58-725a-481d-b29c-931e46f220c5/download/khocsdl_trichxuatdulieu_dulieusotiepnhanphieucongbosanphammypham_2026-06-25.xlsx</x:v>
      </x:c>
      <x:c r="S17" t="str">
        <x:v>Hải Phòng</x:v>
      </x:c>
      <x:c r="T17" t="str">
        <x:v>31</x:v>
      </x:c>
    </x:row>
    <x:row r="18">
      <x:c r="A18" t="n">
        <x:v>17</x:v>
      </x:c>
      <x:c r="B18" s="330"/>
      <x:c r="C18" s="330" t="n">
        <x:v>46198</x:v>
      </x:c>
      <x:c r="D18" t="n">
        <x:v>2024</x:v>
      </x:c>
      <x:c r="E18"/>
      <x:c r="F18" t="str">
        <x:v>17/24/CBMP-HD</x:v>
      </x:c>
      <x:c r="G18"/>
      <x:c r="H18" t="str">
        <x:v>Dầu xả Dược liệu Hương Thảo</x:v>
      </x:c>
      <x:c r="I18"/>
      <x:c r="J18" t="str">
        <x:v>Dầu xả</x:v>
      </x:c>
      <x:c r="K18" t="str">
        <x:v>Sản phẩm chăm sóc tóc (sản phẩm làm sạch)</x:v>
      </x:c>
      <x:c r="L18" t="str">
        <x:v>Công ty CP Đầu tư và Thương mại Uy Long</x:v>
      </x:c>
      <x:c r="M18" t="str">
        <x:v>Số 319B Vĩnh Hưng; phường Thanh Trì; quận Hoàng Mai; tp Hà Nội; VN</x:v>
      </x:c>
      <x:c r="N18"/>
      <x:c r="O18" t="str">
        <x:v>Chưa đối chiếu thu hồi</x:v>
      </x:c>
      <x:c r="P18" t="str">
        <x:v>Nguồn XLSX chính thức – Cổng dữ liệu mở TP Hải Phòng</x:v>
      </x:c>
      <x:c r="Q18" t="str">
        <x:v>Địa bàn nguồn: Hải Dương (lịch sử). Thuộc 28/409 dòng đầu đã đọc trực tiếp; chưa phải bộ dữ liệu đầy đủ.</x:v>
      </x:c>
      <x:c r="R18" t="str">
        <x:v>https://data.haiphong.gov.vn/dataset/07fa5c03-31ee-453f-9bba-f7acd2ffeb6a/resource/4621ee58-725a-481d-b29c-931e46f220c5/download/khocsdl_trichxuatdulieu_dulieusotiepnhanphieucongbosanphammypham_2026-06-25.xlsx</x:v>
      </x:c>
      <x:c r="S18" t="str">
        <x:v>Hải Phòng</x:v>
      </x:c>
      <x:c r="T18" t="str">
        <x:v>31</x:v>
      </x:c>
    </x:row>
    <x:row r="19">
      <x:c r="A19" t="n">
        <x:v>18</x:v>
      </x:c>
      <x:c r="B19" s="330"/>
      <x:c r="C19" s="330" t="n">
        <x:v>46198</x:v>
      </x:c>
      <x:c r="D19" t="n">
        <x:v>2024</x:v>
      </x:c>
      <x:c r="E19"/>
      <x:c r="F19" t="str">
        <x:v>18/24/CBMP-HD</x:v>
      </x:c>
      <x:c r="G19"/>
      <x:c r="H19" t="str">
        <x:v>DUNG DỊCH VỆ SINH EVALOVE</x:v>
      </x:c>
      <x:c r="I19" t="str">
        <x:v>EVALOVE</x:v>
      </x:c>
      <x:c r="J19" t="str">
        <x:v>Dung dịch vệ sinh</x:v>
      </x:c>
      <x:c r="K19" t="str">
        <x:v>Sản phẩm dùng để vệ sinh cơ quan sinh dục ngoài</x:v>
      </x:c>
      <x:c r="L19" t="str">
        <x:v>CÔNG TY CỔ PHẦN DƯỢC MỸ PHẨM TPHARMA</x:v>
      </x:c>
      <x:c r="M19" t="str">
        <x:v>KM 50 Đường An Định; phường Việt Hoà; tp Hải Dương</x:v>
      </x:c>
      <x:c r="N19"/>
      <x:c r="O19" t="str">
        <x:v>Chưa đối chiếu thu hồi</x:v>
      </x:c>
      <x:c r="P19" t="str">
        <x:v>Nguồn XLSX chính thức – Cổng dữ liệu mở TP Hải Phòng</x:v>
      </x:c>
      <x:c r="Q19" t="str">
        <x:v>Địa bàn nguồn: Hải Dương (lịch sử). Thuộc 28/409 dòng đầu đã đọc trực tiếp; chưa phải bộ dữ liệu đầy đủ.</x:v>
      </x:c>
      <x:c r="R19" t="str">
        <x:v>https://data.haiphong.gov.vn/dataset/07fa5c03-31ee-453f-9bba-f7acd2ffeb6a/resource/4621ee58-725a-481d-b29c-931e46f220c5/download/khocsdl_trichxuatdulieu_dulieusotiepnhanphieucongbosanphammypham_2026-06-25.xlsx</x:v>
      </x:c>
      <x:c r="S19" t="str">
        <x:v>Hải Phòng</x:v>
      </x:c>
      <x:c r="T19" t="str">
        <x:v>31</x:v>
      </x:c>
    </x:row>
    <x:row r="20">
      <x:c r="A20" t="n">
        <x:v>19</x:v>
      </x:c>
      <x:c r="B20" s="330"/>
      <x:c r="C20" s="330" t="n">
        <x:v>46198</x:v>
      </x:c>
      <x:c r="D20" t="n">
        <x:v>2024</x:v>
      </x:c>
      <x:c r="E20"/>
      <x:c r="F20" t="str">
        <x:v>19/24/CBMP-HD</x:v>
      </x:c>
      <x:c r="G20"/>
      <x:c r="H20" t="str">
        <x:v>DẦU GỘI THẢO DƯỢC VIN TH.ELEVATES</x:v>
      </x:c>
      <x:c r="I20" t="str">
        <x:v>VIN TH.ELEVATES NATURAL HERBALS</x:v>
      </x:c>
      <x:c r="J20" t="str">
        <x:v>Dầu gội</x:v>
      </x:c>
      <x:c r="K20" t="str">
        <x:v>Sản phẩm chăm sóc tóc (sản phẩm làm sạch)</x:v>
      </x:c>
      <x:c r="L20" t="str">
        <x:v>CÔNG TY CỔ PHẦN DỊCH VỤ THƯƠNG MẠI VINLAND TH</x:v>
      </x:c>
      <x:c r="M20" t="str">
        <x:v>Đội 2 phố Vĩnh Ngọc; phường Đông Lĩnh; tp Thanh Hoá; tỉnh Thanh Hoá; VN</x:v>
      </x:c>
      <x:c r="N20"/>
      <x:c r="O20" t="str">
        <x:v>Chưa đối chiếu thu hồi</x:v>
      </x:c>
      <x:c r="P20" t="str">
        <x:v>Nguồn XLSX chính thức – Cổng dữ liệu mở TP Hải Phòng</x:v>
      </x:c>
      <x:c r="Q20" t="str">
        <x:v>Địa bàn nguồn: Hải Dương (lịch sử). Thuộc 28/409 dòng đầu đã đọc trực tiếp; chưa phải bộ dữ liệu đầy đủ.</x:v>
      </x:c>
      <x:c r="R20" t="str">
        <x:v>https://data.haiphong.gov.vn/dataset/07fa5c03-31ee-453f-9bba-f7acd2ffeb6a/resource/4621ee58-725a-481d-b29c-931e46f220c5/download/khocsdl_trichxuatdulieu_dulieusotiepnhanphieucongbosanphammypham_2026-06-25.xlsx</x:v>
      </x:c>
      <x:c r="S20" t="str">
        <x:v>Hải Phòng</x:v>
      </x:c>
      <x:c r="T20" t="str">
        <x:v>31</x:v>
      </x:c>
    </x:row>
    <x:row r="21">
      <x:c r="A21" t="n">
        <x:v>20</x:v>
      </x:c>
      <x:c r="B21" s="330"/>
      <x:c r="C21" s="330" t="n">
        <x:v>46198</x:v>
      </x:c>
      <x:c r="D21" t="n">
        <x:v>2024</x:v>
      </x:c>
      <x:c r="E21"/>
      <x:c r="F21" t="str">
        <x:v>20/24/CBMP-HD</x:v>
      </x:c>
      <x:c r="G21"/>
      <x:c r="H21" t="str">
        <x:v>DẦU XẢ THẢO DƯỢC VIN TH;ELEVATES</x:v>
      </x:c>
      <x:c r="I21" t="str">
        <x:v>VIN TH.ELEVATES NATURAL HERBALS</x:v>
      </x:c>
      <x:c r="J21" t="str">
        <x:v>Dầu xả</x:v>
      </x:c>
      <x:c r="K21" t="str">
        <x:v>Sản phẩm chăm sóc tóc (Sản phẩm dưỡng tóc)</x:v>
      </x:c>
      <x:c r="L21" t="str">
        <x:v>CÔNG TY CỔ PHẦN DỊCH VỤ THƯƠNG MẠI VINLAND TH</x:v>
      </x:c>
      <x:c r="M21" t="str">
        <x:v>Đội 2 phố Vĩnh Ngọc; phường Đông Lĩnh; tp Thanh Hoá; tỉnh Thanh Hoá; VN</x:v>
      </x:c>
      <x:c r="N21"/>
      <x:c r="O21" t="str">
        <x:v>Chưa đối chiếu thu hồi</x:v>
      </x:c>
      <x:c r="P21" t="str">
        <x:v>Nguồn XLSX chính thức – Cổng dữ liệu mở TP Hải Phòng</x:v>
      </x:c>
      <x:c r="Q21" t="str">
        <x:v>Địa bàn nguồn: Hải Dương (lịch sử). Thuộc 28/409 dòng đầu đã đọc trực tiếp; chưa phải bộ dữ liệu đầy đủ.</x:v>
      </x:c>
      <x:c r="R21" t="str">
        <x:v>https://data.haiphong.gov.vn/dataset/07fa5c03-31ee-453f-9bba-f7acd2ffeb6a/resource/4621ee58-725a-481d-b29c-931e46f220c5/download/khocsdl_trichxuatdulieu_dulieusotiepnhanphieucongbosanphammypham_2026-06-25.xlsx</x:v>
      </x:c>
      <x:c r="S21" t="str">
        <x:v>Hải Phòng</x:v>
      </x:c>
      <x:c r="T21" t="str">
        <x:v>31</x:v>
      </x:c>
    </x:row>
    <x:row r="22">
      <x:c r="A22" t="n">
        <x:v>21</x:v>
      </x:c>
      <x:c r="B22" s="330"/>
      <x:c r="C22" s="330" t="n">
        <x:v>46198</x:v>
      </x:c>
      <x:c r="D22" t="n">
        <x:v>2024</x:v>
      </x:c>
      <x:c r="E22"/>
      <x:c r="F22" t="str">
        <x:v>21/24/CBMP-HD</x:v>
      </x:c>
      <x:c r="G22"/>
      <x:c r="H22" t="str">
        <x:v>Hair Mask</x:v>
      </x:c>
      <x:c r="I22" t="str">
        <x:v>T-N-T</x:v>
      </x:c>
      <x:c r="J22" t="str">
        <x:v>Ủ tóc/Hair mask</x:v>
      </x:c>
      <x:c r="K22" t="str">
        <x:v>Sản phẩm chăm sóc tóc (Sản phẩm dưỡng tóc)</x:v>
      </x:c>
      <x:c r="L22" t="str">
        <x:v>Công ty TNHH TOÀN LUCKY</x:v>
      </x:c>
      <x:c r="M22" t="str">
        <x:v>LK50 - N04 DỰ ÁN Đầu tư nhà ở Thấp tầng tại khu Lò Gạch (giai đoạn II); xã Cự Khê; huyện Thanh Oai; tp Hà Nội; VN.</x:v>
      </x:c>
      <x:c r="N22"/>
      <x:c r="O22" t="str">
        <x:v>Chưa đối chiếu thu hồi</x:v>
      </x:c>
      <x:c r="P22" t="str">
        <x:v>Nguồn XLSX chính thức – Cổng dữ liệu mở TP Hải Phòng</x:v>
      </x:c>
      <x:c r="Q22" t="str">
        <x:v>Địa bàn nguồn: Hải Dương (lịch sử). Thuộc 28/409 dòng đầu đã đọc trực tiếp; chưa phải bộ dữ liệu đầy đủ.</x:v>
      </x:c>
      <x:c r="R22" t="str">
        <x:v>https://data.haiphong.gov.vn/dataset/07fa5c03-31ee-453f-9bba-f7acd2ffeb6a/resource/4621ee58-725a-481d-b29c-931e46f220c5/download/khocsdl_trichxuatdulieu_dulieusotiepnhanphieucongbosanphammypham_2026-06-25.xlsx</x:v>
      </x:c>
      <x:c r="S22" t="str">
        <x:v>Hải Phòng</x:v>
      </x:c>
      <x:c r="T22" t="str">
        <x:v>31</x:v>
      </x:c>
    </x:row>
    <x:row r="23">
      <x:c r="A23" t="n">
        <x:v>22</x:v>
      </x:c>
      <x:c r="B23" s="330"/>
      <x:c r="C23" s="330" t="n">
        <x:v>46198</x:v>
      </x:c>
      <x:c r="D23" t="n">
        <x:v>2024</x:v>
      </x:c>
      <x:c r="E23"/>
      <x:c r="F23" t="str">
        <x:v>22/24/CBMP-HD</x:v>
      </x:c>
      <x:c r="G23"/>
      <x:c r="H23" t="str">
        <x:v>PERM &amp; STRAIGHT 1</x:v>
      </x:c>
      <x:c r="I23" t="str">
        <x:v>ALYDANTON</x:v>
      </x:c>
      <x:c r="J23" t="str">
        <x:v>Uốn/duỗi/giữ nếp tóc</x:v>
      </x:c>
      <x:c r="K23" t="str">
        <x:v>Sản phẩm chăm sóc tóc (Uốn tóc; duỗi tóc; giữ nếp tóc)</x:v>
      </x:c>
      <x:c r="L23" t="str">
        <x:v>Công ty TNHH Hoá Mỹ Phẩm Hồng Đạt</x:v>
      </x:c>
      <x:c r="M23" t="str">
        <x:v>Thôn Đông Giao; xã Lương Điền; huyện Cẩm Giàng; tỉnh Hải Dương; VN</x:v>
      </x:c>
      <x:c r="N23"/>
      <x:c r="O23" t="str">
        <x:v>Chưa đối chiếu thu hồi</x:v>
      </x:c>
      <x:c r="P23" t="str">
        <x:v>Nguồn XLSX chính thức – Cổng dữ liệu mở TP Hải Phòng</x:v>
      </x:c>
      <x:c r="Q23" t="str">
        <x:v>Địa bàn nguồn: Hải Dương (lịch sử). Thuộc 28/409 dòng đầu đã đọc trực tiếp; chưa phải bộ dữ liệu đầy đủ.</x:v>
      </x:c>
      <x:c r="R23" t="str">
        <x:v>https://data.haiphong.gov.vn/dataset/07fa5c03-31ee-453f-9bba-f7acd2ffeb6a/resource/4621ee58-725a-481d-b29c-931e46f220c5/download/khocsdl_trichxuatdulieu_dulieusotiepnhanphieucongbosanphammypham_2026-06-25.xlsx</x:v>
      </x:c>
      <x:c r="S23" t="str">
        <x:v>Hải Phòng</x:v>
      </x:c>
      <x:c r="T23" t="str">
        <x:v>31</x:v>
      </x:c>
    </x:row>
    <x:row r="24">
      <x:c r="A24" t="n">
        <x:v>23</x:v>
      </x:c>
      <x:c r="B24" s="330"/>
      <x:c r="C24" s="330" t="n">
        <x:v>46198</x:v>
      </x:c>
      <x:c r="D24" t="n">
        <x:v>2024</x:v>
      </x:c>
      <x:c r="E24"/>
      <x:c r="F24" t="str">
        <x:v>23/24/CBMP-HD</x:v>
      </x:c>
      <x:c r="G24"/>
      <x:c r="H24" t="str">
        <x:v>PERM &amp; STRAIGHT 3</x:v>
      </x:c>
      <x:c r="I24" t="str">
        <x:v>ALYDANTON</x:v>
      </x:c>
      <x:c r="J24" t="str">
        <x:v>Uốn/duỗi/giữ nếp tóc</x:v>
      </x:c>
      <x:c r="K24" t="str">
        <x:v>Sản phẩm chăm sóc tóc (Uốn tóc; duỗi tóc; giữ nếp tóc)</x:v>
      </x:c>
      <x:c r="L24" t="str">
        <x:v>Công ty TNHH Hoá Mỹ Phẩm Hồng Đạt</x:v>
      </x:c>
      <x:c r="M24" t="str">
        <x:v>Thôn Đông Giao; xã Lương Điền; huyện Cẩm Giàng; tỉnh Hải Dương; VN</x:v>
      </x:c>
      <x:c r="N24"/>
      <x:c r="O24" t="str">
        <x:v>Chưa đối chiếu thu hồi</x:v>
      </x:c>
      <x:c r="P24" t="str">
        <x:v>Nguồn XLSX chính thức – Cổng dữ liệu mở TP Hải Phòng</x:v>
      </x:c>
      <x:c r="Q24" t="str">
        <x:v>Địa bàn nguồn: Hải Dương (lịch sử). Thuộc 28/409 dòng đầu đã đọc trực tiếp; chưa phải bộ dữ liệu đầy đủ.</x:v>
      </x:c>
      <x:c r="R24" t="str">
        <x:v>https://data.haiphong.gov.vn/dataset/07fa5c03-31ee-453f-9bba-f7acd2ffeb6a/resource/4621ee58-725a-481d-b29c-931e46f220c5/download/khocsdl_trichxuatdulieu_dulieusotiepnhanphieucongbosanphammypham_2026-06-25.xlsx</x:v>
      </x:c>
      <x:c r="S24" t="str">
        <x:v>Hải Phòng</x:v>
      </x:c>
      <x:c r="T24" t="str">
        <x:v>31</x:v>
      </x:c>
    </x:row>
    <x:row r="25">
      <x:c r="A25" t="n">
        <x:v>24</x:v>
      </x:c>
      <x:c r="B25" s="330"/>
      <x:c r="C25" s="330" t="n">
        <x:v>46198</x:v>
      </x:c>
      <x:c r="D25" t="n">
        <x:v>2024</x:v>
      </x:c>
      <x:c r="E25"/>
      <x:c r="F25" t="str">
        <x:v>24/24/CBMP-HD</x:v>
      </x:c>
      <x:c r="G25"/>
      <x:c r="H25" t="str">
        <x:v>D2</x:v>
      </x:c>
      <x:c r="I25" t="str">
        <x:v>Bomane</x:v>
      </x:c>
      <x:c r="J25" t="str">
        <x:v>Uốn/duỗi/giữ nếp tóc</x:v>
      </x:c>
      <x:c r="K25" t="str">
        <x:v>Sản phẩm chăm sóc tóc (Uốn tóc; duỗi tóc; giữ nếp tóc)</x:v>
      </x:c>
      <x:c r="L25" t="str">
        <x:v>Công ty TNHH Hoá Mỹ Phẩm Hồng Đạt</x:v>
      </x:c>
      <x:c r="M25" t="str">
        <x:v>Thôn Đông Giao; xã Lương Điền; huyện Cẩm Giàng; tỉnh Hải Dương; VN</x:v>
      </x:c>
      <x:c r="N25"/>
      <x:c r="O25" t="str">
        <x:v>Chưa đối chiếu thu hồi</x:v>
      </x:c>
      <x:c r="P25" t="str">
        <x:v>Nguồn XLSX chính thức – Cổng dữ liệu mở TP Hải Phòng</x:v>
      </x:c>
      <x:c r="Q25" t="str">
        <x:v>Địa bàn nguồn: Hải Dương (lịch sử). Thuộc 28/409 dòng đầu đã đọc trực tiếp; chưa phải bộ dữ liệu đầy đủ.</x:v>
      </x:c>
      <x:c r="R25" t="str">
        <x:v>https://data.haiphong.gov.vn/dataset/07fa5c03-31ee-453f-9bba-f7acd2ffeb6a/resource/4621ee58-725a-481d-b29c-931e46f220c5/download/khocsdl_trichxuatdulieu_dulieusotiepnhanphieucongbosanphammypham_2026-06-25.xlsx</x:v>
      </x:c>
      <x:c r="S25" t="str">
        <x:v>Hải Phòng</x:v>
      </x:c>
      <x:c r="T25" t="str">
        <x:v>31</x:v>
      </x:c>
    </x:row>
    <x:row r="26">
      <x:c r="A26" t="n">
        <x:v>25</x:v>
      </x:c>
      <x:c r="B26" s="330"/>
      <x:c r="C26" s="330" t="n">
        <x:v>46198</x:v>
      </x:c>
      <x:c r="D26" t="n">
        <x:v>2024</x:v>
      </x:c>
      <x:c r="E26"/>
      <x:c r="F26" t="str">
        <x:v>25/24/CBMP-HD</x:v>
      </x:c>
      <x:c r="G26"/>
      <x:c r="H26" t="str">
        <x:v>PERM &amp; STRAIGHT G1</x:v>
      </x:c>
      <x:c r="I26" t="str">
        <x:v>GOLDWIN</x:v>
      </x:c>
      <x:c r="J26" t="str">
        <x:v>Uốn/duỗi/giữ nếp tóc</x:v>
      </x:c>
      <x:c r="K26" t="str">
        <x:v>Sản phẩm chăm sóc tóc (Uốn tóc; duỗi tóc; giữ nếp tóc)</x:v>
      </x:c>
      <x:c r="L26" t="str">
        <x:v>Công ty TNHH Hoá Mỹ Phẩm Hồng Đạt</x:v>
      </x:c>
      <x:c r="M26" t="str">
        <x:v>Thôn Đông Giao; xã Lương Điền; huyện Cẩm Giàng; tỉnh Hải Dương; VN</x:v>
      </x:c>
      <x:c r="N26"/>
      <x:c r="O26" t="str">
        <x:v>Chưa đối chiếu thu hồi</x:v>
      </x:c>
      <x:c r="P26" t="str">
        <x:v>Nguồn XLSX chính thức – Cổng dữ liệu mở TP Hải Phòng</x:v>
      </x:c>
      <x:c r="Q26" t="str">
        <x:v>Địa bàn nguồn: Hải Dương (lịch sử). Thuộc 28/409 dòng đầu đã đọc trực tiếp; chưa phải bộ dữ liệu đầy đủ.</x:v>
      </x:c>
      <x:c r="R26" t="str">
        <x:v>https://data.haiphong.gov.vn/dataset/07fa5c03-31ee-453f-9bba-f7acd2ffeb6a/resource/4621ee58-725a-481d-b29c-931e46f220c5/download/khocsdl_trichxuatdulieu_dulieusotiepnhanphieucongbosanphammypham_2026-06-25.xlsx</x:v>
      </x:c>
      <x:c r="S26" t="str">
        <x:v>Hải Phòng</x:v>
      </x:c>
      <x:c r="T26" t="str">
        <x:v>31</x:v>
      </x:c>
    </x:row>
    <x:row r="27">
      <x:c r="A27" t="n">
        <x:v>26</x:v>
      </x:c>
      <x:c r="B27" s="330"/>
      <x:c r="C27" s="330" t="n">
        <x:v>46198</x:v>
      </x:c>
      <x:c r="D27" t="n">
        <x:v>2024</x:v>
      </x:c>
      <x:c r="E27"/>
      <x:c r="F27" t="str">
        <x:v>26/24/CBMP-HD</x:v>
      </x:c>
      <x:c r="G27"/>
      <x:c r="H27" t="str">
        <x:v>PERM &amp; STRAIGHT G3</x:v>
      </x:c>
      <x:c r="I27" t="str">
        <x:v>GOLDWIN</x:v>
      </x:c>
      <x:c r="J27" t="str">
        <x:v>Uốn/duỗi/giữ nếp tóc</x:v>
      </x:c>
      <x:c r="K27" t="str">
        <x:v>Sản phẩm chăm sóc tóc (Uốn tóc; duỗi tóc; giữ nếp tóc)</x:v>
      </x:c>
      <x:c r="L27" t="str">
        <x:v>Công ty TNHH Hoá Mỹ Phẩm Hồng Đạt</x:v>
      </x:c>
      <x:c r="M27" t="str">
        <x:v>Thôn Đông Giao; xã Lương Điền; huyện Cẩm Giàng; tỉnh Hải Dương; VN</x:v>
      </x:c>
      <x:c r="N27"/>
      <x:c r="O27" t="str">
        <x:v>Chưa đối chiếu thu hồi</x:v>
      </x:c>
      <x:c r="P27" t="str">
        <x:v>Nguồn XLSX chính thức – Cổng dữ liệu mở TP Hải Phòng</x:v>
      </x:c>
      <x:c r="Q27" t="str">
        <x:v>Địa bàn nguồn: Hải Dương (lịch sử). Thuộc 28/409 dòng đầu đã đọc trực tiếp; chưa phải bộ dữ liệu đầy đủ.</x:v>
      </x:c>
      <x:c r="R27" t="str">
        <x:v>https://data.haiphong.gov.vn/dataset/07fa5c03-31ee-453f-9bba-f7acd2ffeb6a/resource/4621ee58-725a-481d-b29c-931e46f220c5/download/khocsdl_trichxuatdulieu_dulieusotiepnhanphieucongbosanphammypham_2026-06-25.xlsx</x:v>
      </x:c>
      <x:c r="S27" t="str">
        <x:v>Hải Phòng</x:v>
      </x:c>
      <x:c r="T27" t="str">
        <x:v>31</x:v>
      </x:c>
    </x:row>
    <x:row r="28">
      <x:c r="A28" t="n">
        <x:v>27</x:v>
      </x:c>
      <x:c r="B28" s="330"/>
      <x:c r="C28" s="330" t="n">
        <x:v>46198</x:v>
      </x:c>
      <x:c r="D28" t="n">
        <x:v>2024</x:v>
      </x:c>
      <x:c r="E28"/>
      <x:c r="F28" t="str">
        <x:v>27/24/CBMP-HD</x:v>
      </x:c>
      <x:c r="G28"/>
      <x:c r="H28" t="str">
        <x:v>SHAMPOO</x:v>
      </x:c>
      <x:c r="I28" t="str">
        <x:v>HM</x:v>
      </x:c>
      <x:c r="J28" t="str">
        <x:v>Dầu gội</x:v>
      </x:c>
      <x:c r="K28" t="str">
        <x:v>Sản phẩm chăm sóc tóc (sản phẩm làm sạch)</x:v>
      </x:c>
      <x:c r="L28" t="str">
        <x:v>Công ty TNHH Hoá Mỹ Phẩm Hồng Đạt</x:v>
      </x:c>
      <x:c r="M28" t="str">
        <x:v>Thôn Đông Giao; xã Lương Điền; huyện Cẩm Giàng; tỉnh Hải Dương; VN</x:v>
      </x:c>
      <x:c r="N28"/>
      <x:c r="O28" t="str">
        <x:v>Chưa đối chiếu thu hồi</x:v>
      </x:c>
      <x:c r="P28" t="str">
        <x:v>Nguồn XLSX chính thức – Cổng dữ liệu mở TP Hải Phòng</x:v>
      </x:c>
      <x:c r="Q28" t="str">
        <x:v>Địa bàn nguồn: Hải Dương (lịch sử). Thuộc 28/409 dòng đầu đã đọc trực tiếp; chưa phải bộ dữ liệu đầy đủ.</x:v>
      </x:c>
      <x:c r="R28" t="str">
        <x:v>https://data.haiphong.gov.vn/dataset/07fa5c03-31ee-453f-9bba-f7acd2ffeb6a/resource/4621ee58-725a-481d-b29c-931e46f220c5/download/khocsdl_trichxuatdulieu_dulieusotiepnhanphieucongbosanphammypham_2026-06-25.xlsx</x:v>
      </x:c>
      <x:c r="S28" t="str">
        <x:v>Hải Phòng</x:v>
      </x:c>
      <x:c r="T28" t="str">
        <x:v>31</x:v>
      </x:c>
    </x:row>
    <x:row r="29">
      <x:c r="A29" t="n">
        <x:v>28</x:v>
      </x:c>
      <x:c r="B29" s="330"/>
      <x:c r="C29" s="330" t="n">
        <x:v>46198</x:v>
      </x:c>
      <x:c r="D29" t="n">
        <x:v>2024</x:v>
      </x:c>
      <x:c r="E29"/>
      <x:c r="F29" t="str">
        <x:v>28/24/CBMP-HD</x:v>
      </x:c>
      <x:c r="G29"/>
      <x:c r="H29" t="str">
        <x:v>PERM &amp; STRAIGHT 1</x:v>
      </x:c>
      <x:c r="I29" t="str">
        <x:v>V8</x:v>
      </x:c>
      <x:c r="J29" t="str">
        <x:v>Uốn/duỗi/giữ nếp tóc</x:v>
      </x:c>
      <x:c r="K29" t="str">
        <x:v>Sản phẩm chăm sóc tóc (Uốn tóc; duỗi tóc; giữ nếp tóc)</x:v>
      </x:c>
      <x:c r="L29" t="str">
        <x:v>Công ty TNHH Hoá Mỹ Phẩm Hồng Đạt</x:v>
      </x:c>
      <x:c r="M29" t="str">
        <x:v>Thôn Đông Giao; xã Lương Điền; huyện Cẩm Giàng; tỉnh Hải Dương; VN</x:v>
      </x:c>
      <x:c r="N29"/>
      <x:c r="O29" t="str">
        <x:v>Chưa đối chiếu thu hồi</x:v>
      </x:c>
      <x:c r="P29" t="str">
        <x:v>Nguồn XLSX chính thức – Cổng dữ liệu mở TP Hải Phòng</x:v>
      </x:c>
      <x:c r="Q29" t="str">
        <x:v>Địa bàn nguồn: Hải Dương (lịch sử). Thuộc 28/409 dòng đầu đã đọc trực tiếp; chưa phải bộ dữ liệu đầy đủ.</x:v>
      </x:c>
      <x:c r="R29" t="str">
        <x:v>https://data.haiphong.gov.vn/dataset/07fa5c03-31ee-453f-9bba-f7acd2ffeb6a/resource/4621ee58-725a-481d-b29c-931e46f220c5/download/khocsdl_trichxuatdulieu_dulieusotiepnhanphieucongbosanphammypham_2026-06-25.xlsx</x:v>
      </x:c>
      <x:c r="S29" t="str">
        <x:v>Hải Phòng</x:v>
      </x:c>
      <x:c r="T29" t="str">
        <x:v>31</x:v>
      </x:c>
    </x:row>
    <x:row r="30">
      <x:c r="A30" t="n">
        <x:v>29</x:v>
      </x:c>
      <x:c r="B30" s="330" t="n">
        <x:v>45587</x:v>
      </x:c>
      <x:c r="C30" s="330" t="n">
        <x:v>46132</x:v>
      </x:c>
      <x:c r="D30" t="n">
        <x:v>2024</x:v>
      </x:c>
      <x:c r="E30" t="n">
        <x:v>10</x:v>
      </x:c>
      <x:c r="F30" t="str">
        <x:v>332/24/CBMP-HD</x:v>
      </x:c>
      <x:c r="G30"/>
      <x:c r="H30" t="str">
        <x:v>LUCASTA CONDITIONER</x:v>
      </x:c>
      <x:c r="I30" t="str">
        <x:v>LUCASTA</x:v>
      </x:c>
      <x:c r="J30" t="str">
        <x:v>Dầu xả</x:v>
      </x:c>
      <x:c r="K30" t="str">
        <x:v>Đối chiếu từ danh mục thu hồi có ngày cấp</x:v>
      </x:c>
      <x:c r="L30" t="str">
        <x:v>Công ty TNHH Sản xuất và Thương mại Mỹ phẩm Việt Anh</x:v>
      </x:c>
      <x:c r="M30" t="str">
        <x:v>Xóm 1, Thôn Hải Bối, Xã Vĩnh Thanh, thành phố Hà Nội, Việt Nam</x:v>
      </x:c>
      <x:c r="N30"/>
      <x:c r="O30" t="str">
        <x:v>Đã thu hồi theo QĐ 1407/1414/1415/1416/QĐ-SYT ngày 10/04/2026</x:v>
      </x:c>
      <x:c r="P30" t="str">
        <x:v>Nguồn chính thức Hải Phòng – có số tiếp nhận và ngày cấp</x:v>
      </x:c>
      <x:c r="Q30" t="str">
        <x:v>MST đơn vị chịu trách nhiệm: 0110789789. Hồ sơ được dùng như bằng chứng lịch sử đã từng được cấp số; đồng thời gắn trạng thái thu hồi.</x:v>
      </x:c>
      <x:c r="R30" t="str">
        <x:v>https://tanhung.haiphong.gov.vn/trang-chu-66859/phuong-tan-hung-thong-bao-ve-viec-thu-hoi-san-pham-my-pham-888028</x:v>
      </x:c>
      <x:c r="S30" t="str">
        <x:v>Hải Phòng</x:v>
      </x:c>
      <x:c r="T30" t="str">
        <x:v>31</x:v>
      </x:c>
    </x:row>
    <x:row r="31">
      <x:c r="A31" t="n">
        <x:v>30</x:v>
      </x:c>
      <x:c r="B31" s="330" t="n">
        <x:v>45587</x:v>
      </x:c>
      <x:c r="C31" s="330" t="n">
        <x:v>46132</x:v>
      </x:c>
      <x:c r="D31" t="n">
        <x:v>2024</x:v>
      </x:c>
      <x:c r="E31" t="n">
        <x:v>10</x:v>
      </x:c>
      <x:c r="F31" t="str">
        <x:v>333/24/CBMP-HD</x:v>
      </x:c>
      <x:c r="G31"/>
      <x:c r="H31" t="str">
        <x:v>LUCASTA SHAMPOO</x:v>
      </x:c>
      <x:c r="I31" t="str">
        <x:v>LUCASTA</x:v>
      </x:c>
      <x:c r="J31" t="str">
        <x:v>Dầu gội</x:v>
      </x:c>
      <x:c r="K31" t="str">
        <x:v>Đối chiếu từ danh mục thu hồi có ngày cấp</x:v>
      </x:c>
      <x:c r="L31" t="str">
        <x:v>Công ty TNHH Sản xuất và Thương mại Mỹ phẩm Việt Anh</x:v>
      </x:c>
      <x:c r="M31" t="str">
        <x:v>Xóm 1, Thôn Hải Bối, Xã Vĩnh Thanh, thành phố Hà Nội, Việt Nam</x:v>
      </x:c>
      <x:c r="N31"/>
      <x:c r="O31" t="str">
        <x:v>Đã thu hồi theo QĐ 1407/1414/1415/1416/QĐ-SYT ngày 10/04/2026</x:v>
      </x:c>
      <x:c r="P31" t="str">
        <x:v>Nguồn chính thức Hải Phòng – có số tiếp nhận và ngày cấp</x:v>
      </x:c>
      <x:c r="Q31" t="str">
        <x:v>MST đơn vị chịu trách nhiệm: 0110789789. Hồ sơ được dùng như bằng chứng lịch sử đã từng được cấp số; đồng thời gắn trạng thái thu hồi.</x:v>
      </x:c>
      <x:c r="R31" t="str">
        <x:v>https://tanhung.haiphong.gov.vn/trang-chu-66859/phuong-tan-hung-thong-bao-ve-viec-thu-hoi-san-pham-my-pham-888028</x:v>
      </x:c>
      <x:c r="S31" t="str">
        <x:v>Hải Phòng</x:v>
      </x:c>
      <x:c r="T31" t="str">
        <x:v>31</x:v>
      </x:c>
    </x:row>
    <x:row r="32">
      <x:c r="A32" t="n">
        <x:v>31</x:v>
      </x:c>
      <x:c r="B32" s="330" t="n">
        <x:v>45587</x:v>
      </x:c>
      <x:c r="C32" s="330" t="n">
        <x:v>46132</x:v>
      </x:c>
      <x:c r="D32" t="n">
        <x:v>2024</x:v>
      </x:c>
      <x:c r="E32" t="n">
        <x:v>10</x:v>
      </x:c>
      <x:c r="F32" t="str">
        <x:v>334/24/CBMP-HD</x:v>
      </x:c>
      <x:c r="G32"/>
      <x:c r="H32" t="str">
        <x:v>UỐN LẠNH LUCASTA</x:v>
      </x:c>
      <x:c r="I32" t="str">
        <x:v>LUCASTA</x:v>
      </x:c>
      <x:c r="J32" t="str">
        <x:v>Uốn/duỗi/giữ nếp tóc</x:v>
      </x:c>
      <x:c r="K32" t="str">
        <x:v>Đối chiếu từ danh mục thu hồi có ngày cấp</x:v>
      </x:c>
      <x:c r="L32" t="str">
        <x:v>Công ty TNHH Sản xuất và Thương mại Mỹ phẩm Việt Anh</x:v>
      </x:c>
      <x:c r="M32" t="str">
        <x:v>Xóm 1, Thôn Hải Bối, Xã Vĩnh Thanh, thành phố Hà Nội, Việt Nam</x:v>
      </x:c>
      <x:c r="N32"/>
      <x:c r="O32" t="str">
        <x:v>Đã thu hồi theo QĐ 1407/1414/1415/1416/QĐ-SYT ngày 10/04/2026</x:v>
      </x:c>
      <x:c r="P32" t="str">
        <x:v>Nguồn chính thức Hải Phòng – có số tiếp nhận và ngày cấp</x:v>
      </x:c>
      <x:c r="Q32" t="str">
        <x:v>MST đơn vị chịu trách nhiệm: 0110789789. Hồ sơ được dùng như bằng chứng lịch sử đã từng được cấp số; đồng thời gắn trạng thái thu hồi.</x:v>
      </x:c>
      <x:c r="R32" t="str">
        <x:v>https://tanhung.haiphong.gov.vn/trang-chu-66859/phuong-tan-hung-thong-bao-ve-viec-thu-hoi-san-pham-my-pham-888028</x:v>
      </x:c>
      <x:c r="S32" t="str">
        <x:v>Hải Phòng</x:v>
      </x:c>
      <x:c r="T32" t="str">
        <x:v>31</x:v>
      </x:c>
    </x:row>
    <x:row r="33">
      <x:c r="A33" t="n">
        <x:v>32</x:v>
      </x:c>
      <x:c r="B33" s="330" t="n">
        <x:v>45622</x:v>
      </x:c>
      <x:c r="C33" s="330" t="n">
        <x:v>46132</x:v>
      </x:c>
      <x:c r="D33" t="n">
        <x:v>2024</x:v>
      </x:c>
      <x:c r="E33" t="n">
        <x:v>11</x:v>
      </x:c>
      <x:c r="F33" t="str">
        <x:v>367/24/CBMP-HD</x:v>
      </x:c>
      <x:c r="G33"/>
      <x:c r="H33" t="str">
        <x:v>SÁP TÓC LUCASTA</x:v>
      </x:c>
      <x:c r="I33" t="str">
        <x:v>LUCASTA</x:v>
      </x:c>
      <x:c r="J33" t="str">
        <x:v>Tạo kiểu tóc</x:v>
      </x:c>
      <x:c r="K33" t="str">
        <x:v>Đối chiếu từ danh mục thu hồi có ngày cấp</x:v>
      </x:c>
      <x:c r="L33" t="str">
        <x:v>Công ty TNHH Sản xuất và Thương mại Mỹ phẩm Việt Anh</x:v>
      </x:c>
      <x:c r="M33" t="str">
        <x:v>Xóm 1, Thôn Hải Bối, Xã Vĩnh Thanh, thành phố Hà Nội, Việt Nam</x:v>
      </x:c>
      <x:c r="N33"/>
      <x:c r="O33" t="str">
        <x:v>Đã thu hồi theo QĐ 1407/1414/1415/1416/QĐ-SYT ngày 10/04/2026</x:v>
      </x:c>
      <x:c r="P33" t="str">
        <x:v>Nguồn chính thức Hải Phòng – có số tiếp nhận và ngày cấp</x:v>
      </x:c>
      <x:c r="Q33" t="str">
        <x:v>MST đơn vị chịu trách nhiệm: 0110789789. Hồ sơ được dùng như bằng chứng lịch sử đã từng được cấp số; đồng thời gắn trạng thái thu hồi.</x:v>
      </x:c>
      <x:c r="R33" t="str">
        <x:v>https://tanhung.haiphong.gov.vn/trang-chu-66859/phuong-tan-hung-thong-bao-ve-viec-thu-hoi-san-pham-my-pham-888028</x:v>
      </x:c>
      <x:c r="S33" t="str">
        <x:v>Hải Phòng</x:v>
      </x:c>
      <x:c r="T33" t="str">
        <x:v>31</x:v>
      </x:c>
    </x:row>
    <x:row r="34">
      <x:c r="A34" t="n">
        <x:v>33</x:v>
      </x:c>
      <x:c r="B34" s="330" t="n">
        <x:v>45469</x:v>
      </x:c>
      <x:c r="C34" s="330" t="n">
        <x:v>46132</x:v>
      </x:c>
      <x:c r="D34" t="n">
        <x:v>2024</x:v>
      </x:c>
      <x:c r="E34" t="n">
        <x:v>6</x:v>
      </x:c>
      <x:c r="F34" t="str">
        <x:v>208/24/CBMP-HD</x:v>
      </x:c>
      <x:c r="G34"/>
      <x:c r="H34" t="str">
        <x:v>ĐỊNH HÌNH ĐA NĂNG DÀNH CHO TÓC UỐN AUFHELLEN</x:v>
      </x:c>
      <x:c r="I34" t="str">
        <x:v>AUFHELLEN</x:v>
      </x:c>
      <x:c r="J34" t="str">
        <x:v>Tạo kiểu tóc</x:v>
      </x:c>
      <x:c r="K34" t="str">
        <x:v>Đối chiếu từ danh mục thu hồi có ngày cấp</x:v>
      </x:c>
      <x:c r="L34" t="str">
        <x:v>Công ty TNHH mỹ phẩm Khải Phát</x:v>
      </x:c>
      <x:c r="M34" t="str">
        <x:v>Lô DG6-4, Khu đấu giá X1 Cầu Nề, Xã Sơn Đồng, TP Hà Nội, Việt Nam</x:v>
      </x:c>
      <x:c r="N34"/>
      <x:c r="O34" t="str">
        <x:v>Đã thu hồi theo QĐ 1407/1414/1415/1416/QĐ-SYT ngày 10/04/2026</x:v>
      </x:c>
      <x:c r="P34" t="str">
        <x:v>Nguồn chính thức Hải Phòng – có số tiếp nhận và ngày cấp</x:v>
      </x:c>
      <x:c r="Q34" t="str">
        <x:v>MST đơn vị chịu trách nhiệm: 0109703258. Hồ sơ được dùng như bằng chứng lịch sử đã từng được cấp số; đồng thời gắn trạng thái thu hồi.</x:v>
      </x:c>
      <x:c r="R34" t="str">
        <x:v>https://tanhung.haiphong.gov.vn/trang-chu-66859/phuong-tan-hung-thong-bao-ve-viec-thu-hoi-san-pham-my-pham-888028</x:v>
      </x:c>
      <x:c r="S34" t="str">
        <x:v>Hải Phòng</x:v>
      </x:c>
      <x:c r="T34" t="str">
        <x:v>31</x:v>
      </x:c>
    </x:row>
    <x:row r="35">
      <x:c r="A35" t="n">
        <x:v>34</x:v>
      </x:c>
      <x:c r="B35" s="330" t="n">
        <x:v>45474</x:v>
      </x:c>
      <x:c r="C35" s="330" t="n">
        <x:v>46132</x:v>
      </x:c>
      <x:c r="D35" t="n">
        <x:v>2024</x:v>
      </x:c>
      <x:c r="E35" t="n">
        <x:v>7</x:v>
      </x:c>
      <x:c r="F35" t="str">
        <x:v>211/24/CBMP-HD</x:v>
      </x:c>
      <x:c r="G35"/>
      <x:c r="H35" t="str">
        <x:v>OXIANTE TRỢ NHUỘM TÓC AUFHLLEN</x:v>
      </x:c>
      <x:c r="I35" t="str">
        <x:v>AUFHELLEN</x:v>
      </x:c>
      <x:c r="J35" t="str">
        <x:v>Nhuộm/tẩy màu tóc</x:v>
      </x:c>
      <x:c r="K35" t="str">
        <x:v>Đối chiếu từ danh mục thu hồi có ngày cấp</x:v>
      </x:c>
      <x:c r="L35" t="str">
        <x:v>Công ty TNHH mỹ phẩm Khải Phát</x:v>
      </x:c>
      <x:c r="M35" t="str">
        <x:v>Lô DG6-4, Khu đấu giá X1 Cầu Nề, Xã Sơn Đồng, TP Hà Nội, Việt Nam</x:v>
      </x:c>
      <x:c r="N35"/>
      <x:c r="O35" t="str">
        <x:v>Đã thu hồi theo QĐ 1407/1414/1415/1416/QĐ-SYT ngày 10/04/2026</x:v>
      </x:c>
      <x:c r="P35" t="str">
        <x:v>Nguồn chính thức Hải Phòng – có số tiếp nhận và ngày cấp</x:v>
      </x:c>
      <x:c r="Q35" t="str">
        <x:v>MST đơn vị chịu trách nhiệm: 0109703258. Hồ sơ được dùng như bằng chứng lịch sử đã từng được cấp số; đồng thời gắn trạng thái thu hồi.</x:v>
      </x:c>
      <x:c r="R35" t="str">
        <x:v>https://tanhung.haiphong.gov.vn/trang-chu-66859/phuong-tan-hung-thong-bao-ve-viec-thu-hoi-san-pham-my-pham-888028</x:v>
      </x:c>
      <x:c r="S35" t="str">
        <x:v>Hải Phòng</x:v>
      </x:c>
      <x:c r="T35" t="str">
        <x:v>31</x:v>
      </x:c>
    </x:row>
    <x:row r="36">
      <x:c r="A36" t="n">
        <x:v>35</x:v>
      </x:c>
      <x:c r="B36" s="330" t="n">
        <x:v>46077</x:v>
      </x:c>
      <x:c r="C36" s="330" t="n">
        <x:v>46132</x:v>
      </x:c>
      <x:c r="D36" t="n">
        <x:v>2026</x:v>
      </x:c>
      <x:c r="E36" t="n">
        <x:v>2</x:v>
      </x:c>
      <x:c r="F36" t="str">
        <x:v>064/26/CBMP-HP</x:v>
      </x:c>
      <x:c r="G36"/>
      <x:c r="H36" t="str">
        <x:v>R GLOW</x:v>
      </x:c>
      <x:c r="I36" t="str">
        <x:v>R GLOW</x:v>
      </x:c>
      <x:c r="J36" t="str">
        <x:v>Khác</x:v>
      </x:c>
      <x:c r="K36" t="str">
        <x:v>Đối chiếu từ danh mục thu hồi có ngày cấp</x:v>
      </x:c>
      <x:c r="L36" t="str">
        <x:v>Hộ kinh doanh Hoàng Thị Thương</x:v>
      </x:c>
      <x:c r="M36" t="str">
        <x:v>Thôn Phú Ninh, xã Gia Bình, tỉnh Bắc Ninh</x:v>
      </x:c>
      <x:c r="N36"/>
      <x:c r="O36" t="str">
        <x:v>Đã thu hồi theo QĐ 1407/1414/1415/1416/QĐ-SYT ngày 10/04/2026</x:v>
      </x:c>
      <x:c r="P36" t="str">
        <x:v>Nguồn chính thức Hải Phòng – có số tiếp nhận và ngày cấp</x:v>
      </x:c>
      <x:c r="Q36" t="str">
        <x:v>MST đơn vị chịu trách nhiệm: 027194004334. Hồ sơ được dùng như bằng chứng lịch sử đã từng được cấp số; đồng thời gắn trạng thái thu hồi.</x:v>
      </x:c>
      <x:c r="R36" t="str">
        <x:v>https://tanhung.haiphong.gov.vn/trang-chu-66859/phuong-tan-hung-thong-bao-ve-viec-thu-hoi-san-pham-my-pham-888028</x:v>
      </x:c>
      <x:c r="S36" t="str">
        <x:v>Hải Phòng</x:v>
      </x:c>
      <x:c r="T36" t="str">
        <x:v>31</x:v>
      </x:c>
    </x:row>
    <x:row r="37">
      <x:c r="A37" t="n">
        <x:v>36</x:v>
      </x:c>
      <x:c r="B37" s="330" t="n">
        <x:v>45569</x:v>
      </x:c>
      <x:c r="C37" s="330" t="n">
        <x:v>46132</x:v>
      </x:c>
      <x:c r="D37" t="n">
        <x:v>2024</x:v>
      </x:c>
      <x:c r="E37" t="n">
        <x:v>10</x:v>
      </x:c>
      <x:c r="F37" t="str">
        <x:v>309/24/CBMP-HD</x:v>
      </x:c>
      <x:c r="G37"/>
      <x:c r="H37" t="str">
        <x:v>SỮA TẮM DƯỢC LIỆU DAO ĐỎ VNUA</x:v>
      </x:c>
      <x:c r="I37" t="str">
        <x:v>VNUA</x:v>
      </x:c>
      <x:c r="J37" t="str">
        <x:v>Sữa tắm/Gel tắm</x:v>
      </x:c>
      <x:c r="K37" t="str">
        <x:v>Đối chiếu từ danh mục thu hồi có ngày cấp</x:v>
      </x:c>
      <x:c r="L37" t="str">
        <x:v>Công ty Cổ phần Khoa học Sinh Dược Việt Nam</x:v>
      </x:c>
      <x:c r="M37" t="str">
        <x:v>Số 2 Ngõ 104, Đường Trâu Quỳ, Tổ Dân Phố Nông Lâm, Xã Gia Lâm, TP Hà Nội, Việt Nam</x:v>
      </x:c>
      <x:c r="N37"/>
      <x:c r="O37" t="str">
        <x:v>Đã thu hồi theo QĐ 1407/1414/1415/1416/QĐ-SYT ngày 10/04/2026</x:v>
      </x:c>
      <x:c r="P37" t="str">
        <x:v>Nguồn chính thức Hải Phòng – có số tiếp nhận và ngày cấp</x:v>
      </x:c>
      <x:c r="Q37" t="str">
        <x:v>MST đơn vị chịu trách nhiệm: 0110626199. Hồ sơ được dùng như bằng chứng lịch sử đã từng được cấp số; đồng thời gắn trạng thái thu hồi.</x:v>
      </x:c>
      <x:c r="R37" t="str">
        <x:v>https://tanhung.haiphong.gov.vn/trang-chu-66859/phuong-tan-hung-thong-bao-ve-viec-thu-hoi-san-pham-my-pham-888028</x:v>
      </x:c>
      <x:c r="S37" t="str">
        <x:v>Hải Phòng</x:v>
      </x:c>
      <x:c r="T37" t="str">
        <x:v>31</x:v>
      </x:c>
    </x:row>
    <x:row r="38">
      <x:c r="A38" t="n">
        <x:v>37</x:v>
      </x:c>
      <x:c r="B38" s="330" t="n">
        <x:v>45569</x:v>
      </x:c>
      <x:c r="C38" s="330" t="n">
        <x:v>46132</x:v>
      </x:c>
      <x:c r="D38" t="n">
        <x:v>2024</x:v>
      </x:c>
      <x:c r="E38" t="n">
        <x:v>10</x:v>
      </x:c>
      <x:c r="F38" t="str">
        <x:v>311/24/CBMP-HD</x:v>
      </x:c>
      <x:c r="G38"/>
      <x:c r="H38" t="str">
        <x:v>XỊT TÓC DƯỢC LIỆU VNUA</x:v>
      </x:c>
      <x:c r="I38" t="str">
        <x:v>VNUA</x:v>
      </x:c>
      <x:c r="J38" t="str">
        <x:v>Dưỡng tóc/Serum tóc</x:v>
      </x:c>
      <x:c r="K38" t="str">
        <x:v>Đối chiếu từ danh mục thu hồi có ngày cấp</x:v>
      </x:c>
      <x:c r="L38" t="str">
        <x:v>Công ty Cổ phần Khoa học Sinh Dược Việt Nam</x:v>
      </x:c>
      <x:c r="M38" t="str">
        <x:v>Số 2 Ngõ 104, Đường Trâu Quỳ, Tổ Dân Phố Nông Lâm, Xã Gia Lâm, TP Hà Nội, Việt Nam</x:v>
      </x:c>
      <x:c r="N38"/>
      <x:c r="O38" t="str">
        <x:v>Đã thu hồi theo QĐ 1407/1414/1415/1416/QĐ-SYT ngày 10/04/2026</x:v>
      </x:c>
      <x:c r="P38" t="str">
        <x:v>Nguồn chính thức Hải Phòng – có số tiếp nhận và ngày cấp</x:v>
      </x:c>
      <x:c r="Q38" t="str">
        <x:v>MST đơn vị chịu trách nhiệm: 0110626199. Hồ sơ được dùng như bằng chứng lịch sử đã từng được cấp số; đồng thời gắn trạng thái thu hồi.</x:v>
      </x:c>
      <x:c r="R38" t="str">
        <x:v>https://tanhung.haiphong.gov.vn/trang-chu-66859/phuong-tan-hung-thong-bao-ve-viec-thu-hoi-san-pham-my-pham-888028</x:v>
      </x:c>
      <x:c r="S38" t="str">
        <x:v>Hải Phòng</x:v>
      </x:c>
      <x:c r="T38" t="str">
        <x:v>31</x:v>
      </x:c>
    </x:row>
    <x:row r="39">
      <x:c r="A39" t="n">
        <x:v>38</x:v>
      </x:c>
      <x:c r="B39" s="330" t="n">
        <x:v>45569</x:v>
      </x:c>
      <x:c r="C39" s="330" t="n">
        <x:v>46132</x:v>
      </x:c>
      <x:c r="D39" t="n">
        <x:v>2024</x:v>
      </x:c>
      <x:c r="E39" t="n">
        <x:v>10</x:v>
      </x:c>
      <x:c r="F39" t="str">
        <x:v>312/24/CBMP-HD</x:v>
      </x:c>
      <x:c r="G39"/>
      <x:c r="H39" t="str">
        <x:v>VNUA EVASOFT</x:v>
      </x:c>
      <x:c r="I39" t="str">
        <x:v>VNUA</x:v>
      </x:c>
      <x:c r="J39" t="str">
        <x:v>Khác</x:v>
      </x:c>
      <x:c r="K39" t="str">
        <x:v>Đối chiếu từ danh mục thu hồi có ngày cấp</x:v>
      </x:c>
      <x:c r="L39" t="str">
        <x:v>Công ty Cổ phần Khoa học Sinh Dược Việt Nam</x:v>
      </x:c>
      <x:c r="M39" t="str">
        <x:v>Số 2 Ngõ 104, Đường Trâu Quỳ, Tổ Dân Phố Nông Lâm, Xã Gia Lâm, TP Hà Nội, Việt Nam</x:v>
      </x:c>
      <x:c r="N39"/>
      <x:c r="O39" t="str">
        <x:v>Đã thu hồi theo QĐ 1407/1414/1415/1416/QĐ-SYT ngày 10/04/2026</x:v>
      </x:c>
      <x:c r="P39" t="str">
        <x:v>Nguồn chính thức Hải Phòng – có số tiếp nhận và ngày cấp</x:v>
      </x:c>
      <x:c r="Q39" t="str">
        <x:v>MST đơn vị chịu trách nhiệm: 0110626199. Hồ sơ được dùng như bằng chứng lịch sử đã từng được cấp số; đồng thời gắn trạng thái thu hồi.</x:v>
      </x:c>
      <x:c r="R39" t="str">
        <x:v>https://tanhung.haiphong.gov.vn/trang-chu-66859/phuong-tan-hung-thong-bao-ve-viec-thu-hoi-san-pham-my-pham-888028</x:v>
      </x:c>
      <x:c r="S39" t="str">
        <x:v>Hải Phòng</x:v>
      </x:c>
      <x:c r="T39" t="str">
        <x:v>31</x:v>
      </x:c>
    </x:row>
    <x:row r="40">
      <x:c r="A40" t="n">
        <x:v>39</x:v>
      </x:c>
      <x:c r="B40" s="330" t="n">
        <x:v>45569</x:v>
      </x:c>
      <x:c r="C40" s="330" t="n">
        <x:v>46132</x:v>
      </x:c>
      <x:c r="D40" t="n">
        <x:v>2024</x:v>
      </x:c>
      <x:c r="E40" t="n">
        <x:v>10</x:v>
      </x:c>
      <x:c r="F40" t="str">
        <x:v>313/24/CBMP-HD</x:v>
      </x:c>
      <x:c r="G40"/>
      <x:c r="H40" t="str">
        <x:v>DẦU GỘI DƯỢC LIỆU SẠCH GÀU VNUA FOR DANDRUFF</x:v>
      </x:c>
      <x:c r="I40" t="str">
        <x:v>VNUA</x:v>
      </x:c>
      <x:c r="J40" t="str">
        <x:v>Dầu gội</x:v>
      </x:c>
      <x:c r="K40" t="str">
        <x:v>Đối chiếu từ danh mục thu hồi có ngày cấp</x:v>
      </x:c>
      <x:c r="L40" t="str">
        <x:v>Công ty Cổ phần Khoa học Sinh Dược Việt Nam</x:v>
      </x:c>
      <x:c r="M40" t="str">
        <x:v>Số 2 Ngõ 104, Đường Trâu Quỳ, Tổ Dân Phố Nông Lâm, Xã Gia Lâm, TP Hà Nội, Việt Nam</x:v>
      </x:c>
      <x:c r="N40"/>
      <x:c r="O40" t="str">
        <x:v>Đã thu hồi theo QĐ 1407/1414/1415/1416/QĐ-SYT ngày 10/04/2026</x:v>
      </x:c>
      <x:c r="P40" t="str">
        <x:v>Nguồn chính thức Hải Phòng – có số tiếp nhận và ngày cấp</x:v>
      </x:c>
      <x:c r="Q40" t="str">
        <x:v>MST đơn vị chịu trách nhiệm: 0110626199. Hồ sơ được dùng như bằng chứng lịch sử đã từng được cấp số; đồng thời gắn trạng thái thu hồi.</x:v>
      </x:c>
      <x:c r="R40" t="str">
        <x:v>https://tanhung.haiphong.gov.vn/trang-chu-66859/phuong-tan-hung-thong-bao-ve-viec-thu-hoi-san-pham-my-pham-888028</x:v>
      </x:c>
      <x:c r="S40" t="str">
        <x:v>Hải Phòng</x:v>
      </x:c>
      <x:c r="T40" t="str">
        <x:v>31</x:v>
      </x:c>
    </x:row>
    <x:row r="41">
      <x:c r="A41" t="n">
        <x:v>40</x:v>
      </x:c>
      <x:c r="B41" s="330" t="n">
        <x:v>45569</x:v>
      </x:c>
      <x:c r="C41" s="330" t="n">
        <x:v>46132</x:v>
      </x:c>
      <x:c r="D41" t="n">
        <x:v>2024</x:v>
      </x:c>
      <x:c r="E41" t="n">
        <x:v>10</x:v>
      </x:c>
      <x:c r="F41" t="str">
        <x:v>314/24/CBMP-HD</x:v>
      </x:c>
      <x:c r="G41"/>
      <x:c r="H41" t="str">
        <x:v>DẦU XẢ DƯỢC LIỆU VNUA</x:v>
      </x:c>
      <x:c r="I41" t="str">
        <x:v>VNUA</x:v>
      </x:c>
      <x:c r="J41" t="str">
        <x:v>Dầu xả</x:v>
      </x:c>
      <x:c r="K41" t="str">
        <x:v>Đối chiếu từ danh mục thu hồi có ngày cấp</x:v>
      </x:c>
      <x:c r="L41" t="str">
        <x:v>Công ty Cổ phần Khoa học Sinh Dược Việt Nam</x:v>
      </x:c>
      <x:c r="M41" t="str">
        <x:v>Số 2 Ngõ 104, Đường Trâu Quỳ, Tổ Dân Phố Nông Lâm, Xã Gia Lâm, TP Hà Nội, Việt Nam</x:v>
      </x:c>
      <x:c r="N41"/>
      <x:c r="O41" t="str">
        <x:v>Đã thu hồi theo QĐ 1407/1414/1415/1416/QĐ-SYT ngày 10/04/2026</x:v>
      </x:c>
      <x:c r="P41" t="str">
        <x:v>Nguồn chính thức Hải Phòng – có số tiếp nhận và ngày cấp</x:v>
      </x:c>
      <x:c r="Q41" t="str">
        <x:v>MST đơn vị chịu trách nhiệm: 0110626199. Hồ sơ được dùng như bằng chứng lịch sử đã từng được cấp số; đồng thời gắn trạng thái thu hồi.</x:v>
      </x:c>
      <x:c r="R41" t="str">
        <x:v>https://tanhung.haiphong.gov.vn/trang-chu-66859/phuong-tan-hung-thong-bao-ve-viec-thu-hoi-san-pham-my-pham-888028</x:v>
      </x:c>
      <x:c r="S41" t="str">
        <x:v>Hải Phòng</x:v>
      </x:c>
      <x:c r="T41" t="str">
        <x:v>31</x:v>
      </x:c>
    </x:row>
    <x:row r="42">
      <x:c r="A42" t="n">
        <x:v>41</x:v>
      </x:c>
      <x:c r="B42" s="330" t="n">
        <x:v>45653</x:v>
      </x:c>
      <x:c r="C42" s="330" t="n">
        <x:v>46132</x:v>
      </x:c>
      <x:c r="D42" t="n">
        <x:v>2024</x:v>
      </x:c>
      <x:c r="E42" t="n">
        <x:v>12</x:v>
      </x:c>
      <x:c r="F42" t="str">
        <x:v>404/24/CBMP-HD</x:v>
      </x:c>
      <x:c r="G42"/>
      <x:c r="H42" t="str">
        <x:v>DẦU GỘI DƯỢC LIỆU VNUA IDEAL FOR FUNGAL SCALP</x:v>
      </x:c>
      <x:c r="I42" t="str">
        <x:v>VNUA</x:v>
      </x:c>
      <x:c r="J42" t="str">
        <x:v>Dầu gội</x:v>
      </x:c>
      <x:c r="K42" t="str">
        <x:v>Đối chiếu từ danh mục thu hồi có ngày cấp</x:v>
      </x:c>
      <x:c r="L42" t="str">
        <x:v>Công ty Cổ phần Khoa học Sinh Dược Việt Nam</x:v>
      </x:c>
      <x:c r="M42" t="str">
        <x:v>Số 2 Ngõ 104, Đường Trâu Quỳ, Tổ Dân Phố Nông Lâm, Xã Gia Lâm, TP Hà Nội, Việt Nam</x:v>
      </x:c>
      <x:c r="N42"/>
      <x:c r="O42" t="str">
        <x:v>Đã thu hồi theo QĐ 1407/1414/1415/1416/QĐ-SYT ngày 10/04/2026</x:v>
      </x:c>
      <x:c r="P42" t="str">
        <x:v>Nguồn chính thức Hải Phòng – có số tiếp nhận và ngày cấp</x:v>
      </x:c>
      <x:c r="Q42" t="str">
        <x:v>MST đơn vị chịu trách nhiệm: 0110626199. Hồ sơ được dùng như bằng chứng lịch sử đã từng được cấp số; đồng thời gắn trạng thái thu hồi.</x:v>
      </x:c>
      <x:c r="R42" t="str">
        <x:v>https://tanhung.haiphong.gov.vn/trang-chu-66859/phuong-tan-hung-thong-bao-ve-viec-thu-hoi-san-pham-my-pham-888028</x:v>
      </x:c>
      <x:c r="S42" t="str">
        <x:v>Hải Phòng</x:v>
      </x:c>
      <x:c r="T42" t="str">
        <x:v>31</x:v>
      </x:c>
    </x:row>
    <x:row r="43">
      <x:c r="A43" t="n">
        <x:v>42</x:v>
      </x:c>
      <x:c r="B43" s="330" t="n">
        <x:v>45646</x:v>
      </x:c>
      <x:c r="C43" s="330" t="n">
        <x:v>46132</x:v>
      </x:c>
      <x:c r="D43" t="n">
        <x:v>2024</x:v>
      </x:c>
      <x:c r="E43" t="n">
        <x:v>12</x:v>
      </x:c>
      <x:c r="F43" t="str">
        <x:v>387/24/CBMP-HD</x:v>
      </x:c>
      <x:c r="G43"/>
      <x:c r="H43" t="str">
        <x:v>DẦU GỘI DƯỢC LIỆU VNUA 4IN1</x:v>
      </x:c>
      <x:c r="I43" t="str">
        <x:v>VNUA</x:v>
      </x:c>
      <x:c r="J43" t="str">
        <x:v>Dầu gội</x:v>
      </x:c>
      <x:c r="K43" t="str">
        <x:v>Đối chiếu từ danh mục thu hồi có ngày cấp</x:v>
      </x:c>
      <x:c r="L43" t="str">
        <x:v>Công ty Cổ phần Khoa học Sinh Dược Việt Nam</x:v>
      </x:c>
      <x:c r="M43" t="str">
        <x:v>Số 2 Ngõ 104, Đường Trâu Quỳ, Tổ Dân Phố Nông Lâm, Xã Gia Lâm, TP Hà Nội, Việt Nam</x:v>
      </x:c>
      <x:c r="N43"/>
      <x:c r="O43" t="str">
        <x:v>Đã thu hồi theo QĐ 1407/1414/1415/1416/QĐ-SYT ngày 10/04/2026</x:v>
      </x:c>
      <x:c r="P43" t="str">
        <x:v>Nguồn chính thức Hải Phòng – có số tiếp nhận và ngày cấp</x:v>
      </x:c>
      <x:c r="Q43" t="str">
        <x:v>MST đơn vị chịu trách nhiệm: 0110626199. Hồ sơ được dùng như bằng chứng lịch sử đã từng được cấp số; đồng thời gắn trạng thái thu hồi.</x:v>
      </x:c>
      <x:c r="R43" t="str">
        <x:v>https://tanhung.haiphong.gov.vn/trang-chu-66859/phuong-tan-hung-thong-bao-ve-viec-thu-hoi-san-pham-my-pham-888028</x:v>
      </x:c>
      <x:c r="S43" t="str">
        <x:v>Hải Phòng</x:v>
      </x:c>
      <x:c r="T43" t="str">
        <x:v>31</x:v>
      </x:c>
    </x:row>
    <x:row r="44">
      <x:c r="A44" t="n">
        <x:v>43</x:v>
      </x:c>
      <x:c r="B44" s="330" t="n">
        <x:v>44820</x:v>
      </x:c>
      <x:c r="C44" s="330" t="n">
        <x:v>46080</x:v>
      </x:c>
      <x:c r="D44" t="n">
        <x:v>2022</x:v>
      </x:c>
      <x:c r="E44" t="n">
        <x:v>9</x:v>
      </x:c>
      <x:c r="F44" t="str">
        <x:v>181792/22/CBMP-QLD</x:v>
      </x:c>
      <x:c r="G44"/>
      <x:c r="H44" t="str">
        <x:v>Dermaquest Sunarmor Spf 50</x:v>
      </x:c>
      <x:c r="I44" t="str">
        <x:v>DermaQue st</x:v>
      </x:c>
      <x:c r="J44" t="str">
        <x:v>Kem chống nắng</x:v>
      </x:c>
      <x:c r="K44"/>
      <x:c r="L44" t="str">
        <x:v>Công ty Cổ Phần Tuấn Vân</x:v>
      </x:c>
      <x:c r="M44" t="str">
        <x:v>Xóm 2 đường 10, xã Đông Sơn, huyện Thuỷ Nguyên, TP. Hải Phòng, Việt Nam. Mã số doanh nghiệp: 0200783767</x:v>
      </x:c>
      <x:c r="N44"/>
      <x:c r="O44" t="str">
        <x:v>Thu hồi số tiếp nhận; đình chỉ lưu hành và thu hồi (QĐ 126/QĐ-QLD)</x:v>
      </x:c>
      <x:c r="P44" t="str">
        <x:v>A++ – Cục Quản lý Dược; company responsibility explicit</x:v>
      </x:c>
      <x:c r="Q44" t="str">
        <x:v>QĐ126/2026, STT 60, trang 8.</x:v>
      </x:c>
      <x:c r="R44" t="str">
        <x:v>https://dav.gov.vn/quyet-dinh-so-126qd-qld-ve-viec-thu-hoi-so-tiep-nhan-phieu-cong-bo-san-pham-my-pham-dinh-chi-luu-hanh-va-thu-hoi-san-pham-my-pham-theo-kl-cua-hd-my-pham-asean-doi-voi-san-pham-my-pham-co-chua-chat-cyclotetrasiloxane-octamethylcyclotetrasiloxane-n5224.html</x:v>
      </x:c>
      <x:c r="S44" t="str">
        <x:v>Hải Phòng</x:v>
      </x:c>
      <x:c r="T44" t="str">
        <x:v>31</x:v>
      </x:c>
    </x:row>
    <x:row r="45">
      <x:c r="A45" t="n">
        <x:v>44</x:v>
      </x:c>
      <x:c r="B45" s="330" t="n">
        <x:v>45848</x:v>
      </x:c>
      <x:c r="C45" s="330" t="n">
        <x:v>46080</x:v>
      </x:c>
      <x:c r="D45" t="n">
        <x:v>2025</x:v>
      </x:c>
      <x:c r="E45" t="n">
        <x:v>7</x:v>
      </x:c>
      <x:c r="F45" t="str">
        <x:v>280628/25/CBMP-QLD</x:v>
      </x:c>
      <x:c r="G45"/>
      <x:c r="H45" t="str">
        <x:v>Lyciina N.H Hydrozinc Collagen Complex Cream</x:v>
      </x:c>
      <x:c r="I45" t="str">
        <x:v>LYCIINA N.H</x:v>
      </x:c>
      <x:c r="J45" t="str">
        <x:v>Kem dưỡng da</x:v>
      </x:c>
      <x:c r="K45"/>
      <x:c r="L45" t="str">
        <x:v>Công ty TNHH Đầu tư phát triển thương mại và Dịch vụ Thiên Phúc</x:v>
      </x:c>
      <x:c r="M45" t="str">
        <x:v>Số 32 T2 Ngõ Hàng Gà, phường An Biên, quận Lê Chân, TP. Hải Phòng, Việt Nam. Mã số doanh nghiệp: 0201896770</x:v>
      </x:c>
      <x:c r="N45"/>
      <x:c r="O45" t="str">
        <x:v>Thu hồi số tiếp nhận; đình chỉ lưu hành và thu hồi (QĐ 126/QĐ-QLD)</x:v>
      </x:c>
      <x:c r="P45" t="str">
        <x:v>A++ – Cục Quản lý Dược; company responsibility explicit</x:v>
      </x:c>
      <x:c r="Q45" t="str">
        <x:v>QĐ126/2026, STT 88, trang 10.</x:v>
      </x:c>
      <x:c r="R45" t="str">
        <x:v>https://dav.gov.vn/quyet-dinh-so-126qd-qld-ve-viec-thu-hoi-so-tiep-nhan-phieu-cong-bo-san-pham-my-pham-dinh-chi-luu-hanh-va-thu-hoi-san-pham-my-pham-theo-kl-cua-hd-my-pham-asean-doi-voi-san-pham-my-pham-co-chua-chat-cyclotetrasiloxane-octamethylcyclotetrasiloxane-n5224.html</x:v>
      </x:c>
      <x:c r="S45" t="str">
        <x:v>Hải Phòng</x:v>
      </x:c>
      <x:c r="T45" t="str">
        <x:v>31</x:v>
      </x:c>
    </x:row>
    <x:row r="46">
      <x:c r="A46" t="n">
        <x:v>45</x:v>
      </x:c>
      <x:c r="B46"/>
      <x:c r="C46" t="n">
        <x:v>46198</x:v>
      </x:c>
      <x:c r="D46" t="n">
        <x:v>2024</x:v>
      </x:c>
      <x:c r="E46"/>
      <x:c r="F46" t="str">
        <x:v>Số 01/24/CBMP-HD</x:v>
      </x:c>
      <x:c r="G46"/>
      <x:c r="H46" t="str">
        <x:v>DẦU GỘI THẢO MỘC SÂM SAVINA 2 IN 1 (FORMEN)</x:v>
      </x:c>
      <x:c r="I46" t="str">
        <x:v>SÂM VIỆT NAM</x:v>
      </x:c>
      <x:c r="J46" t="str">
        <x:v>Dầu gội</x:v>
      </x:c>
      <x:c r="K46" t="str">
        <x:v>Chăm sóc tóc (sản phẩm làm sạch)</x:v>
      </x:c>
      <x:c r="L46" t="str">
        <x:v>Công ty TNHH Sản xuất và Thương mại Sâm Việt Nam</x:v>
      </x:c>
      <x:c r="M46" t="str">
        <x:v>Thôn Đông Xã Tự Lạn; huyện Việt Yên; tỉnh Bắc Giang; Việt Nam</x:v>
      </x:c>
      <x:c r="N46"/>
      <x:c r="O46" t="str">
        <x:v>Chưa đối chiếu thu hồi</x:v>
      </x:c>
      <x:c r="P46" t="str">
        <x:v>Nguồn XLSX chính thức – Cổng dữ liệu mở TP Hải Phòng</x:v>
      </x:c>
      <x:c r="Q46" t="str">
        <x:v>Địa bàn nguồn: Hải Dương (lịch sử). Thuộc 28/409 dòng đầu đã đọc trực tiếp; chưa phải bộ dữ liệu đầy đủ.</x:v>
      </x:c>
      <x:c r="R46" t="str">
        <x:v>https://data.haiphong.gov.vn/dataset/07fa5c03-31ee-453f-9bba-f7acd2ffeb6a/resource/4621ee58-725a-481d-b29c-931e46f220c5/download/khocsdl_trichxuatdulieu_dulieusotiepnhanphieucongbosanphammypham_2026-06-25.xlsx</x:v>
      </x:c>
      <x:c r="S46" t="str">
        <x:v>Hải Phòng (Hải Dương lịch sử)</x:v>
      </x:c>
      <x:c r="T46" t="str">
        <x:v>31</x:v>
      </x:c>
    </x:row>
    <x:row r="47">
      <x:c r="A47" t="n">
        <x:v>46</x:v>
      </x:c>
      <x:c r="B47"/>
      <x:c r="C47" t="n">
        <x:v>46198</x:v>
      </x:c>
      <x:c r="D47" t="n">
        <x:v>2024</x:v>
      </x:c>
      <x:c r="E47"/>
      <x:c r="F47" t="str">
        <x:v>Số 02/24/CBMP-HD</x:v>
      </x:c>
      <x:c r="G47"/>
      <x:c r="H47" t="str">
        <x:v>DẦU GỘI THẢO MỘC SÂM SAVINA</x:v>
      </x:c>
      <x:c r="I47" t="str">
        <x:v>SÂM VIỆT NAM</x:v>
      </x:c>
      <x:c r="J47" t="str">
        <x:v>Dầu gội</x:v>
      </x:c>
      <x:c r="K47" t="str">
        <x:v>Chăm sóc tóc (sản phẩm làm sạch)</x:v>
      </x:c>
      <x:c r="L47" t="str">
        <x:v>Công ty TNHH Sản xuất và Thương mại Sâm Việt Nam</x:v>
      </x:c>
      <x:c r="M47" t="str">
        <x:v>Thôn Đông Xã Tự Lạn; huyện Việt Yên; tỉnh Bắc Giang; Việt Nam</x:v>
      </x:c>
      <x:c r="N47"/>
      <x:c r="O47" t="str">
        <x:v>Chưa đối chiếu thu hồi</x:v>
      </x:c>
      <x:c r="P47" t="str">
        <x:v>Nguồn XLSX chính thức – Cổng dữ liệu mở TP Hải Phòng</x:v>
      </x:c>
      <x:c r="Q47" t="str">
        <x:v>Địa bàn nguồn: Hải Dương (lịch sử). Thuộc 28/409 dòng đầu đã đọc trực tiếp; chưa phải bộ dữ liệu đầy đủ.</x:v>
      </x:c>
      <x:c r="R47" t="str">
        <x:v>https://data.haiphong.gov.vn/dataset/07fa5c03-31ee-453f-9bba-f7acd2ffeb6a/resource/4621ee58-725a-481d-b29c-931e46f220c5/download/khocsdl_trichxuatdulieu_dulieusotiepnhanphieucongbosanphammypham_2026-06-25.xlsx</x:v>
      </x:c>
      <x:c r="S47" t="str">
        <x:v>Hải Phòng (Hải Dương lịch sử)</x:v>
      </x:c>
      <x:c r="T47" t="str">
        <x:v>31</x:v>
      </x:c>
    </x:row>
    <x:row r="48">
      <x:c r="A48" t="n">
        <x:v>47</x:v>
      </x:c>
      <x:c r="B48"/>
      <x:c r="C48" t="n">
        <x:v>46198</x:v>
      </x:c>
      <x:c r="D48" t="n">
        <x:v>2024</x:v>
      </x:c>
      <x:c r="E48"/>
      <x:c r="F48" t="str">
        <x:v>Số 03/24/CBMP-HD</x:v>
      </x:c>
      <x:c r="G48"/>
      <x:c r="H48" t="str">
        <x:v>DẦU XẢ THẢO MỘC SÂM SAVINA</x:v>
      </x:c>
      <x:c r="I48" t="str">
        <x:v>SÂM VIỆT NAM</x:v>
      </x:c>
      <x:c r="J48" t="str">
        <x:v>Dầu xả</x:v>
      </x:c>
      <x:c r="K48" t="str">
        <x:v>Sản phẩm chăm sóc tóc (sản phẩm dưỡng tóc)</x:v>
      </x:c>
      <x:c r="L48" t="str">
        <x:v>Công ty TNHH Sản xuất và Thương mại Sâm Việt Nam</x:v>
      </x:c>
      <x:c r="M48" t="str">
        <x:v>Thôn Đông Xã Tự Lạn; huyện Việt Yên; tỉnh Bắc Giang; Việt Nam</x:v>
      </x:c>
      <x:c r="N48"/>
      <x:c r="O48" t="str">
        <x:v>Chưa đối chiếu thu hồi</x:v>
      </x:c>
      <x:c r="P48" t="str">
        <x:v>Nguồn XLSX chính thức – Cổng dữ liệu mở TP Hải Phòng</x:v>
      </x:c>
      <x:c r="Q48" t="str">
        <x:v>Địa bàn nguồn: Hải Dương (lịch sử). Thuộc 28/409 dòng đầu đã đọc trực tiếp; chưa phải bộ dữ liệu đầy đủ.</x:v>
      </x:c>
      <x:c r="R48" t="str">
        <x:v>https://data.haiphong.gov.vn/dataset/07fa5c03-31ee-453f-9bba-f7acd2ffeb6a/resource/4621ee58-725a-481d-b29c-931e46f220c5/download/khocsdl_trichxuatdulieu_dulieusotiepnhanphieucongbosanphammypham_2026-06-25.xlsx</x:v>
      </x:c>
      <x:c r="S48" t="str">
        <x:v>Hải Phòng (Hải Dương lịch sử)</x:v>
      </x:c>
      <x:c r="T48" t="str">
        <x:v>31</x:v>
      </x:c>
    </x:row>
    <x:row r="49">
      <x:c r="A49" t="n">
        <x:v>48</x:v>
      </x:c>
      <x:c r="B49"/>
      <x:c r="C49" t="n">
        <x:v>46198</x:v>
      </x:c>
      <x:c r="D49" t="n">
        <x:v>2024</x:v>
      </x:c>
      <x:c r="E49"/>
      <x:c r="F49" t="str">
        <x:v>Số 04/24/CBMP-HD</x:v>
      </x:c>
      <x:c r="G49"/>
      <x:c r="H49" t="str">
        <x:v>SỮA TẮM DƯỢC LIỆU MỘC THIÊN PHƯỚC</x:v>
      </x:c>
      <x:c r="I49" t="str">
        <x:v>MỘC THIÊN PHƯỚC</x:v>
      </x:c>
      <x:c r="J49" t="str">
        <x:v>Sữa tắm/Gel tắm</x:v>
      </x:c>
      <x:c r="K49" t="str">
        <x:v>Sản phẩm để tắm</x:v>
      </x:c>
      <x:c r="L49" t="str">
        <x:v>Công ty CP Dược Mỹ phẩm Thiên Phước</x:v>
      </x:c>
      <x:c r="M49" t="str">
        <x:v>Số 2 Ngách 34/154; ngõ 154 đường Đình Thôn; phường Mỹ Đình 1; quận Nam Từ Liêm; tp Hà Nội; Việt Nam</x:v>
      </x:c>
      <x:c r="N49"/>
      <x:c r="O49" t="str">
        <x:v>Chưa đối chiếu thu hồi</x:v>
      </x:c>
      <x:c r="P49" t="str">
        <x:v>Nguồn XLSX chính thức – Cổng dữ liệu mở TP Hải Phòng</x:v>
      </x:c>
      <x:c r="Q49" t="str">
        <x:v>Địa bàn nguồn: Hải Dương (lịch sử). Thuộc 28/409 dòng đầu đã đọc trực tiếp; chưa phải bộ dữ liệu đầy đủ.</x:v>
      </x:c>
      <x:c r="R49" t="str">
        <x:v>https://data.haiphong.gov.vn/dataset/07fa5c03-31ee-453f-9bba-f7acd2ffeb6a/resource/4621ee58-725a-481d-b29c-931e46f220c5/download/khocsdl_trichxuatdulieu_dulieusotiepnhanphieucongbosanphammypham_2026-06-25.xlsx</x:v>
      </x:c>
      <x:c r="S49" t="str">
        <x:v>Hải Phòng (Hải Dương lịch sử)</x:v>
      </x:c>
      <x:c r="T49" t="str">
        <x:v>31</x:v>
      </x:c>
    </x:row>
    <x:row r="50">
      <x:c r="A50" t="n">
        <x:v>49</x:v>
      </x:c>
      <x:c r="B50"/>
      <x:c r="C50" t="n">
        <x:v>46198</x:v>
      </x:c>
      <x:c r="D50" t="n">
        <x:v>2024</x:v>
      </x:c>
      <x:c r="E50"/>
      <x:c r="F50" t="str">
        <x:v>Số 05/24/CBMP-HD</x:v>
      </x:c>
      <x:c r="G50"/>
      <x:c r="H50" t="str">
        <x:v>DẦU XẢ DƯỢC LIỆU</x:v>
      </x:c>
      <x:c r="I50" t="str">
        <x:v>MỘC THIÊN PHƯỚC</x:v>
      </x:c>
      <x:c r="J50" t="str">
        <x:v>Dầu xả</x:v>
      </x:c>
      <x:c r="K50" t="str">
        <x:v>Sản phẩm chăm sóc tóc (Sản phẩm dưỡng tóc)</x:v>
      </x:c>
      <x:c r="L50" t="str">
        <x:v>Công ty CP Dược Mỹ phẩm Thiên Phước</x:v>
      </x:c>
      <x:c r="M50" t="str">
        <x:v>Số 2 Ngách 34/154; ngõ 154 đường Đình Thôn; phường Mỹ Đình 1; quận Nam Từ Liêm; tp Hà Nội; Việt Nam</x:v>
      </x:c>
      <x:c r="N50"/>
      <x:c r="O50" t="str">
        <x:v>Chưa đối chiếu thu hồi</x:v>
      </x:c>
      <x:c r="P50" t="str">
        <x:v>Nguồn XLSX chính thức – Cổng dữ liệu mở TP Hải Phòng</x:v>
      </x:c>
      <x:c r="Q50" t="str">
        <x:v>Địa bàn nguồn: Hải Dương (lịch sử). Thuộc 28/409 dòng đầu đã đọc trực tiếp; chưa phải bộ dữ liệu đầy đủ.</x:v>
      </x:c>
      <x:c r="R50" t="str">
        <x:v>https://data.haiphong.gov.vn/dataset/07fa5c03-31ee-453f-9bba-f7acd2ffeb6a/resource/4621ee58-725a-481d-b29c-931e46f220c5/download/khocsdl_trichxuatdulieu_dulieusotiepnhanphieucongbosanphammypham_2026-06-25.xlsx</x:v>
      </x:c>
      <x:c r="S50" t="str">
        <x:v>Hải Phòng (Hải Dương lịch sử)</x:v>
      </x:c>
      <x:c r="T50" t="str">
        <x:v>31</x:v>
      </x:c>
    </x:row>
    <x:row r="51">
      <x:c r="A51" t="n">
        <x:v>50</x:v>
      </x:c>
      <x:c r="B51"/>
      <x:c r="C51" t="n">
        <x:v>46198</x:v>
      </x:c>
      <x:c r="D51" t="n">
        <x:v>2024</x:v>
      </x:c>
      <x:c r="E51"/>
      <x:c r="F51" t="str">
        <x:v>Số 06/24/CBMP-HD</x:v>
      </x:c>
      <x:c r="G51"/>
      <x:c r="H51" t="str">
        <x:v>DẦU GỘI DƯỢC LIỆU</x:v>
      </x:c>
      <x:c r="I51" t="str">
        <x:v>MỘC THIÊN PHƯỚC</x:v>
      </x:c>
      <x:c r="J51" t="str">
        <x:v>Dầu gội</x:v>
      </x:c>
      <x:c r="K51" t="str">
        <x:v>Sản phẩm chăm sóc tóc (Các sản phẩm làm sạch)</x:v>
      </x:c>
      <x:c r="L51" t="str">
        <x:v>Công ty CP Dược Mỹ phẩm Thiên Phước</x:v>
      </x:c>
      <x:c r="M51" t="str">
        <x:v>Số 2 Ngách 34/154; ngõ 154 đường Đình Thôn; phường Mỹ Đình 1; quận Nam Từ Liêm; tp Hà Nội; Việt Nam</x:v>
      </x:c>
      <x:c r="N51"/>
      <x:c r="O51" t="str">
        <x:v>Chưa đối chiếu thu hồi</x:v>
      </x:c>
      <x:c r="P51" t="str">
        <x:v>Nguồn XLSX chính thức – Cổng dữ liệu mở TP Hải Phòng</x:v>
      </x:c>
      <x:c r="Q51" t="str">
        <x:v>Địa bàn nguồn: Hải Dương (lịch sử). Thuộc 28/409 dòng đầu đã đọc trực tiếp; chưa phải bộ dữ liệu đầy đủ.</x:v>
      </x:c>
      <x:c r="R51" t="str">
        <x:v>https://data.haiphong.gov.vn/dataset/07fa5c03-31ee-453f-9bba-f7acd2ffeb6a/resource/4621ee58-725a-481d-b29c-931e46f220c5/download/khocsdl_trichxuatdulieu_dulieusotiepnhanphieucongbosanphammypham_2026-06-25.xlsx</x:v>
      </x:c>
      <x:c r="S51" t="str">
        <x:v>Hải Phòng (Hải Dương lịch sử)</x:v>
      </x:c>
      <x:c r="T51" t="str">
        <x:v>31</x:v>
      </x:c>
    </x:row>
    <x:row r="52">
      <x:c r="A52" t="n">
        <x:v>51</x:v>
      </x:c>
      <x:c r="B52"/>
      <x:c r="C52" t="n">
        <x:v>46198</x:v>
      </x:c>
      <x:c r="D52" t="n">
        <x:v>2024</x:v>
      </x:c>
      <x:c r="E52"/>
      <x:c r="F52" t="str">
        <x:v>Số 07/24/CBMP-HD</x:v>
      </x:c>
      <x:c r="G52"/>
      <x:c r="H52" t="str">
        <x:v>DẦU GỘI DƯỢC LIỆU MỘC THIÊN PHƯỚC</x:v>
      </x:c>
      <x:c r="I52" t="str">
        <x:v>MỘC THIÊN PHƯỚC</x:v>
      </x:c>
      <x:c r="J52" t="str">
        <x:v>Dầu gội</x:v>
      </x:c>
      <x:c r="K52" t="str">
        <x:v>Sản phẩm chăm sóc tóc (Các sản phẩm làm sạch)</x:v>
      </x:c>
      <x:c r="L52" t="str">
        <x:v>Công ty CP Dược Mỹ phẩm Thiên Phước</x:v>
      </x:c>
      <x:c r="M52" t="str">
        <x:v>Số 2 Ngách 34/154; ngõ 154 đường Đình Thôn; phường Mỹ Đình 1; quận Nam Từ Liêm; tp Hà Nội; Việt Nam</x:v>
      </x:c>
      <x:c r="N52"/>
      <x:c r="O52" t="str">
        <x:v>Chưa đối chiếu thu hồi</x:v>
      </x:c>
      <x:c r="P52" t="str">
        <x:v>Nguồn XLSX chính thức – Cổng dữ liệu mở TP Hải Phòng</x:v>
      </x:c>
      <x:c r="Q52" t="str">
        <x:v>Địa bàn nguồn: Hải Dương (lịch sử). Thuộc 28/409 dòng đầu đã đọc trực tiếp; chưa phải bộ dữ liệu đầy đủ.</x:v>
      </x:c>
      <x:c r="R52" t="str">
        <x:v>https://data.haiphong.gov.vn/dataset/07fa5c03-31ee-453f-9bba-f7acd2ffeb6a/resource/4621ee58-725a-481d-b29c-931e46f220c5/download/khocsdl_trichxuatdulieu_dulieusotiepnhanphieucongbosanphammypham_2026-06-25.xlsx</x:v>
      </x:c>
      <x:c r="S52" t="str">
        <x:v>Hải Phòng (Hải Dương lịch sử)</x:v>
      </x:c>
      <x:c r="T52" t="str">
        <x:v>31</x:v>
      </x:c>
    </x:row>
    <x:row r="53">
      <x:c r="A53" t="n">
        <x:v>52</x:v>
      </x:c>
      <x:c r="B53"/>
      <x:c r="C53" t="n">
        <x:v>46198</x:v>
      </x:c>
      <x:c r="D53" t="n">
        <x:v>2024</x:v>
      </x:c>
      <x:c r="E53"/>
      <x:c r="F53" t="str">
        <x:v>Số 08/24/CBMP-HD</x:v>
      </x:c>
      <x:c r="G53"/>
      <x:c r="H53" t="str">
        <x:v>DẦU XẢ DƯỢC LIỆU MỘC THIÊN PHƯỚC</x:v>
      </x:c>
      <x:c r="I53" t="str">
        <x:v>MỘC THIÊN PHƯỚC</x:v>
      </x:c>
      <x:c r="J53" t="str">
        <x:v>Dầu xả</x:v>
      </x:c>
      <x:c r="K53" t="str">
        <x:v>Sản phẩm chăm sóc tóc (Sản phẩm dưỡng tóc)</x:v>
      </x:c>
      <x:c r="L53" t="str">
        <x:v>Công ty CP Dược Mỹ phẩm Thiên Phước</x:v>
      </x:c>
      <x:c r="M53" t="str">
        <x:v>Số 2 Ngách 34/154; ngõ 154 đường Đình Thôn; phường Mỹ Đình 1; quận Nam Từ Liêm; tp Hà Nội; Việt Nam</x:v>
      </x:c>
      <x:c r="N53"/>
      <x:c r="O53" t="str">
        <x:v>Chưa đối chiếu thu hồi</x:v>
      </x:c>
      <x:c r="P53" t="str">
        <x:v>Nguồn XLSX chính thức – Cổng dữ liệu mở TP Hải Phòng</x:v>
      </x:c>
      <x:c r="Q53" t="str">
        <x:v>Địa bàn nguồn: Hải Dương (lịch sử). Thuộc 28/409 dòng đầu đã đọc trực tiếp; chưa phải bộ dữ liệu đầy đủ.</x:v>
      </x:c>
      <x:c r="R53" t="str">
        <x:v>https://data.haiphong.gov.vn/dataset/07fa5c03-31ee-453f-9bba-f7acd2ffeb6a/resource/4621ee58-725a-481d-b29c-931e46f220c5/download/khocsdl_trichxuatdulieu_dulieusotiepnhanphieucongbosanphammypham_2026-06-25.xlsx</x:v>
      </x:c>
      <x:c r="S53" t="str">
        <x:v>Hải Phòng (Hải Dương lịch sử)</x:v>
      </x:c>
      <x:c r="T53" t="str">
        <x:v>31</x:v>
      </x:c>
    </x:row>
    <x:row r="54">
      <x:c r="A54" t="n">
        <x:v>53</x:v>
      </x:c>
      <x:c r="B54"/>
      <x:c r="C54" t="n">
        <x:v>46198</x:v>
      </x:c>
      <x:c r="D54" t="n">
        <x:v>2024</x:v>
      </x:c>
      <x:c r="E54"/>
      <x:c r="F54" t="str">
        <x:v>Số 09/24/CBMP-HD</x:v>
      </x:c>
      <x:c r="G54"/>
      <x:c r="H54" t="str">
        <x:v>XỊT KHỬ MÙI HÔI CHÂN VÀ GIÀY</x:v>
      </x:c>
      <x:c r="I54" t="str">
        <x:v>DR.HERBAL</x:v>
      </x:c>
      <x:c r="J54" t="str">
        <x:v>Khử mùi</x:v>
      </x:c>
      <x:c r="K54" t="str">
        <x:v>Sản phẩm khử mùi và chống mùi (giảm mùi mồ hôi).</x:v>
      </x:c>
      <x:c r="L54" t="str">
        <x:v>Công ty CP Dược VTYT Hải Dương</x:v>
      </x:c>
      <x:c r="M54" t="str">
        <x:v>Số 102 Chi Lăng; phường Nguyễn Trãi; Thành phố Hải Dương; tỉnh Hải Dương</x:v>
      </x:c>
      <x:c r="N54"/>
      <x:c r="O54" t="str">
        <x:v>Chưa đối chiếu thu hồi</x:v>
      </x:c>
      <x:c r="P54" t="str">
        <x:v>Nguồn XLSX chính thức – Cổng dữ liệu mở TP Hải Phòng</x:v>
      </x:c>
      <x:c r="Q54" t="str">
        <x:v>Địa bàn nguồn: Hải Dương (lịch sử). Thuộc 28/409 dòng đầu đã đọc trực tiếp; chưa phải bộ dữ liệu đầy đủ.</x:v>
      </x:c>
      <x:c r="R54" t="str">
        <x:v>https://data.haiphong.gov.vn/dataset/07fa5c03-31ee-453f-9bba-f7acd2ffeb6a/resource/4621ee58-725a-481d-b29c-931e46f220c5/download/khocsdl_trichxuatdulieu_dulieusotiepnhanphieucongbosanphammypham_2026-06-25.xlsx</x:v>
      </x:c>
      <x:c r="S54" t="str">
        <x:v>Hải Phòng (Hải Dương lịch sử)</x:v>
      </x:c>
      <x:c r="T54" t="str">
        <x:v>31</x:v>
      </x:c>
    </x:row>
    <x:row r="55">
      <x:c r="A55" t="n">
        <x:v>54</x:v>
      </x:c>
      <x:c r="B55"/>
      <x:c r="C55" t="n">
        <x:v>46198</x:v>
      </x:c>
      <x:c r="D55" t="n">
        <x:v>2024</x:v>
      </x:c>
      <x:c r="E55"/>
      <x:c r="F55" t="str">
        <x:v>Số 10/24/CBMP-HD</x:v>
      </x:c>
      <x:c r="G55"/>
      <x:c r="H55" t="str">
        <x:v>DẦU GỘI THẢO MỘC</x:v>
      </x:c>
      <x:c r="I55" t="str">
        <x:v>PHÚC VĂN</x:v>
      </x:c>
      <x:c r="J55" t="str">
        <x:v>Dầu gội</x:v>
      </x:c>
      <x:c r="K55" t="str">
        <x:v>Sản phẩm chăm sóc tóc (sản phẩm làm sạch)</x:v>
      </x:c>
      <x:c r="L55" t="str">
        <x:v>Công ty TNHH Phúc Văn Cosmetics</x:v>
      </x:c>
      <x:c r="M55" t="str">
        <x:v>Thôn 10A xã Hải Xuân; tp Móng Cái; tỉnh Quảng Ninh; VN</x:v>
      </x:c>
      <x:c r="N55"/>
      <x:c r="O55" t="str">
        <x:v>Chưa đối chiếu thu hồi</x:v>
      </x:c>
      <x:c r="P55" t="str">
        <x:v>Nguồn XLSX chính thức – Cổng dữ liệu mở TP Hải Phòng</x:v>
      </x:c>
      <x:c r="Q55" t="str">
        <x:v>Địa bàn nguồn: Hải Dương (lịch sử). Thuộc 28/409 dòng đầu đã đọc trực tiếp; chưa phải bộ dữ liệu đầy đủ.</x:v>
      </x:c>
      <x:c r="R55" t="str">
        <x:v>https://data.haiphong.gov.vn/dataset/07fa5c03-31ee-453f-9bba-f7acd2ffeb6a/resource/4621ee58-725a-481d-b29c-931e46f220c5/download/khocsdl_trichxuatdulieu_dulieusotiepnhanphieucongbosanphammypham_2026-06-25.xlsx</x:v>
      </x:c>
      <x:c r="S55" t="str">
        <x:v>Hải Phòng (Hải Dương lịch sử)</x:v>
      </x:c>
      <x:c r="T55" t="str">
        <x:v>31</x:v>
      </x:c>
    </x:row>
    <x:row r="56">
      <x:c r="A56" t="n">
        <x:v>55</x:v>
      </x:c>
      <x:c r="B56"/>
      <x:c r="C56" t="n">
        <x:v>46198</x:v>
      </x:c>
      <x:c r="D56" t="n">
        <x:v>2024</x:v>
      </x:c>
      <x:c r="E56"/>
      <x:c r="F56" t="str">
        <x:v>Số 11/24/CBMP-HD</x:v>
      </x:c>
      <x:c r="G56"/>
      <x:c r="H56" t="str">
        <x:v>DẦU XẢ THẢO MỘC</x:v>
      </x:c>
      <x:c r="I56" t="str">
        <x:v>PHÚC VĂN</x:v>
      </x:c>
      <x:c r="J56" t="str">
        <x:v>Dầu xả</x:v>
      </x:c>
      <x:c r="K56" t="str">
        <x:v>Sản phẩm chăm sóc tóc (sản phẩm dưỡng tóc)</x:v>
      </x:c>
      <x:c r="L56" t="str">
        <x:v>Công ty TNHH Phúc Văn Cosmetics</x:v>
      </x:c>
      <x:c r="M56" t="str">
        <x:v>Thôn 10A xã Hải Xuân; tp Móng Cái; tỉnh Quảng Ninh; VN</x:v>
      </x:c>
      <x:c r="N56"/>
      <x:c r="O56" t="str">
        <x:v>Chưa đối chiếu thu hồi</x:v>
      </x:c>
      <x:c r="P56" t="str">
        <x:v>Nguồn XLSX chính thức – Cổng dữ liệu mở TP Hải Phòng</x:v>
      </x:c>
      <x:c r="Q56" t="str">
        <x:v>Địa bàn nguồn: Hải Dương (lịch sử). Thuộc 28/409 dòng đầu đã đọc trực tiếp; chưa phải bộ dữ liệu đầy đủ.</x:v>
      </x:c>
      <x:c r="R56" t="str">
        <x:v>https://data.haiphong.gov.vn/dataset/07fa5c03-31ee-453f-9bba-f7acd2ffeb6a/resource/4621ee58-725a-481d-b29c-931e46f220c5/download/khocsdl_trichxuatdulieu_dulieusotiepnhanphieucongbosanphammypham_2026-06-25.xlsx</x:v>
      </x:c>
      <x:c r="S56" t="str">
        <x:v>Hải Phòng (Hải Dương lịch sử)</x:v>
      </x:c>
      <x:c r="T56" t="str">
        <x:v>31</x:v>
      </x:c>
    </x:row>
    <x:row r="57">
      <x:c r="A57" t="n">
        <x:v>56</x:v>
      </x:c>
      <x:c r="B57"/>
      <x:c r="C57" t="n">
        <x:v>46198</x:v>
      </x:c>
      <x:c r="D57" t="n">
        <x:v>2024</x:v>
      </x:c>
      <x:c r="E57"/>
      <x:c r="F57" t="str">
        <x:v>Số 12/24/CBMP-HD</x:v>
      </x:c>
      <x:c r="G57"/>
      <x:c r="H57" t="str">
        <x:v>DẦU GỘI DƯỢC LIỆU METTA 1</x:v>
      </x:c>
      <x:c r="I57" t="str">
        <x:v>METTA SPA</x:v>
      </x:c>
      <x:c r="J57" t="str">
        <x:v>Dầu gội</x:v>
      </x:c>
      <x:c r="K57" t="str">
        <x:v>Sản phẩm chăm sóc tóc (sản phẩm làm sạch)</x:v>
      </x:c>
      <x:c r="L57" t="str">
        <x:v>Công ty Cổ phần sức khoẻ vàng METTA GROUP</x:v>
      </x:c>
      <x:c r="M57" t="str">
        <x:v>378 đường Tên Lửa; phường Bình Trị Đông B; quận Bình Tân; tp Hồ Chí Minh; VN</x:v>
      </x:c>
      <x:c r="N57"/>
      <x:c r="O57" t="str">
        <x:v>Chưa đối chiếu thu hồi</x:v>
      </x:c>
      <x:c r="P57" t="str">
        <x:v>Nguồn XLSX chính thức – Cổng dữ liệu mở TP Hải Phòng</x:v>
      </x:c>
      <x:c r="Q57" t="str">
        <x:v>Địa bàn nguồn: Hải Dương (lịch sử). Thuộc 28/409 dòng đầu đã đọc trực tiếp; chưa phải bộ dữ liệu đầy đủ.</x:v>
      </x:c>
      <x:c r="R57" t="str">
        <x:v>https://data.haiphong.gov.vn/dataset/07fa5c03-31ee-453f-9bba-f7acd2ffeb6a/resource/4621ee58-725a-481d-b29c-931e46f220c5/download/khocsdl_trichxuatdulieu_dulieusotiepnhanphieucongbosanphammypham_2026-06-25.xlsx</x:v>
      </x:c>
      <x:c r="S57" t="str">
        <x:v>Hải Phòng (Hải Dương lịch sử)</x:v>
      </x:c>
      <x:c r="T57" t="str">
        <x:v>31</x:v>
      </x:c>
    </x:row>
    <x:row r="58">
      <x:c r="A58" t="n">
        <x:v>57</x:v>
      </x:c>
      <x:c r="B58"/>
      <x:c r="C58" t="n">
        <x:v>46198</x:v>
      </x:c>
      <x:c r="D58" t="n">
        <x:v>2024</x:v>
      </x:c>
      <x:c r="E58"/>
      <x:c r="F58" t="str">
        <x:v>Số 13/24/CBMP-HD</x:v>
      </x:c>
      <x:c r="G58"/>
      <x:c r="H58" t="str">
        <x:v>DẦU GỘI DƯỢC LIỆU METTA 1</x:v>
      </x:c>
      <x:c r="I58" t="str">
        <x:v>METTA SPA</x:v>
      </x:c>
      <x:c r="J58" t="str">
        <x:v>Dầu gội</x:v>
      </x:c>
      <x:c r="K58" t="str">
        <x:v>Sản phẩm chăm sóc tóc (sản phẩm dưỡng tóc)</x:v>
      </x:c>
      <x:c r="L58" t="str">
        <x:v>Công ty Cổ phần sức khoẻ vàng METTA GROUP</x:v>
      </x:c>
      <x:c r="M58" t="str">
        <x:v>379 đường Tên Lửa; phường Bình Trị Đông B; quận Bình Tân; tp Hồ Chí Minh; VN</x:v>
      </x:c>
      <x:c r="N58"/>
      <x:c r="O58" t="str">
        <x:v>Chưa đối chiếu thu hồi</x:v>
      </x:c>
      <x:c r="P58" t="str">
        <x:v>Nguồn XLSX chính thức – Cổng dữ liệu mở TP Hải Phòng</x:v>
      </x:c>
      <x:c r="Q58" t="str">
        <x:v>Địa bàn nguồn: Hải Dương (lịch sử). Thuộc 28/409 dòng đầu đã đọc trực tiếp; chưa phải bộ dữ liệu đầy đủ.</x:v>
      </x:c>
      <x:c r="R58" t="str">
        <x:v>https://data.haiphong.gov.vn/dataset/07fa5c03-31ee-453f-9bba-f7acd2ffeb6a/resource/4621ee58-725a-481d-b29c-931e46f220c5/download/khocsdl_trichxuatdulieu_dulieusotiepnhanphieucongbosanphammypham_2026-06-25.xlsx</x:v>
      </x:c>
      <x:c r="S58" t="str">
        <x:v>Hải Phòng (Hải Dương lịch sử)</x:v>
      </x:c>
      <x:c r="T58" t="str">
        <x:v>31</x:v>
      </x:c>
    </x:row>
    <x:row r="59">
      <x:c r="A59" t="n">
        <x:v>58</x:v>
      </x:c>
      <x:c r="B59"/>
      <x:c r="C59" t="n">
        <x:v>46198</x:v>
      </x:c>
      <x:c r="D59" t="n">
        <x:v>2024</x:v>
      </x:c>
      <x:c r="E59"/>
      <x:c r="F59" t="str">
        <x:v>Số 14/24/CBMP-HD</x:v>
      </x:c>
      <x:c r="G59"/>
      <x:c r="H59" t="str">
        <x:v>DUNG DỊCH VỆ SINH PHỤ NỮ BÉATRICE</x:v>
      </x:c>
      <x:c r="I59"/>
      <x:c r="J59" t="str">
        <x:v>Dung dịch vệ sinh</x:v>
      </x:c>
      <x:c r="K59" t="str">
        <x:v>Sản phẩm dùng để vệ sinh cơ quan sinh dục ngoài</x:v>
      </x:c>
      <x:c r="L59" t="str">
        <x:v>Công ty TNHH TUVA</x:v>
      </x:c>
      <x:c r="M59" t="str">
        <x:v>số 91 Ngách 29/70 phố Khương Hạ; phường Khương Đình; quận Thanh Xuân; tp Hà Nội; VN</x:v>
      </x:c>
      <x:c r="N59"/>
      <x:c r="O59" t="str">
        <x:v>Chưa đối chiếu thu hồi</x:v>
      </x:c>
      <x:c r="P59" t="str">
        <x:v>Nguồn XLSX chính thức – Cổng dữ liệu mở TP Hải Phòng</x:v>
      </x:c>
      <x:c r="Q59" t="str">
        <x:v>Địa bàn nguồn: Hải Dương (lịch sử). Thuộc 28/409 dòng đầu đã đọc trực tiếp; chưa phải bộ dữ liệu đầy đủ.</x:v>
      </x:c>
      <x:c r="R59" t="str">
        <x:v>https://data.haiphong.gov.vn/dataset/07fa5c03-31ee-453f-9bba-f7acd2ffeb6a/resource/4621ee58-725a-481d-b29c-931e46f220c5/download/khocsdl_trichxuatdulieu_dulieusotiepnhanphieucongbosanphammypham_2026-06-25.xlsx</x:v>
      </x:c>
      <x:c r="S59" t="str">
        <x:v>Hải Phòng (Hải Dương lịch sử)</x:v>
      </x:c>
      <x:c r="T59" t="str">
        <x:v>31</x:v>
      </x:c>
    </x:row>
    <x:row r="60">
      <x:c r="A60" t="n">
        <x:v>59</x:v>
      </x:c>
      <x:c r="B60"/>
      <x:c r="C60" t="n">
        <x:v>46198</x:v>
      </x:c>
      <x:c r="D60" t="n">
        <x:v>2024</x:v>
      </x:c>
      <x:c r="E60"/>
      <x:c r="F60" t="str">
        <x:v>Số 15/24/CBMP-HD</x:v>
      </x:c>
      <x:c r="G60"/>
      <x:c r="H60" t="str">
        <x:v>GEL PK LADY EVA</x:v>
      </x:c>
      <x:c r="I60"/>
      <x:c r="J60" t="str">
        <x:v>Dung dịch vệ sinh</x:v>
      </x:c>
      <x:c r="K60" t="str">
        <x:v>Sản phẩm dùng để vệ sinh cơ quan sinh dục ngoài</x:v>
      </x:c>
      <x:c r="L60" t="str">
        <x:v>CÔNG TY CỔ PHẦN DƯỢC MỸ PHẨM TPHARMA</x:v>
      </x:c>
      <x:c r="M60" t="str">
        <x:v>KM 50 Đường An Định; phường Việt Hoà; tp Hải Dương</x:v>
      </x:c>
      <x:c r="N60"/>
      <x:c r="O60" t="str">
        <x:v>Chưa đối chiếu thu hồi</x:v>
      </x:c>
      <x:c r="P60" t="str">
        <x:v>Nguồn XLSX chính thức – Cổng dữ liệu mở TP Hải Phòng</x:v>
      </x:c>
      <x:c r="Q60" t="str">
        <x:v>Địa bàn nguồn: Hải Dương (lịch sử). Thuộc 28/409 dòng đầu đã đọc trực tiếp; chưa phải bộ dữ liệu đầy đủ.</x:v>
      </x:c>
      <x:c r="R60" t="str">
        <x:v>https://data.haiphong.gov.vn/dataset/07fa5c03-31ee-453f-9bba-f7acd2ffeb6a/resource/4621ee58-725a-481d-b29c-931e46f220c5/download/khocsdl_trichxuatdulieu_dulieusotiepnhanphieucongbosanphammypham_2026-06-25.xlsx</x:v>
      </x:c>
      <x:c r="S60" t="str">
        <x:v>Hải Phòng (Hải Dương lịch sử)</x:v>
      </x:c>
      <x:c r="T60" t="str">
        <x:v>31</x:v>
      </x:c>
    </x:row>
    <x:row r="61">
      <x:c r="A61" t="n">
        <x:v>60</x:v>
      </x:c>
      <x:c r="B61"/>
      <x:c r="C61" t="n">
        <x:v>46198</x:v>
      </x:c>
      <x:c r="D61" t="n">
        <x:v>2024</x:v>
      </x:c>
      <x:c r="E61"/>
      <x:c r="F61" t="str">
        <x:v>Số 16/24/CBMP-HD</x:v>
      </x:c>
      <x:c r="G61"/>
      <x:c r="H61" t="str">
        <x:v>DẦU GỘI DƯỢC LIỆU HƯƠNG THẢO</x:v>
      </x:c>
      <x:c r="I61"/>
      <x:c r="J61" t="str">
        <x:v>Dầu gội</x:v>
      </x:c>
      <x:c r="K61" t="str">
        <x:v>Sản phẩm chăm sóc tóc (sản phẩm làm sạch)</x:v>
      </x:c>
      <x:c r="L61" t="str">
        <x:v>Công ty CP Đầu tư và Thương mại Uy Long</x:v>
      </x:c>
      <x:c r="M61" t="str">
        <x:v>Số 319B Vĩnh Hưng; phường Thanh Trì; quận Hoàng Mai; tp Hà Nội; VN</x:v>
      </x:c>
      <x:c r="N61"/>
      <x:c r="O61" t="str">
        <x:v>Chưa đối chiếu thu hồi</x:v>
      </x:c>
      <x:c r="P61" t="str">
        <x:v>Nguồn XLSX chính thức – Cổng dữ liệu mở TP Hải Phòng</x:v>
      </x:c>
      <x:c r="Q61" t="str">
        <x:v>Địa bàn nguồn: Hải Dương (lịch sử). Thuộc 28/409 dòng đầu đã đọc trực tiếp; chưa phải bộ dữ liệu đầy đủ.</x:v>
      </x:c>
      <x:c r="R61" t="str">
        <x:v>https://data.haiphong.gov.vn/dataset/07fa5c03-31ee-453f-9bba-f7acd2ffeb6a/resource/4621ee58-725a-481d-b29c-931e46f220c5/download/khocsdl_trichxuatdulieu_dulieusotiepnhanphieucongbosanphammypham_2026-06-25.xlsx</x:v>
      </x:c>
      <x:c r="S61" t="str">
        <x:v>Hải Phòng (Hải Dương lịch sử)</x:v>
      </x:c>
      <x:c r="T61" t="str">
        <x:v>31</x:v>
      </x:c>
    </x:row>
    <x:row r="62">
      <x:c r="A62" t="n">
        <x:v>61</x:v>
      </x:c>
      <x:c r="B62"/>
      <x:c r="C62" t="n">
        <x:v>46198</x:v>
      </x:c>
      <x:c r="D62" t="n">
        <x:v>2024</x:v>
      </x:c>
      <x:c r="E62"/>
      <x:c r="F62" t="str">
        <x:v>Số 17/24/CBMP-HD</x:v>
      </x:c>
      <x:c r="G62"/>
      <x:c r="H62" t="str">
        <x:v>Dầu xả Dược liệu Hương Thảo</x:v>
      </x:c>
      <x:c r="I62"/>
      <x:c r="J62" t="str">
        <x:v>Dầu xả</x:v>
      </x:c>
      <x:c r="K62" t="str">
        <x:v>Sản phẩm chăm sóc tóc (sản phẩm làm sạch)</x:v>
      </x:c>
      <x:c r="L62" t="str">
        <x:v>Công ty CP Đầu tư và Thương mại Uy Long</x:v>
      </x:c>
      <x:c r="M62" t="str">
        <x:v>Số 319B Vĩnh Hưng; phường Thanh Trì; quận Hoàng Mai; tp Hà Nội; VN</x:v>
      </x:c>
      <x:c r="N62"/>
      <x:c r="O62" t="str">
        <x:v>Chưa đối chiếu thu hồi</x:v>
      </x:c>
      <x:c r="P62" t="str">
        <x:v>Nguồn XLSX chính thức – Cổng dữ liệu mở TP Hải Phòng</x:v>
      </x:c>
      <x:c r="Q62" t="str">
        <x:v>Địa bàn nguồn: Hải Dương (lịch sử). Thuộc 28/409 dòng đầu đã đọc trực tiếp; chưa phải bộ dữ liệu đầy đủ.</x:v>
      </x:c>
      <x:c r="R62" t="str">
        <x:v>https://data.haiphong.gov.vn/dataset/07fa5c03-31ee-453f-9bba-f7acd2ffeb6a/resource/4621ee58-725a-481d-b29c-931e46f220c5/download/khocsdl_trichxuatdulieu_dulieusotiepnhanphieucongbosanphammypham_2026-06-25.xlsx</x:v>
      </x:c>
      <x:c r="S62" t="str">
        <x:v>Hải Phòng (Hải Dương lịch sử)</x:v>
      </x:c>
      <x:c r="T62" t="str">
        <x:v>31</x:v>
      </x:c>
    </x:row>
    <x:row r="63">
      <x:c r="A63" t="n">
        <x:v>62</x:v>
      </x:c>
      <x:c r="B63"/>
      <x:c r="C63" t="n">
        <x:v>46198</x:v>
      </x:c>
      <x:c r="D63" t="n">
        <x:v>2024</x:v>
      </x:c>
      <x:c r="E63"/>
      <x:c r="F63" t="str">
        <x:v>Số 18/24/CBMP-HD</x:v>
      </x:c>
      <x:c r="G63"/>
      <x:c r="H63" t="str">
        <x:v>DUNG DỊCH VỆ SINH EVALOVE</x:v>
      </x:c>
      <x:c r="I63" t="str">
        <x:v>EVALOVE</x:v>
      </x:c>
      <x:c r="J63" t="str">
        <x:v>Dung dịch vệ sinh</x:v>
      </x:c>
      <x:c r="K63" t="str">
        <x:v>Sản phẩm dùng để vệ sinh cơ quan sinh dục ngoài</x:v>
      </x:c>
      <x:c r="L63" t="str">
        <x:v>CÔNG TY CỔ PHẦN DƯỢC MỸ PHẨM TPHARMA</x:v>
      </x:c>
      <x:c r="M63" t="str">
        <x:v>KM 50 Đường An Định; phường Việt Hoà; tp Hải Dương</x:v>
      </x:c>
      <x:c r="N63"/>
      <x:c r="O63" t="str">
        <x:v>Chưa đối chiếu thu hồi</x:v>
      </x:c>
      <x:c r="P63" t="str">
        <x:v>Nguồn XLSX chính thức – Cổng dữ liệu mở TP Hải Phòng</x:v>
      </x:c>
      <x:c r="Q63" t="str">
        <x:v>Địa bàn nguồn: Hải Dương (lịch sử). Thuộc 28/409 dòng đầu đã đọc trực tiếp; chưa phải bộ dữ liệu đầy đủ.</x:v>
      </x:c>
      <x:c r="R63" t="str">
        <x:v>https://data.haiphong.gov.vn/dataset/07fa5c03-31ee-453f-9bba-f7acd2ffeb6a/resource/4621ee58-725a-481d-b29c-931e46f220c5/download/khocsdl_trichxuatdulieu_dulieusotiepnhanphieucongbosanphammypham_2026-06-25.xlsx</x:v>
      </x:c>
      <x:c r="S63" t="str">
        <x:v>Hải Phòng (Hải Dương lịch sử)</x:v>
      </x:c>
      <x:c r="T63" t="str">
        <x:v>31</x:v>
      </x:c>
    </x:row>
    <x:row r="64">
      <x:c r="A64" t="n">
        <x:v>63</x:v>
      </x:c>
      <x:c r="B64"/>
      <x:c r="C64" t="n">
        <x:v>46198</x:v>
      </x:c>
      <x:c r="D64" t="n">
        <x:v>2024</x:v>
      </x:c>
      <x:c r="E64"/>
      <x:c r="F64" t="str">
        <x:v>Số 19/24/CBMP-HD</x:v>
      </x:c>
      <x:c r="G64"/>
      <x:c r="H64" t="str">
        <x:v>DẦU GỘI THẢO DƯỢC VIN TH.ELEVATES</x:v>
      </x:c>
      <x:c r="I64" t="str">
        <x:v>VIN TH.ELEVATES NATURAL HERBALS</x:v>
      </x:c>
      <x:c r="J64" t="str">
        <x:v>Dầu gội</x:v>
      </x:c>
      <x:c r="K64" t="str">
        <x:v>Sản phẩm chăm sóc tóc (sản phẩm làm sạch)</x:v>
      </x:c>
      <x:c r="L64" t="str">
        <x:v>CÔNG TY CỔ PHẦN DỊCH VỤ THƯƠNG MẠI VINLAND TH</x:v>
      </x:c>
      <x:c r="M64" t="str">
        <x:v>Đội 2 phố Vĩnh Ngọc; phường Đông Lĩnh; tp Thanh Hoá; tỉnh Thanh Hoá; VN</x:v>
      </x:c>
      <x:c r="N64"/>
      <x:c r="O64" t="str">
        <x:v>Chưa đối chiếu thu hồi</x:v>
      </x:c>
      <x:c r="P64" t="str">
        <x:v>Nguồn XLSX chính thức – Cổng dữ liệu mở TP Hải Phòng</x:v>
      </x:c>
      <x:c r="Q64" t="str">
        <x:v>Địa bàn nguồn: Hải Dương (lịch sử). Thuộc 28/409 dòng đầu đã đọc trực tiếp; chưa phải bộ dữ liệu đầy đủ.</x:v>
      </x:c>
      <x:c r="R64" t="str">
        <x:v>https://data.haiphong.gov.vn/dataset/07fa5c03-31ee-453f-9bba-f7acd2ffeb6a/resource/4621ee58-725a-481d-b29c-931e46f220c5/download/khocsdl_trichxuatdulieu_dulieusotiepnhanphieucongbosanphammypham_2026-06-25.xlsx</x:v>
      </x:c>
      <x:c r="S64" t="str">
        <x:v>Hải Phòng (Hải Dương lịch sử)</x:v>
      </x:c>
      <x:c r="T64" t="str">
        <x:v>31</x:v>
      </x:c>
    </x:row>
    <x:row r="65">
      <x:c r="A65" t="n">
        <x:v>64</x:v>
      </x:c>
      <x:c r="B65"/>
      <x:c r="C65" t="n">
        <x:v>46198</x:v>
      </x:c>
      <x:c r="D65" t="n">
        <x:v>2024</x:v>
      </x:c>
      <x:c r="E65"/>
      <x:c r="F65" t="str">
        <x:v>Số 20/24/CBMP-HD</x:v>
      </x:c>
      <x:c r="G65"/>
      <x:c r="H65" t="str">
        <x:v>DẦU XẢ THẢO DƯỢC VIN TH;ELEVATES</x:v>
      </x:c>
      <x:c r="I65" t="str">
        <x:v>VIN TH.ELEVATES NATURAL HERBALS</x:v>
      </x:c>
      <x:c r="J65" t="str">
        <x:v>Dầu xả</x:v>
      </x:c>
      <x:c r="K65" t="str">
        <x:v>Sản phẩm chăm sóc tóc (Sản phẩm dưỡng tóc)</x:v>
      </x:c>
      <x:c r="L65" t="str">
        <x:v>CÔNG TY CỔ PHẦN DỊCH VỤ THƯƠNG MẠI VINLAND TH</x:v>
      </x:c>
      <x:c r="M65" t="str">
        <x:v>Đội 2 phố Vĩnh Ngọc; phường Đông Lĩnh; tp Thanh Hoá; tỉnh Thanh Hoá; VN</x:v>
      </x:c>
      <x:c r="N65"/>
      <x:c r="O65" t="str">
        <x:v>Chưa đối chiếu thu hồi</x:v>
      </x:c>
      <x:c r="P65" t="str">
        <x:v>Nguồn XLSX chính thức – Cổng dữ liệu mở TP Hải Phòng</x:v>
      </x:c>
      <x:c r="Q65" t="str">
        <x:v>Địa bàn nguồn: Hải Dương (lịch sử). Thuộc 28/409 dòng đầu đã đọc trực tiếp; chưa phải bộ dữ liệu đầy đủ.</x:v>
      </x:c>
      <x:c r="R65" t="str">
        <x:v>https://data.haiphong.gov.vn/dataset/07fa5c03-31ee-453f-9bba-f7acd2ffeb6a/resource/4621ee58-725a-481d-b29c-931e46f220c5/download/khocsdl_trichxuatdulieu_dulieusotiepnhanphieucongbosanphammypham_2026-06-25.xlsx</x:v>
      </x:c>
      <x:c r="S65" t="str">
        <x:v>Hải Phòng (Hải Dương lịch sử)</x:v>
      </x:c>
      <x:c r="T65" t="str">
        <x:v>31</x:v>
      </x:c>
    </x:row>
    <x:row r="66">
      <x:c r="A66" t="n">
        <x:v>65</x:v>
      </x:c>
      <x:c r="B66"/>
      <x:c r="C66" t="n">
        <x:v>46198</x:v>
      </x:c>
      <x:c r="D66" t="n">
        <x:v>2024</x:v>
      </x:c>
      <x:c r="E66"/>
      <x:c r="F66" t="str">
        <x:v>Số 21/24/CBMP-HD</x:v>
      </x:c>
      <x:c r="G66"/>
      <x:c r="H66" t="str">
        <x:v>Hair Mask</x:v>
      </x:c>
      <x:c r="I66" t="str">
        <x:v>T-N-T</x:v>
      </x:c>
      <x:c r="J66" t="str">
        <x:v>Ủ tóc/Hair mask</x:v>
      </x:c>
      <x:c r="K66" t="str">
        <x:v>Sản phẩm chăm sóc tóc (Sản phẩm dưỡng tóc)</x:v>
      </x:c>
      <x:c r="L66" t="str">
        <x:v>Công ty TNHH TOÀN LUCKY</x:v>
      </x:c>
      <x:c r="M66" t="str">
        <x:v>LK50 - N04 DỰ ÁN Đầu tư nhà ở Thấp tầng tại khu Lò Gạch (giai đoạn II); xã Cự Khê; huyện Thanh Oai; tp Hà Nội; VN.</x:v>
      </x:c>
      <x:c r="N66"/>
      <x:c r="O66" t="str">
        <x:v>Chưa đối chiếu thu hồi</x:v>
      </x:c>
      <x:c r="P66" t="str">
        <x:v>Nguồn XLSX chính thức – Cổng dữ liệu mở TP Hải Phòng</x:v>
      </x:c>
      <x:c r="Q66" t="str">
        <x:v>Địa bàn nguồn: Hải Dương (lịch sử). Thuộc 28/409 dòng đầu đã đọc trực tiếp; chưa phải bộ dữ liệu đầy đủ.</x:v>
      </x:c>
      <x:c r="R66" t="str">
        <x:v>https://data.haiphong.gov.vn/dataset/07fa5c03-31ee-453f-9bba-f7acd2ffeb6a/resource/4621ee58-725a-481d-b29c-931e46f220c5/download/khocsdl_trichxuatdulieu_dulieusotiepnhanphieucongbosanphammypham_2026-06-25.xlsx</x:v>
      </x:c>
      <x:c r="S66" t="str">
        <x:v>Hải Phòng (Hải Dương lịch sử)</x:v>
      </x:c>
      <x:c r="T66" t="str">
        <x:v>31</x:v>
      </x:c>
    </x:row>
    <x:row r="67">
      <x:c r="A67" t="n">
        <x:v>66</x:v>
      </x:c>
      <x:c r="B67"/>
      <x:c r="C67" t="n">
        <x:v>46198</x:v>
      </x:c>
      <x:c r="D67" t="n">
        <x:v>2024</x:v>
      </x:c>
      <x:c r="E67"/>
      <x:c r="F67" t="str">
        <x:v>Số 22/24/CBMP-HD</x:v>
      </x:c>
      <x:c r="G67"/>
      <x:c r="H67" t="str">
        <x:v>PERM &amp; STRAIGHT 1</x:v>
      </x:c>
      <x:c r="I67" t="str">
        <x:v>ALYDANTON</x:v>
      </x:c>
      <x:c r="J67" t="str">
        <x:v>Uốn/duỗi/giữ nếp tóc</x:v>
      </x:c>
      <x:c r="K67" t="str">
        <x:v>Sản phẩm chăm sóc tóc (Uốn tóc; duỗi tóc; giữ nếp tóc)</x:v>
      </x:c>
      <x:c r="L67" t="str">
        <x:v>Công ty TNHH Hoá Mỹ Phẩm Hồng Đạt</x:v>
      </x:c>
      <x:c r="M67" t="str">
        <x:v>Thôn Đông Giao; xã Lương Điền; huyện Cẩm Giàng; tỉnh Hải Dương; VN</x:v>
      </x:c>
      <x:c r="N67"/>
      <x:c r="O67" t="str">
        <x:v>Chưa đối chiếu thu hồi</x:v>
      </x:c>
      <x:c r="P67" t="str">
        <x:v>Nguồn XLSX chính thức – Cổng dữ liệu mở TP Hải Phòng</x:v>
      </x:c>
      <x:c r="Q67" t="str">
        <x:v>Địa bàn nguồn: Hải Dương (lịch sử). Thuộc 28/409 dòng đầu đã đọc trực tiếp; chưa phải bộ dữ liệu đầy đủ.</x:v>
      </x:c>
      <x:c r="R67" t="str">
        <x:v>https://data.haiphong.gov.vn/dataset/07fa5c03-31ee-453f-9bba-f7acd2ffeb6a/resource/4621ee58-725a-481d-b29c-931e46f220c5/download/khocsdl_trichxuatdulieu_dulieusotiepnhanphieucongbosanphammypham_2026-06-25.xlsx</x:v>
      </x:c>
      <x:c r="S67" t="str">
        <x:v>Hải Phòng (Hải Dương lịch sử)</x:v>
      </x:c>
      <x:c r="T67" t="str">
        <x:v>31</x:v>
      </x:c>
    </x:row>
    <x:row r="68">
      <x:c r="A68" t="n">
        <x:v>67</x:v>
      </x:c>
      <x:c r="B68"/>
      <x:c r="C68" t="n">
        <x:v>46198</x:v>
      </x:c>
      <x:c r="D68" t="n">
        <x:v>2024</x:v>
      </x:c>
      <x:c r="E68"/>
      <x:c r="F68" t="str">
        <x:v>Số 23/24/CBMP-HD</x:v>
      </x:c>
      <x:c r="G68"/>
      <x:c r="H68" t="str">
        <x:v>PERM &amp; STRAIGHT 3</x:v>
      </x:c>
      <x:c r="I68" t="str">
        <x:v>ALYDANTON</x:v>
      </x:c>
      <x:c r="J68" t="str">
        <x:v>Uốn/duỗi/giữ nếp tóc</x:v>
      </x:c>
      <x:c r="K68" t="str">
        <x:v>Sản phẩm chăm sóc tóc (Uốn tóc; duỗi tóc; giữ nếp tóc)</x:v>
      </x:c>
      <x:c r="L68" t="str">
        <x:v>Công ty TNHH Hoá Mỹ Phẩm Hồng Đạt</x:v>
      </x:c>
      <x:c r="M68" t="str">
        <x:v>Thôn Đông Giao; xã Lương Điền; huyện Cẩm Giàng; tỉnh Hải Dương; VN</x:v>
      </x:c>
      <x:c r="N68"/>
      <x:c r="O68" t="str">
        <x:v>Chưa đối chiếu thu hồi</x:v>
      </x:c>
      <x:c r="P68" t="str">
        <x:v>Nguồn XLSX chính thức – Cổng dữ liệu mở TP Hải Phòng</x:v>
      </x:c>
      <x:c r="Q68" t="str">
        <x:v>Địa bàn nguồn: Hải Dương (lịch sử). Thuộc 28/409 dòng đầu đã đọc trực tiếp; chưa phải bộ dữ liệu đầy đủ.</x:v>
      </x:c>
      <x:c r="R68" t="str">
        <x:v>https://data.haiphong.gov.vn/dataset/07fa5c03-31ee-453f-9bba-f7acd2ffeb6a/resource/4621ee58-725a-481d-b29c-931e46f220c5/download/khocsdl_trichxuatdulieu_dulieusotiepnhanphieucongbosanphammypham_2026-06-25.xlsx</x:v>
      </x:c>
      <x:c r="S68" t="str">
        <x:v>Hải Phòng (Hải Dương lịch sử)</x:v>
      </x:c>
      <x:c r="T68" t="str">
        <x:v>31</x:v>
      </x:c>
    </x:row>
    <x:row r="69">
      <x:c r="A69" t="n">
        <x:v>68</x:v>
      </x:c>
      <x:c r="B69"/>
      <x:c r="C69" t="n">
        <x:v>46198</x:v>
      </x:c>
      <x:c r="D69" t="n">
        <x:v>2024</x:v>
      </x:c>
      <x:c r="E69"/>
      <x:c r="F69" t="str">
        <x:v>Số 24/24/CBMP-HD</x:v>
      </x:c>
      <x:c r="G69"/>
      <x:c r="H69" t="str">
        <x:v>D2</x:v>
      </x:c>
      <x:c r="I69" t="str">
        <x:v>Bomane</x:v>
      </x:c>
      <x:c r="J69" t="str">
        <x:v>Uốn/duỗi/giữ nếp tóc</x:v>
      </x:c>
      <x:c r="K69" t="str">
        <x:v>Sản phẩm chăm sóc tóc (Uốn tóc; duỗi tóc; giữ nếp tóc)</x:v>
      </x:c>
      <x:c r="L69" t="str">
        <x:v>Công ty TNHH Hoá Mỹ Phẩm Hồng Đạt</x:v>
      </x:c>
      <x:c r="M69" t="str">
        <x:v>Thôn Đông Giao; xã Lương Điền; huyện Cẩm Giàng; tỉnh Hải Dương; VN</x:v>
      </x:c>
      <x:c r="N69"/>
      <x:c r="O69" t="str">
        <x:v>Chưa đối chiếu thu hồi</x:v>
      </x:c>
      <x:c r="P69" t="str">
        <x:v>Nguồn XLSX chính thức – Cổng dữ liệu mở TP Hải Phòng</x:v>
      </x:c>
      <x:c r="Q69" t="str">
        <x:v>Địa bàn nguồn: Hải Dương (lịch sử). Thuộc 28/409 dòng đầu đã đọc trực tiếp; chưa phải bộ dữ liệu đầy đủ.</x:v>
      </x:c>
      <x:c r="R69" t="str">
        <x:v>https://data.haiphong.gov.vn/dataset/07fa5c03-31ee-453f-9bba-f7acd2ffeb6a/resource/4621ee58-725a-481d-b29c-931e46f220c5/download/khocsdl_trichxuatdulieu_dulieusotiepnhanphieucongbosanphammypham_2026-06-25.xlsx</x:v>
      </x:c>
      <x:c r="S69" t="str">
        <x:v>Hải Phòng (Hải Dương lịch sử)</x:v>
      </x:c>
      <x:c r="T69" t="str">
        <x:v>31</x:v>
      </x:c>
    </x:row>
    <x:row r="70">
      <x:c r="A70" t="n">
        <x:v>69</x:v>
      </x:c>
      <x:c r="B70"/>
      <x:c r="C70" t="n">
        <x:v>46198</x:v>
      </x:c>
      <x:c r="D70" t="n">
        <x:v>2024</x:v>
      </x:c>
      <x:c r="E70"/>
      <x:c r="F70" t="str">
        <x:v>Số 25/24/CBMP-HD</x:v>
      </x:c>
      <x:c r="G70"/>
      <x:c r="H70" t="str">
        <x:v>PERM &amp; STRAIGHT G1</x:v>
      </x:c>
      <x:c r="I70" t="str">
        <x:v>GOLDWIN</x:v>
      </x:c>
      <x:c r="J70" t="str">
        <x:v>Uốn/duỗi/giữ nếp tóc</x:v>
      </x:c>
      <x:c r="K70" t="str">
        <x:v>Sản phẩm chăm sóc tóc (Uốn tóc; duỗi tóc; giữ nếp tóc)</x:v>
      </x:c>
      <x:c r="L70" t="str">
        <x:v>Công ty TNHH Hoá Mỹ Phẩm Hồng Đạt</x:v>
      </x:c>
      <x:c r="M70" t="str">
        <x:v>Thôn Đông Giao; xã Lương Điền; huyện Cẩm Giàng; tỉnh Hải Dương; VN</x:v>
      </x:c>
      <x:c r="N70"/>
      <x:c r="O70" t="str">
        <x:v>Chưa đối chiếu thu hồi</x:v>
      </x:c>
      <x:c r="P70" t="str">
        <x:v>Nguồn XLSX chính thức – Cổng dữ liệu mở TP Hải Phòng</x:v>
      </x:c>
      <x:c r="Q70" t="str">
        <x:v>Địa bàn nguồn: Hải Dương (lịch sử). Thuộc 28/409 dòng đầu đã đọc trực tiếp; chưa phải bộ dữ liệu đầy đủ.</x:v>
      </x:c>
      <x:c r="R70" t="str">
        <x:v>https://data.haiphong.gov.vn/dataset/07fa5c03-31ee-453f-9bba-f7acd2ffeb6a/resource/4621ee58-725a-481d-b29c-931e46f220c5/download/khocsdl_trichxuatdulieu_dulieusotiepnhanphieucongbosanphammypham_2026-06-25.xlsx</x:v>
      </x:c>
      <x:c r="S70" t="str">
        <x:v>Hải Phòng (Hải Dương lịch sử)</x:v>
      </x:c>
      <x:c r="T70" t="str">
        <x:v>31</x:v>
      </x:c>
    </x:row>
    <x:row r="71">
      <x:c r="A71" t="n">
        <x:v>70</x:v>
      </x:c>
      <x:c r="B71"/>
      <x:c r="C71" t="n">
        <x:v>46198</x:v>
      </x:c>
      <x:c r="D71" t="n">
        <x:v>2024</x:v>
      </x:c>
      <x:c r="E71"/>
      <x:c r="F71" t="str">
        <x:v>Số 26/24/CBMP-HD</x:v>
      </x:c>
      <x:c r="G71"/>
      <x:c r="H71" t="str">
        <x:v>PERM &amp; STRAIGHT G3</x:v>
      </x:c>
      <x:c r="I71" t="str">
        <x:v>GOLDWIN</x:v>
      </x:c>
      <x:c r="J71" t="str">
        <x:v>Uốn/duỗi/giữ nếp tóc</x:v>
      </x:c>
      <x:c r="K71" t="str">
        <x:v>Sản phẩm chăm sóc tóc (Uốn tóc; duỗi tóc; giữ nếp tóc)</x:v>
      </x:c>
      <x:c r="L71" t="str">
        <x:v>Công ty TNHH Hoá Mỹ Phẩm Hồng Đạt</x:v>
      </x:c>
      <x:c r="M71" t="str">
        <x:v>Thôn Đông Giao; xã Lương Điền; huyện Cẩm Giàng; tỉnh Hải Dương; VN</x:v>
      </x:c>
      <x:c r="N71"/>
      <x:c r="O71" t="str">
        <x:v>Chưa đối chiếu thu hồi</x:v>
      </x:c>
      <x:c r="P71" t="str">
        <x:v>Nguồn XLSX chính thức – Cổng dữ liệu mở TP Hải Phòng</x:v>
      </x:c>
      <x:c r="Q71" t="str">
        <x:v>Địa bàn nguồn: Hải Dương (lịch sử). Thuộc 28/409 dòng đầu đã đọc trực tiếp; chưa phải bộ dữ liệu đầy đủ.</x:v>
      </x:c>
      <x:c r="R71" t="str">
        <x:v>https://data.haiphong.gov.vn/dataset/07fa5c03-31ee-453f-9bba-f7acd2ffeb6a/resource/4621ee58-725a-481d-b29c-931e46f220c5/download/khocsdl_trichxuatdulieu_dulieusotiepnhanphieucongbosanphammypham_2026-06-25.xlsx</x:v>
      </x:c>
      <x:c r="S71" t="str">
        <x:v>Hải Phòng (Hải Dương lịch sử)</x:v>
      </x:c>
      <x:c r="T71" t="str">
        <x:v>31</x:v>
      </x:c>
    </x:row>
    <x:row r="72">
      <x:c r="A72" t="n">
        <x:v>71</x:v>
      </x:c>
      <x:c r="B72"/>
      <x:c r="C72" t="n">
        <x:v>46198</x:v>
      </x:c>
      <x:c r="D72" t="n">
        <x:v>2024</x:v>
      </x:c>
      <x:c r="E72"/>
      <x:c r="F72" t="str">
        <x:v>Số 27/24/CBMP-HD</x:v>
      </x:c>
      <x:c r="G72"/>
      <x:c r="H72" t="str">
        <x:v>SHAMPOO</x:v>
      </x:c>
      <x:c r="I72" t="str">
        <x:v>HM</x:v>
      </x:c>
      <x:c r="J72" t="str">
        <x:v>Dầu gội</x:v>
      </x:c>
      <x:c r="K72" t="str">
        <x:v>Sản phẩm chăm sóc tóc (sản phẩm làm sạch)</x:v>
      </x:c>
      <x:c r="L72" t="str">
        <x:v>Công ty TNHH Hoá Mỹ Phẩm Hồng Đạt</x:v>
      </x:c>
      <x:c r="M72" t="str">
        <x:v>Thôn Đông Giao; xã Lương Điền; huyện Cẩm Giàng; tỉnh Hải Dương; VN</x:v>
      </x:c>
      <x:c r="N72"/>
      <x:c r="O72" t="str">
        <x:v>Chưa đối chiếu thu hồi</x:v>
      </x:c>
      <x:c r="P72" t="str">
        <x:v>Nguồn XLSX chính thức – Cổng dữ liệu mở TP Hải Phòng</x:v>
      </x:c>
      <x:c r="Q72" t="str">
        <x:v>Địa bàn nguồn: Hải Dương (lịch sử). Thuộc 28/409 dòng đầu đã đọc trực tiếp; chưa phải bộ dữ liệu đầy đủ.</x:v>
      </x:c>
      <x:c r="R72" t="str">
        <x:v>https://data.haiphong.gov.vn/dataset/07fa5c03-31ee-453f-9bba-f7acd2ffeb6a/resource/4621ee58-725a-481d-b29c-931e46f220c5/download/khocsdl_trichxuatdulieu_dulieusotiepnhanphieucongbosanphammypham_2026-06-25.xlsx</x:v>
      </x:c>
      <x:c r="S72" t="str">
        <x:v>Hải Phòng (Hải Dương lịch sử)</x:v>
      </x:c>
      <x:c r="T72" t="str">
        <x:v>31</x:v>
      </x:c>
    </x:row>
    <x:row r="73">
      <x:c r="A73" t="n">
        <x:v>72</x:v>
      </x:c>
      <x:c r="B73"/>
      <x:c r="C73" t="n">
        <x:v>46198</x:v>
      </x:c>
      <x:c r="D73" t="n">
        <x:v>2024</x:v>
      </x:c>
      <x:c r="E73"/>
      <x:c r="F73" t="str">
        <x:v>Số 28/24/CBMP-HD</x:v>
      </x:c>
      <x:c r="G73"/>
      <x:c r="H73" t="str">
        <x:v>PERM &amp; STRAIGHT 1</x:v>
      </x:c>
      <x:c r="I73" t="str">
        <x:v>V8</x:v>
      </x:c>
      <x:c r="J73" t="str">
        <x:v>Uốn/duỗi/giữ nếp tóc</x:v>
      </x:c>
      <x:c r="K73" t="str">
        <x:v>Sản phẩm chăm sóc tóc (Uốn tóc; duỗi tóc; giữ nếp tóc)</x:v>
      </x:c>
      <x:c r="L73" t="str">
        <x:v>Công ty TNHH Hoá Mỹ Phẩm Hồng Đạt</x:v>
      </x:c>
      <x:c r="M73" t="str">
        <x:v>Thôn Đông Giao; xã Lương Điền; huyện Cẩm Giàng; tỉnh Hải Dương; VN</x:v>
      </x:c>
      <x:c r="N73"/>
      <x:c r="O73" t="str">
        <x:v>Chưa đối chiếu thu hồi</x:v>
      </x:c>
      <x:c r="P73" t="str">
        <x:v>Nguồn XLSX chính thức – Cổng dữ liệu mở TP Hải Phòng</x:v>
      </x:c>
      <x:c r="Q73" t="str">
        <x:v>Địa bàn nguồn: Hải Dương (lịch sử). Thuộc 28/409 dòng đầu đã đọc trực tiếp; chưa phải bộ dữ liệu đầy đủ.</x:v>
      </x:c>
      <x:c r="R73" t="str">
        <x:v>https://data.haiphong.gov.vn/dataset/07fa5c03-31ee-453f-9bba-f7acd2ffeb6a/resource/4621ee58-725a-481d-b29c-931e46f220c5/download/khocsdl_trichxuatdulieu_dulieusotiepnhanphieucongbosanphammypham_2026-06-25.xlsx</x:v>
      </x:c>
      <x:c r="S73" t="str">
        <x:v>Hải Phòng (Hải Dương lịch sử)</x:v>
      </x:c>
      <x:c r="T73" t="str">
        <x:v>31</x:v>
      </x:c>
    </x:row>
  </x:sheetData>
  <x:pageMargins left="0.7" right="0.7" top="0.75" bottom="0.75" header="0.3" footer="0.3"/>
</x:worksheet>
</file>

<file path=xl/worksheets/sheet11.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row r="2">
      <x:c r="A2" t="n">
        <x:v>1</x:v>
      </x:c>
      <x:c r="B2" s="330"/>
      <x:c r="C2" s="330" t="n">
        <x:v>45856</x:v>
      </x:c>
      <x:c r="D2" t="n">
        <x:v>2024</x:v>
      </x:c>
      <x:c r="E2"/>
      <x:c r="F2" t="str">
        <x:v>779/24/CBMP-ĐN</x:v>
      </x:c>
      <x:c r="G2"/>
      <x:c r="H2" t="str">
        <x:v>Hanayuki Sunscreen Body</x:v>
      </x:c>
      <x:c r="I2" t="str">
        <x:v>Hanayuki Empire of Beauty</x:v>
      </x:c>
      <x:c r="J2" t="str">
        <x:v>Kem chống nắng</x:v>
      </x:c>
      <x:c r="K2" t="str">
        <x:v>Cross-check pháp lý</x:v>
      </x:c>
      <x:c r="L2" t="str">
        <x:v>Công ty TNHH Thương mại dịch vụ VB Group</x:v>
      </x:c>
      <x:c r="M2" t="str">
        <x:v>TP. Hồ Chí Minh</x:v>
      </x:c>
      <x:c r="N2" t="str">
        <x:v>Công ty Cổ phần Nhà máy Y tế EBC Đồng Nai (trước đây TNHH EBC Group)</x:v>
      </x:c>
      <x:c r="O2" t="str">
        <x:v>Đình chỉ lưu hành, thu hồi</x:v>
      </x:c>
      <x:c r="P2" t="str">
        <x:v>Nguồn nhà nước – VOV dẫn văn bản Sở Y tế/Cục QLD</x:v>
      </x:c>
      <x:c r="Q2" t="str">
        <x:v>Số công bố 779/24/CBMP-ĐN; lô 0010125; nguồn nêu sản phẩm bị đình chỉ/thu hồi.</x:v>
      </x:c>
      <x:c r="R2" t="str">
        <x:v>https://vov.gov.vn/dong-nai-de-nghi-xu-phat-hanh-chinh-vu-kem-chong-nang-hanayuki-sunscreen-body-dtnew-1086398</x:v>
      </x:c>
      <x:c r="S2" t="str">
        <x:v>Đà Nẵng</x:v>
      </x:c>
      <x:c r="T2" t="str">
        <x:v>48</x:v>
      </x:c>
    </x:row>
    <x:row r="3">
      <x:c r="A3" t="n">
        <x:v>2</x:v>
      </x:c>
      <x:c r="B3" s="330"/>
      <x:c r="C3" s="330" t="n">
        <x:v>46020</x:v>
      </x:c>
      <x:c r="D3" t="n">
        <x:v>2024</x:v>
      </x:c>
      <x:c r="E3"/>
      <x:c r="F3" t="str">
        <x:v>780/24/CBMP-ĐN</x:v>
      </x:c>
      <x:c r="G3"/>
      <x:c r="H3" t="str">
        <x:v>Hanayuki Shampoo</x:v>
      </x:c>
      <x:c r="I3" t="str">
        <x:v>Hanayuki Empire of Beauty</x:v>
      </x:c>
      <x:c r="J3" t="str">
        <x:v>Dầu gội</x:v>
      </x:c>
      <x:c r="K3" t="str">
        <x:v>Cross-check pháp lý</x:v>
      </x:c>
      <x:c r="L3" t="str">
        <x:v>Công ty TNHH Thương mại dịch vụ VB Group</x:v>
      </x:c>
      <x:c r="M3" t="str">
        <x:v>TP. Hồ Chí Minh</x:v>
      </x:c>
      <x:c r="N3" t="str">
        <x:v>Công ty Cổ phần Nhà máy Y tế EBC Đồng Nai (trước đây TNHH EBC Group)</x:v>
      </x:c>
      <x:c r="O3" t="str">
        <x:v>Có cảnh báo pháp lý/đang làm rõ</x:v>
      </x:c>
      <x:c r="P3" t="str">
        <x:v>Nguồn chính thức – Sở Y tế Bà Rịa–Vũng Tàu</x:v>
      </x:c>
      <x:c r="Q3" t="str">
        <x:v>Nguồn dẫn việc tiếp tục làm rõ sản phẩm; không ghi là đã thu hồi số tiếp nhận nếu nguồn chưa kết luận.</x:v>
      </x:c>
      <x:c r="R3" t="str">
        <x:v>https://soyte.baria-vungtau.gov.vn/Dinh-chi-luu-hanh-thu-hoi-nhieu-my-pham-khong-dat-tieu-chuan-chat-luong-2-3-4-123.html</x:v>
      </x:c>
      <x:c r="S3" t="str">
        <x:v>Đà Nẵng</x:v>
      </x:c>
      <x:c r="T3" t="str">
        <x:v>48</x:v>
      </x:c>
    </x:row>
    <x:row r="4">
      <x:c r="A4" t="n">
        <x:v>3</x:v>
      </x:c>
      <x:c r="B4" s="330"/>
      <x:c r="C4" s="330" t="n">
        <x:v>46020</x:v>
      </x:c>
      <x:c r="D4" t="n">
        <x:v>2024</x:v>
      </x:c>
      <x:c r="E4"/>
      <x:c r="F4" t="str">
        <x:v>792/24/CBMP-ĐN</x:v>
      </x:c>
      <x:c r="G4"/>
      <x:c r="H4" t="str">
        <x:v>VB Soft &amp; Silk</x:v>
      </x:c>
      <x:c r="I4" t="str">
        <x:v>Hanayuki Empire of Beauty</x:v>
      </x:c>
      <x:c r="J4" t="str">
        <x:v>Khác</x:v>
      </x:c>
      <x:c r="K4" t="str">
        <x:v>Cross-check pháp lý</x:v>
      </x:c>
      <x:c r="L4" t="str">
        <x:v>Công ty TNHH Thương mại dịch vụ VB Group</x:v>
      </x:c>
      <x:c r="M4" t="str">
        <x:v>TP. Hồ Chí Minh</x:v>
      </x:c>
      <x:c r="N4" t="str">
        <x:v>Công ty Cổ phần Nhà máy Y tế EBC Đồng Nai (trước đây TNHH EBC Group)</x:v>
      </x:c>
      <x:c r="O4" t="str">
        <x:v>Có cảnh báo pháp lý/đang làm rõ</x:v>
      </x:c>
      <x:c r="P4" t="str">
        <x:v>Nguồn chính thức – Sở Y tế Bà Rịa–Vũng Tàu</x:v>
      </x:c>
      <x:c r="Q4" t="str">
        <x:v>Nguồn dẫn việc tiếp tục làm rõ sản phẩm; loại sản phẩm chưa đủ dữ liệu để phân nhóm chi tiết.</x:v>
      </x:c>
      <x:c r="R4" t="str">
        <x:v>https://soyte.baria-vungtau.gov.vn/Dinh-chi-luu-hanh-thu-hoi-nhieu-my-pham-khong-dat-tieu-chuan-chat-luong-2-3-4-123.html</x:v>
      </x:c>
      <x:c r="S4" t="str">
        <x:v>Đà Nẵng</x:v>
      </x:c>
      <x:c r="T4" t="str">
        <x:v>48</x:v>
      </x:c>
    </x:row>
    <x:row r="5">
      <x:c r="A5" t="n">
        <x:v>4</x:v>
      </x:c>
      <x:c r="B5" s="330"/>
      <x:c r="C5" s="330" t="n">
        <x:v>45856</x:v>
      </x:c>
      <x:c r="D5" t="n">
        <x:v>2024</x:v>
      </x:c>
      <x:c r="E5"/>
      <x:c r="F5" t="str">
        <x:v>794/24/CBMP-ĐN</x:v>
      </x:c>
      <x:c r="G5"/>
      <x:c r="H5" t="str">
        <x:v>Hanayuki Conditioner</x:v>
      </x:c>
      <x:c r="I5" t="str">
        <x:v>Hanayuki Empire of Beauty</x:v>
      </x:c>
      <x:c r="J5" t="str">
        <x:v>Dầu xả</x:v>
      </x:c>
      <x:c r="K5" t="str">
        <x:v>Cross-check pháp lý</x:v>
      </x:c>
      <x:c r="L5" t="str">
        <x:v>Công ty TNHH Thương mại dịch vụ VB Group</x:v>
      </x:c>
      <x:c r="M5" t="str">
        <x:v>TP. Hồ Chí Minh</x:v>
      </x:c>
      <x:c r="N5" t="str">
        <x:v>Công ty Cổ phần Nhà máy Y tế EBC Đồng Nai (trước đây TNHH EBC Group)</x:v>
      </x:c>
      <x:c r="O5" t="str">
        <x:v>Đình chỉ lưu hành, thu hồi</x:v>
      </x:c>
      <x:c r="P5" t="str">
        <x:v>Nguồn nhà nước – VOV dẫn Cục Quản lý Dược</x:v>
      </x:c>
      <x:c r="Q5" t="str">
        <x:v>Số công bố 794/24/CBMP-ĐN; lô 0010125; nguồn nêu đình chỉ lưu hành, thu hồi.</x:v>
      </x:c>
      <x:c r="R5" t="str">
        <x:v>https://vov.gov.vn/2-cong-ty-my-pham-lien-quan-chong-doan-di-bang-bi-yeu-cau-tam-dung-san-xuat-dtnew-1086843</x:v>
      </x:c>
      <x:c r="S5" t="str">
        <x:v>Đà Nẵng</x:v>
      </x:c>
      <x:c r="T5" t="str">
        <x:v>48</x:v>
      </x:c>
    </x:row>
    <x:row r="6">
      <x:c r="A6" t="n">
        <x:v>5</x:v>
      </x:c>
      <x:c r="B6" s="330" t="n">
        <x:v>44824</x:v>
      </x:c>
      <x:c r="C6" s="330" t="n">
        <x:v>46080</x:v>
      </x:c>
      <x:c r="D6" t="n">
        <x:v>2022</x:v>
      </x:c>
      <x:c r="E6" t="n">
        <x:v>9</x:v>
      </x:c>
      <x:c r="F6" t="str">
        <x:v>182947/22/CBMP-QLD</x:v>
      </x:c>
      <x:c r="G6"/>
      <x:c r="H6" t="str">
        <x:v>Harnn Mystique Revitalizing Conditioner</x:v>
      </x:c>
      <x:c r="I6" t="str">
        <x:v>HARNN</x:v>
      </x:c>
      <x:c r="J6" t="str">
        <x:v>Dầu xả</x:v>
      </x:c>
      <x:c r="K6"/>
      <x:c r="L6" t="str">
        <x:v>Công ty TNHH GREEN UNIVERSAL SUPPLY</x:v>
      </x:c>
      <x:c r="M6" t="str">
        <x:v>36 - 38 Bạch Đằng, phường Thạch Thang, quận Hải Châu, TP. Đà Nẵng, Việt Nam. Mã số doanh nghiệp: 0402132609</x:v>
      </x:c>
      <x:c r="N6"/>
      <x:c r="O6" t="str">
        <x:v>Thu hồi số tiếp nhận; đình chỉ lưu hành và thu hồi (QĐ 126/QĐ-QLD)</x:v>
      </x:c>
      <x:c r="P6" t="str">
        <x:v>A++ – Cục Quản lý Dược; company responsibility explicit</x:v>
      </x:c>
      <x:c r="Q6" t="str">
        <x:v>QĐ126/2026, STT 169, trang 17.</x:v>
      </x:c>
      <x:c r="R6" t="str">
        <x:v>https://dav.gov.vn/quyet-dinh-so-126qd-qld-ve-viec-thu-hoi-so-tiep-nhan-phieu-cong-bo-san-pham-my-pham-dinh-chi-luu-hanh-va-thu-hoi-san-pham-my-pham-theo-kl-cua-hd-my-pham-asean-doi-voi-san-pham-my-pham-co-chua-chat-cyclotetrasiloxane-octamethylcyclotetrasiloxane-n5224.html</x:v>
      </x:c>
      <x:c r="S6" t="str">
        <x:v>Đà Nẵng</x:v>
      </x:c>
      <x:c r="T6" t="str">
        <x:v>48</x:v>
      </x:c>
    </x:row>
  </x:sheetData>
  <x:pageMargins left="0.7" right="0.7" top="0.75" bottom="0.75" header="0.3" footer="0.3"/>
</x:worksheet>
</file>

<file path=xl/worksheets/sheet12.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13.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14.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15.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16.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row r="2">
      <x:c r="A2" t="n">
        <x:v>1</x:v>
      </x:c>
      <x:c r="B2" s="330" t="n">
        <x:v>45904</x:v>
      </x:c>
      <x:c r="C2" s="330" t="n">
        <x:v>46080</x:v>
      </x:c>
      <x:c r="D2" t="n">
        <x:v>2025</x:v>
      </x:c>
      <x:c r="E2" t="n">
        <x:v>9</x:v>
      </x:c>
      <x:c r="F2" t="str">
        <x:v>288931/25/CBMP-QLD</x:v>
      </x:c>
      <x:c r="G2"/>
      <x:c r="H2" t="str">
        <x:v>Aily Complex Fragrance Soft &amp; Silky Conditioner</x:v>
      </x:c>
      <x:c r="I2" t="str">
        <x:v>aily</x:v>
      </x:c>
      <x:c r="J2" t="str">
        <x:v>Dầu xả</x:v>
      </x:c>
      <x:c r="K2"/>
      <x:c r="L2" t="str">
        <x:v>CÔNG TY TNHH CÔNG NGHỆ SINH HỌC LE LIN VIỆT NAM</x:v>
      </x:c>
      <x:c r="M2" t="str">
        <x:v>Số 273, đường Lý Anh Tông, khu đô thị Đại Hoàng Long liền kề 11, phường Võ Cường, TP. Bắc Ninh, tỉnh Bắc Ninh, Việt Nam. Mã số doanh nghiệp: 2301308698</x:v>
      </x:c>
      <x:c r="N2"/>
      <x:c r="O2" t="str">
        <x:v>Thu hồi số tiếp nhận; đình chỉ lưu hành và thu hồi (QĐ 126/QĐ-QLD)</x:v>
      </x:c>
      <x:c r="P2" t="str">
        <x:v>A++ – Cục Quản lý Dược; company responsibility explicit</x:v>
      </x:c>
      <x:c r="Q2" t="str">
        <x:v>QĐ126/2026, STT 76, trang 9.</x:v>
      </x:c>
      <x:c r="R2" t="str">
        <x:v>https://dav.gov.vn/quyet-dinh-so-126qd-qld-ve-viec-thu-hoi-so-tiep-nhan-phieu-cong-bo-san-pham-my-pham-dinh-chi-luu-hanh-va-thu-hoi-san-pham-my-pham-theo-kl-cua-hd-my-pham-asean-doi-voi-san-pham-my-pham-co-chua-chat-cyclotetrasiloxane-octamethylcyclotetrasiloxane-n5224.html</x:v>
      </x:c>
      <x:c r="S2" t="str">
        <x:v>Bắc Ninh</x:v>
      </x:c>
      <x:c r="T2" t="str">
        <x:v>24</x:v>
      </x:c>
    </x:row>
    <x:row r="3">
      <x:c r="A3" t="n">
        <x:v>2</x:v>
      </x:c>
      <x:c r="B3" s="330" t="n">
        <x:v>44784</x:v>
      </x:c>
      <x:c r="C3" s="330" t="n">
        <x:v>46080</x:v>
      </x:c>
      <x:c r="D3" t="n">
        <x:v>2022</x:v>
      </x:c>
      <x:c r="E3" t="n">
        <x:v>8</x:v>
      </x:c>
      <x:c r="F3" t="str">
        <x:v>177480/22/CBMP-QLD</x:v>
      </x:c>
      <x:c r="G3"/>
      <x:c r="H3" t="str">
        <x:v>Kiakiamia Professional Hydration Supple Conditioner</x:v>
      </x:c>
      <x:c r="I3" t="str">
        <x:v>KIAKIAM IA</x:v>
      </x:c>
      <x:c r="J3" t="str">
        <x:v>Dầu xả</x:v>
      </x:c>
      <x:c r="K3"/>
      <x:c r="L3" t="str">
        <x:v>CÔNG TY TNHH ĐỈNH TÍN</x:v>
      </x:c>
      <x:c r="M3" t="str">
        <x:v>Số nhà 71A, KĐT Phú Điền, phường Tân Hồng, TP. Từ Sơn, tỉnh Bắc Ninh, Việt Nam. Mã số doanh nghiệp: 2301085427</x:v>
      </x:c>
      <x:c r="N3"/>
      <x:c r="O3" t="str">
        <x:v>Thu hồi số tiếp nhận; đình chỉ lưu hành và thu hồi (QĐ 126/QĐ-QLD)</x:v>
      </x:c>
      <x:c r="P3" t="str">
        <x:v>A++ – Cục Quản lý Dược; company responsibility explicit</x:v>
      </x:c>
      <x:c r="Q3" t="str">
        <x:v>QĐ126/2026, STT 112, trang 12.</x:v>
      </x:c>
      <x:c r="R3" t="str">
        <x:v>https://dav.gov.vn/quyet-dinh-so-126qd-qld-ve-viec-thu-hoi-so-tiep-nhan-phieu-cong-bo-san-pham-my-pham-dinh-chi-luu-hanh-va-thu-hoi-san-pham-my-pham-theo-kl-cua-hd-my-pham-asean-doi-voi-san-pham-my-pham-co-chua-chat-cyclotetrasiloxane-octamethylcyclotetrasiloxane-n5224.html</x:v>
      </x:c>
      <x:c r="S3" t="str">
        <x:v>Bắc Ninh</x:v>
      </x:c>
      <x:c r="T3" t="str">
        <x:v>24</x:v>
      </x:c>
    </x:row>
    <x:row r="4">
      <x:c r="A4" t="n">
        <x:v>3</x:v>
      </x:c>
      <x:c r="B4" s="330" t="n">
        <x:v>44784</x:v>
      </x:c>
      <x:c r="C4" s="330" t="n">
        <x:v>46080</x:v>
      </x:c>
      <x:c r="D4" t="n">
        <x:v>2022</x:v>
      </x:c>
      <x:c r="E4" t="n">
        <x:v>8</x:v>
      </x:c>
      <x:c r="F4" t="str">
        <x:v>177481/22/CBMP-QLD</x:v>
      </x:c>
      <x:c r="G4"/>
      <x:c r="H4" t="str">
        <x:v>Kiakiamia Professional Repairing And Hydrating Hair Mask</x:v>
      </x:c>
      <x:c r="I4" t="str">
        <x:v>KIAKIAM IA</x:v>
      </x:c>
      <x:c r="J4" t="str">
        <x:v>Mặt nạ</x:v>
      </x:c>
      <x:c r="K4"/>
      <x:c r="L4" t="str">
        <x:v>CÔNG TY TNHH ĐỈNH TÍN</x:v>
      </x:c>
      <x:c r="M4" t="str">
        <x:v>Số nhà 71A, KĐT Phú Điền, phường Tân Hồng, TP. Từ Sơn, tỉnh Bắc Ninh, Việt Nam. Mã số doanh nghiệp: 2301085427</x:v>
      </x:c>
      <x:c r="N4"/>
      <x:c r="O4" t="str">
        <x:v>Thu hồi số tiếp nhận; đình chỉ lưu hành và thu hồi (QĐ 126/QĐ-QLD)</x:v>
      </x:c>
      <x:c r="P4" t="str">
        <x:v>A++ – Cục Quản lý Dược; company responsibility explicit</x:v>
      </x:c>
      <x:c r="Q4" t="str">
        <x:v>QĐ126/2026, STT 113, trang 12.</x:v>
      </x:c>
      <x:c r="R4" t="str">
        <x:v>https://dav.gov.vn/quyet-dinh-so-126qd-qld-ve-viec-thu-hoi-so-tiep-nhan-phieu-cong-bo-san-pham-my-pham-dinh-chi-luu-hanh-va-thu-hoi-san-pham-my-pham-theo-kl-cua-hd-my-pham-asean-doi-voi-san-pham-my-pham-co-chua-chat-cyclotetrasiloxane-octamethylcyclotetrasiloxane-n5224.html</x:v>
      </x:c>
      <x:c r="S4" t="str">
        <x:v>Bắc Ninh</x:v>
      </x:c>
      <x:c r="T4" t="str">
        <x:v>24</x:v>
      </x:c>
    </x:row>
    <x:row r="5">
      <x:c r="A5" t="n">
        <x:v>4</x:v>
      </x:c>
      <x:c r="B5" s="330" t="n">
        <x:v>44784</x:v>
      </x:c>
      <x:c r="C5" s="330" t="n">
        <x:v>46080</x:v>
      </x:c>
      <x:c r="D5" t="n">
        <x:v>2022</x:v>
      </x:c>
      <x:c r="E5" t="n">
        <x:v>8</x:v>
      </x:c>
      <x:c r="F5" t="str">
        <x:v>177490/22/CBMP-QLD</x:v>
      </x:c>
      <x:c r="G5"/>
      <x:c r="H5" t="str">
        <x:v>Huige Hydration Supple Conditioner</x:v>
      </x:c>
      <x:c r="I5" t="str">
        <x:v>HUIGE</x:v>
      </x:c>
      <x:c r="J5" t="str">
        <x:v>Dầu xả</x:v>
      </x:c>
      <x:c r="K5"/>
      <x:c r="L5" t="str">
        <x:v>CÔNG TY TNHH ĐỈNH TÍN</x:v>
      </x:c>
      <x:c r="M5" t="str">
        <x:v>Số nhà 71A, KĐT Phú Điền, phường Tân Hồng, TP. Từ Sơn, tỉnh Bắc Ninh, Việt Nam. Mã số doanh nghiệp: 2301085427</x:v>
      </x:c>
      <x:c r="N5"/>
      <x:c r="O5" t="str">
        <x:v>Thu hồi số tiếp nhận; đình chỉ lưu hành và thu hồi (QĐ 126/QĐ-QLD)</x:v>
      </x:c>
      <x:c r="P5" t="str">
        <x:v>A++ – Cục Quản lý Dược; company responsibility explicit</x:v>
      </x:c>
      <x:c r="Q5" t="str">
        <x:v>QĐ126/2026, STT 114, trang 12.</x:v>
      </x:c>
      <x:c r="R5" t="str">
        <x:v>https://dav.gov.vn/quyet-dinh-so-126qd-qld-ve-viec-thu-hoi-so-tiep-nhan-phieu-cong-bo-san-pham-my-pham-dinh-chi-luu-hanh-va-thu-hoi-san-pham-my-pham-theo-kl-cua-hd-my-pham-asean-doi-voi-san-pham-my-pham-co-chua-chat-cyclotetrasiloxane-octamethylcyclotetrasiloxane-n5224.html</x:v>
      </x:c>
      <x:c r="S5" t="str">
        <x:v>Bắc Ninh</x:v>
      </x:c>
      <x:c r="T5" t="str">
        <x:v>24</x:v>
      </x:c>
    </x:row>
    <x:row r="6">
      <x:c r="A6" t="n">
        <x:v>5</x:v>
      </x:c>
      <x:c r="B6" s="330" t="n">
        <x:v>44784</x:v>
      </x:c>
      <x:c r="C6" s="330" t="n">
        <x:v>46080</x:v>
      </x:c>
      <x:c r="D6" t="n">
        <x:v>2022</x:v>
      </x:c>
      <x:c r="E6" t="n">
        <x:v>8</x:v>
      </x:c>
      <x:c r="F6" t="str">
        <x:v>177491/22/CBMP-QLD</x:v>
      </x:c>
      <x:c r="G6"/>
      <x:c r="H6" t="str">
        <x:v>Huige Smooth Nourish Conditioner</x:v>
      </x:c>
      <x:c r="I6" t="str">
        <x:v>HUIGE</x:v>
      </x:c>
      <x:c r="J6" t="str">
        <x:v>Dầu xả</x:v>
      </x:c>
      <x:c r="K6"/>
      <x:c r="L6" t="str">
        <x:v>CÔNG TY TNHH ĐỈNH TÍN</x:v>
      </x:c>
      <x:c r="M6" t="str">
        <x:v>Số nhà 71A, KĐT Phú Điền, phường Tân Hồng, TP. Từ Sơn, tỉnh Bắc Ninh, Việt Nam. Mã số doanh nghiệp: 2301085427</x:v>
      </x:c>
      <x:c r="N6"/>
      <x:c r="O6" t="str">
        <x:v>Thu hồi số tiếp nhận; đình chỉ lưu hành và thu hồi (QĐ 126/QĐ-QLD)</x:v>
      </x:c>
      <x:c r="P6" t="str">
        <x:v>A++ – Cục Quản lý Dược; company responsibility explicit</x:v>
      </x:c>
      <x:c r="Q6" t="str">
        <x:v>QĐ126/2026, STT 115, trang 13.</x:v>
      </x:c>
      <x:c r="R6" t="str">
        <x:v>https://dav.gov.vn/quyet-dinh-so-126qd-qld-ve-viec-thu-hoi-so-tiep-nhan-phieu-cong-bo-san-pham-my-pham-dinh-chi-luu-hanh-va-thu-hoi-san-pham-my-pham-theo-kl-cua-hd-my-pham-asean-doi-voi-san-pham-my-pham-co-chua-chat-cyclotetrasiloxane-octamethylcyclotetrasiloxane-n5224.html</x:v>
      </x:c>
      <x:c r="S6" t="str">
        <x:v>Bắc Ninh</x:v>
      </x:c>
      <x:c r="T6" t="str">
        <x:v>24</x:v>
      </x:c>
    </x:row>
    <x:row r="7">
      <x:c r="A7" t="n">
        <x:v>6</x:v>
      </x:c>
      <x:c r="B7" s="330" t="n">
        <x:v>44784</x:v>
      </x:c>
      <x:c r="C7" s="330" t="n">
        <x:v>46080</x:v>
      </x:c>
      <x:c r="D7" t="n">
        <x:v>2022</x:v>
      </x:c>
      <x:c r="E7" t="n">
        <x:v>8</x:v>
      </x:c>
      <x:c r="F7" t="str">
        <x:v>177493/22/CBMP-QLD</x:v>
      </x:c>
      <x:c r="G7"/>
      <x:c r="H7" t="str">
        <x:v>Cabyseen Moisturizing And Smoothing Conditioner</x:v>
      </x:c>
      <x:c r="I7" t="str">
        <x:v>CABYSEE N</x:v>
      </x:c>
      <x:c r="J7" t="str">
        <x:v>Dầu xả</x:v>
      </x:c>
      <x:c r="K7"/>
      <x:c r="L7" t="str">
        <x:v>CÔNG TY TNHH ĐỈNH TÍN</x:v>
      </x:c>
      <x:c r="M7" t="str">
        <x:v>Số nhà 71A, KĐT Phú Điền, phường Tân Hồng, TP. Từ Sơn, tỉnh Bắc Ninh, Việt Nam. Mã số doanh nghiệp: 2301085427</x:v>
      </x:c>
      <x:c r="N7"/>
      <x:c r="O7" t="str">
        <x:v>Thu hồi số tiếp nhận; đình chỉ lưu hành và thu hồi (QĐ 126/QĐ-QLD)</x:v>
      </x:c>
      <x:c r="P7" t="str">
        <x:v>A++ – Cục Quản lý Dược; company responsibility explicit</x:v>
      </x:c>
      <x:c r="Q7" t="str">
        <x:v>QĐ126/2026, STT 116, trang 13.</x:v>
      </x:c>
      <x:c r="R7" t="str">
        <x:v>https://dav.gov.vn/quyet-dinh-so-126qd-qld-ve-viec-thu-hoi-so-tiep-nhan-phieu-cong-bo-san-pham-my-pham-dinh-chi-luu-hanh-va-thu-hoi-san-pham-my-pham-theo-kl-cua-hd-my-pham-asean-doi-voi-san-pham-my-pham-co-chua-chat-cyclotetrasiloxane-octamethylcyclotetrasiloxane-n5224.html</x:v>
      </x:c>
      <x:c r="S7" t="str">
        <x:v>Bắc Ninh</x:v>
      </x:c>
      <x:c r="T7" t="str">
        <x:v>24</x:v>
      </x:c>
    </x:row>
    <x:row r="8">
      <x:c r="A8" t="n">
        <x:v>7</x:v>
      </x:c>
      <x:c r="B8" s="330" t="n">
        <x:v>44784</x:v>
      </x:c>
      <x:c r="C8" s="330" t="n">
        <x:v>46080</x:v>
      </x:c>
      <x:c r="D8" t="n">
        <x:v>2022</x:v>
      </x:c>
      <x:c r="E8" t="n">
        <x:v>8</x:v>
      </x:c>
      <x:c r="F8" t="str">
        <x:v>177494/22/CBMP-QLD</x:v>
      </x:c>
      <x:c r="G8"/>
      <x:c r="H8" t="str">
        <x:v>Cabyseen Collagen Hair Mask</x:v>
      </x:c>
      <x:c r="I8" t="str">
        <x:v>CABYSEE N</x:v>
      </x:c>
      <x:c r="J8" t="str">
        <x:v>Mặt nạ</x:v>
      </x:c>
      <x:c r="K8"/>
      <x:c r="L8" t="str">
        <x:v>CÔNG TY TNHH ĐỈNH TÍN</x:v>
      </x:c>
      <x:c r="M8" t="str">
        <x:v>Số nhà 71A, KĐT Phú Điền, phường Tân Hồng, TP. Từ Sơn, tỉnh Bắc Ninh, Việt Nam. Mã số doanh nghiệp: 2301085427</x:v>
      </x:c>
      <x:c r="N8"/>
      <x:c r="O8" t="str">
        <x:v>Thu hồi số tiếp nhận; đình chỉ lưu hành và thu hồi (QĐ 126/QĐ-QLD)</x:v>
      </x:c>
      <x:c r="P8" t="str">
        <x:v>A++ – Cục Quản lý Dược; company responsibility explicit</x:v>
      </x:c>
      <x:c r="Q8" t="str">
        <x:v>QĐ126/2026, STT 117, trang 13.</x:v>
      </x:c>
      <x:c r="R8" t="str">
        <x:v>https://dav.gov.vn/quyet-dinh-so-126qd-qld-ve-viec-thu-hoi-so-tiep-nhan-phieu-cong-bo-san-pham-my-pham-dinh-chi-luu-hanh-va-thu-hoi-san-pham-my-pham-theo-kl-cua-hd-my-pham-asean-doi-voi-san-pham-my-pham-co-chua-chat-cyclotetrasiloxane-octamethylcyclotetrasiloxane-n5224.html</x:v>
      </x:c>
      <x:c r="S8" t="str">
        <x:v>Bắc Ninh</x:v>
      </x:c>
      <x:c r="T8" t="str">
        <x:v>24</x:v>
      </x:c>
    </x:row>
    <x:row r="9">
      <x:c r="A9" t="n">
        <x:v>8</x:v>
      </x:c>
      <x:c r="B9" s="330" t="n">
        <x:v>44784</x:v>
      </x:c>
      <x:c r="C9" s="330" t="n">
        <x:v>46080</x:v>
      </x:c>
      <x:c r="D9" t="n">
        <x:v>2022</x:v>
      </x:c>
      <x:c r="E9" t="n">
        <x:v>8</x:v>
      </x:c>
      <x:c r="F9" t="str">
        <x:v>177496/22/CBMP-QLD</x:v>
      </x:c>
      <x:c r="G9"/>
      <x:c r="H9" t="str">
        <x:v>Huige Meisailafei Supplement Water Conditioner</x:v>
      </x:c>
      <x:c r="I9" t="str">
        <x:v>HUIGE</x:v>
      </x:c>
      <x:c r="J9" t="str">
        <x:v>Dầu xả</x:v>
      </x:c>
      <x:c r="K9"/>
      <x:c r="L9" t="str">
        <x:v>CÔNG TY TNHH ĐỈNH TÍN</x:v>
      </x:c>
      <x:c r="M9" t="str">
        <x:v>Số nhà 71A, KĐT Phú Điền, phường Tân Hồng, TP. Từ Sơn, tỉnh Bắc Ninh, Việt Nam. Mã số doanh nghiệp: 2301085427</x:v>
      </x:c>
      <x:c r="N9"/>
      <x:c r="O9" t="str">
        <x:v>Thu hồi số tiếp nhận; đình chỉ lưu hành và thu hồi (QĐ 126/QĐ-QLD)</x:v>
      </x:c>
      <x:c r="P9" t="str">
        <x:v>A++ – Cục Quản lý Dược; company responsibility explicit</x:v>
      </x:c>
      <x:c r="Q9" t="str">
        <x:v>QĐ126/2026, STT 118, trang 13.</x:v>
      </x:c>
      <x:c r="R9" t="str">
        <x:v>https://dav.gov.vn/quyet-dinh-so-126qd-qld-ve-viec-thu-hoi-so-tiep-nhan-phieu-cong-bo-san-pham-my-pham-dinh-chi-luu-hanh-va-thu-hoi-san-pham-my-pham-theo-kl-cua-hd-my-pham-asean-doi-voi-san-pham-my-pham-co-chua-chat-cyclotetrasiloxane-octamethylcyclotetrasiloxane-n5224.html</x:v>
      </x:c>
      <x:c r="S9" t="str">
        <x:v>Bắc Ninh</x:v>
      </x:c>
      <x:c r="T9" t="str">
        <x:v>24</x:v>
      </x:c>
    </x:row>
    <x:row r="10">
      <x:c r="A10" t="n">
        <x:v>9</x:v>
      </x:c>
      <x:c r="B10" s="330" t="n">
        <x:v>44784</x:v>
      </x:c>
      <x:c r="C10" s="330" t="n">
        <x:v>46080</x:v>
      </x:c>
      <x:c r="D10" t="n">
        <x:v>2022</x:v>
      </x:c>
      <x:c r="E10" t="n">
        <x:v>8</x:v>
      </x:c>
      <x:c r="F10" t="str">
        <x:v>177497/22/CBMP-QLD</x:v>
      </x:c>
      <x:c r="G10"/>
      <x:c r="H10" t="str">
        <x:v>Huige Moisturizing Add Water Conditioner</x:v>
      </x:c>
      <x:c r="I10" t="str">
        <x:v>HUIGE</x:v>
      </x:c>
      <x:c r="J10" t="str">
        <x:v>Dầu xả</x:v>
      </x:c>
      <x:c r="K10"/>
      <x:c r="L10" t="str">
        <x:v>CÔNG TY TNHH ĐỈNH TÍN</x:v>
      </x:c>
      <x:c r="M10" t="str">
        <x:v>Số nhà 71A, KĐT Phú Điền, phường Tân Hồng, TP. Từ Sơn, tỉnh Bắc Ninh, Việt Nam. Mã số doanh nghiệp: 2301085427</x:v>
      </x:c>
      <x:c r="N10"/>
      <x:c r="O10" t="str">
        <x:v>Thu hồi số tiếp nhận; đình chỉ lưu hành và thu hồi (QĐ 126/QĐ-QLD)</x:v>
      </x:c>
      <x:c r="P10" t="str">
        <x:v>A++ – Cục Quản lý Dược; company responsibility explicit</x:v>
      </x:c>
      <x:c r="Q10" t="str">
        <x:v>QĐ126/2026, STT 119, trang 13.</x:v>
      </x:c>
      <x:c r="R10" t="str">
        <x:v>https://dav.gov.vn/quyet-dinh-so-126qd-qld-ve-viec-thu-hoi-so-tiep-nhan-phieu-cong-bo-san-pham-my-pham-dinh-chi-luu-hanh-va-thu-hoi-san-pham-my-pham-theo-kl-cua-hd-my-pham-asean-doi-voi-san-pham-my-pham-co-chua-chat-cyclotetrasiloxane-octamethylcyclotetrasiloxane-n5224.html</x:v>
      </x:c>
      <x:c r="S10" t="str">
        <x:v>Bắc Ninh</x:v>
      </x:c>
      <x:c r="T10" t="str">
        <x:v>24</x:v>
      </x:c>
    </x:row>
    <x:row r="11">
      <x:c r="A11" t="n">
        <x:v>10</x:v>
      </x:c>
      <x:c r="B11" s="330" t="n">
        <x:v>44784</x:v>
      </x:c>
      <x:c r="C11" s="330" t="n">
        <x:v>46080</x:v>
      </x:c>
      <x:c r="D11" t="n">
        <x:v>2022</x:v>
      </x:c>
      <x:c r="E11" t="n">
        <x:v>8</x:v>
      </x:c>
      <x:c r="F11" t="str">
        <x:v>177502/22/CBMP-QLD</x:v>
      </x:c>
      <x:c r="G11"/>
      <x:c r="H11" t="str">
        <x:v>Moontube Hydration Supple Conditioner</x:v>
      </x:c>
      <x:c r="I11" t="str">
        <x:v>MOONTU BE</x:v>
      </x:c>
      <x:c r="J11" t="str">
        <x:v>Dầu xả</x:v>
      </x:c>
      <x:c r="K11"/>
      <x:c r="L11" t="str">
        <x:v>CÔNG TY TNHH ĐỈNH TÍN</x:v>
      </x:c>
      <x:c r="M11" t="str">
        <x:v>Số nhà 71A, KĐT Phú Điền, phường Tân Hồng, TP. Từ Sơn, tỉnh Bắc Ninh, Việt Nam. Mã số doanh nghiệp: 2301085427</x:v>
      </x:c>
      <x:c r="N11"/>
      <x:c r="O11" t="str">
        <x:v>Thu hồi số tiếp nhận; đình chỉ lưu hành và thu hồi (QĐ 126/QĐ-QLD)</x:v>
      </x:c>
      <x:c r="P11" t="str">
        <x:v>A++ – Cục Quản lý Dược; company responsibility explicit</x:v>
      </x:c>
      <x:c r="Q11" t="str">
        <x:v>QĐ126/2026, STT 120, trang 13.</x:v>
      </x:c>
      <x:c r="R11" t="str">
        <x:v>https://dav.gov.vn/quyet-dinh-so-126qd-qld-ve-viec-thu-hoi-so-tiep-nhan-phieu-cong-bo-san-pham-my-pham-dinh-chi-luu-hanh-va-thu-hoi-san-pham-my-pham-theo-kl-cua-hd-my-pham-asean-doi-voi-san-pham-my-pham-co-chua-chat-cyclotetrasiloxane-octamethylcyclotetrasiloxane-n5224.html</x:v>
      </x:c>
      <x:c r="S11" t="str">
        <x:v>Bắc Ninh</x:v>
      </x:c>
      <x:c r="T11" t="str">
        <x:v>24</x:v>
      </x:c>
    </x:row>
    <x:row r="12">
      <x:c r="A12" t="n">
        <x:v>11</x:v>
      </x:c>
      <x:c r="B12" s="330" t="n">
        <x:v>44784</x:v>
      </x:c>
      <x:c r="C12" s="330" t="n">
        <x:v>46080</x:v>
      </x:c>
      <x:c r="D12" t="n">
        <x:v>2022</x:v>
      </x:c>
      <x:c r="E12" t="n">
        <x:v>8</x:v>
      </x:c>
      <x:c r="F12" t="str">
        <x:v>177504/22/CBMP-QLD</x:v>
      </x:c>
      <x:c r="G12"/>
      <x:c r="H12" t="str">
        <x:v>Huige Pearl Cream Nutrition Smooth Conditioner</x:v>
      </x:c>
      <x:c r="I12" t="str">
        <x:v>HUIGE</x:v>
      </x:c>
      <x:c r="J12" t="str">
        <x:v>Dầu xả</x:v>
      </x:c>
      <x:c r="K12"/>
      <x:c r="L12" t="str">
        <x:v>CÔNG TY TNHH ĐỈNH TÍN</x:v>
      </x:c>
      <x:c r="M12" t="str">
        <x:v>Số nhà 71A, KĐT Phú Điền, phường Tân Hồng, TP. Từ Sơn, tỉnh Bắc Ninh, Việt Nam. Mã số doanh nghiệp: 2301085427</x:v>
      </x:c>
      <x:c r="N12"/>
      <x:c r="O12" t="str">
        <x:v>Thu hồi số tiếp nhận; đình chỉ lưu hành và thu hồi (QĐ 126/QĐ-QLD)</x:v>
      </x:c>
      <x:c r="P12" t="str">
        <x:v>A++ – Cục Quản lý Dược; company responsibility explicit</x:v>
      </x:c>
      <x:c r="Q12" t="str">
        <x:v>QĐ126/2026, STT 121, trang 13.</x:v>
      </x:c>
      <x:c r="R12" t="str">
        <x:v>https://dav.gov.vn/quyet-dinh-so-126qd-qld-ve-viec-thu-hoi-so-tiep-nhan-phieu-cong-bo-san-pham-my-pham-dinh-chi-luu-hanh-va-thu-hoi-san-pham-my-pham-theo-kl-cua-hd-my-pham-asean-doi-voi-san-pham-my-pham-co-chua-chat-cyclotetrasiloxane-octamethylcyclotetrasiloxane-n5224.html</x:v>
      </x:c>
      <x:c r="S12" t="str">
        <x:v>Bắc Ninh</x:v>
      </x:c>
      <x:c r="T12" t="str">
        <x:v>24</x:v>
      </x:c>
    </x:row>
    <x:row r="13">
      <x:c r="A13" t="n">
        <x:v>12</x:v>
      </x:c>
      <x:c r="B13" s="330" t="n">
        <x:v>44784</x:v>
      </x:c>
      <x:c r="C13" s="330" t="n">
        <x:v>46080</x:v>
      </x:c>
      <x:c r="D13" t="n">
        <x:v>2022</x:v>
      </x:c>
      <x:c r="E13" t="n">
        <x:v>8</x:v>
      </x:c>
      <x:c r="F13" t="str">
        <x:v>177512/22/CBMP-QLD</x:v>
      </x:c>
      <x:c r="G13"/>
      <x:c r="H13" t="str">
        <x:v>Blueeskyy Repair Hair Mask</x:v>
      </x:c>
      <x:c r="I13" t="str">
        <x:v>BLUEESK YY</x:v>
      </x:c>
      <x:c r="J13" t="str">
        <x:v>Mặt nạ</x:v>
      </x:c>
      <x:c r="K13"/>
      <x:c r="L13" t="str">
        <x:v>CÔNG TY TNHH ĐỈNH TÍN</x:v>
      </x:c>
      <x:c r="M13" t="str">
        <x:v>Số nhà 71A, KĐT Phú Điền, phường Tân Hồng, TP. Từ Sơn, tỉnh Bắc Ninh, Việt Nam. Mã số doanh nghiệp: 2301085427</x:v>
      </x:c>
      <x:c r="N13"/>
      <x:c r="O13" t="str">
        <x:v>Thu hồi số tiếp nhận; đình chỉ lưu hành và thu hồi (QĐ 126/QĐ-QLD)</x:v>
      </x:c>
      <x:c r="P13" t="str">
        <x:v>A++ – Cục Quản lý Dược; company responsibility explicit</x:v>
      </x:c>
      <x:c r="Q13" t="str">
        <x:v>QĐ126/2026, STT 122, trang 13.</x:v>
      </x:c>
      <x:c r="R13" t="str">
        <x:v>https://dav.gov.vn/quyet-dinh-so-126qd-qld-ve-viec-thu-hoi-so-tiep-nhan-phieu-cong-bo-san-pham-my-pham-dinh-chi-luu-hanh-va-thu-hoi-san-pham-my-pham-theo-kl-cua-hd-my-pham-asean-doi-voi-san-pham-my-pham-co-chua-chat-cyclotetrasiloxane-octamethylcyclotetrasiloxane-n5224.html</x:v>
      </x:c>
      <x:c r="S13" t="str">
        <x:v>Bắc Ninh</x:v>
      </x:c>
      <x:c r="T13" t="str">
        <x:v>24</x:v>
      </x:c>
    </x:row>
    <x:row r="14">
      <x:c r="A14" t="n">
        <x:v>13</x:v>
      </x:c>
      <x:c r="B14" s="330" t="n">
        <x:v>44796</x:v>
      </x:c>
      <x:c r="C14" s="330" t="n">
        <x:v>46080</x:v>
      </x:c>
      <x:c r="D14" t="n">
        <x:v>2022</x:v>
      </x:c>
      <x:c r="E14" t="n">
        <x:v>8</x:v>
      </x:c>
      <x:c r="F14" t="str">
        <x:v>179497/22/CBMP-QLD</x:v>
      </x:c>
      <x:c r="G14"/>
      <x:c r="H14" t="str">
        <x:v>Plueeskyyvn Moisture &amp; Smoothing Hair Conditioner</x:v>
      </x:c>
      <x:c r="I14" t="str">
        <x:v>PLUEESK YYVN</x:v>
      </x:c>
      <x:c r="J14" t="str">
        <x:v>Dầu xả</x:v>
      </x:c>
      <x:c r="K14"/>
      <x:c r="L14" t="str">
        <x:v>CÔNG TY TNHH ĐỈNH TÍN</x:v>
      </x:c>
      <x:c r="M14" t="str">
        <x:v>Số nhà 71A, KĐT Phú Điền, phường Tân Hồng, TP. Từ Sơn, tỉnh Bắc Ninh, Việt Nam. Mã số doanh nghiệp: 2301085427</x:v>
      </x:c>
      <x:c r="N14"/>
      <x:c r="O14" t="str">
        <x:v>Thu hồi số tiếp nhận; đình chỉ lưu hành và thu hồi (QĐ 126/QĐ-QLD)</x:v>
      </x:c>
      <x:c r="P14" t="str">
        <x:v>A++ – Cục Quản lý Dược; company responsibility explicit</x:v>
      </x:c>
      <x:c r="Q14" t="str">
        <x:v>QĐ126/2026, STT 123, trang 13.</x:v>
      </x:c>
      <x:c r="R14" t="str">
        <x:v>https://dav.gov.vn/quyet-dinh-so-126qd-qld-ve-viec-thu-hoi-so-tiep-nhan-phieu-cong-bo-san-pham-my-pham-dinh-chi-luu-hanh-va-thu-hoi-san-pham-my-pham-theo-kl-cua-hd-my-pham-asean-doi-voi-san-pham-my-pham-co-chua-chat-cyclotetrasiloxane-octamethylcyclotetrasiloxane-n5224.html</x:v>
      </x:c>
      <x:c r="S14" t="str">
        <x:v>Bắc Ninh</x:v>
      </x:c>
      <x:c r="T14" t="str">
        <x:v>24</x:v>
      </x:c>
    </x:row>
    <x:row r="15">
      <x:c r="A15" t="n">
        <x:v>14</x:v>
      </x:c>
      <x:c r="B15" s="330" t="n">
        <x:v>44820</x:v>
      </x:c>
      <x:c r="C15" s="330" t="n">
        <x:v>46080</x:v>
      </x:c>
      <x:c r="D15" t="n">
        <x:v>2022</x:v>
      </x:c>
      <x:c r="E15" t="n">
        <x:v>9</x:v>
      </x:c>
      <x:c r="F15" t="str">
        <x:v>182042/22/CBMP-QLD</x:v>
      </x:c>
      <x:c r="G15"/>
      <x:c r="H15" t="str">
        <x:v>Plueeskyyvn Moisture &amp; Smoothing Hair Conditioner</x:v>
      </x:c>
      <x:c r="I15" t="str">
        <x:v>PLUEESK YYVN</x:v>
      </x:c>
      <x:c r="J15" t="str">
        <x:v>Dầu xả</x:v>
      </x:c>
      <x:c r="K15"/>
      <x:c r="L15" t="str">
        <x:v>CÔNG TY TNHH ĐỈNH TÍN</x:v>
      </x:c>
      <x:c r="M15" t="str">
        <x:v>Số nhà 71A, KĐT Phú Điền, phường Tân Hồng, TP. Từ Sơn, tỉnh Bắc Ninh, Việt Nam. Mã số doanh nghiệp: 2301085427</x:v>
      </x:c>
      <x:c r="N15"/>
      <x:c r="O15" t="str">
        <x:v>Thu hồi số tiếp nhận; đình chỉ lưu hành và thu hồi (QĐ 126/QĐ-QLD)</x:v>
      </x:c>
      <x:c r="P15" t="str">
        <x:v>A++ – Cục Quản lý Dược; company responsibility explicit</x:v>
      </x:c>
      <x:c r="Q15" t="str">
        <x:v>QĐ126/2026, STT 124, trang 13.</x:v>
      </x:c>
      <x:c r="R15" t="str">
        <x:v>https://dav.gov.vn/quyet-dinh-so-126qd-qld-ve-viec-thu-hoi-so-tiep-nhan-phieu-cong-bo-san-pham-my-pham-dinh-chi-luu-hanh-va-thu-hoi-san-pham-my-pham-theo-kl-cua-hd-my-pham-asean-doi-voi-san-pham-my-pham-co-chua-chat-cyclotetrasiloxane-octamethylcyclotetrasiloxane-n5224.html</x:v>
      </x:c>
      <x:c r="S15" t="str">
        <x:v>Bắc Ninh</x:v>
      </x:c>
      <x:c r="T15" t="str">
        <x:v>24</x:v>
      </x:c>
    </x:row>
    <x:row r="16">
      <x:c r="A16" t="n">
        <x:v>15</x:v>
      </x:c>
      <x:c r="B16" s="330" t="n">
        <x:v>45042</x:v>
      </x:c>
      <x:c r="C16" s="330" t="n">
        <x:v>46080</x:v>
      </x:c>
      <x:c r="D16" t="n">
        <x:v>2023</x:v>
      </x:c>
      <x:c r="E16" t="n">
        <x:v>4</x:v>
      </x:c>
      <x:c r="F16" t="str">
        <x:v>200268/23/CBMP-QLD</x:v>
      </x:c>
      <x:c r="G16"/>
      <x:c r="H16" t="str">
        <x:v>Huige Meisailafei Silky Fragrance Essence Hair Mask</x:v>
      </x:c>
      <x:c r="I16" t="str">
        <x:v>HUIGE</x:v>
      </x:c>
      <x:c r="J16" t="str">
        <x:v>Mặt nạ</x:v>
      </x:c>
      <x:c r="K16"/>
      <x:c r="L16" t="str">
        <x:v>CÔNG TY TNHH ĐỈNH TÍN</x:v>
      </x:c>
      <x:c r="M16" t="str">
        <x:v>Số nhà 71A, KĐT Phú Điền, phường Tân Hồng, TP. Từ Sơn, tỉnh Bắc Ninh, Việt Nam. Mã số doanh nghiệp: 2301085427</x:v>
      </x:c>
      <x:c r="N16"/>
      <x:c r="O16" t="str">
        <x:v>Thu hồi số tiếp nhận; đình chỉ lưu hành và thu hồi (QĐ 126/QĐ-QLD)</x:v>
      </x:c>
      <x:c r="P16" t="str">
        <x:v>A++ – Cục Quản lý Dược; company responsibility explicit</x:v>
      </x:c>
      <x:c r="Q16" t="str">
        <x:v>QĐ126/2026, STT 125, trang 13.</x:v>
      </x:c>
      <x:c r="R16" t="str">
        <x:v>https://dav.gov.vn/quyet-dinh-so-126qd-qld-ve-viec-thu-hoi-so-tiep-nhan-phieu-cong-bo-san-pham-my-pham-dinh-chi-luu-hanh-va-thu-hoi-san-pham-my-pham-theo-kl-cua-hd-my-pham-asean-doi-voi-san-pham-my-pham-co-chua-chat-cyclotetrasiloxane-octamethylcyclotetrasiloxane-n5224.html</x:v>
      </x:c>
      <x:c r="S16" t="str">
        <x:v>Bắc Ninh</x:v>
      </x:c>
      <x:c r="T16" t="str">
        <x:v>24</x:v>
      </x:c>
    </x:row>
    <x:row r="17">
      <x:c r="A17" t="n">
        <x:v>16</x:v>
      </x:c>
      <x:c r="B17" s="330" t="n">
        <x:v>45100</x:v>
      </x:c>
      <x:c r="C17" s="330" t="n">
        <x:v>46080</x:v>
      </x:c>
      <x:c r="D17" t="n">
        <x:v>2023</x:v>
      </x:c>
      <x:c r="E17" t="n">
        <x:v>6</x:v>
      </x:c>
      <x:c r="F17" t="str">
        <x:v>204416/23/CBMP-QLD</x:v>
      </x:c>
      <x:c r="G17"/>
      <x:c r="H17" t="str">
        <x:v>Hairhaki Moisture And Smoothing Hair Conditioner</x:v>
      </x:c>
      <x:c r="I17" t="str">
        <x:v>HAIRHAK I</x:v>
      </x:c>
      <x:c r="J17" t="str">
        <x:v>Dầu xả</x:v>
      </x:c>
      <x:c r="K17"/>
      <x:c r="L17" t="str">
        <x:v>CÔNG TY TNHH ĐỈNH TÍN</x:v>
      </x:c>
      <x:c r="M17" t="str">
        <x:v>Số nhà 71A, KĐT Phú Điền, phường Tân Hồng, TP. Từ Sơn, tỉnh Bắc Ninh, Việt Nam. Mã số doanh nghiệp: 2301085427</x:v>
      </x:c>
      <x:c r="N17"/>
      <x:c r="O17" t="str">
        <x:v>Thu hồi số tiếp nhận; đình chỉ lưu hành và thu hồi (QĐ 126/QĐ-QLD)</x:v>
      </x:c>
      <x:c r="P17" t="str">
        <x:v>A++ – Cục Quản lý Dược; company responsibility explicit</x:v>
      </x:c>
      <x:c r="Q17" t="str">
        <x:v>QĐ126/2026, STT 126, trang 13.</x:v>
      </x:c>
      <x:c r="R17" t="str">
        <x:v>https://dav.gov.vn/quyet-dinh-so-126qd-qld-ve-viec-thu-hoi-so-tiep-nhan-phieu-cong-bo-san-pham-my-pham-dinh-chi-luu-hanh-va-thu-hoi-san-pham-my-pham-theo-kl-cua-hd-my-pham-asean-doi-voi-san-pham-my-pham-co-chua-chat-cyclotetrasiloxane-octamethylcyclotetrasiloxane-n5224.html</x:v>
      </x:c>
      <x:c r="S17" t="str">
        <x:v>Bắc Ninh</x:v>
      </x:c>
      <x:c r="T17" t="str">
        <x:v>24</x:v>
      </x:c>
    </x:row>
    <x:row r="18">
      <x:c r="A18" t="n">
        <x:v>17</x:v>
      </x:c>
      <x:c r="B18" s="330" t="n">
        <x:v>45390</x:v>
      </x:c>
      <x:c r="C18" s="330" t="n">
        <x:v>46080</x:v>
      </x:c>
      <x:c r="D18" t="n">
        <x:v>2024</x:v>
      </x:c>
      <x:c r="E18" t="n">
        <x:v>4</x:v>
      </x:c>
      <x:c r="F18" t="str">
        <x:v>232280/24/CBMP-QLD</x:v>
      </x:c>
      <x:c r="G18"/>
      <x:c r="H18" t="str">
        <x:v>Kurashiki Plant-Based Smoothing Conditioner</x:v>
      </x:c>
      <x:c r="I18" t="str">
        <x:v>KURASHI KI</x:v>
      </x:c>
      <x:c r="J18" t="str">
        <x:v>Dầu xả</x:v>
      </x:c>
      <x:c r="K18"/>
      <x:c r="L18" t="str">
        <x:v>CÔNG TY TNHH ĐỈNH TÍN</x:v>
      </x:c>
      <x:c r="M18" t="str">
        <x:v>Số nhà 71A, KĐT Phú Điền, phường Tân Hồng, TP. Từ Sơn, tỉnh Bắc Ninh, Việt Nam. Mã số doanh nghiệp: 2301085427</x:v>
      </x:c>
      <x:c r="N18"/>
      <x:c r="O18" t="str">
        <x:v>Thu hồi số tiếp nhận; đình chỉ lưu hành và thu hồi (QĐ 126/QĐ-QLD)</x:v>
      </x:c>
      <x:c r="P18" t="str">
        <x:v>A++ – Cục Quản lý Dược; company responsibility explicit</x:v>
      </x:c>
      <x:c r="Q18" t="str">
        <x:v>QĐ126/2026, STT 127, trang 14.</x:v>
      </x:c>
      <x:c r="R18" t="str">
        <x:v>https://dav.gov.vn/quyet-dinh-so-126qd-qld-ve-viec-thu-hoi-so-tiep-nhan-phieu-cong-bo-san-pham-my-pham-dinh-chi-luu-hanh-va-thu-hoi-san-pham-my-pham-theo-kl-cua-hd-my-pham-asean-doi-voi-san-pham-my-pham-co-chua-chat-cyclotetrasiloxane-octamethylcyclotetrasiloxane-n5224.html</x:v>
      </x:c>
      <x:c r="S18" t="str">
        <x:v>Bắc Ninh</x:v>
      </x:c>
      <x:c r="T18" t="str">
        <x:v>24</x:v>
      </x:c>
    </x:row>
    <x:row r="19">
      <x:c r="A19" t="n">
        <x:v>18</x:v>
      </x:c>
      <x:c r="B19" s="330" t="n">
        <x:v>44823</x:v>
      </x:c>
      <x:c r="C19" s="330" t="n">
        <x:v>46080</x:v>
      </x:c>
      <x:c r="D19" t="n">
        <x:v>2022</x:v>
      </x:c>
      <x:c r="E19" t="n">
        <x:v>9</x:v>
      </x:c>
      <x:c r="F19" t="str">
        <x:v>182375/22/CBMP-QLD</x:v>
      </x:c>
      <x:c r="G19"/>
      <x:c r="H19" t="str">
        <x:v>Hydrating Shampoo</x:v>
      </x:c>
      <x:c r="I19" t="str">
        <x:v>The Graces Beauty</x:v>
      </x:c>
      <x:c r="J19" t="str">
        <x:v>Dầu gội</x:v>
      </x:c>
      <x:c r="K19"/>
      <x:c r="L19" t="str">
        <x:v>Công ty TNHH GRACES VIỆT NAM</x:v>
      </x:c>
      <x:c r="M19" t="str">
        <x:v>Cụm 4, Khu Bồ Sơn, phường Võ Cường, TP. Bắc Ninh, tỉnh Bắc Ninh, Việt Nam. Mã số doanh nghiệp: 2301190968</x:v>
      </x:c>
      <x:c r="N19"/>
      <x:c r="O19" t="str">
        <x:v>Thu hồi số tiếp nhận; đình chỉ lưu hành và thu hồi (QĐ 126/QĐ-QLD)</x:v>
      </x:c>
      <x:c r="P19" t="str">
        <x:v>A++ – Cục Quản lý Dược; company responsibility explicit</x:v>
      </x:c>
      <x:c r="Q19" t="str">
        <x:v>QĐ126/2026, STT 167, trang 17.</x:v>
      </x:c>
      <x:c r="R19" t="str">
        <x:v>https://dav.gov.vn/quyet-dinh-so-126qd-qld-ve-viec-thu-hoi-so-tiep-nhan-phieu-cong-bo-san-pham-my-pham-dinh-chi-luu-hanh-va-thu-hoi-san-pham-my-pham-theo-kl-cua-hd-my-pham-asean-doi-voi-san-pham-my-pham-co-chua-chat-cyclotetrasiloxane-octamethylcyclotetrasiloxane-n5224.html</x:v>
      </x:c>
      <x:c r="S19" t="str">
        <x:v>Bắc Ninh</x:v>
      </x:c>
      <x:c r="T19" t="str">
        <x:v>24</x:v>
      </x:c>
    </x:row>
    <x:row r="20">
      <x:c r="A20" t="n">
        <x:v>19</x:v>
      </x:c>
      <x:c r="B20" s="330" t="n">
        <x:v>44985</x:v>
      </x:c>
      <x:c r="C20" s="330" t="n">
        <x:v>46080</x:v>
      </x:c>
      <x:c r="D20" t="n">
        <x:v>2023</x:v>
      </x:c>
      <x:c r="E20" t="n">
        <x:v>2</x:v>
      </x:c>
      <x:c r="F20" t="str">
        <x:v>196003/23/CBMP-QLD</x:v>
      </x:c>
      <x:c r="G20"/>
      <x:c r="H20" t="str">
        <x:v>6 In 1 Shampoo &amp; Conditioner</x:v>
      </x:c>
      <x:c r="I20" t="str">
        <x:v>The Graces Beauty</x:v>
      </x:c>
      <x:c r="J20" t="str">
        <x:v>Dầu gội</x:v>
      </x:c>
      <x:c r="K20"/>
      <x:c r="L20" t="str">
        <x:v>Công ty TNHH GRACES VIỆT NAM</x:v>
      </x:c>
      <x:c r="M20" t="str">
        <x:v>Cụm 4, Khu Bồ Sơn, phường Võ Cường, TP. Bắc Ninh, tỉnh Bắc Ninh, Việt Nam. Mã số doanh nghiệp: 2301190968</x:v>
      </x:c>
      <x:c r="N20"/>
      <x:c r="O20" t="str">
        <x:v>Thu hồi số tiếp nhận; đình chỉ lưu hành và thu hồi (QĐ 126/QĐ-QLD)</x:v>
      </x:c>
      <x:c r="P20" t="str">
        <x:v>A++ – Cục Quản lý Dược; company responsibility explicit</x:v>
      </x:c>
      <x:c r="Q20" t="str">
        <x:v>QĐ126/2026, STT 168, trang 17.</x:v>
      </x:c>
      <x:c r="R20" t="str">
        <x:v>https://dav.gov.vn/quyet-dinh-so-126qd-qld-ve-viec-thu-hoi-so-tiep-nhan-phieu-cong-bo-san-pham-my-pham-dinh-chi-luu-hanh-va-thu-hoi-san-pham-my-pham-theo-kl-cua-hd-my-pham-asean-doi-voi-san-pham-my-pham-co-chua-chat-cyclotetrasiloxane-octamethylcyclotetrasiloxane-n5224.html</x:v>
      </x:c>
      <x:c r="S20" t="str">
        <x:v>Bắc Ninh</x:v>
      </x:c>
      <x:c r="T20" t="str">
        <x:v>24</x:v>
      </x:c>
    </x:row>
  </x:sheetData>
  <x:pageMargins left="0.7" right="0.7" top="0.75" bottom="0.75" header="0.3" footer="0.3"/>
</x:worksheet>
</file>

<file path=xl/worksheets/sheet17.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18.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19.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row r="2">
      <x:c r="A2" t="n">
        <x:v>1</x:v>
      </x:c>
      <x:c r="B2" s="330" t="n">
        <x:v>44777</x:v>
      </x:c>
      <x:c r="C2" s="330" t="n">
        <x:v>46080</x:v>
      </x:c>
      <x:c r="D2" t="n">
        <x:v>2022</x:v>
      </x:c>
      <x:c r="E2" t="n">
        <x:v>8</x:v>
      </x:c>
      <x:c r="F2" t="str">
        <x:v>176496/22/CBMP-QLD</x:v>
      </x:c>
      <x:c r="G2"/>
      <x:c r="H2" t="str">
        <x:v>Kandaneisi Hydrating Hair Treatment Hair Mask</x:v>
      </x:c>
      <x:c r="I2" t="str">
        <x:v>KANDAN EISI</x:v>
      </x:c>
      <x:c r="J2" t="str">
        <x:v>Mặt nạ</x:v>
      </x:c>
      <x:c r="K2"/>
      <x:c r="L2" t="str">
        <x:v>Công ty TNHH đầu tư thương mại Ngọc Hân</x:v>
      </x:c>
      <x:c r="M2" t="str">
        <x:v>Số 732, đường Hùng Vương, phường Đồng Tâm, TP. Vĩnh Yên, tỉnh Vĩnh Phúc, Việt Nam. Mã số doanh nghiệp: 2500677523</x:v>
      </x:c>
      <x:c r="N2"/>
      <x:c r="O2" t="str">
        <x:v>Thu hồi số tiếp nhận; đình chỉ lưu hành và thu hồi (QĐ 126/QĐ-QLD)</x:v>
      </x:c>
      <x:c r="P2" t="str">
        <x:v>A++ – Cục Quản lý Dược; company responsibility explicit</x:v>
      </x:c>
      <x:c r="Q2" t="str">
        <x:v>QĐ126/2026, STT 90, trang 11.</x:v>
      </x:c>
      <x:c r="R2" t="str">
        <x:v>https://dav.gov.vn/quyet-dinh-so-126qd-qld-ve-viec-thu-hoi-so-tiep-nhan-phieu-cong-bo-san-pham-my-pham-dinh-chi-luu-hanh-va-thu-hoi-san-pham-my-pham-theo-kl-cua-hd-my-pham-asean-doi-voi-san-pham-my-pham-co-chua-chat-cyclotetrasiloxane-octamethylcyclotetrasiloxane-n5224.html</x:v>
      </x:c>
      <x:c r="S2" t="str">
        <x:v>Phú Thọ</x:v>
      </x:c>
      <x:c r="T2" t="str">
        <x:v>25</x:v>
      </x:c>
    </x:row>
    <x:row r="3">
      <x:c r="A3" t="n">
        <x:v>2</x:v>
      </x:c>
      <x:c r="B3" s="330" t="n">
        <x:v>44809</x:v>
      </x:c>
      <x:c r="C3" s="330" t="n">
        <x:v>46080</x:v>
      </x:c>
      <x:c r="D3" t="n">
        <x:v>2022</x:v>
      </x:c>
      <x:c r="E3" t="n">
        <x:v>9</x:v>
      </x:c>
      <x:c r="F3" t="str">
        <x:v>180806/22/CBMP-QLD</x:v>
      </x:c>
      <x:c r="G3"/>
      <x:c r="H3" t="str">
        <x:v>Kandaneisi Hydration Supple Conditioner</x:v>
      </x:c>
      <x:c r="I3" t="str">
        <x:v>KANDAN EISI</x:v>
      </x:c>
      <x:c r="J3" t="str">
        <x:v>Dầu xả</x:v>
      </x:c>
      <x:c r="K3"/>
      <x:c r="L3" t="str">
        <x:v>Công ty TNHH đầu tư thương mại Ngọc Hân</x:v>
      </x:c>
      <x:c r="M3" t="str">
        <x:v>Số 732, đường Hùng Vương, phường Đồng Tâm, TP. Vĩnh Yên, tỉnh Vĩnh Phúc, Việt Nam. Mã số doanh nghiệp: 2500677523</x:v>
      </x:c>
      <x:c r="N3"/>
      <x:c r="O3" t="str">
        <x:v>Thu hồi số tiếp nhận; đình chỉ lưu hành và thu hồi (QĐ 126/QĐ-QLD)</x:v>
      </x:c>
      <x:c r="P3" t="str">
        <x:v>A++ – Cục Quản lý Dược; company responsibility explicit</x:v>
      </x:c>
      <x:c r="Q3" t="str">
        <x:v>QĐ126/2026, STT 91, trang 11.</x:v>
      </x:c>
      <x:c r="R3" t="str">
        <x:v>https://dav.gov.vn/quyet-dinh-so-126qd-qld-ve-viec-thu-hoi-so-tiep-nhan-phieu-cong-bo-san-pham-my-pham-dinh-chi-luu-hanh-va-thu-hoi-san-pham-my-pham-theo-kl-cua-hd-my-pham-asean-doi-voi-san-pham-my-pham-co-chua-chat-cyclotetrasiloxane-octamethylcyclotetrasiloxane-n5224.html</x:v>
      </x:c>
      <x:c r="S3" t="str">
        <x:v>Phú Thọ</x:v>
      </x:c>
      <x:c r="T3" t="str">
        <x:v>25</x:v>
      </x:c>
    </x:row>
  </x:sheetData>
  <x:pageMargins left="0.7" right="0.7" top="0.75" bottom="0.75" header="0.3" footer="0.3"/>
</x:worksheet>
</file>

<file path=xl/worksheets/sheet20.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21.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22.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23.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24.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row r="2">
      <x:c r="A2" t="n">
        <x:v>1</x:v>
      </x:c>
      <x:c r="B2" s="330" t="n">
        <x:v>45511</x:v>
      </x:c>
      <x:c r="C2" s="330" t="n">
        <x:v>46080</x:v>
      </x:c>
      <x:c r="D2" t="n">
        <x:v>2024</x:v>
      </x:c>
      <x:c r="E2" t="n">
        <x:v>8</x:v>
      </x:c>
      <x:c r="F2" t="str">
        <x:v>246616/24/CBMP-QLD</x:v>
      </x:c>
      <x:c r="G2"/>
      <x:c r="H2" t="str">
        <x:v>Intensive Eye Concentrate</x:v>
      </x:c>
      <x:c r="I2" t="str">
        <x:v>DR+LAB</x:v>
      </x:c>
      <x:c r="J2" t="str">
        <x:v>Khác</x:v>
      </x:c>
      <x:c r="K2"/>
      <x:c r="L2" t="str">
        <x:v>Công ty TNHH HOMIESKIN</x:v>
      </x:c>
      <x:c r="M2" t="str">
        <x:v>603/8 tổ 63 khóm Bình Đức, phường Bình Đức, TP. Long Xuyên, tỉnh An Giang, Việt Nam. Mã số doanh nghiệp: 1602177937</x:v>
      </x:c>
      <x:c r="N2"/>
      <x:c r="O2" t="str">
        <x:v>Thu hồi số tiếp nhận; đình chỉ lưu hành và thu hồi (QĐ 126/QĐ-QLD)</x:v>
      </x:c>
      <x:c r="P2" t="str">
        <x:v>A++ – Cục Quản lý Dược; company responsibility explicit</x:v>
      </x:c>
      <x:c r="Q2" t="str">
        <x:v>QĐ126/2026, STT 175, trang 18.</x:v>
      </x:c>
      <x:c r="R2" t="str">
        <x:v>https://dav.gov.vn/quyet-dinh-so-126qd-qld-ve-viec-thu-hoi-so-tiep-nhan-phieu-cong-bo-san-pham-my-pham-dinh-chi-luu-hanh-va-thu-hoi-san-pham-my-pham-theo-kl-cua-hd-my-pham-asean-doi-voi-san-pham-my-pham-co-chua-chat-cyclotetrasiloxane-octamethylcyclotetrasiloxane-n5224.html</x:v>
      </x:c>
      <x:c r="S2" t="str">
        <x:v>An Giang</x:v>
      </x:c>
      <x:c r="T2" t="str">
        <x:v>91</x:v>
      </x:c>
    </x:row>
  </x:sheetData>
  <x:pageMargins left="0.7" right="0.7" top="0.75" bottom="0.75" header="0.3" footer="0.3"/>
</x:worksheet>
</file>

<file path=xl/worksheets/sheet25.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26.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27.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28.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29.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30.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31.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32.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33.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34.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35.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36.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37.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38.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39.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40.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41.xml><?xml version="1.0" encoding="utf-8"?>
<x:worksheet xmlns:x="http://schemas.openxmlformats.org/spreadsheetml/2006/main">
  <x:sheetFormatPr baseColWidth="8" defaultRowHeight="15"/>
  <x:sheetData>
    <x:row r="1" s="91" customFormat="1" ht="48" customHeight="1">
      <x:c r="A1" s="276" t="inlineStr">
        <x:is>
          <x:t xml:space="preserve">ID</x:t>
        </x:is>
      </x:c>
      <x:c r="B1" s="276" t="inlineStr">
        <x:is>
          <x:t xml:space="preserve">Ngày sản phẩm</x:t>
        </x:is>
      </x:c>
      <x:c r="C1" s="276" t="inlineStr">
        <x:is>
          <x:t xml:space="preserve">Ngày nguồn</x:t>
        </x:is>
      </x:c>
      <x:c r="D1" s="276" t="inlineStr">
        <x:is>
          <x:t xml:space="preserve">Năm</x:t>
        </x:is>
      </x:c>
      <x:c r="E1" s="276" t="inlineStr">
        <x:is>
          <x:t xml:space="preserve">Tháng</x:t>
        </x:is>
      </x:c>
      <x:c r="F1" s="276" t="inlineStr">
        <x:is>
          <x:t xml:space="preserve">Số CBMP</x:t>
        </x:is>
      </x:c>
      <x:c r="G1" s="276" t="inlineStr">
        <x:is>
          <x:t xml:space="preserve">Mã hồ sơ</x:t>
        </x:is>
      </x:c>
      <x:c r="H1" s="276" t="inlineStr">
        <x:is>
          <x:t xml:space="preserve">Tên sản phẩm</x:t>
        </x:is>
      </x:c>
      <x:c r="I1" s="276" t="inlineStr">
        <x:is>
          <x:t xml:space="preserve">Thương hiệu</x:t>
        </x:is>
      </x:c>
      <x:c r="J1" s="276" t="inlineStr">
        <x:is>
          <x:t xml:space="preserve">Nhóm chuẩn</x:t>
        </x:is>
      </x:c>
      <x:c r="K1" s="276" t="inlineStr">
        <x:is>
          <x:t xml:space="preserve">Nhóm phụ</x:t>
        </x:is>
      </x:c>
      <x:c r="L1" s="276" t="inlineStr">
        <x:is>
          <x:t xml:space="preserve">Công ty chịu trách nhiệm</x:t>
        </x:is>
      </x:c>
      <x:c r="M1" s="276" t="inlineStr">
        <x:is>
          <x:t xml:space="preserve">Địa chỉ</x:t>
        </x:is>
      </x:c>
      <x:c r="N1" s="276" t="inlineStr">
        <x:is>
          <x:t xml:space="preserve">Nhà sản xuất</x:t>
        </x:is>
      </x:c>
      <x:c r="O1" s="276" t="inlineStr">
        <x:is>
          <x:t xml:space="preserve">Trạng thái pháp lý</x:t>
        </x:is>
      </x:c>
      <x:c r="P1" s="276" t="inlineStr">
        <x:is>
          <x:t xml:space="preserve">Mức xác minh</x:t>
        </x:is>
      </x:c>
      <x:c r="Q1" s="276" t="inlineStr">
        <x:is>
          <x:t xml:space="preserve">Ghi chú</x:t>
        </x:is>
      </x:c>
      <x:c r="R1" s="276" t="inlineStr">
        <x:is>
          <x:t xml:space="preserve">URL nguồn</x:t>
        </x:is>
      </x:c>
      <x:c r="S1" s="276" t="inlineStr">
        <x:is>
          <x:t xml:space="preserve">Tỉnh/TP nguồn</x:t>
        </x:is>
      </x:c>
      <x:c r="T1" s="276" t="inlineStr">
        <x:is>
          <x:t xml:space="preserve">Mã hành chính</x:t>
        </x:is>
      </x:c>
      <x:c r="U1" s="272" t="n"/>
      <x:c r="V1" s="272" t="n"/>
      <x:c r="W1" s="272" t="n"/>
      <x:c r="X1" s="272" t="n"/>
      <x:c r="Y1" s="272" t="n"/>
      <x:c r="Z1" s="272" t="n"/>
    </x:row>
  </x:sheetData>
  <x:pageMargins left="0.7" right="0.7" top="0.75" bottom="0.75" header="0.3" footer="0.3"/>
</x:worksheet>
</file>

<file path=xl/worksheets/sheet42.xml><?xml version="1.0" encoding="utf-8"?>
<x:worksheet xmlns:x="http://schemas.openxmlformats.org/spreadsheetml/2006/main">
  <x:sheetFormatPr baseColWidth="8" defaultRowHeight="15"/>
  <x:cols>
    <x:col min="2" max="2" width="50" style="91" customWidth="1"/>
    <x:col min="3" max="3" width="80" style="91" customWidth="1"/>
    <x:col min="5" max="5" width="48" style="91" customWidth="1"/>
  </x:cols>
  <x:sheetData>
    <x:row r="1" s="91" customFormat="1" ht="48" customHeight="1">
      <x:c r="A1" s="276" t="inlineStr">
        <x:is>
          <x:t xml:space="preserve">Địa phương</x:t>
        </x:is>
      </x:c>
      <x:c r="B1" s="276" t="inlineStr">
        <x:is>
          <x:t xml:space="preserve">Nguồn</x:t>
        </x:is>
      </x:c>
      <x:c r="C1" s="276" t="inlineStr">
        <x:is>
          <x:t xml:space="preserve">URL</x:t>
        </x:is>
      </x:c>
      <x:c r="D1" s="276" t="inlineStr">
        <x:is>
          <x:t xml:space="preserve">Ngày cập nhật nguồn</x:t>
        </x:is>
      </x:c>
      <x:c r="E1" s="276" t="inlineStr">
        <x:is>
          <x:t xml:space="preserve">Trạng thái</x:t>
        </x:is>
      </x:c>
      <x:c r="F1" s="272" t="n"/>
      <x:c r="G1" s="272" t="n"/>
      <x:c r="H1" s="272" t="n"/>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2">
      <x:c r="A2" t="inlineStr">
        <x:is>
          <x:t xml:space="preserve">Hải Phòng</x:t>
        </x:is>
      </x:c>
      <x:c r="B2" t="inlineStr">
        <x:is>
          <x:t xml:space="preserve">Cổng dữ liệu mở – Dữ liệu số tiếp nhận phiếu công bố sản phẩm mỹ phẩm</x:t>
        </x:is>
      </x:c>
      <x:c r="C2" t="inlineStr">
        <x:is>
          <x:t xml:space="preserve">https://data.haiphong.gov.vn/dataset/du-lieu-so-tiep-nhan-phieu-cong-bo-san-pham-my-pham</x:t>
        </x:is>
      </x:c>
      <x:c r="D2" s="99" t="n">
        <x:v>46198</x:v>
      </x:c>
      <x:c r="E2" t="inlineStr">
        <x:is>
          <x:t xml:space="preserve">Đã xác nhận; 28/409 dòng đã nạp</x:t>
        </x:is>
      </x:c>
    </x:row>
    <x:row r="3">
      <x:c r="A3" t="inlineStr">
        <x:is>
          <x:t xml:space="preserve">Hải Phòng</x:t>
        </x:is>
      </x:c>
      <x:c r="B3" t="inlineStr">
        <x:is>
          <x:t xml:space="preserve">File XLSX gốc</x:t>
        </x:is>
      </x:c>
      <x:c r="C3" t="inlineStr">
        <x:is>
          <x:t xml:space="preserve">https://data.haiphong.gov.vn/dataset/07fa5c03-31ee-453f-9bba-f7acd2ffeb6a/resource/4621ee58-725a-481d-b29c-931e46f220c5/download/khocsdl_trichxuatdulieu_dulieusotiepnhanphieucongbosanphammypham_2026-06-25.xlsx</x:t>
        </x:is>
      </x:c>
      <x:c r="D3" s="99" t="n">
        <x:v>46198</x:v>
      </x:c>
      <x:c r="E3" t="inlineStr">
        <x:is>
          <x:t xml:space="preserve">Đang lấy lại để nạp đủ 409 dòng</x:t>
        </x:is>
      </x:c>
    </x:row>
    <x:row r="4">
      <x:c r="A4" t="inlineStr">
        <x:is>
          <x:t xml:space="preserve">Hà Nội</x:t>
        </x:is>
      </x:c>
      <x:c r="B4" t="inlineStr">
        <x:is>
          <x:t xml:space="preserve">Công văn 3748/SYT-NVD – danh sách cấp/thu hồi số tiếp nhận Phiếu công bố mỹ phẩm</x:t>
        </x:is>
      </x:c>
      <x:c r="C4" t="inlineStr">
        <x:is>
          <x:t xml:space="preserve">https://soyte.hanoi.gov.vn/van-ban-chi-dao-dieu-hanh/thong-tin-danh-sach-cap-thu-hoi-so-tiep-nhan-phieu-cong-bo-san-pham-my-pham-240679</x:t>
        </x:is>
      </x:c>
      <x:c r="D4" s="99" t="n">
        <x:v>46140</x:v>
      </x:c>
      <x:c r="E4" t="inlineStr">
        <x:is>
          <x:t xml:space="preserve">Đã xác nhận nguồn; 3 file đính kèm chưa lấy được toàn bộ nội dung</x:t>
        </x:is>
      </x:c>
    </x:row>
    <x:row r="5">
      <x:c r="A5" t="inlineStr">
        <x:is>
          <x:t xml:space="preserve">Hà Nội</x:t>
        </x:is>
      </x:c>
      <x:c r="B5" t="inlineStr">
        <x:is>
          <x:t xml:space="preserve">Thu hồi Gel VNP TriSeo</x:t>
        </x:is>
      </x:c>
      <x:c r="C5" t="inlineStr">
        <x:is>
          <x:t xml:space="preserve">https://soyte.hanoi.gov.vn/duoc-pham-65229/dinh-chi-luu-hanh-thu-hoi-tren-toan-quoc-lo-san-pham-gel-vnp-triseo-2849260326083207005.htm</x:t>
        </x:is>
      </x:c>
      <x:c r="D5" s="99" t="n">
        <x:v>46107</x:v>
      </x:c>
      <x:c r="E5" t="inlineStr">
        <x:is>
          <x:t xml:space="preserve">Đã nạp</x:t>
        </x:is>
      </x:c>
    </x:row>
    <x:row r="6">
      <x:c r="A6" t="inlineStr">
        <x:is>
          <x:t xml:space="preserve">Hà Nội</x:t>
        </x:is>
      </x:c>
      <x:c r="B6" t="inlineStr">
        <x:is>
          <x:t xml:space="preserve">Thu hồi SPF Sun G8 Collagen</x:t>
        </x:is>
      </x:c>
      <x:c r="C6" t="inlineStr">
        <x:is>
          <x:t xml:space="preserve">https://soyte.hanoi.gov.vn/duoc-pham-65229/dinh-chi-luu-hanh-thu-hoi-2-my-pham-vi-pham-2849250924231014046.htm</x:t>
        </x:is>
      </x:c>
      <x:c r="D6" s="99" t="n">
        <x:v>45925</x:v>
      </x:c>
      <x:c r="E6" t="inlineStr">
        <x:is>
          <x:t xml:space="preserve">Đã nạp</x:t>
        </x:is>
      </x:c>
    </x:row>
    <x:row r="7">
      <x:c r="A7" t="inlineStr">
        <x:is>
          <x:t xml:space="preserve">Hà Nội</x:t>
        </x:is>
      </x:c>
      <x:c r="B7" t="inlineStr">
        <x:is>
          <x:t xml:space="preserve">Thu hồi Dung dịch vệ sinh Luxury Care</x:t>
        </x:is>
      </x:c>
      <x:c r="C7" t="inlineStr">
        <x:is>
          <x:t xml:space="preserve">https://soyte.hanoi.gov.vn/duoc-pham-65229/dinh-chi-luu-hanh-thu-hoi-3-my-pham-vi-pham-2849251007143922332.htm</x:t>
        </x:is>
      </x:c>
      <x:c r="D7" s="99" t="n">
        <x:v>45938</x:v>
      </x:c>
      <x:c r="E7" t="inlineStr">
        <x:is>
          <x:t xml:space="preserve">Đã nạp</x:t>
        </x:is>
      </x:c>
    </x:row>
    <x:row r="8">
      <x:c r="A8" t="inlineStr">
        <x:is>
          <x:t xml:space="preserve">Hải Phòng</x:t>
        </x:is>
      </x:c>
      <x:c r="B8" t="inlineStr">
        <x:is>
          <x:t xml:space="preserve">Cổng dữ liệu mở Sở Y tế – dataset số tiếp nhận Phiếu công bố</x:t>
        </x:is>
      </x:c>
      <x:c r="C8" t="inlineStr">
        <x:is>
          <x:t xml:space="preserve">https://data.haiphong.gov.vn/organization/so-y-te?_tags_limit=0&amp;groups=y-te-suc-khoe&amp;organization=so-y-te</x:t>
        </x:is>
      </x:c>
      <x:c r="D8" s="99" t="n">
        <x:v>46247</x:v>
      </x:c>
      <x:c r="E8" t="inlineStr">
        <x:is>
          <x:t xml:space="preserve">Nguồn nền; file legacy đã đọc có 409 dòng năm 2024, địa bàn Hải Dương</x:t>
        </x:is>
      </x:c>
    </x:row>
    <x:row r="9">
      <x:c r="A9" t="inlineStr">
        <x:is>
          <x:t xml:space="preserve">Hải Phòng</x:t>
        </x:is>
      </x:c>
      <x:c r="B9" t="inlineStr">
        <x:is>
          <x:t xml:space="preserve">Phụ lục thu hồi 14 sản phẩm – QĐ 1407/1414/1415/1416</x:t>
        </x:is>
      </x:c>
      <x:c r="C9" t="inlineStr">
        <x:is>
          <x:t xml:space="preserve">https://tanhung.haiphong.gov.vn/trang-chu-66859/phuong-tan-hung-thong-bao-ve-viec-thu-hoi-san-pham-my-pham-888028</x:t>
        </x:is>
      </x:c>
      <x:c r="D9" s="99" t="n">
        <x:v>46132</x:v>
      </x:c>
      <x:c r="E9" t="inlineStr">
        <x:is>
          <x:t xml:space="preserve">Đã nạp 14 record cross-check</x:t>
        </x:is>
      </x:c>
    </x:row>
    <x:row r="10">
      <x:c r="A10" t="inlineStr">
        <x:is>
          <x:t xml:space="preserve">Hải Phòng</x:t>
        </x:is>
      </x:c>
      <x:c r="B10" t="inlineStr">
        <x:is>
          <x:t xml:space="preserve">Thủ tục cấp số tiếp nhận PCB mỹ phẩm sản xuất trong nước</x:t>
        </x:is>
      </x:c>
      <x:c r="C10" t="inlineStr">
        <x:is>
          <x:t xml:space="preserve">https://soyte.haiphong.gov.vn/ma-qr-cac-thu-tuc-linh-vuc-kcb/cap-so-tiep-nhan-phieu-cong-bo-san-pham-my-pham-san-xuat-trong-nuoc-811672</x:t>
        </x:is>
      </x:c>
      <x:c r="D10" s="99" t="n">
        <x:v>45974</x:v>
      </x:c>
      <x:c r="E10" t="inlineStr">
        <x:is>
          <x:t xml:space="preserve">Xác nhận Sở Y tế là cơ quan cấp số cho sản phẩm sản xuất trong nước</x:t>
        </x:is>
      </x:c>
    </x:row>
    <x:row r="11">
      <x:c r="A11" t="inlineStr">
        <x:is>
          <x:t xml:space="preserve">Hải Phòng</x:t>
        </x:is>
      </x:c>
      <x:c r="B11" t="inlineStr">
        <x:is>
          <x:t xml:space="preserve">Các cơ sở sản xuất mỹ phẩm khu vực phía Tây Hải Phòng</x:t>
        </x:is>
      </x:c>
      <x:c r="C11" t="inlineStr">
        <x:is>
          <x:t xml:space="preserve">https://data.haiphong.gov.vn/sr_Latn/dataset/cac-co-so-san-xuat-my-pham-khu-vuc-phia-tay-hai-phong</x:t>
        </x:is>
      </x:c>
      <x:c r="D11" s="99" t="n">
        <x:v>46035</x:v>
      </x:c>
      <x:c r="E11" t="inlineStr">
        <x:is>
          <x:t xml:space="preserve">Nguồn XLSX chính thức Sở Y tế; dùng cross-match factory, chưa nạp chi tiết</x:t>
        </x:is>
      </x:c>
    </x:row>
    <x:row r="12">
      <x:c r="A12" t="inlineStr">
        <x:is>
          <x:t xml:space="preserve">Hải Phòng</x:t>
        </x:is>
      </x:c>
      <x:c r="B12" t="inlineStr">
        <x:is>
          <x:t xml:space="preserve">Trang Sở Y tế trên Cổng dữ liệu mở</x:t>
        </x:is>
      </x:c>
      <x:c r="C12" t="inlineStr">
        <x:is>
          <x:t xml:space="preserve">https://data.haiphong.gov.vn/organization/so-y-te?_tags_limit=0&amp;res_format=XLSX</x:t>
        </x:is>
      </x:c>
      <x:c r="D12" s="99" t="n">
        <x:v>46247</x:v>
      </x:c>
      <x:c r="E12" t="inlineStr">
        <x:is>
          <x:t xml:space="preserve">Đã xác nhận có dataset công bố mỹ phẩm và dataset cơ sở sản xuất mỹ phẩm</x:t>
        </x:is>
      </x:c>
    </x:row>
    <x:row r="13">
      <x:c r="A13" t="inlineStr">
        <x:is>
          <x:t xml:space="preserve">TP. Hồ Chí Minh</x:t>
        </x:is>
      </x:c>
      <x:c r="B13" t="inlineStr">
        <x:is>
          <x:t xml:space="preserve">Tra cứu quảng cáo mỹ phẩm – Sở Y tế TP.HCM</x:t>
        </x:is>
      </x:c>
      <x:c r="C13" t="inlineStr">
        <x:is>
          <x:t xml:space="preserve">https://tracuu.medinet.org.vn/category/cosodulieukhac/quangcao-mypham</x:t>
        </x:is>
      </x:c>
      <x:c r="D13" s="99" t="n">
        <x:v>46247</x:v>
      </x:c>
      <x:c r="E13" t="inlineStr">
        <x:is>
          <x:t xml:space="preserve">3.533 kết quả quảng cáo; dùng reverse lookup sản phẩm ↔ số công bố ↔ doanh nghiệp</x:t>
        </x:is>
      </x:c>
    </x:row>
    <x:row r="14">
      <x:c r="A14" t="inlineStr">
        <x:is>
          <x:t xml:space="preserve">TP. Hồ Chí Minh</x:t>
        </x:is>
      </x:c>
      <x:c r="B14" t="inlineStr">
        <x:is>
          <x:t xml:space="preserve">Tra cứu Giấy chứng nhận lưu hành tự do (CFS)</x:t>
        </x:is>
      </x:c>
      <x:c r="C14" t="inlineStr">
        <x:is>
          <x:t xml:space="preserve">https://tracuu.medinet.org.vn/category/cosodulieukhac/gxn-cfs</x:t>
        </x:is>
      </x:c>
      <x:c r="D14" s="99" t="n">
        <x:v>46247</x:v>
      </x:c>
      <x:c r="E14" t="inlineStr">
        <x:is>
          <x:t xml:space="preserve">7 hồ sơ CFS; dùng cross-check số công bố và cơ sở sản xuất</x:t>
        </x:is>
      </x:c>
    </x:row>
    <x:row r="15">
      <x:c r="A15" t="inlineStr">
        <x:is>
          <x:t xml:space="preserve">TP. Hồ Chí Minh</x:t>
        </x:is>
      </x:c>
      <x:c r="B15" t="inlineStr">
        <x:is>
          <x:t xml:space="preserve">Danh sách 168 xã/phường/đặc khu sau sắp xếp</x:t>
        </x:is>
      </x:c>
      <x:c r="C15" t="inlineStr">
        <x:is>
          <x:t xml:space="preserve">https://xaydungchinhsach.chinhphu.vn/sap-xep-dvhc-danh-sach-168-xa-phuong-dac-khu-cua-thanh-pho-ho-chi-minh-119250623085031865.htm</x:t>
        </x:is>
      </x:c>
      <x:c r="D15" s="99" t="n">
        <x:v>45873</x:v>
      </x:c>
      <x:c r="E15" t="inlineStr">
        <x:is>
          <x:t xml:space="preserve">113 phường, 54 xã, 1 đặc khu</x:t>
        </x:is>
      </x:c>
    </x:row>
    <x:row r="16">
      <x:c r="A16" t="inlineStr">
        <x:is>
          <x:t xml:space="preserve">TP. Hồ Chí Minh</x:t>
        </x:is>
      </x:c>
      <x:c r="B16" t="inlineStr">
        <x:is>
          <x:t xml:space="preserve">Hợp nhất TP.HCM + Bình Dương + Bà Rịa–Vũng Tàu</x:t>
        </x:is>
      </x:c>
      <x:c r="C16" t="inlineStr">
        <x:is>
          <x:t xml:space="preserve">https://xaydungchinhsach.chinhphu.vn/chi-tiet-34-don-vi-hanh-chinh-cap-tinh-tu-12-6-2025-119250612141845533.htm</x:t>
        </x:is>
      </x:c>
      <x:c r="D16" s="99" t="n">
        <x:v>46231</x:v>
      </x:c>
      <x:c r="E16" t="inlineStr">
        <x:is>
          <x:t xml:space="preserve">Nguồn Chính phủ; chính quyền mới hoạt động từ 01/07/2025</x:t>
        </x:is>
      </x:c>
    </x:row>
    <x:row r="17">
      <x:c r="A17" t="inlineStr">
        <x:is>
          <x:t xml:space="preserve">TP. Hồ Chí Minh</x:t>
        </x:is>
      </x:c>
      <x:c r="B17" t="inlineStr">
        <x:is>
          <x:t xml:space="preserve">Archive mỹ phẩm Bà Rịa–Vũng Tàu cũ</x:t>
        </x:is>
      </x:c>
      <x:c r="C17" t="inlineStr">
        <x:is>
          <x:t xml:space="preserve">https://soyte.baria-vungtau.gov.vn/Dinh-chi-my-pham-2-34-4-30.html</x:t>
        </x:is>
      </x:c>
      <x:c r="D17" s="99" t="n">
        <x:v>46247</x:v>
      </x:c>
      <x:c r="E17" t="inlineStr">
        <x:is>
          <x:t xml:space="preserve">Nguồn legal/archive; cần tìm bulk declaration</x:t>
        </x:is>
      </x:c>
    </x:row>
    <x:row r="18">
      <x:c r="A18" t="inlineStr">
        <x:is>
          <x:t xml:space="preserve">Đà Nẵng</x:t>
        </x:is>
      </x:c>
      <x:c r="B18" t="inlineStr">
        <x:is>
          <x:t xml:space="preserve">Danh sách mỹ phẩm được Sở Y tế Đà Nẵng cấp số tiếp nhận đến 04/07/2018</x:t>
        </x:is>
      </x:c>
      <x:c r="C18" t="inlineStr">
        <x:is>
          <x:t xml:space="preserve">https://soyte.danang.gov.vn/vi/web/syt/w/danh-sach-my-pham-duoc-so-y-te-da-nang-cap-so-tiep-nhan-phieu-cong-bo-san-pham-my-pham-tinh-den-ngay-04-7-2018-3285377</x:t>
        </x:is>
      </x:c>
      <x:c r="D18" s="99" t="n">
        <x:v>43285</x:v>
      </x:c>
      <x:c r="E18" t="inlineStr">
        <x:is>
          <x:t xml:space="preserve">Nguồn bulk chính thức; file đính kèm RAR, chưa tải được trong phiên</x:t>
        </x:is>
      </x:c>
    </x:row>
    <x:row r="19">
      <x:c r="A19" t="inlineStr">
        <x:is>
          <x:t xml:space="preserve">Đà Nẵng</x:t>
        </x:is>
      </x:c>
      <x:c r="B19" t="inlineStr">
        <x:is>
          <x:t xml:space="preserve">Hanayuki Shampoo + VB Soft &amp; Silk – cross-check số CBMP-ĐN</x:t>
        </x:is>
      </x:c>
      <x:c r="C19" t="inlineStr">
        <x:is>
          <x:t xml:space="preserve">https://soyte.baria-vungtau.gov.vn/Dinh-chi-luu-hanh-thu-hoi-nhieu-my-pham-khong-dat-tieu-chuan-chat-luong-2-3-4-123.html</x:t>
        </x:is>
      </x:c>
      <x:c r="D19" s="99" t="n">
        <x:v>46020</x:v>
      </x:c>
      <x:c r="E19" t="inlineStr">
        <x:is>
          <x:t xml:space="preserve">Nguồn chính thức Sở Y tế BRVT dẫn thông tin pháp lý trung ương</x:t>
        </x:is>
      </x:c>
    </x:row>
    <x:row r="20">
      <x:c r="A20" t="inlineStr">
        <x:is>
          <x:t xml:space="preserve">Đà Nẵng</x:t>
        </x:is>
      </x:c>
      <x:c r="B20" t="inlineStr">
        <x:is>
          <x:t xml:space="preserve">Hanayuki Sunscreen Body – 779/24/CBMP-ĐN</x:t>
        </x:is>
      </x:c>
      <x:c r="C20" t="inlineStr">
        <x:is>
          <x:t xml:space="preserve">https://vov.gov.vn/dong-nai-de-nghi-xu-phat-hanh-chinh-vu-kem-chong-nang-hanayuki-sunscreen-body-dtnew-1086398</x:t>
        </x:is>
      </x:c>
      <x:c r="D20" s="99" t="n">
        <x:v>45856</x:v>
      </x:c>
      <x:c r="E20" t="inlineStr">
        <x:is>
          <x:t xml:space="preserve">Nguồn báo chí nhà nước dẫn Sở Y tế/Cục QLD</x:t>
        </x:is>
      </x:c>
    </x:row>
    <x:row r="21">
      <x:c r="A21" t="inlineStr">
        <x:is>
          <x:t xml:space="preserve">Đà Nẵng</x:t>
        </x:is>
      </x:c>
      <x:c r="B21" t="inlineStr">
        <x:is>
          <x:t xml:space="preserve">Hanayuki Conditioner – 794/24/CBMP-ĐN</x:t>
        </x:is>
      </x:c>
      <x:c r="C21" t="inlineStr">
        <x:is>
          <x:t xml:space="preserve">https://vov.gov.vn/2-cong-ty-my-pham-lien-quan-chong-doan-di-bang-bi-yeu-cau-tam-dung-san-xuat-dtnew-1086843</x:t>
        </x:is>
      </x:c>
      <x:c r="D21" s="99" t="n">
        <x:v>45856</x:v>
      </x:c>
      <x:c r="E21" t="inlineStr">
        <x:is>
          <x:t xml:space="preserve">Nguồn báo chí nhà nước dẫn Cục QLD</x:t>
        </x:is>
      </x:c>
    </x:row>
    <x:row r="22">
      <x:c r="A22" t="inlineStr">
        <x:is>
          <x:t xml:space="preserve">TP. Hồ Chí Minh</x:t>
        </x:is>
      </x:c>
      <x:c r="B22" t="inlineStr">
        <x:is>
          <x:t xml:space="preserve">Adaphil Gentle Skin Cleanser – 001454/23/CBMP-HCM</x:t>
        </x:is>
      </x:c>
      <x:c r="C22" t="inlineStr">
        <x:is>
          <x:t xml:space="preserve">https://soyte.baria-vungtau.gov.vn/Dinh-chi-luu-hanh-thu-hoi-nhieu-my-pham-khong-dat-tieu-chuan-chat-luong-2-3-4-123.html</x:t>
        </x:is>
      </x:c>
      <x:c r="D22" s="99" t="n">
        <x:v>46020</x:v>
      </x:c>
      <x:c r="E22" t="inlineStr">
        <x:is>
          <x:t xml:space="preserve">Nguồn chính thức Sở Y tế BRVT; đã nạp declaration + legal event</x:t>
        </x:is>
      </x:c>
    </x:row>
    <x:row r="23">
      <x:c r="A23" t="inlineStr">
        <x:is>
          <x:t xml:space="preserve">TP. Hồ Chí Minh</x:t>
        </x:is>
      </x:c>
      <x:c r="B23" t="inlineStr">
        <x:is>
          <x:t xml:space="preserve">Kho Phiếu tiếp nhận Công bố mỹ phẩm – Sở Y tế TP.HCM</x:t>
        </x:is>
      </x:c>
      <x:c r="C23" t="inlineStr">
        <x:is>
          <x:t xml:space="preserve">https://tracuu.medinet.org.vn/category/cosodulieukhac/congbo-mypham</x:t>
        </x:is>
      </x:c>
      <x:c r="D23" s="99" t="n">
        <x:v>46247</x:v>
      </x:c>
      <x:c r="E23" t="inlineStr">
        <x:is>
          <x:t xml:space="preserve">39.614 kết quả; nguồn lõi để lấy declaration trực tiếp</x:t>
        </x:is>
      </x:c>
    </x:row>
    <x:row r="24">
      <x:c r="A24" t="inlineStr">
        <x:is>
          <x:t xml:space="preserve">TP. Hồ Chí Minh</x:t>
        </x:is>
      </x:c>
      <x:c r="B24" t="inlineStr">
        <x:is>
          <x:t xml:space="preserve">Cơ sở đủ điều kiện sản xuất mỹ phẩm – Sở Y tế TP.HCM</x:t>
        </x:is>
      </x:c>
      <x:c r="C24" t="inlineStr">
        <x:is>
          <x:t xml:space="preserve">https://tracuu.medinet.org.vn/category/cosodulieukhac/gxn-ddksxmp</x:t>
        </x:is>
      </x:c>
      <x:c r="D24" s="99" t="n">
        <x:v>46247</x:v>
      </x:c>
      <x:c r="E24" t="inlineStr">
        <x:is>
          <x:t xml:space="preserve">250 cơ sở; đã nạp 20 cơ sở vào FACTORY_REGISTRY và lập HCM_FACTORY_CLUSTER</x:t>
        </x:is>
      </x:c>
    </x:row>
    <x:row r="25">
      <x:c r="A25" t="inlineStr">
        <x:is>
          <x:t xml:space="preserve">TP. Hồ Chí Minh</x:t>
        </x:is>
      </x:c>
      <x:c r="B25" t="inlineStr">
        <x:is>
          <x:t xml:space="preserve">Batch trực tiếp v0.13</x:t>
        </x:is>
      </x:c>
      <x:c r="C25" t="inlineStr">
        <x:is>
          <x:t xml:space="preserve">https://tracuu.medinet.org.vn/category/cosodulieukhac/congbo-mypham</x:t>
        </x:is>
      </x:c>
      <x:c r="D25" s="99" t="n">
        <x:v>46247</x:v>
      </x:c>
      <x:c r="E25" t="inlineStr">
        <x:is>
          <x:t xml:space="preserve">20 phiếu công bố trực tiếp có ngày cấp, số CBMP, nhãn, nhà sản xuất, mã hồ sơ</x:t>
        </x:is>
      </x:c>
    </x:row>
    <x:row r="26">
      <x:c r="A26" t="inlineStr">
        <x:is>
          <x:t xml:space="preserve">TP. Hồ Chí Minh</x:t>
        </x:is>
      </x:c>
      <x:c r="B26" t="inlineStr">
        <x:is>
          <x:t xml:space="preserve">Guardian – danh mục private label/body care</x:t>
        </x:is>
      </x:c>
      <x:c r="C26" t="inlineStr">
        <x:is>
          <x:t xml:space="preserve">https://www.guardian.com.vn/shopby/guardian.html?brand_id=1%2C1728</x:t>
        </x:is>
      </x:c>
      <x:c r="D26" s="99" t="n">
        <x:v>46247</x:v>
      </x:c>
      <x:c r="E26" t="inlineStr">
        <x:is>
          <x:t xml:space="preserve">Retail signal; 39 sản phẩm hiển thị trên trang brand/filter được tra cứu</x:t>
        </x:is>
      </x:c>
    </x:row>
    <x:row r="27">
      <x:c r="A27" t="inlineStr">
        <x:is>
          <x:t xml:space="preserve">TP. Hồ Chí Minh</x:t>
        </x:is>
      </x:c>
      <x:c r="B27" t="inlineStr">
        <x:is>
          <x:t xml:space="preserve">Watsons – Dầu gội</x:t>
        </x:is>
      </x:c>
      <x:c r="C27" t="inlineStr">
        <x:is>
          <x:t xml:space="preserve">https://www.watsons.vn/vi/ch%C4%83m-s%C3%B3c-t%C3%B3c/d%E1%BA%A7u-g%E1%BB%99i/c/0501000</x:t>
        </x:is>
      </x:c>
      <x:c r="D27" s="99" t="n">
        <x:v>46247</x:v>
      </x:c>
      <x:c r="E27" t="inlineStr">
        <x:is>
          <x:t xml:space="preserve">Retail signal; 142 sản phẩm dầu gội hiển thị</x:t>
        </x:is>
      </x:c>
    </x:row>
    <x:row r="28">
      <x:c r="A28" t="inlineStr">
        <x:is>
          <x:t xml:space="preserve">TP. Hồ Chí Minh</x:t>
        </x:is>
      </x:c>
      <x:c r="B28" t="inlineStr">
        <x:is>
          <x:t xml:space="preserve">Watsons – Chăm sóc tóc tổng</x:t>
        </x:is>
      </x:c>
      <x:c r="C28" t="inlineStr">
        <x:is>
          <x:t xml:space="preserve">https://www.watsons.vn/vi/ch%C4%83m-s%C3%B3c-t%C3%B3c/c/0500000</x:t>
        </x:is>
      </x:c>
      <x:c r="D28" s="99" t="n">
        <x:v>46247</x:v>
      </x:c>
      <x:c r="E28" t="inlineStr">
        <x:is>
          <x:t xml:space="preserve">Retail signal; 365 sản phẩm chăm sóc tóc hiển thị</x:t>
        </x:is>
      </x:c>
    </x:row>
    <x:row r="29">
      <x:c r="A29" t="inlineStr">
        <x:is>
          <x:t xml:space="preserve">TP. Hồ Chí Minh</x:t>
        </x:is>
      </x:c>
      <x:c r="B29" t="inlineStr">
        <x:is>
          <x:t xml:space="preserve">Circle K – Hóa mỹ phẩm</x:t>
        </x:is>
      </x:c>
      <x:c r="C29" t="inlineStr">
        <x:is>
          <x:t xml:space="preserve">https://www.circlek.com.vn/vi/san-pham-dich-vu/san-pham/</x:t>
        </x:is>
      </x:c>
      <x:c r="D29" s="99" t="n">
        <x:v>46247</x:v>
      </x:c>
      <x:c r="E29" t="inlineStr">
        <x:is>
          <x:t xml:space="preserve">Category-level signal: chăm sóc cá nhân, mỹ phẩm, chăm sóc da</x:t>
        </x:is>
      </x:c>
    </x:row>
    <x:row r="30">
      <x:c r="A30" t="inlineStr">
        <x:is>
          <x:t xml:space="preserve">TP. Hồ Chí Minh</x:t>
        </x:is>
      </x:c>
      <x:c r="B30" t="inlineStr">
        <x:is>
          <x:t xml:space="preserve">MM Mega Market – Hóa mỹ phẩm</x:t>
        </x:is>
      </x:c>
      <x:c r="C30" t="inlineStr">
        <x:is>
          <x:t xml:space="preserve">https://mmvietnam.com/san-pham/hoa-my-pham/</x:t>
        </x:is>
      </x:c>
      <x:c r="D30" s="99" t="n">
        <x:v>46247</x:v>
      </x:c>
      <x:c r="E30" t="inlineStr">
        <x:is>
          <x:t xml:space="preserve">Retail/hypermarket signal; ngành hàng hóa mỹ phẩm và chăm sóc cá nhân</x:t>
        </x:is>
      </x:c>
    </x:row>
    <x:row r="31">
      <x:c r="A31" t="inlineStr">
        <x:is>
          <x:t xml:space="preserve">TP. Hồ Chí Minh</x:t>
        </x:is>
      </x:c>
      <x:c r="B31" t="inlineStr">
        <x:is>
          <x:t xml:space="preserve">MINISTOP – vị trí cửa hàng 24/7</x:t>
        </x:is>
      </x:c>
      <x:c r="C31" t="inlineStr">
        <x:is>
          <x:t xml:space="preserve">https://www.ministop.vn/vi/ms</x:t>
        </x:is>
      </x:c>
      <x:c r="D31" s="99" t="n">
        <x:v>46247</x:v>
      </x:c>
      <x:c r="E31" t="inlineStr">
        <x:is>
          <x:t xml:space="preserve">Location signal; inventory mỹ phẩm cần audit thêm</x:t>
        </x:is>
      </x:c>
    </x:row>
    <x:row r="32">
      <x:c r="A32" t="inlineStr">
        <x:is>
          <x:t xml:space="preserve">Toàn quốc</x:t>
        </x:is>
      </x:c>
      <x:c r="B32" t="inlineStr">
        <x:is>
          <x:t xml:space="preserve">TikTok Shop – thuộc tính giấy phép mỹ phẩm</x:t>
        </x:is>
      </x:c>
      <x:c r="C32" t="inlineStr">
        <x:is>
          <x:t xml:space="preserve">https://seller-vn.tiktok.com/university/essay?anchor_link=EC4200CA&amp;course_type=1&amp;from=search&amp;identity=1&amp;knowledge_id=5985153894614801&amp;role=1</x:t>
        </x:is>
      </x:c>
      <x:c r="D32" s="99" t="n">
        <x:v>46097</x:v>
      </x:c>
      <x:c r="E32" t="inlineStr">
        <x:is>
          <x:t xml:space="preserve">Từ 20/03/2026 yêu cầu loại giấy phép, số đăng ký, ngày cấp, nơi cấp đối với mỹ phẩm</x:t>
        </x:is>
      </x:c>
    </x:row>
    <x:row r="33">
      <x:c r="A33" t="inlineStr">
        <x:is>
          <x:t xml:space="preserve">Toàn quốc</x:t>
        </x:is>
      </x:c>
      <x:c r="B33" t="inlineStr">
        <x:is>
          <x:t xml:space="preserve">TikTok Shop – sản phẩm bị hạn chế</x:t>
        </x:is>
      </x:c>
      <x:c r="C33" t="inlineStr">
        <x:is>
          <x:t xml:space="preserve">https://seller-vn.tiktok.com/university/essay?default_language=en&amp;knowledge_id=7179954358388497</x:t>
        </x:is>
      </x:c>
      <x:c r="D33" s="99" t="n">
        <x:v>46217</x:v>
      </x:c>
      <x:c r="E33" t="inlineStr">
        <x:is>
          <x:t xml:space="preserve">Beauty &amp; Personal Care có thể phải nộp thông báo sản phẩm mỹ phẩm và thông tin nhãn</x:t>
        </x:is>
      </x:c>
    </x:row>
    <x:row r="34">
      <x:c r="A34" t="inlineStr">
        <x:is>
          <x:t xml:space="preserve">Toàn quốc</x:t>
        </x:is>
      </x:c>
      <x:c r="B34" t="inlineStr">
        <x:is>
          <x:t xml:space="preserve">Cấp số mỹ phẩm nhập khẩu – DVC Quốc gia</x:t>
        </x:is>
      </x:c>
      <x:c r="C34" t="inlineStr">
        <x:is>
          <x:t xml:space="preserve">https://vpcp.dichvucong.gov.vn/p/home/dvc-chi-tiet-thu-tuc-hanh-chinh.html?ma_thu_tuc=1.002088</x:t>
        </x:is>
      </x:c>
      <x:c r="D34" s="99" t="n">
        <x:v>46247</x:v>
      </x:c>
      <x:c r="E34" t="inlineStr">
        <x:is>
          <x:t xml:space="preserve">Mỹ phẩm nhập khẩu nộp Cục Quản lý Dược qua Cổng một cửa quốc gia</x:t>
        </x:is>
      </x:c>
    </x:row>
    <x:row r="35">
      <x:c r="A35" t="inlineStr">
        <x:is>
          <x:t xml:space="preserve">Toàn quốc</x:t>
        </x:is>
      </x:c>
      <x:c r="B35" t="inlineStr">
        <x:is>
          <x:t xml:space="preserve">Cấp số mỹ phẩm sản xuất trong nước – DVC Quốc gia</x:t>
        </x:is>
      </x:c>
      <x:c r="C35" t="inlineStr">
        <x:is>
          <x:t xml:space="preserve">https://dichvucong.gov.vn/p/home/dvc-chi-tiet-thu-tuc-hanh-chinh.html?id_tinh_thanh=50&amp;ma_thu_tuc=1.002600</x:t>
        </x:is>
      </x:c>
      <x:c r="D35" s="99" t="n">
        <x:v>46247</x:v>
      </x:c>
      <x:c r="E35" t="inlineStr">
        <x:is>
          <x:t xml:space="preserve">Nộp Sở Y tế nơi đặt nhà máy; bán thành phẩm nhập khẩu đóng gói trong nước được coi là sản xuất trong nước</x:t>
        </x:is>
      </x:c>
    </x:row>
    <x:row r="36">
      <x:c r="A36" t="inlineStr">
        <x:is>
          <x:t xml:space="preserve">Mẹ &amp; Bé</x:t>
        </x:is>
      </x:c>
      <x:c r="B36" t="inlineStr">
        <x:is>
          <x:t xml:space="preserve">Guardian – toàn ngành Mẹ &amp; Bé</x:t>
        </x:is>
      </x:c>
      <x:c r="C36" t="inlineStr">
        <x:is>
          <x:t xml:space="preserve">https://www.guardian.com.vn/all-products</x:t>
        </x:is>
      </x:c>
      <x:c r="D36" s="99" t="n">
        <x:v>46247</x:v>
      </x:c>
      <x:c r="E36" t="inlineStr">
        <x:is>
          <x:t xml:space="preserve">202 SP Mẹ &amp; Bé; 106 chăm sóc bé; 31 tắm gội; 24 da/chống nắng; 16 dầu gội bé; 14 răng miệng bé</x:t>
        </x:is>
      </x:c>
    </x:row>
    <x:row r="37">
      <x:c r="A37" t="inlineStr">
        <x:is>
          <x:t xml:space="preserve">Mẹ &amp; Bé</x:t>
        </x:is>
      </x:c>
      <x:c r="B37" t="inlineStr">
        <x:is>
          <x:t xml:space="preserve">Guardian private label – chăm sóc bé</x:t>
        </x:is>
      </x:c>
      <x:c r="C37" t="inlineStr">
        <x:is>
          <x:t xml:space="preserve">https://www.guardian.com.vn/doc-quyen-guardian/san-pham-guardian/cham-soc-be.html</x:t>
        </x:is>
      </x:c>
      <x:c r="D37" s="99" t="n">
        <x:v>46247</x:v>
      </x:c>
      <x:c r="E37" t="inlineStr">
        <x:is>
          <x:t xml:space="preserve">9 SKU chăm sóc bé; ưu tiên Guardian Kids Head To Toe Wash</x:t>
        </x:is>
      </x:c>
    </x:row>
    <x:row r="38">
      <x:c r="A38" t="inlineStr">
        <x:is>
          <x:t xml:space="preserve">Mẹ &amp; Bé</x:t>
        </x:is>
      </x:c>
      <x:c r="B38" t="inlineStr">
        <x:is>
          <x:t xml:space="preserve">Watsons – Trẻ em</x:t>
        </x:is>
      </x:c>
      <x:c r="C38" t="inlineStr">
        <x:is>
          <x:t xml:space="preserve">https://www.watsons.vn/vi/tr%E1%BA%BB-em/c/0600000</x:t>
        </x:is>
      </x:c>
      <x:c r="D38" s="99" t="n">
        <x:v>46247</x:v>
      </x:c>
      <x:c r="E38" t="inlineStr">
        <x:is>
          <x:t xml:space="preserve">44 SP; gồm Cetaphil Baby, Johnson's, Lactacyd, Bzu Bzu, Bioré Kids...</x:t>
        </x:is>
      </x:c>
    </x:row>
    <x:row r="39">
      <x:c r="A39" t="inlineStr">
        <x:is>
          <x:t xml:space="preserve">Mẹ &amp; Bé</x:t>
        </x:is>
      </x:c>
      <x:c r="B39" t="inlineStr">
        <x:is>
          <x:t xml:space="preserve">Watsons – Tắm gội trẻ em</x:t>
        </x:is>
      </x:c>
      <x:c r="C39" t="inlineStr">
        <x:is>
          <x:t xml:space="preserve">https://www.watsons.vn/vi/tr%E1%BA%BB-em/t%E1%BA%AFm-g%E1%BB%99i/c/0601001</x:t>
        </x:is>
      </x:c>
      <x:c r="D39" s="99" t="n">
        <x:v>46247</x:v>
      </x:c>
      <x:c r="E39" t="inlineStr">
        <x:is>
          <x:t xml:space="preserve">17 SP tắm gội; dùng tạo queue reverse lookup</x:t>
        </x:is>
      </x:c>
    </x:row>
    <x:row r="40">
      <x:c r="A40" t="inlineStr">
        <x:is>
          <x:t xml:space="preserve">TP. Hồ Chí Minh</x:t>
        </x:is>
      </x:c>
      <x:c r="B40" t="inlineStr">
        <x:is>
          <x:t xml:space="preserve">SYT TP.HCM – QC mỹ phẩm, M.O.I Baby Skin Powder</x:t>
        </x:is>
      </x:c>
      <x:c r="C40" t="inlineStr">
        <x:is>
          <x:t xml:space="preserve">https://tracuu.medinet.org.vn/category/cosodulieukhac/quangcao-mypham</x:t>
        </x:is>
      </x:c>
      <x:c r="D40" s="99" t="n">
        <x:v>46247</x:v>
      </x:c>
      <x:c r="E40" t="inlineStr">
        <x:is>
          <x:t xml:space="preserve">2 số CBMP-QLD M.O.I Baby Skin Powder đã đưa vào IMPORT_DECLARATIONS</x:t>
        </x:is>
      </x:c>
    </x:row>
    <x:row r="41">
      <x:c r="A41" t="inlineStr">
        <x:is>
          <x:t xml:space="preserve">TP. Hồ Chí Minh</x:t>
        </x:is>
      </x:c>
      <x:c r="B41" t="inlineStr">
        <x:is>
          <x:t xml:space="preserve">GS25 – sản phẩm / Hàng tiêu dùng</x:t>
        </x:is>
      </x:c>
      <x:c r="C41" t="inlineStr">
        <x:is>
          <x:t xml:space="preserve">https://gs25.com.vn/san-pham/product/</x:t>
        </x:is>
      </x:c>
      <x:c r="D41" s="99" t="n">
        <x:v>46247</x:v>
      </x:c>
      <x:c r="E41" t="inlineStr">
        <x:is>
          <x:t xml:space="preserve">Category/location signal; chưa đủ SKU hóa mỹ phẩm</x:t>
        </x:is>
      </x:c>
    </x:row>
    <x:row r="42">
      <x:c r="A42" t="inlineStr">
        <x:is>
          <x:t xml:space="preserve">TP. Hồ Chí Minh</x:t>
        </x:is>
      </x:c>
      <x:c r="B42" t="inlineStr">
        <x:is>
          <x:t xml:space="preserve">WinMart – Chăm Sóc Cá Nhân</x:t>
        </x:is>
      </x:c>
      <x:c r="C42" t="inlineStr">
        <x:is>
          <x:t xml:space="preserve">https://winmart.vn/cham-soc-ca-nhan--c11</x:t>
        </x:is>
      </x:c>
      <x:c r="D42" s="99" t="n">
        <x:v>46247</x:v>
      </x:c>
      <x:c r="E42" t="inlineStr">
        <x:is>
          <x:t xml:space="preserve">Category signal; inventory phụ thuộc cửa hàng</x:t>
        </x:is>
      </x:c>
    </x:row>
    <x:row r="43">
      <x:c r="A43" t="inlineStr">
        <x:is>
          <x:t xml:space="preserve">TP. Hồ Chí Minh</x:t>
        </x:is>
      </x:c>
      <x:c r="B43" t="inlineStr">
        <x:is>
          <x:t xml:space="preserve">WinMart – Chăm Sóc Da</x:t>
        </x:is>
      </x:c>
      <x:c r="C43" t="inlineStr">
        <x:is>
          <x:t xml:space="preserve">https://winmart.vn/cham-soc-da--c0146</x:t>
        </x:is>
      </x:c>
      <x:c r="D43" s="99" t="n">
        <x:v>46247</x:v>
      </x:c>
      <x:c r="E43" t="inlineStr">
        <x:is>
          <x:t xml:space="preserve">Category signal; chưa dùng làm declaration</x:t>
        </x:is>
      </x:c>
    </x:row>
    <x:row r="44">
      <x:c r="A44" t="str">
        <x:v>TP. Hồ Chí Minh</x:v>
      </x:c>
      <x:c r="B44" t="str">
        <x:v>QĐ thu hồi 38 số – Tạ Minh Quang</x:v>
      </x:c>
      <x:c r="C44" t="str">
        <x:v>https://soytequangninh.gov.vn/trang-chu/huong-dan-nghiep-vu/linh-vuc-duoc/thong-bao-ve-viec-thu-hoi-so-tiep-nhan-phieu-cong-bo-san-pha3.html</x:v>
      </x:c>
      <x:c r="D44" s="330" t="n">
        <x:v>45709</x:v>
      </x:c>
      <x:c r="E44" t="str">
        <x:v>Đã nạp 38 CBMP-HCM + legal events</x:v>
      </x:c>
    </x:row>
    <x:row r="45">
      <x:c r="A45" t="str">
        <x:v>TP. Hồ Chí Minh</x:v>
      </x:c>
      <x:c r="B45" t="str">
        <x:v>QĐ thu hồi 2 số – Mỹ phẩm Đức Anh / Hành Tinh Xanh</x:v>
      </x:c>
      <x:c r="C45" t="str">
        <x:v>https://soytequangninh.gov.vn/trang-chu/huong-dan-nghiep-vu/linh-vuc-duoc/quyet-dinh-thu-hoi-so-tiep-nhan-phieu-cong-bo-san-pham-my-ph.html</x:v>
      </x:c>
      <x:c r="D45" s="330" t="n">
        <x:v>45709</x:v>
      </x:c>
      <x:c r="E45" t="str">
        <x:v>Đã nạp 2 CBMP-HCM + legal events</x:v>
      </x:c>
    </x:row>
    <x:row r="46">
      <x:c r="A46" t="str">
        <x:v>TP. Hồ Chí Minh</x:v>
      </x:c>
      <x:c r="B46" t="str">
        <x:v>QĐ thu hồi 1 số – Hoàng Dũng / Hành Tinh Xanh</x:v>
      </x:c>
      <x:c r="C46" t="str">
        <x:v>https://soytequangninh.gov.vn/trang-chu/huong-dan-nghiep-vu/linh-vuc-duoc/ve-viec-thu-hoi-so-tiep-nhan-phieu-cong-bo-san-pham-my-pham6.html</x:v>
      </x:c>
      <x:c r="D46" s="330" t="n">
        <x:v>45707</x:v>
      </x:c>
      <x:c r="E46" t="str">
        <x:v>Đã nạp 1 CBMP-HCM + legal event</x:v>
      </x:c>
    </x:row>
    <x:row r="47">
      <x:c r="A47" t="str">
        <x:v>TP. Hồ Chí Minh</x:v>
      </x:c>
      <x:c r="B47" t="str">
        <x:v>Ảnh Phiếu CBMP – GRATY COLLAGEN AND KERATIN SPRAY</x:v>
      </x:c>
      <x:c r="C47" t="str">
        <x:v>Ảnh người dùng cung cấp trong hội thoại</x:v>
      </x:c>
      <x:c r="D47" s="330" t="n">
        <x:v>46247</x:v>
      </x:c>
      <x:c r="E47" t="str">
        <x:v>005915/26/CBMP-HCM – cấp 07/07/2026</x:v>
      </x:c>
    </x:row>
    <x:row r="48">
      <x:c r="A48" t="str">
        <x:v>TP. Hồ Chí Minh</x:v>
      </x:c>
      <x:c r="B48" t="str">
        <x:v>Ảnh Phiếu CBMP – LUSTAC BODY WASH PERFUME NO:03</x:v>
      </x:c>
      <x:c r="C48" t="str">
        <x:v>Ảnh người dùng cung cấp trong hội thoại</x:v>
      </x:c>
      <x:c r="D48" s="330" t="n">
        <x:v>46247</x:v>
      </x:c>
      <x:c r="E48" t="str">
        <x:v>006016/26/CBMP-HCM – cấp 10/07/2026</x:v>
      </x:c>
    </x:row>
    <x:row r="49">
      <x:c r="A49" t="str">
        <x:v>TP. Hồ Chí Minh</x:v>
      </x:c>
      <x:c r="B49" t="str">
        <x:v>TT Kiểm nghiệm Đà Nẵng – CBMP HCM 2022–2023 qua thông báo chất lượng</x:v>
      </x:c>
      <x:c r="C49" t="str">
        <x:v>https://www.kiemnghiemdanang.vn/index.php?Itemid=672&amp;id=96&amp;limitstart=15&amp;option=com_content&amp;view=category</x:v>
      </x:c>
      <x:c r="D49" s="330" t="n">
        <x:v>46247</x:v>
      </x:c>
      <x:c r="E49" t="str">
        <x:v>Đã nạp 6 CBMP mới: 2370, 2371, 004015, 001513, 2147, 002094</x:v>
      </x:c>
    </x:row>
    <x:row r="50">
      <x:c r="A50" t="str">
        <x:v>TP. Hồ Chí Minh</x:v>
      </x:c>
      <x:c r="B50" t="str">
        <x:v>Sở Y tế Hà Tĩnh – Dầu mù u Thái Dương</x:v>
      </x:c>
      <x:c r="C50" t="str">
        <x:v>https://soyte.hatinh.gov.vn/tin-tuc-su-kien/thong-tin-y-te/duoc-my-pham-trang-thiet-bi-y-te/so-y-te-thong-bao-thu-hoi-tieu-huy-san-pham-khong-ro-nguon-g.html</x:v>
      </x:c>
      <x:c r="D50" s="330" t="n">
        <x:v>46247</x:v>
      </x:c>
      <x:c r="E50" t="str">
        <x:v>Đã nạp 004405/23/CBMP-HCM</x:v>
      </x:c>
    </x:row>
    <x:row r="51">
      <x:c r="A51" t="str">
        <x:v>TP. Hồ Chí Minh</x:v>
      </x:c>
      <x:c r="B51" t="str">
        <x:v>Cổng chính quyền Hưng Yên – Coop Select</x:v>
      </x:c>
      <x:c r="C51" t="str">
        <x:v>https://binhnguyen.hungyen.gov.vn/thong-bao-dinh-chi-luu-hanh-va-thu-hoi-san-pham-my-pham-c2419.html</x:v>
      </x:c>
      <x:c r="D51" s="330" t="n">
        <x:v>46247</x:v>
      </x:c>
      <x:c r="E51" t="str">
        <x:v>Đã nạp 002013/25/CBMP-HCM</x:v>
      </x:c>
    </x:row>
    <x:row r="52">
      <x:c r="A52" t="str">
        <x:v>TP. Hồ Chí Minh</x:v>
      </x:c>
      <x:c r="B52" t="str">
        <x:v>Đăng Dương – 5 CBMP 2023</x:v>
      </x:c>
      <x:c r="C52" t="str">
        <x:v>https://songray.dongnai.gov.vn/vi/news/canh-bao/dinh-chi-luu-hanh-thu-hoi-tren-toan-quoc-doi-voi-05-san-pham-cua-cong-ty-tnhh-san-xuat-va-thuong-mai-my-pham-dang-duong-120.html</x:v>
      </x:c>
      <x:c r="D52" s="330" t="n">
        <x:v>46247</x:v>
      </x:c>
      <x:c r="E52" t="str">
        <x:v>5 record có ngày cấp + company + manufacturer</x:v>
      </x:c>
    </x:row>
    <x:row r="53">
      <x:c r="A53" t="str">
        <x:v>TP. Hồ Chí Minh</x:v>
      </x:c>
      <x:c r="B53" t="str">
        <x:v>LYNSHAO – Long Phụng Khang</x:v>
      </x:c>
      <x:c r="C53" t="str">
        <x:v>https://soyte.hanoi.gov.vn/duoc-pham-65229/dinh-chi-luu-hanh-thu-hoi-tren-toan-quoc-lo-san-pham-kem-trang-da-ngua-mun-mo-vet-tham-lynshao-2849251228164739661.htm</x:v>
      </x:c>
      <x:c r="D53" s="330" t="n">
        <x:v>46247</x:v>
      </x:c>
      <x:c r="E53" t="str">
        <x:v>003402/22/CBMP-HCM</x:v>
      </x:c>
    </x:row>
    <x:row r="54">
      <x:c r="A54" t="str">
        <x:v>TP. Hồ Chí Minh</x:v>
      </x:c>
      <x:c r="B54" t="str">
        <x:v>Y lang – Nam Đô</x:v>
      </x:c>
      <x:c r="C54" t="str">
        <x:v>https://thanhsen.hatinh.gov.vn/vi/bai-viet/uy-ban-nhan-dan-phuong-thanh-sen-thong-bao-ve-viec-dinh-chi-luu-hanh-thu-hoi-va-tieu-huy-san-pham-vi-pham</x:v>
      </x:c>
      <x:c r="D54" s="330" t="n">
        <x:v>46247</x:v>
      </x:c>
      <x:c r="E54" t="str">
        <x:v>000330/22/CBMP-HCM</x:v>
      </x:c>
    </x:row>
    <x:row r="55">
      <x:c r="A55" t="str">
        <x:v>TP. Hồ Chí Minh</x:v>
      </x:c>
      <x:c r="B55" t="str">
        <x:v>Young One – Chi Chi</x:v>
      </x:c>
      <x:c r="C55" t="str">
        <x:v>https://soyte.hatinh.gov.vn/tin-tuc-su-kien/thong-tin-y-te/duoc-my-pham-trang-thiet-bi-y-te/dinh-chi-luu-hanh-thu-hoi-va-tieu-huy-my-pham-kem-duong-tran.html</x:v>
      </x:c>
      <x:c r="D55" s="330" t="n">
        <x:v>46247</x:v>
      </x:c>
      <x:c r="E55" t="str">
        <x:v>001052/22/CBMP-HCM</x:v>
      </x:c>
    </x:row>
    <x:row r="56">
      <x:c r="A56" t="str">
        <x:v>TP. Hồ Chí Minh</x:v>
      </x:c>
      <x:c r="B56" t="str">
        <x:v>Intasilk – Hùng Đông Tinh / Dạ Thảo Lan</x:v>
      </x:c>
      <x:c r="C56" t="str">
        <x:v>https://binhphuoc.gov.vn/vi/syt/tra-cuu-thong-tin-hanh-nghe/dinh-chi-luu-hanh-thu-hoi-va-tieu-huy-my-pham-san-pham-conditioner-3840.html</x:v>
      </x:c>
      <x:c r="D56" s="330" t="n">
        <x:v>46247</x:v>
      </x:c>
      <x:c r="E56" t="str">
        <x:v>003167/23/CBMP-HCM</x:v>
      </x:c>
    </x:row>
    <x:row r="57">
      <x:c r="A57" t="str">
        <x:v>TP. Hồ Chí Minh</x:v>
      </x:c>
      <x:c r="B57" t="str">
        <x:v>Lesgo trẻ em – Ellie</x:v>
      </x:c>
      <x:c r="C57" t="str">
        <x:v>https://thanhnhat.daklak.gov.vn/cuc-quan-ly-duoc-bo-y-te-thong-bao-dinh-chi-luu-hanh-thu-hoi-va-tieu-huy-my-pham-khong-dat-chat-luong-2420-2400-2399-2308-11212.html</x:v>
      </x:c>
      <x:c r="D57" s="330" t="n">
        <x:v>46247</x:v>
      </x:c>
      <x:c r="E57" t="str">
        <x:v>2083/22/CBMP-HCM</x:v>
      </x:c>
    </x:row>
    <x:row r="58">
      <x:c r="A58" t="str">
        <x:v>TP. Hồ Chí Minh</x:v>
      </x:c>
      <x:c r="B58" t="str">
        <x:v>Lucci – GAMMA</x:v>
      </x:c>
      <x:c r="C58" t="str">
        <x:v>https://soyte.hanoi.gov.vn/duoc-pham-65229/dinh-chi-luu-hanh-thu-hoi-doi-voi-9-san-pham-my-pham-vi-pham-2849250925092345442.htm</x:v>
      </x:c>
      <x:c r="D58" s="330" t="n">
        <x:v>46247</x:v>
      </x:c>
      <x:c r="E58" t="str">
        <x:v>005294/22/CBMP-HCM; cấp 28/12/2022</x:v>
      </x:c>
    </x:row>
    <x:row r="59">
      <x:c r="A59" t="str">
        <x:v>TP. Hồ Chí Minh</x:v>
      </x:c>
      <x:c r="B59" t="str">
        <x:v>Medinet legacy – snapshot 25/06/2021</x:v>
      </x:c>
      <x:c r="C59" t="str">
        <x:v>https://medinet.gov.vn/chuyen-muc/phieu-cong-bo-san-pham-my-pham-ngay-cap-nhat-ngay-2562021-cmobile4656-65074.aspx</x:v>
      </x:c>
      <x:c r="D59" s="330" t="n">
        <x:v>46247</x:v>
      </x:c>
      <x:c r="E59" t="str">
        <x:v>Archive quan trọng; anti-bot; chưa ingest attachment.</x:v>
      </x:c>
    </x:row>
    <x:row r="60">
      <x:c r="A60" t="str">
        <x:v>TP. Hồ Chí Minh</x:v>
      </x:c>
      <x:c r="B60" t="str">
        <x:v>Medinet legacy – snapshot 17/05/2021</x:v>
      </x:c>
      <x:c r="C60" t="str">
        <x:v>https://medinet.gov.vn/chuyen-muc/phieu-cong-bo-san-pham-my-pham-ngay-cap-nhat-ngay-1752021-cmobile4656-65073.aspx</x:v>
      </x:c>
      <x:c r="D60" s="330" t="n">
        <x:v>46247</x:v>
      </x:c>
      <x:c r="E60" t="str">
        <x:v>Article ID 65073, ngay trước 65074.</x:v>
      </x:c>
    </x:row>
    <x:row r="61">
      <x:c r="A61" t="str">
        <x:v>TP. Hồ Chí Minh</x:v>
      </x:c>
      <x:c r="B61" t="str">
        <x:v>Medinet legacy – snapshot 09/12/2020</x:v>
      </x:c>
      <x:c r="C61" t="str">
        <x:v>https://medinet.gov.vn/chuyen-muc/phieu-cong-bo-san-pham-my-pham-ngay-cap-nhat-ngay-09122020-cmobile4656-65005.aspx</x:v>
      </x:c>
      <x:c r="D61" s="330" t="n">
        <x:v>46247</x:v>
      </x:c>
      <x:c r="E61" t="str">
        <x:v>Archive cũ; ngoài active scope 2022+.</x:v>
      </x:c>
    </x:row>
    <x:row r="62">
      <x:c r="A62" t="str">
        <x:v>TP. Hồ Chí Minh</x:v>
      </x:c>
      <x:c r="B62" t="str">
        <x:v>Medinet current – direct cosmetic declaration portal</x:v>
      </x:c>
      <x:c r="C62" t="str">
        <x:v>https://tracuu.medinet.org.vn/category/cosodulieukhac/congbo-mypham</x:v>
      </x:c>
      <x:c r="D62" s="330" t="n">
        <x:v>46247</x:v>
      </x:c>
      <x:c r="E62" t="str">
        <x:v>Nguồn lõi hiện hành; 39.614 kết quả.</x:v>
      </x:c>
    </x:row>
    <x:row r="63">
      <x:c r="A63" t="str">
        <x:v>TP. Hồ Chí Minh</x:v>
      </x:c>
      <x:c r="B63" t="str">
        <x:v>Medinet legacy file host</x:v>
      </x:c>
      <x:c r="C63" t="str">
        <x:v>https://file.medinet.gov.vn/</x:v>
      </x:c>
      <x:c r="D63" s="330" t="n">
        <x:v>46247</x:v>
      </x:c>
      <x:c r="E63" t="str">
        <x:v>Kho attachment cũ; anti-bot; chỉ dùng khi có URL cụ thể.</x:v>
      </x:c>
    </x:row>
    <x:row r="64">
      <x:c r="A64" t="str">
        <x:v>Toàn quốc</x:v>
      </x:c>
      <x:c r="B64" t="str">
        <x:v>Bộ Y tế – quy định/hướng dẫn Phiếu công bố</x:v>
      </x:c>
      <x:c r="C64" t="str">
        <x:v>https://moh.gov.vn/</x:v>
      </x:c>
      <x:c r="D64" s="330" t="n">
        <x:v>46247</x:v>
      </x:c>
      <x:c r="E64" t="str">
        <x:v>Tầng chính sách; không dùng thay declaration.</x:v>
      </x:c>
    </x:row>
    <x:row r="65">
      <x:c r="A65" t="str">
        <x:v>Toàn quốc</x:v>
      </x:c>
      <x:c r="B65" t="str">
        <x:v>Cục QLD – Quản lý mỹ phẩm archive</x:v>
      </x:c>
      <x:c r="C65" t="str">
        <x:v>https://dav.gov.vn/quan-ly-my-pham-cn12.html</x:v>
      </x:c>
      <x:c r="D65" s="330" t="n">
        <x:v>46247</x:v>
      </x:c>
      <x:c r="E65" t="str">
        <x:v>Archive legal rất sâu; ưu tiên 2022–2026.</x:v>
      </x:c>
    </x:row>
    <x:row r="66">
      <x:c r="A66" t="str">
        <x:v>Toàn quốc</x:v>
      </x:c>
      <x:c r="B66" t="str">
        <x:v>Cục QLD – Dịch vụ công</x:v>
      </x:c>
      <x:c r="C66" t="str">
        <x:v>https://dichvucong.dav.gov.vn/</x:v>
      </x:c>
      <x:c r="D66" s="330" t="n">
        <x:v>46247</x:v>
      </x:c>
      <x:c r="E66" t="str">
        <x:v>Có module Tiếp nhận công bố mỹ phẩm; hiện có lúc bảo trì.</x:v>
      </x:c>
    </x:row>
    <x:row r="67">
      <x:c r="A67" t="str">
        <x:v>Toàn quốc</x:v>
      </x:c>
      <x:c r="B67" t="str">
        <x:v>DVCQG – Cấp số CBMP nội địa</x:v>
      </x:c>
      <x:c r="C67" t="str">
        <x:v>https://dichvucong.gov.vn/p/home/dvc-chi-tiet-thu-tuc-hanh-chinh.html?id_tinh_thanh=50&amp;ma_thu_tuc=1.002600</x:v>
      </x:c>
      <x:c r="D67" s="330" t="n">
        <x:v>46247</x:v>
      </x:c>
      <x:c r="E67" t="str">
        <x:v>Xác nhận hồ sơ nội địa do Sở Y tế nơi đặt nhà máy xử lý.</x:v>
      </x:c>
    </x:row>
    <x:row r="68">
      <x:c r="A68" t="str">
        <x:v>Bình Dương cũ</x:v>
      </x:c>
      <x:c r="B68" t="str">
        <x:v>Sở Y tế Bình Dương cũ</x:v>
      </x:c>
      <x:c r="C68" t="str">
        <x:v>https://soyte.binhduong.gov.vn/</x:v>
      </x:c>
      <x:c r="D68" s="330" t="n">
        <x:v>46247</x:v>
      </x:c>
      <x:c r="E68" t="str">
        <x:v>Archive target A++; chưa khôi phục được cosmetic list cụ thể.</x:v>
      </x:c>
    </x:row>
    <x:row r="69">
      <x:c r="A69" t="str">
        <x:v>Bình Dương cũ</x:v>
      </x:c>
      <x:c r="B69" t="str">
        <x:v>Cổng DVC Bình Dương</x:v>
      </x:c>
      <x:c r="C69" t="str">
        <x:v>https://dichvucong.binhduong.gov.vn/vi/</x:v>
      </x:c>
      <x:c r="D69" s="330" t="n">
        <x:v>46247</x:v>
      </x:c>
      <x:c r="E69" t="str">
        <x:v>Target khôi phục hồ sơ/kết quả cũ.</x:v>
      </x:c>
    </x:row>
    <x:row r="70">
      <x:c r="A70" t="str">
        <x:v>Bình Dương cũ</x:v>
      </x:c>
      <x:c r="B70" t="str">
        <x:v>Cổng dữ liệu mở Bình Dương</x:v>
      </x:c>
      <x:c r="C70" t="str">
        <x:v>https://data.binhduong.gov.vn/dataset/</x:v>
      </x:c>
      <x:c r="D70" s="330" t="n">
        <x:v>46247</x:v>
      </x:c>
      <x:c r="E70" t="str">
        <x:v>Có nguồn harvested từ Sở Y tế; chưa tìm thấy dataset mỹ phẩm.</x:v>
      </x:c>
    </x:row>
    <x:row r="71">
      <x:c r="A71" t="str">
        <x:v>TP.HCM/Bình Dương cũ</x:v>
      </x:c>
      <x:c r="B71" t="str">
        <x:v>SYT TP.HCM – Quảng cáo mỹ phẩm</x:v>
      </x:c>
      <x:c r="C71" t="str">
        <x:v>https://tracuu.medinet.org.vn/category/cosodulieukhac/quangcao-mypham</x:v>
      </x:c>
      <x:c r="D71" s="330" t="n">
        <x:v>46247</x:v>
      </x:c>
      <x:c r="E71" t="str">
        <x:v>Cross-reference đang giữ nhiều CBMP-BD legacy.</x:v>
      </x:c>
    </x:row>
    <x:row r="72">
      <x:c r="A72" t="str">
        <x:v>TP.HCM/Bình Dương cũ</x:v>
      </x:c>
      <x:c r="B72" t="str">
        <x:v>SYT TP.HCM – CFS</x:v>
      </x:c>
      <x:c r="C72" t="str">
        <x:v>https://tracuu.medinet.org.vn/category/cosodulieukhac/gxn-cfs</x:v>
      </x:c>
      <x:c r="D72" s="330" t="n">
        <x:v>46247</x:v>
      </x:c>
      <x:c r="E72" t="str">
        <x:v>Cross-reference Wipro/Marico CBMP-BD.</x:v>
      </x:c>
    </x:row>
    <x:row r="73">
      <x:c r="A73" t="str">
        <x:v>Bình Dương cũ</x:v>
      </x:c>
      <x:c r="B73" t="str">
        <x:v>Marico – Botanika / Xmen For Boss Intense – thu hồi số tiếp nhận</x:v>
      </x:c>
      <x:c r="C73" t="str">
        <x:v>https://suckhoedoisong.vn/bo-y-te-thu-hoi-va-yeu-cau-tieu-huy-lo-sua-tam-nuoc-hoa-xmen-for-boss-intense-16926060122105492.htm</x:v>
      </x:c>
      <x:c r="D73" s="330" t="n">
        <x:v>46247</x:v>
      </x:c>
      <x:c r="E73" t="str">
        <x:v>Đã nạp 695/24/CBMP-BD và 295/25/CBMP-BD; company/manufacturer Marico.</x:v>
      </x:c>
    </x:row>
    <x:row r="74">
      <x:c r="A74" t="str">
        <x:v>Bình Dương cũ</x:v>
      </x:c>
      <x:c r="B74" t="str">
        <x:v>Marico retail reverse-lookup leads</x:v>
      </x:c>
      <x:c r="C74" t="str">
        <x:v>https://www.pharmacity.vn/</x:v>
      </x:c>
      <x:c r="D74" s="330" t="n">
        <x:v>46247</x:v>
      </x:c>
      <x:c r="E74" t="str">
        <x:v>Leads 053/25, 011/24, 507/24, 011/25, 052/25, 465/24; CHƯA vào MASTER.</x:v>
      </x:c>
    </x:row>
    <x:row r="75">
      <x:c r="A75" t="str">
        <x:v>Hà Nội</x:v>
      </x:c>
      <x:c r="B75" t="str">
        <x:v>Công văn 3748/SYT-NVD – danh sách cấp/thu hồi CBMP</x:v>
      </x:c>
      <x:c r="C75" t="str">
        <x:v>https://soyte.hanoi.gov.vn/van-ban-chi-dao-dieu-hanh/thong-tin-danh-sach-cap-thu-hoi-so-tiep-nhan-phieu-cong-bo-san-pham-my-pham-240679</x:v>
      </x:c>
      <x:c r="D75" s="330" t="n">
        <x:v>46248</x:v>
      </x:c>
      <x:c r="E75" t="str">
        <x:v>A++: 3 PDF đính kèm; web fetch hiện timeout.</x:v>
      </x:c>
    </x:row>
    <x:row r="76">
      <x:c r="A76" t="str">
        <x:v>Hà Nội</x:v>
      </x:c>
      <x:c r="B76" t="str">
        <x:v>VIMAC – 3 CBMP-HN 2023</x:v>
      </x:c>
      <x:c r="C76" t="str">
        <x:v>https://bachonglinh.hatinh.gov.vn/tin-tuc/dinh-chi-luu-hanh-thu-hoi-va-tieu-huy-my-pham-vi-pham-doi-voi-03-san-pham-cua-cong-ty-co-phan-my-pham-vimac</x:v>
      </x:c>
      <x:c r="D76" s="330" t="n">
        <x:v>46248</x:v>
      </x:c>
      <x:c r="E76" t="str">
        <x:v>15077/23, 15078/23, 15079/23; cấp 16/01/2023.</x:v>
      </x:c>
    </x:row>
    <x:row r="77">
      <x:c r="A77" t="str">
        <x:v>Hà Nội</x:v>
      </x:c>
      <x:c r="B77" t="str">
        <x:v>THERAPY 3M</x:v>
      </x:c>
      <x:c r="C77" t="str">
        <x:v>https://phuhoa.dongnai.gov.vn/vi/news/hoat-dong-chinh-quyen-nha-nuoc/dinh-chi-luu-hanh-va-thu-hoi-va-tieu-huy-my-pham-vi-pham-379.html</x:v>
      </x:c>
      <x:c r="D77" s="330" t="n">
        <x:v>46248</x:v>
      </x:c>
      <x:c r="E77" t="str">
        <x:v>16717/23/CBMP-HN</x:v>
      </x:c>
    </x:row>
    <x:row r="78">
      <x:c r="A78" t="str">
        <x:v>Hà Nội</x:v>
      </x:c>
      <x:c r="B78" t="str">
        <x:v>Evit mù U</x:v>
      </x:c>
      <x:c r="C78" t="str">
        <x:v>https://binhphuoc.gov.vn/vi/syt/duoc-pham-my-pham/dinh-chi-luu-hanh-thu-hoi-va-tieu-huy-my-pham-khong-dat-tieu-chuan-chat-luong-5381.html</x:v>
      </x:c>
      <x:c r="D78" s="330" t="n">
        <x:v>46248</x:v>
      </x:c>
      <x:c r="E78" t="str">
        <x:v>18185/23/CBMP-HN</x:v>
      </x:c>
    </x:row>
    <x:row r="79">
      <x:c r="A79" t="str">
        <x:v>Hà Nội</x:v>
      </x:c>
      <x:c r="B79" t="str">
        <x:v>Fobe Mouth Ulcer</x:v>
      </x:c>
      <x:c r="C79" t="str">
        <x:v>https://syt.bacninh.gov.vn/news/-/details/184573/-inh-chi-luu-hanh-thu-hoi-va-tieu-huy-my-pham-khong-at-chat-luong-13578617</x:v>
      </x:c>
      <x:c r="D79" s="330" t="n">
        <x:v>46248</x:v>
      </x:c>
      <x:c r="E79" t="str">
        <x:v>15527/23/CBMP-HN</x:v>
      </x:c>
    </x:row>
    <x:row r="80">
      <x:c r="A80" t="str">
        <x:v>Hà Nội</x:v>
      </x:c>
      <x:c r="B80" t="str">
        <x:v>Ori Women Pluss</x:v>
      </x:c>
      <x:c r="C80" t="str">
        <x:v>https://phuhoa.dongnai.gov.vn/vi/news/thong-bao/dinh-chi-luu-hanh-va-thu-hoi-my-pham-khong-dat-tieu-chuan-chat-luong-126.html</x:v>
      </x:c>
      <x:c r="D80" s="330" t="n">
        <x:v>46248</x:v>
      </x:c>
      <x:c r="E80" t="str">
        <x:v>19052/24/CBMP-HN</x:v>
      </x:c>
    </x:row>
    <x:row r="81">
      <x:c r="A81" t="str">
        <x:v>Hà Nội</x:v>
      </x:c>
      <x:c r="B81" t="str">
        <x:v>DSK UV</x:v>
      </x:c>
      <x:c r="C81" t="str">
        <x:v>https://iako.gialai.gov.vn/tin-tuc/ve-viec-dinh-chi-luu-hanh-thu-hoi-va-tieu-huy-my-pham-khong-dat-tieu-chuan-chat-luong.html</x:v>
      </x:c>
      <x:c r="D81" s="330" t="n">
        <x:v>46248</x:v>
      </x:c>
      <x:c r="E81" t="str">
        <x:v>16682/23/CBMP-HN</x:v>
      </x:c>
    </x:row>
    <x:row r="82">
      <x:c r="A82" t="str">
        <x:v>Cục Quản lý Dược</x:v>
      </x:c>
      <x:c r="B82" t="str">
        <x:v>QĐ 126/QĐ-QLD – danh mục 291 CBMP</x:v>
      </x:c>
      <x:c r="C82" t="str">
        <x:v>https://dav.gov.vn/quyet-dinh-so-126qd-qld-ve-viec-thu-hoi-so-tiep-nhan-phieu-cong-bo-san-pham-my-pham-dinh-chi-luu-hanh-va-thu-hoi-san-pham-my-pham-theo-kl-cua-hd-my-pham-asean-doi-voi-san-pham-my-pham-co-chua-chat-cyclotetrasiloxane-octamethylcyclotetrasiloxane-n5224.html</x:v>
      </x:c>
      <x:c r="D82" s="330" t="n">
        <x:v>46249</x:v>
      </x:c>
      <x:c r="E82" t="str">
        <x:v>FULL 291; strict 2022+ 211; added 211; unmapped 0.</x:v>
      </x:c>
    </x:row>
    <x:row r="83">
      <x:c r="A83" t="str">
        <x:v>Cục Quản lý Dược</x:v>
      </x:c>
      <x:c r="B83" t="str">
        <x:v>Công văn 1772/QLD-MP – danh mục 511 sản phẩm</x:v>
      </x:c>
      <x:c r="C83" t="str">
        <x:v>https://dav.gov.vn/cong-van-so-1772qld-mp-ve-viec-dinh-chi-luu-hanh-thu-hoi-va-tieu-huy-my-pham-vi-pham-cong-ty-tnhh-my-pham-viet-huong-n5334.html</x:v>
      </x:c>
      <x:c r="D83" s="330" t="n">
        <x:v>46249</x:v>
      </x:c>
      <x:c r="E83" t="str">
        <x:v>FULL 511; strict 2022+ 480; added 480.</x:v>
      </x:c>
    </x:row>
    <x:row r="84">
      <x:c r="A84" t="str">
        <x:v>Library recovery</x:v>
      </x:c>
      <x:c r="B84" t="str">
        <x:v>Recovered branch</x:v>
      </x:c>
      <x:c r="C84" t="str">
        <x:v>/mnt/data/KGL_Cosmetic_Market_Intelligence_Master.xlsx</x:v>
      </x:c>
      <x:c r="D84" s="330" t="n">
        <x:v>46249</x:v>
      </x:c>
      <x:c r="E84" t="str">
        <x:v>Recovered 1 strict record missing from v0.32.</x:v>
      </x:c>
    </x:row>
    <x:row r="85">
      <x:c r="A85" t="str">
        <x:v>Hải Phòng</x:v>
      </x:c>
      <x:c r="B85" t="str">
        <x:v>XLSX công bố mỹ phẩm 409 dòng</x:v>
      </x:c>
      <x:c r="C85" t="str">
        <x:v>https://data.haiphong.gov.vn/dataset/du-lieu-so-tiep-nhan-phieu-cong-bo-san-pham-my-pham</x:v>
      </x:c>
      <x:c r="D85" s="330" t="n">
        <x:v>46248</x:v>
      </x:c>
      <x:c r="E85" t="str">
        <x:v>Nguồn bulk nền; mục tiêu nạp đủ 409 thay vì 42.</x:v>
      </x:c>
    </x:row>
    <x:row r="86">
      <x:c r="A86" t="str">
        <x:v>Toàn quốc nhập khẩu</x:v>
      </x:c>
      <x:c r="B86" t="str">
        <x:v>QĐ 97/QĐ-QLD – 252 số CBMP-QLD</x:v>
      </x:c>
      <x:c r="C86" t="str">
        <x:v>https://doanket.laichau.gov.vn/upload/103883/20260210/Cong_van_ve_viec_Thu_hoi_so_tiep_nhan_Phieu_cong_bo_san_pham_my_pham_03_cong_ty__CT_Y_duoc_Quoc_te_Dong_Nam__Duoc_pham_toan_cau_Dong_Nam__XNK_Quoc_te_Dong_Nam__2dec5.pdf</x:v>
      </x:c>
      <x:c r="D86" s="330" t="n">
        <x:v>46250</x:v>
      </x:c>
      <x:c r="E86" t="str">
        <x:v>VÉT XONG: 222 hồ sơ 2022+ nạp IMPORT; 30 hồ sơ 2021 ngoài ưu tiên.</x:v>
      </x:c>
    </x:row>
    <x:row r="87">
      <x:c r="A87" t="str">
        <x:v>Hà Nội</x:v>
      </x:c>
      <x:c r="B87" t="str">
        <x:v>37481.pdf – STT 521–541 (không có 27233 trong bảng)</x:v>
      </x:c>
      <x:c r="C87" t="str">
        <x:v>https://datafiles.hanoi.gov.vn/gov-hni/6778/VanBan/2026/4/28/37481.pdf</x:v>
      </x:c>
      <x:c r="D87" s="330" t="n">
        <x:v>46140</x:v>
      </x:c>
      <x:c r="E87" t="str">
        <x:v>21 clean gate; overlap=0; nhập +21</x:v>
      </x:c>
    </x:row>
    <x:row r="88">
      <x:c r="A88" t="str">
        <x:v>Hà Nội</x:v>
      </x:c>
      <x:c r="B88" t="str">
        <x:v>37481.pdf – STT 542–551</x:v>
      </x:c>
      <x:c r="C88" t="str">
        <x:v>https://datafiles.hanoi.gov.vn/gov-hni/6778/VanBan/2026/4/28/37481.pdf</x:v>
      </x:c>
      <x:c r="D88" s="330" t="n">
        <x:v>46140</x:v>
      </x:c>
      <x:c r="E88" t="str">
        <x:v>10 clean gate; overlap=0; nhập +10</x:v>
      </x:c>
    </x:row>
    <x:row r="89">
      <x:c r="A89" t="str">
        <x:v>Hà Nội</x:v>
      </x:c>
      <x:c r="B89" t="str">
        <x:v>QĐ 940/QĐ-SYT – block STT 1051–1066</x:v>
      </x:c>
      <x:c r="C89" t="str">
        <x:v>https://soyte.hatinh.gov.vn/upload/1000030/20260429/So_y_te_Ha_Noi_DSThuhoiSCBMPQI_2026_fd5c936f22.pdf</x:v>
      </x:c>
      <x:c r="D89" s="330" t="n">
        <x:v>46085</x:v>
      </x:c>
      <x:c r="E89" t="str">
        <x:v>16 clean gate; overlap=0; nhập +16</x:v>
      </x:c>
    </x:row>
  </x:sheetData>
  <x:pageMargins left="0.7" right="0.7" top="0.75" bottom="0.75" header="0.3" footer="0.3"/>
</x:worksheet>
</file>

<file path=xl/worksheets/sheet43.xml><?xml version="1.0" encoding="utf-8"?>
<x:worksheet xmlns:x="http://schemas.openxmlformats.org/spreadsheetml/2006/main">
  <x:sheetFormatPr baseColWidth="8" defaultRowHeight="15"/>
  <x:cols>
    <x:col min="1" max="1" width="7" style="91" customWidth="1"/>
    <x:col min="2" max="2" width="14" style="91" customWidth="1"/>
    <x:col min="3" max="3" width="10" style="91" customWidth="1"/>
    <x:col min="4" max="4" width="20" style="91" customWidth="1"/>
    <x:col min="5" max="5" width="34" style="91" customWidth="1"/>
    <x:col min="6" max="6" width="18" style="91" customWidth="1"/>
    <x:col min="7" max="7" width="22" style="91" customWidth="1"/>
    <x:col min="8" max="8" width="38" style="91" customWidth="1"/>
    <x:col min="9" max="9" width="38" style="91" customWidth="1"/>
    <x:col min="10" max="10" width="38" style="91" customWidth="1"/>
    <x:col min="11" max="11" width="24" style="91" customWidth="1"/>
    <x:col min="12" max="12" width="50" style="91" customWidth="1"/>
    <x:col min="13" max="13" width="75" style="91" customWidth="1"/>
    <x:col min="14" max="14" width="18" style="91" customWidth="1"/>
    <x:col min="15" max="15" width="12" style="91" customWidth="1"/>
  </x:cols>
  <x:sheetData>
    <x:row r="1" s="91" customFormat="1" ht="48" customHeight="1">
      <x:c r="A1" s="278" t="inlineStr">
        <x:is>
          <x:t xml:space="preserve">ID</x:t>
        </x:is>
      </x:c>
      <x:c r="B1" s="278" t="inlineStr">
        <x:is>
          <x:t xml:space="preserve">Ngày sự kiện</x:t>
        </x:is>
      </x:c>
      <x:c r="C1" s="278" t="inlineStr">
        <x:is>
          <x:t xml:space="preserve">Năm CBMP</x:t>
        </x:is>
      </x:c>
      <x:c r="D1" s="278" t="inlineStr">
        <x:is>
          <x:t xml:space="preserve">Số CBMP</x:t>
        </x:is>
      </x:c>
      <x:c r="E1" s="278" t="inlineStr">
        <x:is>
          <x:t xml:space="preserve">Tên sản phẩm</x:t>
        </x:is>
      </x:c>
      <x:c r="F1" s="278" t="inlineStr">
        <x:is>
          <x:t xml:space="preserve">Thương hiệu</x:t>
        </x:is>
      </x:c>
      <x:c r="G1" s="278" t="inlineStr">
        <x:is>
          <x:t xml:space="preserve">Nhóm chuẩn</x:t>
        </x:is>
      </x:c>
      <x:c r="H1" s="278" t="inlineStr">
        <x:is>
          <x:t xml:space="preserve">Công ty chịu trách nhiệm</x:t>
        </x:is>
      </x:c>
      <x:c r="I1" s="278" t="inlineStr">
        <x:is>
          <x:t xml:space="preserve">Địa chỉ</x:t>
        </x:is>
      </x:c>
      <x:c r="J1" s="278" t="inlineStr">
        <x:is>
          <x:t xml:space="preserve">Nhà sản xuất</x:t>
        </x:is>
      </x:c>
      <x:c r="K1" s="278" t="inlineStr">
        <x:is>
          <x:t xml:space="preserve">Loại sự kiện pháp lý</x:t>
        </x:is>
      </x:c>
      <x:c r="L1" s="278" t="inlineStr">
        <x:is>
          <x:t xml:space="preserve">Lý do/ghi chú</x:t>
        </x:is>
      </x:c>
      <x:c r="M1" s="278" t="inlineStr">
        <x:is>
          <x:t xml:space="preserve">Nguồn</x:t>
        </x:is>
      </x:c>
      <x:c r="N1" s="278" t="inlineStr">
        <x:is>
          <x:t xml:space="preserve">Tỉnh/TP</x:t>
        </x:is>
      </x:c>
      <x:c r="O1" s="278" t="inlineStr">
        <x:is>
          <x:t xml:space="preserve">Mã hành chính</x:t>
        </x:is>
      </x:c>
      <x:c r="P1" s="272" t="n"/>
      <x:c r="Q1" s="272" t="n"/>
      <x:c r="R1" s="272" t="n"/>
      <x:c r="S1" s="272" t="n"/>
      <x:c r="T1" s="272" t="n"/>
      <x:c r="U1" s="272" t="n"/>
      <x:c r="V1" s="272" t="n"/>
      <x:c r="W1" s="272" t="n"/>
      <x:c r="X1" s="272" t="n"/>
      <x:c r="Y1" s="272" t="n"/>
      <x:c r="Z1" s="272" t="n"/>
    </x:row>
    <x:row r="2">
      <x:c r="A2" t="n">
        <x:v>1</x:v>
      </x:c>
      <x:c r="B2" s="330" t="n">
        <x:v>46107</x:v>
      </x:c>
      <x:c r="C2" t="n">
        <x:v>2020</x:v>
      </x:c>
      <x:c r="D2" t="str">
        <x:v>8391/20/CBMP-HN</x:v>
      </x:c>
      <x:c r="E2" t="str">
        <x:v>Gel VNP TriSeo</x:v>
      </x:c>
      <x:c r="F2" t="str">
        <x:v>VNP</x:v>
      </x:c>
      <x:c r="G2" t="str">
        <x:v>Kem dưỡng da</x:v>
      </x:c>
      <x:c r="H2" t="str">
        <x:v>Công ty TNHH dược phẩm VNP</x:v>
      </x:c>
      <x:c r="I2" t="str">
        <x:v>Ô 91 + 92, A3, Khu đô thị Đại Kim, Phường Định Công, TP Hà Nội</x:v>
      </x:c>
      <x:c r="J2" t="str">
        <x:v>Công ty cổ phần dược phẩm CPC1 Hà Nội</x:v>
      </x:c>
      <x:c r="K2" t="str">
        <x:v>Đình chỉ lưu hành, thu hồi</x:v>
      </x:c>
      <x:c r="L2" t="str">
        <x:v>Lô 503; NSX 17/06/2025; thu hồi do mẫu kiểm nghiệm chứa Acid sorbic không có trong công thức đã công bố.</x:v>
      </x:c>
      <x:c r="M2" t="str">
        <x:v>https://soyte.hanoi.gov.vn/duoc-pham-65229/dinh-chi-luu-hanh-thu-hoi-tren-toan-quoc-lo-san-pham-gel-vnp-triseo-2849260326083207005.htm</x:v>
      </x:c>
      <x:c r="N2" t="str">
        <x:v>Hà Nội</x:v>
      </x:c>
      <x:c r="O2" t="str">
        <x:v>01</x:v>
      </x:c>
    </x:row>
    <x:row r="3">
      <x:c r="A3" t="n">
        <x:v>2</x:v>
      </x:c>
      <x:c r="B3" s="330" t="n">
        <x:v>45925</x:v>
      </x:c>
      <x:c r="C3" t="n">
        <x:v>2021</x:v>
      </x:c>
      <x:c r="D3" t="str">
        <x:v>9006/21/CBMP-HN</x:v>
      </x:c>
      <x:c r="E3" t="str">
        <x:v>SPF Sun G8 Collagen</x:v>
      </x:c>
      <x:c r="F3"/>
      <x:c r="G3" t="str">
        <x:v>Kem chống nắng</x:v>
      </x:c>
      <x:c r="H3" t="str">
        <x:v>Công ty cổ phần dược phẩm và thiết bị y tế Fujifrance</x:v>
      </x:c>
      <x:c r="I3" t="str">
        <x:v>Tầng 2, tháp A tòa nhà Helios Tower, số 75 Tam Trinh, phường Vĩnh Tuy, TP Hà Nội</x:v>
      </x:c>
      <x:c r="J3" t="str">
        <x:v>Công ty cổ phần dược phẩm công nghệ Bibita</x:v>
      </x:c>
      <x:c r="K3" t="str">
        <x:v>Đình chỉ lưu hành, thu hồi</x:v>
      </x:c>
      <x:c r="L3" t="str">
        <x:v>Thu hồi do SPF 50 trên nhãn không phù hợp kết quả kiểm nghiệm SPF 12,7.</x:v>
      </x:c>
      <x:c r="M3" t="str">
        <x:v>https://soyte.hanoi.gov.vn/duoc-pham-65229/dinh-chi-luu-hanh-thu-hoi-2-my-pham-vi-pham-2849250924231014046.htm</x:v>
      </x:c>
      <x:c r="N3" t="str">
        <x:v>Hà Nội</x:v>
      </x:c>
      <x:c r="O3" t="str">
        <x:v>01</x:v>
      </x:c>
    </x:row>
    <x:row r="4">
      <x:c r="A4" t="n">
        <x:v>3</x:v>
      </x:c>
      <x:c r="B4" s="330" t="n">
        <x:v>45938</x:v>
      </x:c>
      <x:c r="C4" t="n">
        <x:v>2021</x:v>
      </x:c>
      <x:c r="D4" t="str">
        <x:v>9831/21/CBMP-HN</x:v>
      </x:c>
      <x:c r="E4" t="str">
        <x:v>Dung dịch vệ sinh Luxury Care</x:v>
      </x:c>
      <x:c r="F4" t="str">
        <x:v>Luxury Care</x:v>
      </x:c>
      <x:c r="G4" t="str">
        <x:v>Dung dịch vệ sinh</x:v>
      </x:c>
      <x:c r="H4" t="str">
        <x:v>Công ty cổ phần dược phẩm Danipharm</x:v>
      </x:c>
      <x:c r="I4" t="str">
        <x:v>Số 53, tổ 35 ngõ 183A đường Lĩnh Nam, phường Vĩnh Hưng, TP Hà Nội</x:v>
      </x:c>
      <x:c r="J4" t="str">
        <x:v>Công ty TNHH công nghệ sinh học dược mỹ phẩm SJK</x:v>
      </x:c>
      <x:c r="K4" t="str">
        <x:v>Đình chỉ lưu hành, thu hồi</x:v>
      </x:c>
      <x:c r="L4" t="str">
        <x:v>Lô 120824; thu hồi do mẫu kiểm nghiệm không đạt giới hạn vi sinh vật.</x:v>
      </x:c>
      <x:c r="M4" t="str">
        <x:v>https://soyte.hanoi.gov.vn/duoc-pham-65229/dinh-chi-luu-hanh-thu-hoi-3-my-pham-vi-pham-2849251007143922332.htm</x:v>
      </x:c>
      <x:c r="N4" t="str">
        <x:v>Hà Nội</x:v>
      </x:c>
      <x:c r="O4" t="str">
        <x:v>01</x:v>
      </x:c>
    </x:row>
    <x:row r="5">
      <x:c r="A5" t="str">
        <x:v>HP-29</x:v>
      </x:c>
      <x:c r="B5" s="330" t="n">
        <x:v>46122</x:v>
      </x:c>
      <x:c r="C5" t="n">
        <x:v>2024</x:v>
      </x:c>
      <x:c r="D5" t="str">
        <x:v>332/24/CBMP-HD</x:v>
      </x:c>
      <x:c r="E5" t="str">
        <x:v>LUCASTA CONDITIONER</x:v>
      </x:c>
      <x:c r="F5" t="str">
        <x:v>LUCASTA</x:v>
      </x:c>
      <x:c r="G5" t="str">
        <x:v>Dầu xả</x:v>
      </x:c>
      <x:c r="H5" t="str">
        <x:v>Công ty TNHH Sản xuất và Thương mại Mỹ phẩm Việt Anh</x:v>
      </x:c>
      <x:c r="I5" t="str">
        <x:v>Xóm 1, Thôn Hải Bối, Xã Vĩnh Thanh, thành phố Hà Nội, Việt Nam</x:v>
      </x:c>
      <x:c r="J5"/>
      <x:c r="K5" t="str">
        <x:v>Thu hồi số tiếp nhận Phiếu công bố</x:v>
      </x:c>
      <x:c r="L5" t="str">
        <x:v>Theo Phụ lục 4 đính kèm các Quyết định 1407, 1414, 1415, 1416/QĐ-SYT ngày 10/04/2026 của Sở Y tế Hải Phòng.</x:v>
      </x:c>
      <x:c r="M5" t="str">
        <x:v>https://tanhung.haiphong.gov.vn/trang-chu-66859/phuong-tan-hung-thong-bao-ve-viec-thu-hoi-san-pham-my-pham-888028</x:v>
      </x:c>
      <x:c r="N5" t="str">
        <x:v>Hải Phòng</x:v>
      </x:c>
      <x:c r="O5" t="str">
        <x:v>31</x:v>
      </x:c>
    </x:row>
    <x:row r="6">
      <x:c r="A6" t="str">
        <x:v>HP-30</x:v>
      </x:c>
      <x:c r="B6" s="330" t="n">
        <x:v>46122</x:v>
      </x:c>
      <x:c r="C6" t="n">
        <x:v>2024</x:v>
      </x:c>
      <x:c r="D6" t="str">
        <x:v>333/24/CBMP-HD</x:v>
      </x:c>
      <x:c r="E6" t="str">
        <x:v>LUCASTA SHAMPOO</x:v>
      </x:c>
      <x:c r="F6" t="str">
        <x:v>LUCASTA</x:v>
      </x:c>
      <x:c r="G6" t="str">
        <x:v>Dầu gội</x:v>
      </x:c>
      <x:c r="H6" t="str">
        <x:v>Công ty TNHH Sản xuất và Thương mại Mỹ phẩm Việt Anh</x:v>
      </x:c>
      <x:c r="I6" t="str">
        <x:v>Xóm 1, Thôn Hải Bối, Xã Vĩnh Thanh, thành phố Hà Nội, Việt Nam</x:v>
      </x:c>
      <x:c r="J6"/>
      <x:c r="K6" t="str">
        <x:v>Thu hồi số tiếp nhận Phiếu công bố</x:v>
      </x:c>
      <x:c r="L6" t="str">
        <x:v>Theo Phụ lục 4 đính kèm các Quyết định 1407, 1414, 1415, 1416/QĐ-SYT ngày 10/04/2026 của Sở Y tế Hải Phòng.</x:v>
      </x:c>
      <x:c r="M6" t="str">
        <x:v>https://tanhung.haiphong.gov.vn/trang-chu-66859/phuong-tan-hung-thong-bao-ve-viec-thu-hoi-san-pham-my-pham-888028</x:v>
      </x:c>
      <x:c r="N6" t="str">
        <x:v>Hải Phòng</x:v>
      </x:c>
      <x:c r="O6" t="str">
        <x:v>31</x:v>
      </x:c>
    </x:row>
    <x:row r="7">
      <x:c r="A7" t="str">
        <x:v>HP-31</x:v>
      </x:c>
      <x:c r="B7" s="330" t="n">
        <x:v>46122</x:v>
      </x:c>
      <x:c r="C7" t="n">
        <x:v>2024</x:v>
      </x:c>
      <x:c r="D7" t="str">
        <x:v>334/24/CBMP-HD</x:v>
      </x:c>
      <x:c r="E7" t="str">
        <x:v>UỐN LẠNH LUCASTA</x:v>
      </x:c>
      <x:c r="F7" t="str">
        <x:v>LUCASTA</x:v>
      </x:c>
      <x:c r="G7" t="str">
        <x:v>Uốn/duỗi/giữ nếp tóc</x:v>
      </x:c>
      <x:c r="H7" t="str">
        <x:v>Công ty TNHH Sản xuất và Thương mại Mỹ phẩm Việt Anh</x:v>
      </x:c>
      <x:c r="I7" t="str">
        <x:v>Xóm 1, Thôn Hải Bối, Xã Vĩnh Thanh, thành phố Hà Nội, Việt Nam</x:v>
      </x:c>
      <x:c r="J7"/>
      <x:c r="K7" t="str">
        <x:v>Thu hồi số tiếp nhận Phiếu công bố</x:v>
      </x:c>
      <x:c r="L7" t="str">
        <x:v>Theo Phụ lục 4 đính kèm các Quyết định 1407, 1414, 1415, 1416/QĐ-SYT ngày 10/04/2026 của Sở Y tế Hải Phòng.</x:v>
      </x:c>
      <x:c r="M7" t="str">
        <x:v>https://tanhung.haiphong.gov.vn/trang-chu-66859/phuong-tan-hung-thong-bao-ve-viec-thu-hoi-san-pham-my-pham-888028</x:v>
      </x:c>
      <x:c r="N7" t="str">
        <x:v>Hải Phòng</x:v>
      </x:c>
      <x:c r="O7" t="str">
        <x:v>31</x:v>
      </x:c>
    </x:row>
    <x:row r="8">
      <x:c r="A8" t="str">
        <x:v>HP-32</x:v>
      </x:c>
      <x:c r="B8" s="330" t="n">
        <x:v>46122</x:v>
      </x:c>
      <x:c r="C8" t="n">
        <x:v>2024</x:v>
      </x:c>
      <x:c r="D8" t="str">
        <x:v>367/24/CBMP-HD</x:v>
      </x:c>
      <x:c r="E8" t="str">
        <x:v>SÁP TÓC LUCASTA</x:v>
      </x:c>
      <x:c r="F8" t="str">
        <x:v>LUCASTA</x:v>
      </x:c>
      <x:c r="G8" t="str">
        <x:v>Tạo kiểu tóc</x:v>
      </x:c>
      <x:c r="H8" t="str">
        <x:v>Công ty TNHH Sản xuất và Thương mại Mỹ phẩm Việt Anh</x:v>
      </x:c>
      <x:c r="I8" t="str">
        <x:v>Xóm 1, Thôn Hải Bối, Xã Vĩnh Thanh, thành phố Hà Nội, Việt Nam</x:v>
      </x:c>
      <x:c r="J8"/>
      <x:c r="K8" t="str">
        <x:v>Thu hồi số tiếp nhận Phiếu công bố</x:v>
      </x:c>
      <x:c r="L8" t="str">
        <x:v>Theo Phụ lục 4 đính kèm các Quyết định 1407, 1414, 1415, 1416/QĐ-SYT ngày 10/04/2026 của Sở Y tế Hải Phòng.</x:v>
      </x:c>
      <x:c r="M8" t="str">
        <x:v>https://tanhung.haiphong.gov.vn/trang-chu-66859/phuong-tan-hung-thong-bao-ve-viec-thu-hoi-san-pham-my-pham-888028</x:v>
      </x:c>
      <x:c r="N8" t="str">
        <x:v>Hải Phòng</x:v>
      </x:c>
      <x:c r="O8" t="str">
        <x:v>31</x:v>
      </x:c>
    </x:row>
    <x:row r="9">
      <x:c r="A9" t="str">
        <x:v>HP-33</x:v>
      </x:c>
      <x:c r="B9" s="330" t="n">
        <x:v>46122</x:v>
      </x:c>
      <x:c r="C9" t="n">
        <x:v>2024</x:v>
      </x:c>
      <x:c r="D9" t="str">
        <x:v>208/24/CBMP-HD</x:v>
      </x:c>
      <x:c r="E9" t="str">
        <x:v>ĐỊNH HÌNH ĐA NĂNG DÀNH CHO TÓC UỐN AUFHELLEN</x:v>
      </x:c>
      <x:c r="F9" t="str">
        <x:v>AUFHELLEN</x:v>
      </x:c>
      <x:c r="G9" t="str">
        <x:v>Tạo kiểu tóc</x:v>
      </x:c>
      <x:c r="H9" t="str">
        <x:v>Công ty TNHH mỹ phẩm Khải Phát</x:v>
      </x:c>
      <x:c r="I9" t="str">
        <x:v>Lô DG6-4, Khu đấu giá X1 Cầu Nề, Xã Sơn Đồng, TP Hà Nội, Việt Nam</x:v>
      </x:c>
      <x:c r="J9"/>
      <x:c r="K9" t="str">
        <x:v>Thu hồi số tiếp nhận Phiếu công bố</x:v>
      </x:c>
      <x:c r="L9" t="str">
        <x:v>Theo Phụ lục 4 đính kèm các Quyết định 1407, 1414, 1415, 1416/QĐ-SYT ngày 10/04/2026 của Sở Y tế Hải Phòng.</x:v>
      </x:c>
      <x:c r="M9" t="str">
        <x:v>https://tanhung.haiphong.gov.vn/trang-chu-66859/phuong-tan-hung-thong-bao-ve-viec-thu-hoi-san-pham-my-pham-888028</x:v>
      </x:c>
      <x:c r="N9" t="str">
        <x:v>Hải Phòng</x:v>
      </x:c>
      <x:c r="O9" t="str">
        <x:v>31</x:v>
      </x:c>
    </x:row>
    <x:row r="10">
      <x:c r="A10" t="str">
        <x:v>HP-34</x:v>
      </x:c>
      <x:c r="B10" s="330" t="n">
        <x:v>46122</x:v>
      </x:c>
      <x:c r="C10" t="n">
        <x:v>2024</x:v>
      </x:c>
      <x:c r="D10" t="str">
        <x:v>211/24/CBMP-HD</x:v>
      </x:c>
      <x:c r="E10" t="str">
        <x:v>OXIANTE TRỢ NHUỘM TÓC AUFHLLEN</x:v>
      </x:c>
      <x:c r="F10" t="str">
        <x:v>AUFHELLEN</x:v>
      </x:c>
      <x:c r="G10" t="str">
        <x:v>Nhuộm/tẩy màu tóc</x:v>
      </x:c>
      <x:c r="H10" t="str">
        <x:v>Công ty TNHH mỹ phẩm Khải Phát</x:v>
      </x:c>
      <x:c r="I10" t="str">
        <x:v>Lô DG6-4, Khu đấu giá X1 Cầu Nề, Xã Sơn Đồng, TP Hà Nội, Việt Nam</x:v>
      </x:c>
      <x:c r="J10"/>
      <x:c r="K10" t="str">
        <x:v>Thu hồi số tiếp nhận Phiếu công bố</x:v>
      </x:c>
      <x:c r="L10" t="str">
        <x:v>Theo Phụ lục 4 đính kèm các Quyết định 1407, 1414, 1415, 1416/QĐ-SYT ngày 10/04/2026 của Sở Y tế Hải Phòng.</x:v>
      </x:c>
      <x:c r="M10" t="str">
        <x:v>https://tanhung.haiphong.gov.vn/trang-chu-66859/phuong-tan-hung-thong-bao-ve-viec-thu-hoi-san-pham-my-pham-888028</x:v>
      </x:c>
      <x:c r="N10" t="str">
        <x:v>Hải Phòng</x:v>
      </x:c>
      <x:c r="O10" t="str">
        <x:v>31</x:v>
      </x:c>
    </x:row>
    <x:row r="11">
      <x:c r="A11" t="str">
        <x:v>HP-35</x:v>
      </x:c>
      <x:c r="B11" s="330" t="n">
        <x:v>46122</x:v>
      </x:c>
      <x:c r="C11" t="n">
        <x:v>2026</x:v>
      </x:c>
      <x:c r="D11" t="str">
        <x:v>064/26/CBMP-HP</x:v>
      </x:c>
      <x:c r="E11" t="str">
        <x:v>R GLOW</x:v>
      </x:c>
      <x:c r="F11" t="str">
        <x:v>R GLOW</x:v>
      </x:c>
      <x:c r="G11" t="str">
        <x:v>Khác</x:v>
      </x:c>
      <x:c r="H11" t="str">
        <x:v>Hộ kinh doanh Hoàng Thị Thương</x:v>
      </x:c>
      <x:c r="I11" t="str">
        <x:v>Thôn Phú Ninh, xã Gia Bình, tỉnh Bắc Ninh</x:v>
      </x:c>
      <x:c r="J11"/>
      <x:c r="K11" t="str">
        <x:v>Thu hồi số tiếp nhận Phiếu công bố</x:v>
      </x:c>
      <x:c r="L11" t="str">
        <x:v>Theo Phụ lục 4 đính kèm các Quyết định 1407, 1414, 1415, 1416/QĐ-SYT ngày 10/04/2026 của Sở Y tế Hải Phòng.</x:v>
      </x:c>
      <x:c r="M11" t="str">
        <x:v>https://tanhung.haiphong.gov.vn/trang-chu-66859/phuong-tan-hung-thong-bao-ve-viec-thu-hoi-san-pham-my-pham-888028</x:v>
      </x:c>
      <x:c r="N11" t="str">
        <x:v>Hải Phòng</x:v>
      </x:c>
      <x:c r="O11" t="str">
        <x:v>31</x:v>
      </x:c>
    </x:row>
    <x:row r="12">
      <x:c r="A12" t="str">
        <x:v>HP-36</x:v>
      </x:c>
      <x:c r="B12" s="330" t="n">
        <x:v>46122</x:v>
      </x:c>
      <x:c r="C12" t="n">
        <x:v>2024</x:v>
      </x:c>
      <x:c r="D12" t="str">
        <x:v>309/24/CBMP-HD</x:v>
      </x:c>
      <x:c r="E12" t="str">
        <x:v>SỮA TẮM DƯỢC LIỆU DAO ĐỎ VNUA</x:v>
      </x:c>
      <x:c r="F12" t="str">
        <x:v>VNUA</x:v>
      </x:c>
      <x:c r="G12" t="str">
        <x:v>Sữa tắm/Gel tắm</x:v>
      </x:c>
      <x:c r="H12" t="str">
        <x:v>Công ty Cổ phần Khoa học Sinh Dược Việt Nam</x:v>
      </x:c>
      <x:c r="I12" t="str">
        <x:v>Số 2 Ngõ 104, Đường Trâu Quỳ, Tổ Dân Phố Nông Lâm, Xã Gia Lâm, TP Hà Nội, Việt Nam</x:v>
      </x:c>
      <x:c r="J12"/>
      <x:c r="K12" t="str">
        <x:v>Thu hồi số tiếp nhận Phiếu công bố</x:v>
      </x:c>
      <x:c r="L12" t="str">
        <x:v>Theo Phụ lục 4 đính kèm các Quyết định 1407, 1414, 1415, 1416/QĐ-SYT ngày 10/04/2026 của Sở Y tế Hải Phòng.</x:v>
      </x:c>
      <x:c r="M12" t="str">
        <x:v>https://tanhung.haiphong.gov.vn/trang-chu-66859/phuong-tan-hung-thong-bao-ve-viec-thu-hoi-san-pham-my-pham-888028</x:v>
      </x:c>
      <x:c r="N12" t="str">
        <x:v>Hải Phòng</x:v>
      </x:c>
      <x:c r="O12" t="str">
        <x:v>31</x:v>
      </x:c>
    </x:row>
    <x:row r="13">
      <x:c r="A13" t="str">
        <x:v>HP-37</x:v>
      </x:c>
      <x:c r="B13" s="330" t="n">
        <x:v>46122</x:v>
      </x:c>
      <x:c r="C13" t="n">
        <x:v>2024</x:v>
      </x:c>
      <x:c r="D13" t="str">
        <x:v>311/24/CBMP-HD</x:v>
      </x:c>
      <x:c r="E13" t="str">
        <x:v>XỊT TÓC DƯỢC LIỆU VNUA</x:v>
      </x:c>
      <x:c r="F13" t="str">
        <x:v>VNUA</x:v>
      </x:c>
      <x:c r="G13" t="str">
        <x:v>Dưỡng tóc/Serum tóc</x:v>
      </x:c>
      <x:c r="H13" t="str">
        <x:v>Công ty Cổ phần Khoa học Sinh Dược Việt Nam</x:v>
      </x:c>
      <x:c r="I13" t="str">
        <x:v>Số 2 Ngõ 104, Đường Trâu Quỳ, Tổ Dân Phố Nông Lâm, Xã Gia Lâm, TP Hà Nội, Việt Nam</x:v>
      </x:c>
      <x:c r="J13"/>
      <x:c r="K13" t="str">
        <x:v>Thu hồi số tiếp nhận Phiếu công bố</x:v>
      </x:c>
      <x:c r="L13" t="str">
        <x:v>Theo Phụ lục 4 đính kèm các Quyết định 1407, 1414, 1415, 1416/QĐ-SYT ngày 10/04/2026 của Sở Y tế Hải Phòng.</x:v>
      </x:c>
      <x:c r="M13" t="str">
        <x:v>https://tanhung.haiphong.gov.vn/trang-chu-66859/phuong-tan-hung-thong-bao-ve-viec-thu-hoi-san-pham-my-pham-888028</x:v>
      </x:c>
      <x:c r="N13" t="str">
        <x:v>Hải Phòng</x:v>
      </x:c>
      <x:c r="O13" t="str">
        <x:v>31</x:v>
      </x:c>
    </x:row>
    <x:row r="14">
      <x:c r="A14" t="str">
        <x:v>HP-38</x:v>
      </x:c>
      <x:c r="B14" s="330" t="n">
        <x:v>46122</x:v>
      </x:c>
      <x:c r="C14" t="n">
        <x:v>2024</x:v>
      </x:c>
      <x:c r="D14" t="str">
        <x:v>312/24/CBMP-HD</x:v>
      </x:c>
      <x:c r="E14" t="str">
        <x:v>VNUA EVASOFT</x:v>
      </x:c>
      <x:c r="F14" t="str">
        <x:v>VNUA</x:v>
      </x:c>
      <x:c r="G14" t="str">
        <x:v>Khác</x:v>
      </x:c>
      <x:c r="H14" t="str">
        <x:v>Công ty Cổ phần Khoa học Sinh Dược Việt Nam</x:v>
      </x:c>
      <x:c r="I14" t="str">
        <x:v>Số 2 Ngõ 104, Đường Trâu Quỳ, Tổ Dân Phố Nông Lâm, Xã Gia Lâm, TP Hà Nội, Việt Nam</x:v>
      </x:c>
      <x:c r="J14"/>
      <x:c r="K14" t="str">
        <x:v>Thu hồi số tiếp nhận Phiếu công bố</x:v>
      </x:c>
      <x:c r="L14" t="str">
        <x:v>Theo Phụ lục 4 đính kèm các Quyết định 1407, 1414, 1415, 1416/QĐ-SYT ngày 10/04/2026 của Sở Y tế Hải Phòng.</x:v>
      </x:c>
      <x:c r="M14" t="str">
        <x:v>https://tanhung.haiphong.gov.vn/trang-chu-66859/phuong-tan-hung-thong-bao-ve-viec-thu-hoi-san-pham-my-pham-888028</x:v>
      </x:c>
      <x:c r="N14" t="str">
        <x:v>Hải Phòng</x:v>
      </x:c>
      <x:c r="O14" t="str">
        <x:v>31</x:v>
      </x:c>
    </x:row>
    <x:row r="15">
      <x:c r="A15" t="str">
        <x:v>HP-39</x:v>
      </x:c>
      <x:c r="B15" s="330" t="n">
        <x:v>46122</x:v>
      </x:c>
      <x:c r="C15" t="n">
        <x:v>2024</x:v>
      </x:c>
      <x:c r="D15" t="str">
        <x:v>313/24/CBMP-HD</x:v>
      </x:c>
      <x:c r="E15" t="str">
        <x:v>DẦU GỘI DƯỢC LIỆU SẠCH GÀU VNUA FOR DANDRUFF</x:v>
      </x:c>
      <x:c r="F15" t="str">
        <x:v>VNUA</x:v>
      </x:c>
      <x:c r="G15" t="str">
        <x:v>Dầu gội</x:v>
      </x:c>
      <x:c r="H15" t="str">
        <x:v>Công ty Cổ phần Khoa học Sinh Dược Việt Nam</x:v>
      </x:c>
      <x:c r="I15" t="str">
        <x:v>Số 2 Ngõ 104, Đường Trâu Quỳ, Tổ Dân Phố Nông Lâm, Xã Gia Lâm, TP Hà Nội, Việt Nam</x:v>
      </x:c>
      <x:c r="J15"/>
      <x:c r="K15" t="str">
        <x:v>Thu hồi số tiếp nhận Phiếu công bố</x:v>
      </x:c>
      <x:c r="L15" t="str">
        <x:v>Theo Phụ lục 4 đính kèm các Quyết định 1407, 1414, 1415, 1416/QĐ-SYT ngày 10/04/2026 của Sở Y tế Hải Phòng.</x:v>
      </x:c>
      <x:c r="M15" t="str">
        <x:v>https://tanhung.haiphong.gov.vn/trang-chu-66859/phuong-tan-hung-thong-bao-ve-viec-thu-hoi-san-pham-my-pham-888028</x:v>
      </x:c>
      <x:c r="N15" t="str">
        <x:v>Hải Phòng</x:v>
      </x:c>
      <x:c r="O15" t="str">
        <x:v>31</x:v>
      </x:c>
    </x:row>
    <x:row r="16">
      <x:c r="A16" t="str">
        <x:v>HP-40</x:v>
      </x:c>
      <x:c r="B16" s="330" t="n">
        <x:v>46122</x:v>
      </x:c>
      <x:c r="C16" t="n">
        <x:v>2024</x:v>
      </x:c>
      <x:c r="D16" t="str">
        <x:v>314/24/CBMP-HD</x:v>
      </x:c>
      <x:c r="E16" t="str">
        <x:v>DẦU XẢ DƯỢC LIỆU VNUA</x:v>
      </x:c>
      <x:c r="F16" t="str">
        <x:v>VNUA</x:v>
      </x:c>
      <x:c r="G16" t="str">
        <x:v>Dầu xả</x:v>
      </x:c>
      <x:c r="H16" t="str">
        <x:v>Công ty Cổ phần Khoa học Sinh Dược Việt Nam</x:v>
      </x:c>
      <x:c r="I16" t="str">
        <x:v>Số 2 Ngõ 104, Đường Trâu Quỳ, Tổ Dân Phố Nông Lâm, Xã Gia Lâm, TP Hà Nội, Việt Nam</x:v>
      </x:c>
      <x:c r="J16"/>
      <x:c r="K16" t="str">
        <x:v>Thu hồi số tiếp nhận Phiếu công bố</x:v>
      </x:c>
      <x:c r="L16" t="str">
        <x:v>Theo Phụ lục 4 đính kèm các Quyết định 1407, 1414, 1415, 1416/QĐ-SYT ngày 10/04/2026 của Sở Y tế Hải Phòng.</x:v>
      </x:c>
      <x:c r="M16" t="str">
        <x:v>https://tanhung.haiphong.gov.vn/trang-chu-66859/phuong-tan-hung-thong-bao-ve-viec-thu-hoi-san-pham-my-pham-888028</x:v>
      </x:c>
      <x:c r="N16" t="str">
        <x:v>Hải Phòng</x:v>
      </x:c>
      <x:c r="O16" t="str">
        <x:v>31</x:v>
      </x:c>
    </x:row>
    <x:row r="17">
      <x:c r="A17" t="str">
        <x:v>HP-41</x:v>
      </x:c>
      <x:c r="B17" s="330" t="n">
        <x:v>46122</x:v>
      </x:c>
      <x:c r="C17" t="n">
        <x:v>2024</x:v>
      </x:c>
      <x:c r="D17" t="str">
        <x:v>404/24/CBMP-HD</x:v>
      </x:c>
      <x:c r="E17" t="str">
        <x:v>DẦU GỘI DƯỢC LIỆU VNUA IDEAL FOR FUNGAL SCALP</x:v>
      </x:c>
      <x:c r="F17" t="str">
        <x:v>VNUA</x:v>
      </x:c>
      <x:c r="G17" t="str">
        <x:v>Dầu gội</x:v>
      </x:c>
      <x:c r="H17" t="str">
        <x:v>Công ty Cổ phần Khoa học Sinh Dược Việt Nam</x:v>
      </x:c>
      <x:c r="I17" t="str">
        <x:v>Số 2 Ngõ 104, Đường Trâu Quỳ, Tổ Dân Phố Nông Lâm, Xã Gia Lâm, TP Hà Nội, Việt Nam</x:v>
      </x:c>
      <x:c r="J17"/>
      <x:c r="K17" t="str">
        <x:v>Thu hồi số tiếp nhận Phiếu công bố</x:v>
      </x:c>
      <x:c r="L17" t="str">
        <x:v>Theo Phụ lục 4 đính kèm các Quyết định 1407, 1414, 1415, 1416/QĐ-SYT ngày 10/04/2026 của Sở Y tế Hải Phòng.</x:v>
      </x:c>
      <x:c r="M17" t="str">
        <x:v>https://tanhung.haiphong.gov.vn/trang-chu-66859/phuong-tan-hung-thong-bao-ve-viec-thu-hoi-san-pham-my-pham-888028</x:v>
      </x:c>
      <x:c r="N17" t="str">
        <x:v>Hải Phòng</x:v>
      </x:c>
      <x:c r="O17" t="str">
        <x:v>31</x:v>
      </x:c>
    </x:row>
    <x:row r="18">
      <x:c r="A18" t="str">
        <x:v>HP-42</x:v>
      </x:c>
      <x:c r="B18" s="330" t="n">
        <x:v>46122</x:v>
      </x:c>
      <x:c r="C18" t="n">
        <x:v>2024</x:v>
      </x:c>
      <x:c r="D18" t="str">
        <x:v>387/24/CBMP-HD</x:v>
      </x:c>
      <x:c r="E18" t="str">
        <x:v>DẦU GỘI DƯỢC LIỆU VNUA 4IN1</x:v>
      </x:c>
      <x:c r="F18" t="str">
        <x:v>VNUA</x:v>
      </x:c>
      <x:c r="G18" t="str">
        <x:v>Dầu gội</x:v>
      </x:c>
      <x:c r="H18" t="str">
        <x:v>Công ty Cổ phần Khoa học Sinh Dược Việt Nam</x:v>
      </x:c>
      <x:c r="I18" t="str">
        <x:v>Số 2 Ngõ 104, Đường Trâu Quỳ, Tổ Dân Phố Nông Lâm, Xã Gia Lâm, TP Hà Nội, Việt Nam</x:v>
      </x:c>
      <x:c r="J18"/>
      <x:c r="K18" t="str">
        <x:v>Thu hồi số tiếp nhận Phiếu công bố</x:v>
      </x:c>
      <x:c r="L18" t="str">
        <x:v>Theo Phụ lục 4 đính kèm các Quyết định 1407, 1414, 1415, 1416/QĐ-SYT ngày 10/04/2026 của Sở Y tế Hải Phòng.</x:v>
      </x:c>
      <x:c r="M18" t="str">
        <x:v>https://tanhung.haiphong.gov.vn/trang-chu-66859/phuong-tan-hung-thong-bao-ve-viec-thu-hoi-san-pham-my-pham-888028</x:v>
      </x:c>
      <x:c r="N18" t="str">
        <x:v>Hải Phòng</x:v>
      </x:c>
      <x:c r="O18" t="str">
        <x:v>31</x:v>
      </x:c>
    </x:row>
    <x:row r="19">
      <x:c r="A19" t="str">
        <x:v>DN-779</x:v>
      </x:c>
      <x:c r="B19" s="330" t="n">
        <x:v>45797</x:v>
      </x:c>
      <x:c r="C19" t="n">
        <x:v>2024</x:v>
      </x:c>
      <x:c r="D19" t="str">
        <x:v>779/24/CBMP-ĐN</x:v>
      </x:c>
      <x:c r="E19" t="str">
        <x:v>Hanayuki Sunscreen Body</x:v>
      </x:c>
      <x:c r="F19" t="str">
        <x:v>Hanayuki Empire of Beauty</x:v>
      </x:c>
      <x:c r="G19" t="str">
        <x:v>Kem chống nắng</x:v>
      </x:c>
      <x:c r="H19" t="str">
        <x:v>Công ty TNHH Thương mại dịch vụ VB Group</x:v>
      </x:c>
      <x:c r="I19" t="str">
        <x:v>TP.HCM</x:v>
      </x:c>
      <x:c r="J19" t="str">
        <x:v>Công ty Cổ phần Nhà máy Y tế EBC Đồng Nai (trước đây TNHH EBC Group)</x:v>
      </x:c>
      <x:c r="K19" t="str">
        <x:v>Đình chỉ/thu hồi</x:v>
      </x:c>
      <x:c r="L19" t="str">
        <x:v>Không đạt chất lượng; thông tin nguồn nêu SPF thực tế thấp hơn nhãn và sai công thức.</x:v>
      </x:c>
      <x:c r="M19" t="str">
        <x:v>https://vov.gov.vn/dong-nai-de-nghi-xu-phat-hanh-chinh-vu-kem-chong-nang-hanayuki-sunscreen-body-dtnew-1086398</x:v>
      </x:c>
      <x:c r="N19" t="str">
        <x:v>Đà Nẵng</x:v>
      </x:c>
      <x:c r="O19" t="str">
        <x:v>48</x:v>
      </x:c>
    </x:row>
    <x:row r="20">
      <x:c r="A20" t="str">
        <x:v>DN-780</x:v>
      </x:c>
      <x:c r="B20" s="330" t="n">
        <x:v>45804</x:v>
      </x:c>
      <x:c r="C20" t="n">
        <x:v>2024</x:v>
      </x:c>
      <x:c r="D20" t="str">
        <x:v>780/24/CBMP-ĐN</x:v>
      </x:c>
      <x:c r="E20" t="str">
        <x:v>Hanayuki Shampoo</x:v>
      </x:c>
      <x:c r="F20" t="str">
        <x:v>Hanayuki Empire of Beauty</x:v>
      </x:c>
      <x:c r="G20" t="str">
        <x:v>Dầu gội</x:v>
      </x:c>
      <x:c r="H20" t="str">
        <x:v>Công ty TNHH Thương mại dịch vụ VB Group</x:v>
      </x:c>
      <x:c r="I20" t="str">
        <x:v>TP.HCM</x:v>
      </x:c>
      <x:c r="J20" t="str">
        <x:v>Công ty Cổ phần Nhà máy Y tế EBC Đồng Nai (trước đây TNHH EBC Group)</x:v>
      </x:c>
      <x:c r="K20" t="str">
        <x:v>Cảnh báo/đang làm rõ</x:v>
      </x:c>
      <x:c r="L20" t="str">
        <x:v>Nguồn chính thức nêu tiếp tục làm rõ vi phạm; chưa gắn trạng thái thu hồi số tiếp nhận.</x:v>
      </x:c>
      <x:c r="M20" t="str">
        <x:v>https://soyte.baria-vungtau.gov.vn/Dinh-chi-luu-hanh-thu-hoi-nhieu-my-pham-khong-dat-tieu-chuan-chat-luong-2-3-4-123.html</x:v>
      </x:c>
      <x:c r="N20" t="str">
        <x:v>Đà Nẵng</x:v>
      </x:c>
      <x:c r="O20" t="str">
        <x:v>48</x:v>
      </x:c>
    </x:row>
    <x:row r="21">
      <x:c r="A21" t="str">
        <x:v>DN-792</x:v>
      </x:c>
      <x:c r="B21" s="330" t="n">
        <x:v>45804</x:v>
      </x:c>
      <x:c r="C21" t="n">
        <x:v>2024</x:v>
      </x:c>
      <x:c r="D21" t="str">
        <x:v>792/24/CBMP-ĐN</x:v>
      </x:c>
      <x:c r="E21" t="str">
        <x:v>VB Soft &amp; Silk</x:v>
      </x:c>
      <x:c r="F21" t="str">
        <x:v>Hanayuki Empire of Beauty</x:v>
      </x:c>
      <x:c r="G21" t="str">
        <x:v>Khác</x:v>
      </x:c>
      <x:c r="H21" t="str">
        <x:v>Công ty TNHH Thương mại dịch vụ VB Group</x:v>
      </x:c>
      <x:c r="I21" t="str">
        <x:v>TP.HCM</x:v>
      </x:c>
      <x:c r="J21" t="str">
        <x:v>Công ty Cổ phần Nhà máy Y tế EBC Đồng Nai (trước đây TNHH EBC Group)</x:v>
      </x:c>
      <x:c r="K21" t="str">
        <x:v>Cảnh báo/đang làm rõ</x:v>
      </x:c>
      <x:c r="L21" t="str">
        <x:v>Nguồn chính thức nêu tiếp tục làm rõ vi phạm.</x:v>
      </x:c>
      <x:c r="M21" t="str">
        <x:v>https://soyte.baria-vungtau.gov.vn/Dinh-chi-luu-hanh-thu-hoi-nhieu-my-pham-khong-dat-tieu-chuan-chat-luong-2-3-4-123.html</x:v>
      </x:c>
      <x:c r="N21" t="str">
        <x:v>Đà Nẵng</x:v>
      </x:c>
      <x:c r="O21" t="str">
        <x:v>48</x:v>
      </x:c>
    </x:row>
    <x:row r="22">
      <x:c r="A22" t="str">
        <x:v>DN-794</x:v>
      </x:c>
      <x:c r="B22" s="330" t="n">
        <x:v>45856</x:v>
      </x:c>
      <x:c r="C22" t="n">
        <x:v>2024</x:v>
      </x:c>
      <x:c r="D22" t="str">
        <x:v>794/24/CBMP-ĐN</x:v>
      </x:c>
      <x:c r="E22" t="str">
        <x:v>Hanayuki Conditioner</x:v>
      </x:c>
      <x:c r="F22" t="str">
        <x:v>Hanayuki Empire of Beauty</x:v>
      </x:c>
      <x:c r="G22" t="str">
        <x:v>Dầu xả</x:v>
      </x:c>
      <x:c r="H22" t="str">
        <x:v>Công ty TNHH Thương mại dịch vụ VB Group</x:v>
      </x:c>
      <x:c r="I22" t="str">
        <x:v>TP.HCM</x:v>
      </x:c>
      <x:c r="J22" t="str">
        <x:v>Công ty Cổ phần Nhà máy Y tế EBC Đồng Nai (trước đây TNHH EBC Group)</x:v>
      </x:c>
      <x:c r="K22" t="str">
        <x:v>Đình chỉ/thu hồi</x:v>
      </x:c>
      <x:c r="L22" t="str">
        <x:v>Nguồn dẫn Cục Quản lý Dược yêu cầu đình chỉ/thu hồi do thành phần không phù hợp hồ sơ công bố.</x:v>
      </x:c>
      <x:c r="M22" t="str">
        <x:v>https://vov.gov.vn/2-cong-ty-my-pham-lien-quan-chong-doan-di-bang-bi-yeu-cau-tam-dung-san-xuat-dtnew-1086843</x:v>
      </x:c>
      <x:c r="N22" t="str">
        <x:v>Đà Nẵng</x:v>
      </x:c>
      <x:c r="O22" t="str">
        <x:v>48</x:v>
      </x:c>
    </x:row>
    <x:row r="23">
      <x:c r="A23" t="str">
        <x:v>HCM-1454</x:v>
      </x:c>
      <x:c r="B23" s="330" t="n">
        <x:v>45804</x:v>
      </x:c>
      <x:c r="C23" t="n">
        <x:v>2023</x:v>
      </x:c>
      <x:c r="D23" t="str">
        <x:v>001454/23/CBMP-HCM</x:v>
      </x:c>
      <x:c r="E23" t="str">
        <x:v>Adaphil Gentle Skin Cleanser</x:v>
      </x:c>
      <x:c r="F23" t="str">
        <x:v>Adaphil</x:v>
      </x:c>
      <x:c r="G23" t="str">
        <x:v>Sữa rửa mặt</x:v>
      </x:c>
      <x:c r="H23" t="str">
        <x:v>Công ty TNHH MTV sản xuất dược - mỹ phẩm GAMMA</x:v>
      </x:c>
      <x:c r="I23" t="str">
        <x:v>TP.HCM</x:v>
      </x:c>
      <x:c r="J23" t="str">
        <x:v>Công ty TNHH MTV sản xuất dược - mỹ phẩm GAMMA</x:v>
      </x:c>
      <x:c r="K23" t="str">
        <x:v>Đình chỉ/thu hồi</x:v>
      </x:c>
      <x:c r="L23" t="str">
        <x:v>Mẫu kiểm nghiệm có Methylparaben và Propylparaben không có trong công thức đã công bố.</x:v>
      </x:c>
      <x:c r="M23" t="str">
        <x:v>https://soyte.baria-vungtau.gov.vn/Dinh-chi-luu-hanh-thu-hoi-nhieu-my-pham-khong-dat-tieu-chuan-chat-luong-2-3-4-123.html</x:v>
      </x:c>
      <x:c r="N23" t="str">
        <x:v>TP. Hồ Chí Minh</x:v>
      </x:c>
      <x:c r="O23" t="str">
        <x:v>79</x:v>
      </x:c>
    </x:row>
    <x:row r="24">
      <x:c r="A24" t="str">
        <x:v>HCM-RV-001</x:v>
      </x:c>
      <x:c r="B24" s="330" t="n">
        <x:v>45709</x:v>
      </x:c>
      <x:c r="C24" t="n">
        <x:v>2023</x:v>
      </x:c>
      <x:c r="D24" t="str">
        <x:v>000270/23/CBMP-HCM</x:v>
      </x:c>
      <x:c r="E24" t="str">
        <x:v>ALYNA mặt nạ bơ dưỡng da</x:v>
      </x:c>
      <x:c r="F24" t="str">
        <x:v>ALYNA</x:v>
      </x:c>
      <x:c r="G24" t="str">
        <x:v>Mặt nạ</x:v>
      </x:c>
      <x:c r="H24" t="str">
        <x:v>Công ty TNHH Sản xuất Thương mại Xuất Nhập khẩu Tạ Minh Quang</x:v>
      </x:c>
      <x:c r="I24" t="str">
        <x:v>15 Đường 3C, Phường An Lạc A, Quận Bình Tân, TP.HCM</x:v>
      </x:c>
      <x:c r="J24" t="str">
        <x:v>Chi nhánh Công ty TNHH Sản xuất Thương mại Xuất Nhập khẩu Tạ Minh Quang – Nhà máy Mỹ phẩm Tạ Minh Quang</x:v>
      </x:c>
      <x:c r="K24" t="str">
        <x:v>Thu hồi số tiếp nhận Phiếu công bố</x:v>
      </x:c>
      <x:c r="L24" t="str">
        <x:v>Thu hồi theo đề nghị tự nguyện của tổ chức chịu trách nhiệm đưa sản phẩm ra thị trường.</x:v>
      </x:c>
      <x:c r="M24" t="str">
        <x:v>https://soytequangninh.gov.vn/trang-chu/huong-dan-nghiep-vu/linh-vuc-duoc/thong-bao-ve-viec-thu-hoi-so-tiep-nhan-phieu-cong-bo-san-pha3.html</x:v>
      </x:c>
      <x:c r="N24" t="str">
        <x:v>TP. Hồ Chí Minh</x:v>
      </x:c>
      <x:c r="O24" t="str">
        <x:v>79</x:v>
      </x:c>
    </x:row>
    <x:row r="25">
      <x:c r="A25" t="str">
        <x:v>HCM-RV-002</x:v>
      </x:c>
      <x:c r="B25" s="330" t="n">
        <x:v>45709</x:v>
      </x:c>
      <x:c r="C25" t="n">
        <x:v>2023</x:v>
      </x:c>
      <x:c r="D25" t="str">
        <x:v>002123/23/CBMP-HCM</x:v>
      </x:c>
      <x:c r="E25" t="str">
        <x:v>ALYNA mặt nạ bơ dưỡng da</x:v>
      </x:c>
      <x:c r="F25" t="str">
        <x:v>ALYNA</x:v>
      </x:c>
      <x:c r="G25" t="str">
        <x:v>Mặt nạ</x:v>
      </x:c>
      <x:c r="H25" t="str">
        <x:v>Công ty TNHH Sản xuất Thương mại Xuất Nhập khẩu Tạ Minh Quang</x:v>
      </x:c>
      <x:c r="I25" t="str">
        <x:v>15 Đường 3C, Phường An Lạc A, Quận Bình Tân, TP.HCM</x:v>
      </x:c>
      <x:c r="J25" t="str">
        <x:v>Chi nhánh Công ty TNHH Sản xuất Thương mại Xuất Nhập khẩu Tạ Minh Quang – Nhà máy Mỹ phẩm Tạ Minh Quang</x:v>
      </x:c>
      <x:c r="K25" t="str">
        <x:v>Thu hồi số tiếp nhận Phiếu công bố</x:v>
      </x:c>
      <x:c r="L25" t="str">
        <x:v>Thu hồi theo đề nghị tự nguyện của tổ chức chịu trách nhiệm đưa sản phẩm ra thị trường.</x:v>
      </x:c>
      <x:c r="M25" t="str">
        <x:v>https://soytequangninh.gov.vn/trang-chu/huong-dan-nghiep-vu/linh-vuc-duoc/thong-bao-ve-viec-thu-hoi-so-tiep-nhan-phieu-cong-bo-san-pha3.html</x:v>
      </x:c>
      <x:c r="N25" t="str">
        <x:v>TP. Hồ Chí Minh</x:v>
      </x:c>
      <x:c r="O25" t="str">
        <x:v>79</x:v>
      </x:c>
    </x:row>
    <x:row r="26">
      <x:c r="A26" t="str">
        <x:v>HCM-RV-003</x:v>
      </x:c>
      <x:c r="B26" s="330" t="n">
        <x:v>45709</x:v>
      </x:c>
      <x:c r="C26" t="n">
        <x:v>2023</x:v>
      </x:c>
      <x:c r="D26" t="str">
        <x:v>000271/23/CBMP-HCM</x:v>
      </x:c>
      <x:c r="E26" t="str">
        <x:v>ALYNA mặt nạ cà chua dưỡng da</x:v>
      </x:c>
      <x:c r="F26" t="str">
        <x:v>ALYNA</x:v>
      </x:c>
      <x:c r="G26" t="str">
        <x:v>Mặt nạ</x:v>
      </x:c>
      <x:c r="H26" t="str">
        <x:v>Công ty TNHH Sản xuất Thương mại Xuất Nhập khẩu Tạ Minh Quang</x:v>
      </x:c>
      <x:c r="I26" t="str">
        <x:v>15 Đường 3C, Phường An Lạc A, Quận Bình Tân, TP.HCM</x:v>
      </x:c>
      <x:c r="J26" t="str">
        <x:v>Chi nhánh Công ty TNHH Sản xuất Thương mại Xuất Nhập khẩu Tạ Minh Quang – Nhà máy Mỹ phẩm Tạ Minh Quang</x:v>
      </x:c>
      <x:c r="K26" t="str">
        <x:v>Thu hồi số tiếp nhận Phiếu công bố</x:v>
      </x:c>
      <x:c r="L26" t="str">
        <x:v>Thu hồi theo đề nghị tự nguyện của tổ chức chịu trách nhiệm đưa sản phẩm ra thị trường.</x:v>
      </x:c>
      <x:c r="M26" t="str">
        <x:v>https://soytequangninh.gov.vn/trang-chu/huong-dan-nghiep-vu/linh-vuc-duoc/thong-bao-ve-viec-thu-hoi-so-tiep-nhan-phieu-cong-bo-san-pha3.html</x:v>
      </x:c>
      <x:c r="N26" t="str">
        <x:v>TP. Hồ Chí Minh</x:v>
      </x:c>
      <x:c r="O26" t="str">
        <x:v>79</x:v>
      </x:c>
    </x:row>
    <x:row r="27">
      <x:c r="A27" t="str">
        <x:v>HCM-RV-004</x:v>
      </x:c>
      <x:c r="B27" s="330" t="n">
        <x:v>45709</x:v>
      </x:c>
      <x:c r="C27" t="n">
        <x:v>2023</x:v>
      </x:c>
      <x:c r="D27" t="str">
        <x:v>002118/23/CBMP-HCM</x:v>
      </x:c>
      <x:c r="E27" t="str">
        <x:v>ALYNA mặt nạ cà chua dưỡng da</x:v>
      </x:c>
      <x:c r="F27" t="str">
        <x:v>ALYNA</x:v>
      </x:c>
      <x:c r="G27" t="str">
        <x:v>Mặt nạ</x:v>
      </x:c>
      <x:c r="H27" t="str">
        <x:v>Công ty TNHH Sản xuất Thương mại Xuất Nhập khẩu Tạ Minh Quang</x:v>
      </x:c>
      <x:c r="I27" t="str">
        <x:v>15 Đường 3C, Phường An Lạc A, Quận Bình Tân, TP.HCM</x:v>
      </x:c>
      <x:c r="J27" t="str">
        <x:v>Chi nhánh Công ty TNHH Sản xuất Thương mại Xuất Nhập khẩu Tạ Minh Quang – Nhà máy Mỹ phẩm Tạ Minh Quang</x:v>
      </x:c>
      <x:c r="K27" t="str">
        <x:v>Thu hồi số tiếp nhận Phiếu công bố</x:v>
      </x:c>
      <x:c r="L27" t="str">
        <x:v>Thu hồi theo đề nghị tự nguyện của tổ chức chịu trách nhiệm đưa sản phẩm ra thị trường.</x:v>
      </x:c>
      <x:c r="M27" t="str">
        <x:v>https://soytequangninh.gov.vn/trang-chu/huong-dan-nghiep-vu/linh-vuc-duoc/thong-bao-ve-viec-thu-hoi-so-tiep-nhan-phieu-cong-bo-san-pha3.html</x:v>
      </x:c>
      <x:c r="N27" t="str">
        <x:v>TP. Hồ Chí Minh</x:v>
      </x:c>
      <x:c r="O27" t="str">
        <x:v>79</x:v>
      </x:c>
    </x:row>
    <x:row r="28">
      <x:c r="A28" t="str">
        <x:v>HCM-RV-005</x:v>
      </x:c>
      <x:c r="B28" s="330" t="n">
        <x:v>45709</x:v>
      </x:c>
      <x:c r="C28" t="n">
        <x:v>2023</x:v>
      </x:c>
      <x:c r="D28" t="str">
        <x:v>000272/23/CBMP-HCM</x:v>
      </x:c>
      <x:c r="E28" t="str">
        <x:v>ALYNA mặt nạ dâu dưỡng da</x:v>
      </x:c>
      <x:c r="F28" t="str">
        <x:v>ALYNA</x:v>
      </x:c>
      <x:c r="G28" t="str">
        <x:v>Mặt nạ</x:v>
      </x:c>
      <x:c r="H28" t="str">
        <x:v>Công ty TNHH Sản xuất Thương mại Xuất Nhập khẩu Tạ Minh Quang</x:v>
      </x:c>
      <x:c r="I28" t="str">
        <x:v>15 Đường 3C, Phường An Lạc A, Quận Bình Tân, TP.HCM</x:v>
      </x:c>
      <x:c r="J28" t="str">
        <x:v>Chi nhánh Công ty TNHH Sản xuất Thương mại Xuất Nhập khẩu Tạ Minh Quang – Nhà máy Mỹ phẩm Tạ Minh Quang</x:v>
      </x:c>
      <x:c r="K28" t="str">
        <x:v>Thu hồi số tiếp nhận Phiếu công bố</x:v>
      </x:c>
      <x:c r="L28" t="str">
        <x:v>Thu hồi theo đề nghị tự nguyện của tổ chức chịu trách nhiệm đưa sản phẩm ra thị trường.</x:v>
      </x:c>
      <x:c r="M28" t="str">
        <x:v>https://soytequangninh.gov.vn/trang-chu/huong-dan-nghiep-vu/linh-vuc-duoc/thong-bao-ve-viec-thu-hoi-so-tiep-nhan-phieu-cong-bo-san-pha3.html</x:v>
      </x:c>
      <x:c r="N28" t="str">
        <x:v>TP. Hồ Chí Minh</x:v>
      </x:c>
      <x:c r="O28" t="str">
        <x:v>79</x:v>
      </x:c>
    </x:row>
    <x:row r="29">
      <x:c r="A29" t="str">
        <x:v>HCM-RV-006</x:v>
      </x:c>
      <x:c r="B29" s="330" t="n">
        <x:v>45709</x:v>
      </x:c>
      <x:c r="C29" t="n">
        <x:v>2023</x:v>
      </x:c>
      <x:c r="D29" t="str">
        <x:v>002119/23/CBMP-HCM</x:v>
      </x:c>
      <x:c r="E29" t="str">
        <x:v>ALYNA mặt nạ dâu dưỡng da</x:v>
      </x:c>
      <x:c r="F29" t="str">
        <x:v>ALYNA</x:v>
      </x:c>
      <x:c r="G29" t="str">
        <x:v>Mặt nạ</x:v>
      </x:c>
      <x:c r="H29" t="str">
        <x:v>Công ty TNHH Sản xuất Thương mại Xuất Nhập khẩu Tạ Minh Quang</x:v>
      </x:c>
      <x:c r="I29" t="str">
        <x:v>15 Đường 3C, Phường An Lạc A, Quận Bình Tân, TP.HCM</x:v>
      </x:c>
      <x:c r="J29" t="str">
        <x:v>Chi nhánh Công ty TNHH Sản xuất Thương mại Xuất Nhập khẩu Tạ Minh Quang – Nhà máy Mỹ phẩm Tạ Minh Quang</x:v>
      </x:c>
      <x:c r="K29" t="str">
        <x:v>Thu hồi số tiếp nhận Phiếu công bố</x:v>
      </x:c>
      <x:c r="L29" t="str">
        <x:v>Thu hồi theo đề nghị tự nguyện của tổ chức chịu trách nhiệm đưa sản phẩm ra thị trường.</x:v>
      </x:c>
      <x:c r="M29" t="str">
        <x:v>https://soytequangninh.gov.vn/trang-chu/huong-dan-nghiep-vu/linh-vuc-duoc/thong-bao-ve-viec-thu-hoi-so-tiep-nhan-phieu-cong-bo-san-pha3.html</x:v>
      </x:c>
      <x:c r="N29" t="str">
        <x:v>TP. Hồ Chí Minh</x:v>
      </x:c>
      <x:c r="O29" t="str">
        <x:v>79</x:v>
      </x:c>
    </x:row>
    <x:row r="30">
      <x:c r="A30" t="str">
        <x:v>HCM-RV-007</x:v>
      </x:c>
      <x:c r="B30" s="330" t="n">
        <x:v>45709</x:v>
      </x:c>
      <x:c r="C30" t="n">
        <x:v>2023</x:v>
      </x:c>
      <x:c r="D30" t="str">
        <x:v>000269/23/CBMP-HCM</x:v>
      </x:c>
      <x:c r="E30" t="str">
        <x:v>ALYNA mặt nạ dưa leo dưỡng da</x:v>
      </x:c>
      <x:c r="F30" t="str">
        <x:v>ALYNA</x:v>
      </x:c>
      <x:c r="G30" t="str">
        <x:v>Mặt nạ</x:v>
      </x:c>
      <x:c r="H30" t="str">
        <x:v>Công ty TNHH Sản xuất Thương mại Xuất Nhập khẩu Tạ Minh Quang</x:v>
      </x:c>
      <x:c r="I30" t="str">
        <x:v>15 Đường 3C, Phường An Lạc A, Quận Bình Tân, TP.HCM</x:v>
      </x:c>
      <x:c r="J30" t="str">
        <x:v>Chi nhánh Công ty TNHH Sản xuất Thương mại Xuất Nhập khẩu Tạ Minh Quang – Nhà máy Mỹ phẩm Tạ Minh Quang</x:v>
      </x:c>
      <x:c r="K30" t="str">
        <x:v>Thu hồi số tiếp nhận Phiếu công bố</x:v>
      </x:c>
      <x:c r="L30" t="str">
        <x:v>Thu hồi theo đề nghị tự nguyện của tổ chức chịu trách nhiệm đưa sản phẩm ra thị trường.</x:v>
      </x:c>
      <x:c r="M30" t="str">
        <x:v>https://soytequangninh.gov.vn/trang-chu/huong-dan-nghiep-vu/linh-vuc-duoc/thong-bao-ve-viec-thu-hoi-so-tiep-nhan-phieu-cong-bo-san-pha3.html</x:v>
      </x:c>
      <x:c r="N30" t="str">
        <x:v>TP. Hồ Chí Minh</x:v>
      </x:c>
      <x:c r="O30" t="str">
        <x:v>79</x:v>
      </x:c>
    </x:row>
    <x:row r="31">
      <x:c r="A31" t="str">
        <x:v>HCM-RV-008</x:v>
      </x:c>
      <x:c r="B31" s="330" t="n">
        <x:v>45709</x:v>
      </x:c>
      <x:c r="C31" t="n">
        <x:v>2023</x:v>
      </x:c>
      <x:c r="D31" t="str">
        <x:v>002121/23/CBMP-HCM</x:v>
      </x:c>
      <x:c r="E31" t="str">
        <x:v>ALYNA mặt nạ dưa leo dưỡng da</x:v>
      </x:c>
      <x:c r="F31" t="str">
        <x:v>ALYNA</x:v>
      </x:c>
      <x:c r="G31" t="str">
        <x:v>Mặt nạ</x:v>
      </x:c>
      <x:c r="H31" t="str">
        <x:v>Công ty TNHH Sản xuất Thương mại Xuất Nhập khẩu Tạ Minh Quang</x:v>
      </x:c>
      <x:c r="I31" t="str">
        <x:v>15 Đường 3C, Phường An Lạc A, Quận Bình Tân, TP.HCM</x:v>
      </x:c>
      <x:c r="J31" t="str">
        <x:v>Chi nhánh Công ty TNHH Sản xuất Thương mại Xuất Nhập khẩu Tạ Minh Quang – Nhà máy Mỹ phẩm Tạ Minh Quang</x:v>
      </x:c>
      <x:c r="K31" t="str">
        <x:v>Thu hồi số tiếp nhận Phiếu công bố</x:v>
      </x:c>
      <x:c r="L31" t="str">
        <x:v>Thu hồi theo đề nghị tự nguyện của tổ chức chịu trách nhiệm đưa sản phẩm ra thị trường.</x:v>
      </x:c>
      <x:c r="M31" t="str">
        <x:v>https://soytequangninh.gov.vn/trang-chu/huong-dan-nghiep-vu/linh-vuc-duoc/thong-bao-ve-viec-thu-hoi-so-tiep-nhan-phieu-cong-bo-san-pha3.html</x:v>
      </x:c>
      <x:c r="N31" t="str">
        <x:v>TP. Hồ Chí Minh</x:v>
      </x:c>
      <x:c r="O31" t="str">
        <x:v>79</x:v>
      </x:c>
    </x:row>
    <x:row r="32">
      <x:c r="A32" t="str">
        <x:v>HCM-RV-009</x:v>
      </x:c>
      <x:c r="B32" s="330" t="n">
        <x:v>45709</x:v>
      </x:c>
      <x:c r="C32" t="n">
        <x:v>2023</x:v>
      </x:c>
      <x:c r="D32" t="str">
        <x:v>001122/23/CBMP-HCM</x:v>
      </x:c>
      <x:c r="E32" t="str">
        <x:v>ALYNA mặt nạ hoa quả dưỡng da</x:v>
      </x:c>
      <x:c r="F32" t="str">
        <x:v>ALYNA</x:v>
      </x:c>
      <x:c r="G32" t="str">
        <x:v>Mặt nạ</x:v>
      </x:c>
      <x:c r="H32" t="str">
        <x:v>Công ty TNHH Sản xuất Thương mại Xuất Nhập khẩu Tạ Minh Quang</x:v>
      </x:c>
      <x:c r="I32" t="str">
        <x:v>15 Đường 3C, Phường An Lạc A, Quận Bình Tân, TP.HCM</x:v>
      </x:c>
      <x:c r="J32" t="str">
        <x:v>Chi nhánh Công ty TNHH Sản xuất Thương mại Xuất Nhập khẩu Tạ Minh Quang – Nhà máy Mỹ phẩm Tạ Minh Quang</x:v>
      </x:c>
      <x:c r="K32" t="str">
        <x:v>Thu hồi số tiếp nhận Phiếu công bố</x:v>
      </x:c>
      <x:c r="L32" t="str">
        <x:v>Thu hồi theo đề nghị tự nguyện của tổ chức chịu trách nhiệm đưa sản phẩm ra thị trường.</x:v>
      </x:c>
      <x:c r="M32" t="str">
        <x:v>https://soytequangninh.gov.vn/trang-chu/huong-dan-nghiep-vu/linh-vuc-duoc/thong-bao-ve-viec-thu-hoi-so-tiep-nhan-phieu-cong-bo-san-pha3.html</x:v>
      </x:c>
      <x:c r="N32" t="str">
        <x:v>TP. Hồ Chí Minh</x:v>
      </x:c>
      <x:c r="O32" t="str">
        <x:v>79</x:v>
      </x:c>
    </x:row>
    <x:row r="33">
      <x:c r="A33" t="str">
        <x:v>HCM-RV-010</x:v>
      </x:c>
      <x:c r="B33" s="330" t="n">
        <x:v>45709</x:v>
      </x:c>
      <x:c r="C33" t="n">
        <x:v>2023</x:v>
      </x:c>
      <x:c r="D33" t="str">
        <x:v>002122/23/CBMP-HCM</x:v>
      </x:c>
      <x:c r="E33" t="str">
        <x:v>ALYNA mặt nạ hoa quả dưỡng da</x:v>
      </x:c>
      <x:c r="F33" t="str">
        <x:v>ALYNA</x:v>
      </x:c>
      <x:c r="G33" t="str">
        <x:v>Mặt nạ</x:v>
      </x:c>
      <x:c r="H33" t="str">
        <x:v>Công ty TNHH Sản xuất Thương mại Xuất Nhập khẩu Tạ Minh Quang</x:v>
      </x:c>
      <x:c r="I33" t="str">
        <x:v>15 Đường 3C, Phường An Lạc A, Quận Bình Tân, TP.HCM</x:v>
      </x:c>
      <x:c r="J33" t="str">
        <x:v>Chi nhánh Công ty TNHH Sản xuất Thương mại Xuất Nhập khẩu Tạ Minh Quang – Nhà máy Mỹ phẩm Tạ Minh Quang</x:v>
      </x:c>
      <x:c r="K33" t="str">
        <x:v>Thu hồi số tiếp nhận Phiếu công bố</x:v>
      </x:c>
      <x:c r="L33" t="str">
        <x:v>Thu hồi theo đề nghị tự nguyện của tổ chức chịu trách nhiệm đưa sản phẩm ra thị trường.</x:v>
      </x:c>
      <x:c r="M33" t="str">
        <x:v>https://soytequangninh.gov.vn/trang-chu/huong-dan-nghiep-vu/linh-vuc-duoc/thong-bao-ve-viec-thu-hoi-so-tiep-nhan-phieu-cong-bo-san-pha3.html</x:v>
      </x:c>
      <x:c r="N33" t="str">
        <x:v>TP. Hồ Chí Minh</x:v>
      </x:c>
      <x:c r="O33" t="str">
        <x:v>79</x:v>
      </x:c>
    </x:row>
    <x:row r="34">
      <x:c r="A34" t="str">
        <x:v>HCM-RV-011</x:v>
      </x:c>
      <x:c r="B34" s="330" t="n">
        <x:v>45709</x:v>
      </x:c>
      <x:c r="C34" t="n">
        <x:v>2023</x:v>
      </x:c>
      <x:c r="D34" t="str">
        <x:v>002120/23/CBMP-HCM</x:v>
      </x:c>
      <x:c r="E34" t="str">
        <x:v>ALYNA mặt nạ ngọc trai dưỡng da</x:v>
      </x:c>
      <x:c r="F34" t="str">
        <x:v>ALYNA</x:v>
      </x:c>
      <x:c r="G34" t="str">
        <x:v>Mặt nạ</x:v>
      </x:c>
      <x:c r="H34" t="str">
        <x:v>Công ty TNHH Sản xuất Thương mại Xuất Nhập khẩu Tạ Minh Quang</x:v>
      </x:c>
      <x:c r="I34" t="str">
        <x:v>15 Đường 3C, Phường An Lạc A, Quận Bình Tân, TP.HCM</x:v>
      </x:c>
      <x:c r="J34" t="str">
        <x:v>Chi nhánh Công ty TNHH Sản xuất Thương mại Xuất Nhập khẩu Tạ Minh Quang – Nhà máy Mỹ phẩm Tạ Minh Quang</x:v>
      </x:c>
      <x:c r="K34" t="str">
        <x:v>Thu hồi số tiếp nhận Phiếu công bố</x:v>
      </x:c>
      <x:c r="L34" t="str">
        <x:v>Thu hồi theo đề nghị tự nguyện của tổ chức chịu trách nhiệm đưa sản phẩm ra thị trường.</x:v>
      </x:c>
      <x:c r="M34" t="str">
        <x:v>https://soytequangninh.gov.vn/trang-chu/huong-dan-nghiep-vu/linh-vuc-duoc/thong-bao-ve-viec-thu-hoi-so-tiep-nhan-phieu-cong-bo-san-pha3.html</x:v>
      </x:c>
      <x:c r="N34" t="str">
        <x:v>TP. Hồ Chí Minh</x:v>
      </x:c>
      <x:c r="O34" t="str">
        <x:v>79</x:v>
      </x:c>
    </x:row>
    <x:row r="35">
      <x:c r="A35" t="str">
        <x:v>HCM-RV-012</x:v>
      </x:c>
      <x:c r="B35" s="330" t="n">
        <x:v>45709</x:v>
      </x:c>
      <x:c r="C35" t="n">
        <x:v>2023</x:v>
      </x:c>
      <x:c r="D35" t="str">
        <x:v>002124/23/CBMP-HCM</x:v>
      </x:c>
      <x:c r="E35" t="str">
        <x:v>ALYNA mặt nạ rong biển dưỡng da</x:v>
      </x:c>
      <x:c r="F35" t="str">
        <x:v>ALYNA</x:v>
      </x:c>
      <x:c r="G35" t="str">
        <x:v>Mặt nạ</x:v>
      </x:c>
      <x:c r="H35" t="str">
        <x:v>Công ty TNHH Sản xuất Thương mại Xuất Nhập khẩu Tạ Minh Quang</x:v>
      </x:c>
      <x:c r="I35" t="str">
        <x:v>15 Đường 3C, Phường An Lạc A, Quận Bình Tân, TP.HCM</x:v>
      </x:c>
      <x:c r="J35" t="str">
        <x:v>Chi nhánh Công ty TNHH Sản xuất Thương mại Xuất Nhập khẩu Tạ Minh Quang – Nhà máy Mỹ phẩm Tạ Minh Quang</x:v>
      </x:c>
      <x:c r="K35" t="str">
        <x:v>Thu hồi số tiếp nhận Phiếu công bố</x:v>
      </x:c>
      <x:c r="L35" t="str">
        <x:v>Thu hồi theo đề nghị tự nguyện của tổ chức chịu trách nhiệm đưa sản phẩm ra thị trường.</x:v>
      </x:c>
      <x:c r="M35" t="str">
        <x:v>https://soytequangninh.gov.vn/trang-chu/huong-dan-nghiep-vu/linh-vuc-duoc/thong-bao-ve-viec-thu-hoi-so-tiep-nhan-phieu-cong-bo-san-pha3.html</x:v>
      </x:c>
      <x:c r="N35" t="str">
        <x:v>TP. Hồ Chí Minh</x:v>
      </x:c>
      <x:c r="O35" t="str">
        <x:v>79</x:v>
      </x:c>
    </x:row>
    <x:row r="36">
      <x:c r="A36" t="str">
        <x:v>HCM-RV-013</x:v>
      </x:c>
      <x:c r="B36" s="330" t="n">
        <x:v>45709</x:v>
      </x:c>
      <x:c r="C36" t="n">
        <x:v>2023</x:v>
      </x:c>
      <x:c r="D36" t="str">
        <x:v>003061/23/CBMP-HCM</x:v>
      </x:c>
      <x:c r="E36" t="str">
        <x:v>BOOD kem dưỡng trắng da chống nắng</x:v>
      </x:c>
      <x:c r="F36" t="str">
        <x:v>BOOD</x:v>
      </x:c>
      <x:c r="G36" t="str">
        <x:v>Kem dưỡng da</x:v>
      </x:c>
      <x:c r="H36" t="str">
        <x:v>Công ty TNHH Sản xuất Thương mại Xuất Nhập khẩu Tạ Minh Quang</x:v>
      </x:c>
      <x:c r="I36" t="str">
        <x:v>15 Đường 3C, Phường An Lạc A, Quận Bình Tân, TP.HCM</x:v>
      </x:c>
      <x:c r="J36" t="str">
        <x:v>Chi nhánh Công ty TNHH Sản xuất Thương mại Xuất Nhập khẩu Tạ Minh Quang – Nhà máy Mỹ phẩm Tạ Minh Quang</x:v>
      </x:c>
      <x:c r="K36" t="str">
        <x:v>Thu hồi số tiếp nhận Phiếu công bố</x:v>
      </x:c>
      <x:c r="L36" t="str">
        <x:v>Thu hồi theo đề nghị tự nguyện của tổ chức chịu trách nhiệm đưa sản phẩm ra thị trường.</x:v>
      </x:c>
      <x:c r="M36" t="str">
        <x:v>https://soytequangninh.gov.vn/trang-chu/huong-dan-nghiep-vu/linh-vuc-duoc/thong-bao-ve-viec-thu-hoi-so-tiep-nhan-phieu-cong-bo-san-pha3.html</x:v>
      </x:c>
      <x:c r="N36" t="str">
        <x:v>TP. Hồ Chí Minh</x:v>
      </x:c>
      <x:c r="O36" t="str">
        <x:v>79</x:v>
      </x:c>
    </x:row>
    <x:row r="37">
      <x:c r="A37" t="str">
        <x:v>HCM-RV-014</x:v>
      </x:c>
      <x:c r="B37" s="330" t="n">
        <x:v>45709</x:v>
      </x:c>
      <x:c r="C37" t="n">
        <x:v>2023</x:v>
      </x:c>
      <x:c r="D37" t="str">
        <x:v>003057/23/CBMP-HCM</x:v>
      </x:c>
      <x:c r="E37" t="str">
        <x:v>BOOD kem trắng da mụn chống nắng</x:v>
      </x:c>
      <x:c r="F37" t="str">
        <x:v>BOOD</x:v>
      </x:c>
      <x:c r="G37" t="str">
        <x:v>Kem dưỡng da</x:v>
      </x:c>
      <x:c r="H37" t="str">
        <x:v>Công ty TNHH Sản xuất Thương mại Xuất Nhập khẩu Tạ Minh Quang</x:v>
      </x:c>
      <x:c r="I37" t="str">
        <x:v>15 Đường 3C, Phường An Lạc A, Quận Bình Tân, TP.HCM</x:v>
      </x:c>
      <x:c r="J37" t="str">
        <x:v>Chi nhánh Công ty TNHH Sản xuất Thương mại Xuất Nhập khẩu Tạ Minh Quang – Nhà máy Mỹ phẩm Tạ Minh Quang</x:v>
      </x:c>
      <x:c r="K37" t="str">
        <x:v>Thu hồi số tiếp nhận Phiếu công bố</x:v>
      </x:c>
      <x:c r="L37" t="str">
        <x:v>Thu hồi theo đề nghị tự nguyện của tổ chức chịu trách nhiệm đưa sản phẩm ra thị trường.</x:v>
      </x:c>
      <x:c r="M37" t="str">
        <x:v>https://soytequangninh.gov.vn/trang-chu/huong-dan-nghiep-vu/linh-vuc-duoc/thong-bao-ve-viec-thu-hoi-so-tiep-nhan-phieu-cong-bo-san-pha3.html</x:v>
      </x:c>
      <x:c r="N37" t="str">
        <x:v>TP. Hồ Chí Minh</x:v>
      </x:c>
      <x:c r="O37" t="str">
        <x:v>79</x:v>
      </x:c>
    </x:row>
    <x:row r="38">
      <x:c r="A38" t="str">
        <x:v>HCM-RV-015</x:v>
      </x:c>
      <x:c r="B38" s="330" t="n">
        <x:v>45709</x:v>
      </x:c>
      <x:c r="C38" t="n">
        <x:v>2023</x:v>
      </x:c>
      <x:c r="D38" t="str">
        <x:v>003060/23/CBMP-HCM</x:v>
      </x:c>
      <x:c r="E38" t="str">
        <x:v>BOOD kem dưỡng trắng da mụn chống nắng giúp ngừa lão hóa da</x:v>
      </x:c>
      <x:c r="F38" t="str">
        <x:v>BOOD</x:v>
      </x:c>
      <x:c r="G38" t="str">
        <x:v>Kem dưỡng da</x:v>
      </x:c>
      <x:c r="H38" t="str">
        <x:v>Công ty TNHH Sản xuất Thương mại Xuất Nhập khẩu Tạ Minh Quang</x:v>
      </x:c>
      <x:c r="I38" t="str">
        <x:v>15 Đường 3C, Phường An Lạc A, Quận Bình Tân, TP.HCM</x:v>
      </x:c>
      <x:c r="J38" t="str">
        <x:v>Chi nhánh Công ty TNHH Sản xuất Thương mại Xuất Nhập khẩu Tạ Minh Quang – Nhà máy Mỹ phẩm Tạ Minh Quang</x:v>
      </x:c>
      <x:c r="K38" t="str">
        <x:v>Thu hồi số tiếp nhận Phiếu công bố</x:v>
      </x:c>
      <x:c r="L38" t="str">
        <x:v>Thu hồi theo đề nghị tự nguyện của tổ chức chịu trách nhiệm đưa sản phẩm ra thị trường.</x:v>
      </x:c>
      <x:c r="M38" t="str">
        <x:v>https://soytequangninh.gov.vn/trang-chu/huong-dan-nghiep-vu/linh-vuc-duoc/thong-bao-ve-viec-thu-hoi-so-tiep-nhan-phieu-cong-bo-san-pha3.html</x:v>
      </x:c>
      <x:c r="N38" t="str">
        <x:v>TP. Hồ Chí Minh</x:v>
      </x:c>
      <x:c r="O38" t="str">
        <x:v>79</x:v>
      </x:c>
    </x:row>
    <x:row r="39">
      <x:c r="A39" t="str">
        <x:v>HCM-RV-016</x:v>
      </x:c>
      <x:c r="B39" s="330" t="n">
        <x:v>45709</x:v>
      </x:c>
      <x:c r="C39" t="n">
        <x:v>2023</x:v>
      </x:c>
      <x:c r="D39" t="str">
        <x:v>003059/23/CBMP-HCM</x:v>
      </x:c>
      <x:c r="E39" t="str">
        <x:v>BOOD kem dưỡng trắng da nám tàn nhang</x:v>
      </x:c>
      <x:c r="F39" t="str">
        <x:v>BOOD</x:v>
      </x:c>
      <x:c r="G39" t="str">
        <x:v>Kem dưỡng da</x:v>
      </x:c>
      <x:c r="H39" t="str">
        <x:v>Công ty TNHH Sản xuất Thương mại Xuất Nhập khẩu Tạ Minh Quang</x:v>
      </x:c>
      <x:c r="I39" t="str">
        <x:v>15 Đường 3C, Phường An Lạc A, Quận Bình Tân, TP.HCM</x:v>
      </x:c>
      <x:c r="J39" t="str">
        <x:v>Chi nhánh Công ty TNHH Sản xuất Thương mại Xuất Nhập khẩu Tạ Minh Quang – Nhà máy Mỹ phẩm Tạ Minh Quang</x:v>
      </x:c>
      <x:c r="K39" t="str">
        <x:v>Thu hồi số tiếp nhận Phiếu công bố</x:v>
      </x:c>
      <x:c r="L39" t="str">
        <x:v>Thu hồi theo đề nghị tự nguyện của tổ chức chịu trách nhiệm đưa sản phẩm ra thị trường.</x:v>
      </x:c>
      <x:c r="M39" t="str">
        <x:v>https://soytequangninh.gov.vn/trang-chu/huong-dan-nghiep-vu/linh-vuc-duoc/thong-bao-ve-viec-thu-hoi-so-tiep-nhan-phieu-cong-bo-san-pha3.html</x:v>
      </x:c>
      <x:c r="N39" t="str">
        <x:v>TP. Hồ Chí Minh</x:v>
      </x:c>
      <x:c r="O39" t="str">
        <x:v>79</x:v>
      </x:c>
    </x:row>
    <x:row r="40">
      <x:c r="A40" t="str">
        <x:v>HCM-RV-017</x:v>
      </x:c>
      <x:c r="B40" s="330" t="n">
        <x:v>45709</x:v>
      </x:c>
      <x:c r="C40" t="n">
        <x:v>2023</x:v>
      </x:c>
      <x:c r="D40" t="str">
        <x:v>003058/23/CBMP-HCM</x:v>
      </x:c>
      <x:c r="E40" t="str">
        <x:v>BOOD kem nám tàn nhang đồi mồi</x:v>
      </x:c>
      <x:c r="F40" t="str">
        <x:v>BOOD</x:v>
      </x:c>
      <x:c r="G40" t="str">
        <x:v>Kem dưỡng da</x:v>
      </x:c>
      <x:c r="H40" t="str">
        <x:v>Công ty TNHH Sản xuất Thương mại Xuất Nhập khẩu Tạ Minh Quang</x:v>
      </x:c>
      <x:c r="I40" t="str">
        <x:v>15 Đường 3C, Phường An Lạc A, Quận Bình Tân, TP.HCM</x:v>
      </x:c>
      <x:c r="J40" t="str">
        <x:v>Chi nhánh Công ty TNHH Sản xuất Thương mại Xuất Nhập khẩu Tạ Minh Quang – Nhà máy Mỹ phẩm Tạ Minh Quang</x:v>
      </x:c>
      <x:c r="K40" t="str">
        <x:v>Thu hồi số tiếp nhận Phiếu công bố</x:v>
      </x:c>
      <x:c r="L40" t="str">
        <x:v>Thu hồi theo đề nghị tự nguyện của tổ chức chịu trách nhiệm đưa sản phẩm ra thị trường.</x:v>
      </x:c>
      <x:c r="M40" t="str">
        <x:v>https://soytequangninh.gov.vn/trang-chu/huong-dan-nghiep-vu/linh-vuc-duoc/thong-bao-ve-viec-thu-hoi-so-tiep-nhan-phieu-cong-bo-san-pha3.html</x:v>
      </x:c>
      <x:c r="N40" t="str">
        <x:v>TP. Hồ Chí Minh</x:v>
      </x:c>
      <x:c r="O40" t="str">
        <x:v>79</x:v>
      </x:c>
    </x:row>
    <x:row r="41">
      <x:c r="A41" t="str">
        <x:v>HCM-RV-018</x:v>
      </x:c>
      <x:c r="B41" s="330" t="n">
        <x:v>45709</x:v>
      </x:c>
      <x:c r="C41" t="n">
        <x:v>2023</x:v>
      </x:c>
      <x:c r="D41" t="str">
        <x:v>003037/23/CBMP-HCM</x:v>
      </x:c>
      <x:c r="E41" t="str">
        <x:v>ELISE kem dưỡng trắng da chống nắng</x:v>
      </x:c>
      <x:c r="F41" t="str">
        <x:v>ELISE</x:v>
      </x:c>
      <x:c r="G41" t="str">
        <x:v>Kem dưỡng da</x:v>
      </x:c>
      <x:c r="H41" t="str">
        <x:v>Công ty TNHH Sản xuất Thương mại Xuất Nhập khẩu Tạ Minh Quang</x:v>
      </x:c>
      <x:c r="I41" t="str">
        <x:v>15 Đường 3C, Phường An Lạc A, Quận Bình Tân, TP.HCM</x:v>
      </x:c>
      <x:c r="J41" t="str">
        <x:v>Chi nhánh Công ty TNHH Sản xuất Thương mại Xuất Nhập khẩu Tạ Minh Quang – Nhà máy Mỹ phẩm Tạ Minh Quang</x:v>
      </x:c>
      <x:c r="K41" t="str">
        <x:v>Thu hồi số tiếp nhận Phiếu công bố</x:v>
      </x:c>
      <x:c r="L41" t="str">
        <x:v>Thu hồi theo đề nghị tự nguyện của tổ chức chịu trách nhiệm đưa sản phẩm ra thị trường.</x:v>
      </x:c>
      <x:c r="M41" t="str">
        <x:v>https://soytequangninh.gov.vn/trang-chu/huong-dan-nghiep-vu/linh-vuc-duoc/thong-bao-ve-viec-thu-hoi-so-tiep-nhan-phieu-cong-bo-san-pha3.html</x:v>
      </x:c>
      <x:c r="N41" t="str">
        <x:v>TP. Hồ Chí Minh</x:v>
      </x:c>
      <x:c r="O41" t="str">
        <x:v>79</x:v>
      </x:c>
    </x:row>
    <x:row r="42">
      <x:c r="A42" t="str">
        <x:v>HCM-RV-019</x:v>
      </x:c>
      <x:c r="B42" s="330" t="n">
        <x:v>45709</x:v>
      </x:c>
      <x:c r="C42" t="n">
        <x:v>2023</x:v>
      </x:c>
      <x:c r="D42" t="str">
        <x:v>003038/23/CBMP-HCM</x:v>
      </x:c>
      <x:c r="E42" t="str">
        <x:v>ELISE kem trắng da mụn chống nắng</x:v>
      </x:c>
      <x:c r="F42" t="str">
        <x:v>ELISE</x:v>
      </x:c>
      <x:c r="G42" t="str">
        <x:v>Kem dưỡng da</x:v>
      </x:c>
      <x:c r="H42" t="str">
        <x:v>Công ty TNHH Sản xuất Thương mại Xuất Nhập khẩu Tạ Minh Quang</x:v>
      </x:c>
      <x:c r="I42" t="str">
        <x:v>15 Đường 3C, Phường An Lạc A, Quận Bình Tân, TP.HCM</x:v>
      </x:c>
      <x:c r="J42" t="str">
        <x:v>Chi nhánh Công ty TNHH Sản xuất Thương mại Xuất Nhập khẩu Tạ Minh Quang – Nhà máy Mỹ phẩm Tạ Minh Quang</x:v>
      </x:c>
      <x:c r="K42" t="str">
        <x:v>Thu hồi số tiếp nhận Phiếu công bố</x:v>
      </x:c>
      <x:c r="L42" t="str">
        <x:v>Thu hồi theo đề nghị tự nguyện của tổ chức chịu trách nhiệm đưa sản phẩm ra thị trường.</x:v>
      </x:c>
      <x:c r="M42" t="str">
        <x:v>https://soytequangninh.gov.vn/trang-chu/huong-dan-nghiep-vu/linh-vuc-duoc/thong-bao-ve-viec-thu-hoi-so-tiep-nhan-phieu-cong-bo-san-pha3.html</x:v>
      </x:c>
      <x:c r="N42" t="str">
        <x:v>TP. Hồ Chí Minh</x:v>
      </x:c>
      <x:c r="O42" t="str">
        <x:v>79</x:v>
      </x:c>
    </x:row>
    <x:row r="43">
      <x:c r="A43" t="str">
        <x:v>HCM-RV-020</x:v>
      </x:c>
      <x:c r="B43" s="330" t="n">
        <x:v>45709</x:v>
      </x:c>
      <x:c r="C43" t="n">
        <x:v>2023</x:v>
      </x:c>
      <x:c r="D43" t="str">
        <x:v>003039/23/CBMP-HCM</x:v>
      </x:c>
      <x:c r="E43" t="str">
        <x:v>ELISE kem trắng da mụn chống nắng giúp ngừa lão hóa da</x:v>
      </x:c>
      <x:c r="F43" t="str">
        <x:v>ELISE</x:v>
      </x:c>
      <x:c r="G43" t="str">
        <x:v>Kem dưỡng da</x:v>
      </x:c>
      <x:c r="H43" t="str">
        <x:v>Công ty TNHH Sản xuất Thương mại Xuất Nhập khẩu Tạ Minh Quang</x:v>
      </x:c>
      <x:c r="I43" t="str">
        <x:v>15 Đường 3C, Phường An Lạc A, Quận Bình Tân, TP.HCM</x:v>
      </x:c>
      <x:c r="J43" t="str">
        <x:v>Chi nhánh Công ty TNHH Sản xuất Thương mại Xuất Nhập khẩu Tạ Minh Quang – Nhà máy Mỹ phẩm Tạ Minh Quang</x:v>
      </x:c>
      <x:c r="K43" t="str">
        <x:v>Thu hồi số tiếp nhận Phiếu công bố</x:v>
      </x:c>
      <x:c r="L43" t="str">
        <x:v>Thu hồi theo đề nghị tự nguyện của tổ chức chịu trách nhiệm đưa sản phẩm ra thị trường.</x:v>
      </x:c>
      <x:c r="M43" t="str">
        <x:v>https://soytequangninh.gov.vn/trang-chu/huong-dan-nghiep-vu/linh-vuc-duoc/thong-bao-ve-viec-thu-hoi-so-tiep-nhan-phieu-cong-bo-san-pha3.html</x:v>
      </x:c>
      <x:c r="N43" t="str">
        <x:v>TP. Hồ Chí Minh</x:v>
      </x:c>
      <x:c r="O43" t="str">
        <x:v>79</x:v>
      </x:c>
    </x:row>
    <x:row r="44">
      <x:c r="A44" t="str">
        <x:v>HCM-RV-021</x:v>
      </x:c>
      <x:c r="B44" s="330" t="n">
        <x:v>45709</x:v>
      </x:c>
      <x:c r="C44" t="n">
        <x:v>2023</x:v>
      </x:c>
      <x:c r="D44" t="str">
        <x:v>003035/23/CBMP-HCM</x:v>
      </x:c>
      <x:c r="E44" t="str">
        <x:v>ELISE kem dưỡng trắng da nám tàn nhang</x:v>
      </x:c>
      <x:c r="F44" t="str">
        <x:v>ELISE</x:v>
      </x:c>
      <x:c r="G44" t="str">
        <x:v>Kem dưỡng da</x:v>
      </x:c>
      <x:c r="H44" t="str">
        <x:v>Công ty TNHH Sản xuất Thương mại Xuất Nhập khẩu Tạ Minh Quang</x:v>
      </x:c>
      <x:c r="I44" t="str">
        <x:v>15 Đường 3C, Phường An Lạc A, Quận Bình Tân, TP.HCM</x:v>
      </x:c>
      <x:c r="J44" t="str">
        <x:v>Chi nhánh Công ty TNHH Sản xuất Thương mại Xuất Nhập khẩu Tạ Minh Quang – Nhà máy Mỹ phẩm Tạ Minh Quang</x:v>
      </x:c>
      <x:c r="K44" t="str">
        <x:v>Thu hồi số tiếp nhận Phiếu công bố</x:v>
      </x:c>
      <x:c r="L44" t="str">
        <x:v>Thu hồi theo đề nghị tự nguyện của tổ chức chịu trách nhiệm đưa sản phẩm ra thị trường.</x:v>
      </x:c>
      <x:c r="M44" t="str">
        <x:v>https://soytequangninh.gov.vn/trang-chu/huong-dan-nghiep-vu/linh-vuc-duoc/thong-bao-ve-viec-thu-hoi-so-tiep-nhan-phieu-cong-bo-san-pha3.html</x:v>
      </x:c>
      <x:c r="N44" t="str">
        <x:v>TP. Hồ Chí Minh</x:v>
      </x:c>
      <x:c r="O44" t="str">
        <x:v>79</x:v>
      </x:c>
    </x:row>
    <x:row r="45">
      <x:c r="A45" t="str">
        <x:v>HCM-RV-022</x:v>
      </x:c>
      <x:c r="B45" s="330" t="n">
        <x:v>45709</x:v>
      </x:c>
      <x:c r="C45" t="n">
        <x:v>2023</x:v>
      </x:c>
      <x:c r="D45" t="str">
        <x:v>002113/23/CBMP-HCM</x:v>
      </x:c>
      <x:c r="E45" t="str">
        <x:v>ELISE mặt nạ dâu dưỡng da</x:v>
      </x:c>
      <x:c r="F45" t="str">
        <x:v>ELISE</x:v>
      </x:c>
      <x:c r="G45" t="str">
        <x:v>Mặt nạ</x:v>
      </x:c>
      <x:c r="H45" t="str">
        <x:v>Công ty TNHH Sản xuất Thương mại Xuất Nhập khẩu Tạ Minh Quang</x:v>
      </x:c>
      <x:c r="I45" t="str">
        <x:v>15 Đường 3C, Phường An Lạc A, Quận Bình Tân, TP.HCM</x:v>
      </x:c>
      <x:c r="J45" t="str">
        <x:v>Chi nhánh Công ty TNHH Sản xuất Thương mại Xuất Nhập khẩu Tạ Minh Quang – Nhà máy Mỹ phẩm Tạ Minh Quang</x:v>
      </x:c>
      <x:c r="K45" t="str">
        <x:v>Thu hồi số tiếp nhận Phiếu công bố</x:v>
      </x:c>
      <x:c r="L45" t="str">
        <x:v>Thu hồi theo đề nghị tự nguyện của tổ chức chịu trách nhiệm đưa sản phẩm ra thị trường.</x:v>
      </x:c>
      <x:c r="M45" t="str">
        <x:v>https://soytequangninh.gov.vn/trang-chu/huong-dan-nghiep-vu/linh-vuc-duoc/thong-bao-ve-viec-thu-hoi-so-tiep-nhan-phieu-cong-bo-san-pha3.html</x:v>
      </x:c>
      <x:c r="N45" t="str">
        <x:v>TP. Hồ Chí Minh</x:v>
      </x:c>
      <x:c r="O45" t="str">
        <x:v>79</x:v>
      </x:c>
    </x:row>
    <x:row r="46">
      <x:c r="A46" t="str">
        <x:v>HCM-RV-023</x:v>
      </x:c>
      <x:c r="B46" s="330" t="n">
        <x:v>45709</x:v>
      </x:c>
      <x:c r="C46" t="n">
        <x:v>2023</x:v>
      </x:c>
      <x:c r="D46" t="str">
        <x:v>000465/23/CBMP-HCM</x:v>
      </x:c>
      <x:c r="E46" t="str">
        <x:v>ELISE mặt nạ dưa leo dưỡng da</x:v>
      </x:c>
      <x:c r="F46" t="str">
        <x:v>ELISE</x:v>
      </x:c>
      <x:c r="G46" t="str">
        <x:v>Mặt nạ</x:v>
      </x:c>
      <x:c r="H46" t="str">
        <x:v>Công ty TNHH Sản xuất Thương mại Xuất Nhập khẩu Tạ Minh Quang</x:v>
      </x:c>
      <x:c r="I46" t="str">
        <x:v>15 Đường 3C, Phường An Lạc A, Quận Bình Tân, TP.HCM</x:v>
      </x:c>
      <x:c r="J46" t="str">
        <x:v>Chi nhánh Công ty TNHH Sản xuất Thương mại Xuất Nhập khẩu Tạ Minh Quang – Nhà máy Mỹ phẩm Tạ Minh Quang</x:v>
      </x:c>
      <x:c r="K46" t="str">
        <x:v>Thu hồi số tiếp nhận Phiếu công bố</x:v>
      </x:c>
      <x:c r="L46" t="str">
        <x:v>Thu hồi theo đề nghị tự nguyện của tổ chức chịu trách nhiệm đưa sản phẩm ra thị trường.</x:v>
      </x:c>
      <x:c r="M46" t="str">
        <x:v>https://soytequangninh.gov.vn/trang-chu/huong-dan-nghiep-vu/linh-vuc-duoc/thong-bao-ve-viec-thu-hoi-so-tiep-nhan-phieu-cong-bo-san-pha3.html</x:v>
      </x:c>
      <x:c r="N46" t="str">
        <x:v>TP. Hồ Chí Minh</x:v>
      </x:c>
      <x:c r="O46" t="str">
        <x:v>79</x:v>
      </x:c>
    </x:row>
    <x:row r="47">
      <x:c r="A47" t="str">
        <x:v>HCM-RV-024</x:v>
      </x:c>
      <x:c r="B47" s="330" t="n">
        <x:v>45709</x:v>
      </x:c>
      <x:c r="C47" t="n">
        <x:v>2023</x:v>
      </x:c>
      <x:c r="D47" t="str">
        <x:v>002109/23/CBMP-HCM</x:v>
      </x:c>
      <x:c r="E47" t="str">
        <x:v>ELISE mặt nạ dưa leo dưỡng da</x:v>
      </x:c>
      <x:c r="F47" t="str">
        <x:v>ELISE</x:v>
      </x:c>
      <x:c r="G47" t="str">
        <x:v>Mặt nạ</x:v>
      </x:c>
      <x:c r="H47" t="str">
        <x:v>Công ty TNHH Sản xuất Thương mại Xuất Nhập khẩu Tạ Minh Quang</x:v>
      </x:c>
      <x:c r="I47" t="str">
        <x:v>15 Đường 3C, Phường An Lạc A, Quận Bình Tân, TP.HCM</x:v>
      </x:c>
      <x:c r="J47" t="str">
        <x:v>Chi nhánh Công ty TNHH Sản xuất Thương mại Xuất Nhập khẩu Tạ Minh Quang – Nhà máy Mỹ phẩm Tạ Minh Quang</x:v>
      </x:c>
      <x:c r="K47" t="str">
        <x:v>Thu hồi số tiếp nhận Phiếu công bố</x:v>
      </x:c>
      <x:c r="L47" t="str">
        <x:v>Thu hồi theo đề nghị tự nguyện của tổ chức chịu trách nhiệm đưa sản phẩm ra thị trường.</x:v>
      </x:c>
      <x:c r="M47" t="str">
        <x:v>https://soytequangninh.gov.vn/trang-chu/huong-dan-nghiep-vu/linh-vuc-duoc/thong-bao-ve-viec-thu-hoi-so-tiep-nhan-phieu-cong-bo-san-pha3.html</x:v>
      </x:c>
      <x:c r="N47" t="str">
        <x:v>TP. Hồ Chí Minh</x:v>
      </x:c>
      <x:c r="O47" t="str">
        <x:v>79</x:v>
      </x:c>
    </x:row>
    <x:row r="48">
      <x:c r="A48" t="str">
        <x:v>HCM-RV-025</x:v>
      </x:c>
      <x:c r="B48" s="330" t="n">
        <x:v>45709</x:v>
      </x:c>
      <x:c r="C48" t="n">
        <x:v>2023</x:v>
      </x:c>
      <x:c r="D48" t="str">
        <x:v>000715/23/CBMP-HCM</x:v>
      </x:c>
      <x:c r="E48" t="str">
        <x:v>ELISE mặt nạ hoa quả dưỡng da</x:v>
      </x:c>
      <x:c r="F48" t="str">
        <x:v>ELISE</x:v>
      </x:c>
      <x:c r="G48" t="str">
        <x:v>Mặt nạ</x:v>
      </x:c>
      <x:c r="H48" t="str">
        <x:v>Công ty TNHH Sản xuất Thương mại Xuất Nhập khẩu Tạ Minh Quang</x:v>
      </x:c>
      <x:c r="I48" t="str">
        <x:v>15 Đường 3C, Phường An Lạc A, Quận Bình Tân, TP.HCM</x:v>
      </x:c>
      <x:c r="J48" t="str">
        <x:v>Chi nhánh Công ty TNHH Sản xuất Thương mại Xuất Nhập khẩu Tạ Minh Quang – Nhà máy Mỹ phẩm Tạ Minh Quang</x:v>
      </x:c>
      <x:c r="K48" t="str">
        <x:v>Thu hồi số tiếp nhận Phiếu công bố</x:v>
      </x:c>
      <x:c r="L48" t="str">
        <x:v>Thu hồi theo đề nghị tự nguyện của tổ chức chịu trách nhiệm đưa sản phẩm ra thị trường.</x:v>
      </x:c>
      <x:c r="M48" t="str">
        <x:v>https://soytequangninh.gov.vn/trang-chu/huong-dan-nghiep-vu/linh-vuc-duoc/thong-bao-ve-viec-thu-hoi-so-tiep-nhan-phieu-cong-bo-san-pha3.html</x:v>
      </x:c>
      <x:c r="N48" t="str">
        <x:v>TP. Hồ Chí Minh</x:v>
      </x:c>
      <x:c r="O48" t="str">
        <x:v>79</x:v>
      </x:c>
    </x:row>
    <x:row r="49">
      <x:c r="A49" t="str">
        <x:v>HCM-RV-026</x:v>
      </x:c>
      <x:c r="B49" s="330" t="n">
        <x:v>45709</x:v>
      </x:c>
      <x:c r="C49" t="n">
        <x:v>2023</x:v>
      </x:c>
      <x:c r="D49" t="str">
        <x:v>002110/23/CBMP-HCM</x:v>
      </x:c>
      <x:c r="E49" t="str">
        <x:v>ELISE mặt nạ hoa quả dưỡng da</x:v>
      </x:c>
      <x:c r="F49" t="str">
        <x:v>ELISE</x:v>
      </x:c>
      <x:c r="G49" t="str">
        <x:v>Mặt nạ</x:v>
      </x:c>
      <x:c r="H49" t="str">
        <x:v>Công ty TNHH Sản xuất Thương mại Xuất Nhập khẩu Tạ Minh Quang</x:v>
      </x:c>
      <x:c r="I49" t="str">
        <x:v>15 Đường 3C, Phường An Lạc A, Quận Bình Tân, TP.HCM</x:v>
      </x:c>
      <x:c r="J49" t="str">
        <x:v>Chi nhánh Công ty TNHH Sản xuất Thương mại Xuất Nhập khẩu Tạ Minh Quang – Nhà máy Mỹ phẩm Tạ Minh Quang</x:v>
      </x:c>
      <x:c r="K49" t="str">
        <x:v>Thu hồi số tiếp nhận Phiếu công bố</x:v>
      </x:c>
      <x:c r="L49" t="str">
        <x:v>Thu hồi theo đề nghị tự nguyện của tổ chức chịu trách nhiệm đưa sản phẩm ra thị trường.</x:v>
      </x:c>
      <x:c r="M49" t="str">
        <x:v>https://soytequangninh.gov.vn/trang-chu/huong-dan-nghiep-vu/linh-vuc-duoc/thong-bao-ve-viec-thu-hoi-so-tiep-nhan-phieu-cong-bo-san-pha3.html</x:v>
      </x:c>
      <x:c r="N49" t="str">
        <x:v>TP. Hồ Chí Minh</x:v>
      </x:c>
      <x:c r="O49" t="str">
        <x:v>79</x:v>
      </x:c>
    </x:row>
    <x:row r="50">
      <x:c r="A50" t="str">
        <x:v>HCM-RV-027</x:v>
      </x:c>
      <x:c r="B50" s="330" t="n">
        <x:v>45709</x:v>
      </x:c>
      <x:c r="C50" t="n">
        <x:v>2023</x:v>
      </x:c>
      <x:c r="D50" t="str">
        <x:v>002114/23/CBMP-HCM</x:v>
      </x:c>
      <x:c r="E50" t="str">
        <x:v>ELISE mặt nạ ngọc trai dưỡng da</x:v>
      </x:c>
      <x:c r="F50" t="str">
        <x:v>ELISE</x:v>
      </x:c>
      <x:c r="G50" t="str">
        <x:v>Mặt nạ</x:v>
      </x:c>
      <x:c r="H50" t="str">
        <x:v>Công ty TNHH Sản xuất Thương mại Xuất Nhập khẩu Tạ Minh Quang</x:v>
      </x:c>
      <x:c r="I50" t="str">
        <x:v>15 Đường 3C, Phường An Lạc A, Quận Bình Tân, TP.HCM</x:v>
      </x:c>
      <x:c r="J50" t="str">
        <x:v>Chi nhánh Công ty TNHH Sản xuất Thương mại Xuất Nhập khẩu Tạ Minh Quang – Nhà máy Mỹ phẩm Tạ Minh Quang</x:v>
      </x:c>
      <x:c r="K50" t="str">
        <x:v>Thu hồi số tiếp nhận Phiếu công bố</x:v>
      </x:c>
      <x:c r="L50" t="str">
        <x:v>Thu hồi theo đề nghị tự nguyện của tổ chức chịu trách nhiệm đưa sản phẩm ra thị trường.</x:v>
      </x:c>
      <x:c r="M50" t="str">
        <x:v>https://soytequangninh.gov.vn/trang-chu/huong-dan-nghiep-vu/linh-vuc-duoc/thong-bao-ve-viec-thu-hoi-so-tiep-nhan-phieu-cong-bo-san-pha3.html</x:v>
      </x:c>
      <x:c r="N50" t="str">
        <x:v>TP. Hồ Chí Minh</x:v>
      </x:c>
      <x:c r="O50" t="str">
        <x:v>79</x:v>
      </x:c>
    </x:row>
    <x:row r="51">
      <x:c r="A51" t="str">
        <x:v>HCM-RV-028</x:v>
      </x:c>
      <x:c r="B51" s="330" t="n">
        <x:v>45709</x:v>
      </x:c>
      <x:c r="C51" t="n">
        <x:v>2023</x:v>
      </x:c>
      <x:c r="D51" t="str">
        <x:v>002117/23/CBMP-HCM</x:v>
      </x:c>
      <x:c r="E51" t="str">
        <x:v>ELISE mặt nạ ốc sên dưỡng da</x:v>
      </x:c>
      <x:c r="F51" t="str">
        <x:v>ELISE</x:v>
      </x:c>
      <x:c r="G51" t="str">
        <x:v>Mặt nạ</x:v>
      </x:c>
      <x:c r="H51" t="str">
        <x:v>Công ty TNHH Sản xuất Thương mại Xuất Nhập khẩu Tạ Minh Quang</x:v>
      </x:c>
      <x:c r="I51" t="str">
        <x:v>15 Đường 3C, Phường An Lạc A, Quận Bình Tân, TP.HCM</x:v>
      </x:c>
      <x:c r="J51" t="str">
        <x:v>Chi nhánh Công ty TNHH Sản xuất Thương mại Xuất Nhập khẩu Tạ Minh Quang – Nhà máy Mỹ phẩm Tạ Minh Quang</x:v>
      </x:c>
      <x:c r="K51" t="str">
        <x:v>Thu hồi số tiếp nhận Phiếu công bố</x:v>
      </x:c>
      <x:c r="L51" t="str">
        <x:v>Thu hồi theo đề nghị tự nguyện của tổ chức chịu trách nhiệm đưa sản phẩm ra thị trường.</x:v>
      </x:c>
      <x:c r="M51" t="str">
        <x:v>https://soytequangninh.gov.vn/trang-chu/huong-dan-nghiep-vu/linh-vuc-duoc/thong-bao-ve-viec-thu-hoi-so-tiep-nhan-phieu-cong-bo-san-pha3.html</x:v>
      </x:c>
      <x:c r="N51" t="str">
        <x:v>TP. Hồ Chí Minh</x:v>
      </x:c>
      <x:c r="O51" t="str">
        <x:v>79</x:v>
      </x:c>
    </x:row>
    <x:row r="52">
      <x:c r="A52" t="str">
        <x:v>HCM-RV-029</x:v>
      </x:c>
      <x:c r="B52" s="330" t="n">
        <x:v>45709</x:v>
      </x:c>
      <x:c r="C52" t="n">
        <x:v>2023</x:v>
      </x:c>
      <x:c r="D52" t="str">
        <x:v>002116/23/CBMP-HCM</x:v>
      </x:c>
      <x:c r="E52" t="str">
        <x:v>ELISE mặt nạ táo dưỡng da</x:v>
      </x:c>
      <x:c r="F52" t="str">
        <x:v>ELISE</x:v>
      </x:c>
      <x:c r="G52" t="str">
        <x:v>Mặt nạ</x:v>
      </x:c>
      <x:c r="H52" t="str">
        <x:v>Công ty TNHH Sản xuất Thương mại Xuất Nhập khẩu Tạ Minh Quang</x:v>
      </x:c>
      <x:c r="I52" t="str">
        <x:v>15 Đường 3C, Phường An Lạc A, Quận Bình Tân, TP.HCM</x:v>
      </x:c>
      <x:c r="J52" t="str">
        <x:v>Chi nhánh Công ty TNHH Sản xuất Thương mại Xuất Nhập khẩu Tạ Minh Quang – Nhà máy Mỹ phẩm Tạ Minh Quang</x:v>
      </x:c>
      <x:c r="K52" t="str">
        <x:v>Thu hồi số tiếp nhận Phiếu công bố</x:v>
      </x:c>
      <x:c r="L52" t="str">
        <x:v>Thu hồi theo đề nghị tự nguyện của tổ chức chịu trách nhiệm đưa sản phẩm ra thị trường.</x:v>
      </x:c>
      <x:c r="M52" t="str">
        <x:v>https://soytequangninh.gov.vn/trang-chu/huong-dan-nghiep-vu/linh-vuc-duoc/thong-bao-ve-viec-thu-hoi-so-tiep-nhan-phieu-cong-bo-san-pha3.html</x:v>
      </x:c>
      <x:c r="N52" t="str">
        <x:v>TP. Hồ Chí Minh</x:v>
      </x:c>
      <x:c r="O52" t="str">
        <x:v>79</x:v>
      </x:c>
    </x:row>
    <x:row r="53">
      <x:c r="A53" t="str">
        <x:v>HCM-RV-030</x:v>
      </x:c>
      <x:c r="B53" s="330" t="n">
        <x:v>45709</x:v>
      </x:c>
      <x:c r="C53" t="n">
        <x:v>2023</x:v>
      </x:c>
      <x:c r="D53" t="str">
        <x:v>003036/23/CBMP-HCM</x:v>
      </x:c>
      <x:c r="E53" t="str">
        <x:v>GEISHA kem dưỡng trắng da chống nắng</x:v>
      </x:c>
      <x:c r="F53" t="str">
        <x:v>GEISHA</x:v>
      </x:c>
      <x:c r="G53" t="str">
        <x:v>Kem dưỡng da</x:v>
      </x:c>
      <x:c r="H53" t="str">
        <x:v>Công ty TNHH Sản xuất Thương mại Xuất Nhập khẩu Tạ Minh Quang</x:v>
      </x:c>
      <x:c r="I53" t="str">
        <x:v>15 Đường 3C, Phường An Lạc A, Quận Bình Tân, TP.HCM</x:v>
      </x:c>
      <x:c r="J53" t="str">
        <x:v>Chi nhánh Công ty TNHH Sản xuất Thương mại Xuất Nhập khẩu Tạ Minh Quang – Nhà máy Mỹ phẩm Tạ Minh Quang</x:v>
      </x:c>
      <x:c r="K53" t="str">
        <x:v>Thu hồi số tiếp nhận Phiếu công bố</x:v>
      </x:c>
      <x:c r="L53" t="str">
        <x:v>Thu hồi theo đề nghị tự nguyện của tổ chức chịu trách nhiệm đưa sản phẩm ra thị trường.</x:v>
      </x:c>
      <x:c r="M53" t="str">
        <x:v>https://soytequangninh.gov.vn/trang-chu/huong-dan-nghiep-vu/linh-vuc-duoc/thong-bao-ve-viec-thu-hoi-so-tiep-nhan-phieu-cong-bo-san-pha3.html</x:v>
      </x:c>
      <x:c r="N53" t="str">
        <x:v>TP. Hồ Chí Minh</x:v>
      </x:c>
      <x:c r="O53" t="str">
        <x:v>79</x:v>
      </x:c>
    </x:row>
    <x:row r="54">
      <x:c r="A54" t="str">
        <x:v>HCM-RV-031</x:v>
      </x:c>
      <x:c r="B54" s="330" t="n">
        <x:v>45709</x:v>
      </x:c>
      <x:c r="C54" t="n">
        <x:v>2023</x:v>
      </x:c>
      <x:c r="D54" t="str">
        <x:v>005386/23/CBMP-HCM</x:v>
      </x:c>
      <x:c r="E54" t="str">
        <x:v>LAVI mặt nạ dưa leo dưỡng da</x:v>
      </x:c>
      <x:c r="F54" t="str">
        <x:v>LAVI</x:v>
      </x:c>
      <x:c r="G54" t="str">
        <x:v>Mặt nạ</x:v>
      </x:c>
      <x:c r="H54" t="str">
        <x:v>Công ty TNHH Sản xuất Thương mại Xuất Nhập khẩu Tạ Minh Quang</x:v>
      </x:c>
      <x:c r="I54" t="str">
        <x:v>15 Đường 3C, Phường An Lạc A, Quận Bình Tân, TP.HCM</x:v>
      </x:c>
      <x:c r="J54" t="str">
        <x:v>Chi nhánh Công ty TNHH Sản xuất Thương mại Xuất Nhập khẩu Tạ Minh Quang – Nhà máy Mỹ phẩm Tạ Minh Quang</x:v>
      </x:c>
      <x:c r="K54" t="str">
        <x:v>Thu hồi số tiếp nhận Phiếu công bố</x:v>
      </x:c>
      <x:c r="L54" t="str">
        <x:v>Thu hồi theo đề nghị tự nguyện của tổ chức chịu trách nhiệm đưa sản phẩm ra thị trường.</x:v>
      </x:c>
      <x:c r="M54" t="str">
        <x:v>https://soytequangninh.gov.vn/trang-chu/huong-dan-nghiep-vu/linh-vuc-duoc/thong-bao-ve-viec-thu-hoi-so-tiep-nhan-phieu-cong-bo-san-pha3.html</x:v>
      </x:c>
      <x:c r="N54" t="str">
        <x:v>TP. Hồ Chí Minh</x:v>
      </x:c>
      <x:c r="O54" t="str">
        <x:v>79</x:v>
      </x:c>
    </x:row>
    <x:row r="55">
      <x:c r="A55" t="str">
        <x:v>HCM-RV-032</x:v>
      </x:c>
      <x:c r="B55" s="330" t="n">
        <x:v>45709</x:v>
      </x:c>
      <x:c r="C55" t="n">
        <x:v>2023</x:v>
      </x:c>
      <x:c r="D55" t="str">
        <x:v>003450/23/CBMP-HCM</x:v>
      </x:c>
      <x:c r="E55" t="str">
        <x:v>JOEJOE makeup remover</x:v>
      </x:c>
      <x:c r="F55" t="str">
        <x:v>JOEJOE</x:v>
      </x:c>
      <x:c r="G55" t="str">
        <x:v>Tẩy trang</x:v>
      </x:c>
      <x:c r="H55" t="str">
        <x:v>Công ty TNHH Sản xuất Thương mại Xuất Nhập khẩu Tạ Minh Quang</x:v>
      </x:c>
      <x:c r="I55" t="str">
        <x:v>15 Đường 3C, Phường An Lạc A, Quận Bình Tân, TP.HCM</x:v>
      </x:c>
      <x:c r="J55" t="str">
        <x:v>Chi nhánh Công ty TNHH Sản xuất Thương mại Xuất Nhập khẩu Tạ Minh Quang – Nhà máy Mỹ phẩm Tạ Minh Quang</x:v>
      </x:c>
      <x:c r="K55" t="str">
        <x:v>Thu hồi số tiếp nhận Phiếu công bố</x:v>
      </x:c>
      <x:c r="L55" t="str">
        <x:v>Thu hồi theo đề nghị tự nguyện của tổ chức chịu trách nhiệm đưa sản phẩm ra thị trường.</x:v>
      </x:c>
      <x:c r="M55" t="str">
        <x:v>https://soytequangninh.gov.vn/trang-chu/huong-dan-nghiep-vu/linh-vuc-duoc/thong-bao-ve-viec-thu-hoi-so-tiep-nhan-phieu-cong-bo-san-pha3.html</x:v>
      </x:c>
      <x:c r="N55" t="str">
        <x:v>TP. Hồ Chí Minh</x:v>
      </x:c>
      <x:c r="O55" t="str">
        <x:v>79</x:v>
      </x:c>
    </x:row>
    <x:row r="56">
      <x:c r="A56" t="str">
        <x:v>HCM-RV-033</x:v>
      </x:c>
      <x:c r="B56" s="330" t="n">
        <x:v>45709</x:v>
      </x:c>
      <x:c r="C56" t="n">
        <x:v>2023</x:v>
      </x:c>
      <x:c r="D56" t="str">
        <x:v>003451/23/CBMP-HCM</x:v>
      </x:c>
      <x:c r="E56" t="str">
        <x:v>JOEJOE refreshing facial cleansing gel</x:v>
      </x:c>
      <x:c r="F56" t="str">
        <x:v>JOEJOE</x:v>
      </x:c>
      <x:c r="G56" t="str">
        <x:v>Sữa rửa mặt</x:v>
      </x:c>
      <x:c r="H56" t="str">
        <x:v>Công ty TNHH Sản xuất Thương mại Xuất Nhập khẩu Tạ Minh Quang</x:v>
      </x:c>
      <x:c r="I56" t="str">
        <x:v>15 Đường 3C, Phường An Lạc A, Quận Bình Tân, TP.HCM</x:v>
      </x:c>
      <x:c r="J56" t="str">
        <x:v>Chi nhánh Công ty TNHH Sản xuất Thương mại Xuất Nhập khẩu Tạ Minh Quang – Nhà máy Mỹ phẩm Tạ Minh Quang</x:v>
      </x:c>
      <x:c r="K56" t="str">
        <x:v>Thu hồi số tiếp nhận Phiếu công bố</x:v>
      </x:c>
      <x:c r="L56" t="str">
        <x:v>Thu hồi theo đề nghị tự nguyện của tổ chức chịu trách nhiệm đưa sản phẩm ra thị trường.</x:v>
      </x:c>
      <x:c r="M56" t="str">
        <x:v>https://soytequangninh.gov.vn/trang-chu/huong-dan-nghiep-vu/linh-vuc-duoc/thong-bao-ve-viec-thu-hoi-so-tiep-nhan-phieu-cong-bo-san-pha3.html</x:v>
      </x:c>
      <x:c r="N56" t="str">
        <x:v>TP. Hồ Chí Minh</x:v>
      </x:c>
      <x:c r="O56" t="str">
        <x:v>79</x:v>
      </x:c>
    </x:row>
    <x:row r="57">
      <x:c r="A57" t="str">
        <x:v>HCM-RV-034</x:v>
      </x:c>
      <x:c r="B57" s="330" t="n">
        <x:v>45709</x:v>
      </x:c>
      <x:c r="C57" t="n">
        <x:v>2023</x:v>
      </x:c>
      <x:c r="D57" t="str">
        <x:v>003452/23/CBMP-HCM</x:v>
      </x:c>
      <x:c r="E57" t="str">
        <x:v>JOEJOE skin toner</x:v>
      </x:c>
      <x:c r="F57" t="str">
        <x:v>JOEJOE</x:v>
      </x:c>
      <x:c r="G57" t="str">
        <x:v>Khác</x:v>
      </x:c>
      <x:c r="H57" t="str">
        <x:v>Công ty TNHH Sản xuất Thương mại Xuất Nhập khẩu Tạ Minh Quang</x:v>
      </x:c>
      <x:c r="I57" t="str">
        <x:v>15 Đường 3C, Phường An Lạc A, Quận Bình Tân, TP.HCM</x:v>
      </x:c>
      <x:c r="J57" t="str">
        <x:v>Chi nhánh Công ty TNHH Sản xuất Thương mại Xuất Nhập khẩu Tạ Minh Quang – Nhà máy Mỹ phẩm Tạ Minh Quang</x:v>
      </x:c>
      <x:c r="K57" t="str">
        <x:v>Thu hồi số tiếp nhận Phiếu công bố</x:v>
      </x:c>
      <x:c r="L57" t="str">
        <x:v>Thu hồi theo đề nghị tự nguyện của tổ chức chịu trách nhiệm đưa sản phẩm ra thị trường.</x:v>
      </x:c>
      <x:c r="M57" t="str">
        <x:v>https://soytequangninh.gov.vn/trang-chu/huong-dan-nghiep-vu/linh-vuc-duoc/thong-bao-ve-viec-thu-hoi-so-tiep-nhan-phieu-cong-bo-san-pha3.html</x:v>
      </x:c>
      <x:c r="N57" t="str">
        <x:v>TP. Hồ Chí Minh</x:v>
      </x:c>
      <x:c r="O57" t="str">
        <x:v>79</x:v>
      </x:c>
    </x:row>
    <x:row r="58">
      <x:c r="A58" t="str">
        <x:v>HCM-RV-035</x:v>
      </x:c>
      <x:c r="B58" s="330" t="n">
        <x:v>45709</x:v>
      </x:c>
      <x:c r="C58" t="n">
        <x:v>2023</x:v>
      </x:c>
      <x:c r="D58" t="str">
        <x:v>003449/23/CBMP-HCM</x:v>
      </x:c>
      <x:c r="E58" t="str">
        <x:v>JOEJOE moisturizing serum</x:v>
      </x:c>
      <x:c r="F58" t="str">
        <x:v>JOEJOE</x:v>
      </x:c>
      <x:c r="G58" t="str">
        <x:v>Serum/Essence da</x:v>
      </x:c>
      <x:c r="H58" t="str">
        <x:v>Công ty TNHH Sản xuất Thương mại Xuất Nhập khẩu Tạ Minh Quang</x:v>
      </x:c>
      <x:c r="I58" t="str">
        <x:v>15 Đường 3C, Phường An Lạc A, Quận Bình Tân, TP.HCM</x:v>
      </x:c>
      <x:c r="J58" t="str">
        <x:v>Chi nhánh Công ty TNHH Sản xuất Thương mại Xuất Nhập khẩu Tạ Minh Quang – Nhà máy Mỹ phẩm Tạ Minh Quang</x:v>
      </x:c>
      <x:c r="K58" t="str">
        <x:v>Thu hồi số tiếp nhận Phiếu công bố</x:v>
      </x:c>
      <x:c r="L58" t="str">
        <x:v>Thu hồi theo đề nghị tự nguyện của tổ chức chịu trách nhiệm đưa sản phẩm ra thị trường.</x:v>
      </x:c>
      <x:c r="M58" t="str">
        <x:v>https://soytequangninh.gov.vn/trang-chu/huong-dan-nghiep-vu/linh-vuc-duoc/thong-bao-ve-viec-thu-hoi-so-tiep-nhan-phieu-cong-bo-san-pha3.html</x:v>
      </x:c>
      <x:c r="N58" t="str">
        <x:v>TP. Hồ Chí Minh</x:v>
      </x:c>
      <x:c r="O58" t="str">
        <x:v>79</x:v>
      </x:c>
    </x:row>
    <x:row r="59">
      <x:c r="A59" t="str">
        <x:v>HCM-RV-036</x:v>
      </x:c>
      <x:c r="B59" s="330" t="n">
        <x:v>45709</x:v>
      </x:c>
      <x:c r="C59" t="n">
        <x:v>2023</x:v>
      </x:c>
      <x:c r="D59" t="str">
        <x:v>003453/23/CBMP-HCM</x:v>
      </x:c>
      <x:c r="E59" t="str">
        <x:v>JOEJOE radiant whitening cream</x:v>
      </x:c>
      <x:c r="F59" t="str">
        <x:v>JOEJOE</x:v>
      </x:c>
      <x:c r="G59" t="str">
        <x:v>Khác</x:v>
      </x:c>
      <x:c r="H59" t="str">
        <x:v>Công ty TNHH Sản xuất Thương mại Xuất Nhập khẩu Tạ Minh Quang</x:v>
      </x:c>
      <x:c r="I59" t="str">
        <x:v>15 Đường 3C, Phường An Lạc A, Quận Bình Tân, TP.HCM</x:v>
      </x:c>
      <x:c r="J59" t="str">
        <x:v>Chi nhánh Công ty TNHH Sản xuất Thương mại Xuất Nhập khẩu Tạ Minh Quang – Nhà máy Mỹ phẩm Tạ Minh Quang</x:v>
      </x:c>
      <x:c r="K59" t="str">
        <x:v>Thu hồi số tiếp nhận Phiếu công bố</x:v>
      </x:c>
      <x:c r="L59" t="str">
        <x:v>Thu hồi theo đề nghị tự nguyện của tổ chức chịu trách nhiệm đưa sản phẩm ra thị trường.</x:v>
      </x:c>
      <x:c r="M59" t="str">
        <x:v>https://soytequangninh.gov.vn/trang-chu/huong-dan-nghiep-vu/linh-vuc-duoc/thong-bao-ve-viec-thu-hoi-so-tiep-nhan-phieu-cong-bo-san-pha3.html</x:v>
      </x:c>
      <x:c r="N59" t="str">
        <x:v>TP. Hồ Chí Minh</x:v>
      </x:c>
      <x:c r="O59" t="str">
        <x:v>79</x:v>
      </x:c>
    </x:row>
    <x:row r="60">
      <x:c r="A60" t="str">
        <x:v>HCM-RV-037</x:v>
      </x:c>
      <x:c r="B60" s="330" t="n">
        <x:v>45709</x:v>
      </x:c>
      <x:c r="C60" t="n">
        <x:v>2023</x:v>
      </x:c>
      <x:c r="D60" t="str">
        <x:v>003454/23/CBMP-HCM</x:v>
      </x:c>
      <x:c r="E60" t="str">
        <x:v>JOEJOE refreshing shower gel</x:v>
      </x:c>
      <x:c r="F60" t="str">
        <x:v>JOEJOE</x:v>
      </x:c>
      <x:c r="G60" t="str">
        <x:v>Sữa tắm/Gel tắm</x:v>
      </x:c>
      <x:c r="H60" t="str">
        <x:v>Công ty TNHH Sản xuất Thương mại Xuất Nhập khẩu Tạ Minh Quang</x:v>
      </x:c>
      <x:c r="I60" t="str">
        <x:v>15 Đường 3C, Phường An Lạc A, Quận Bình Tân, TP.HCM</x:v>
      </x:c>
      <x:c r="J60" t="str">
        <x:v>Chi nhánh Công ty TNHH Sản xuất Thương mại Xuất Nhập khẩu Tạ Minh Quang – Nhà máy Mỹ phẩm Tạ Minh Quang</x:v>
      </x:c>
      <x:c r="K60" t="str">
        <x:v>Thu hồi số tiếp nhận Phiếu công bố</x:v>
      </x:c>
      <x:c r="L60" t="str">
        <x:v>Thu hồi theo đề nghị tự nguyện của tổ chức chịu trách nhiệm đưa sản phẩm ra thị trường.</x:v>
      </x:c>
      <x:c r="M60" t="str">
        <x:v>https://soytequangninh.gov.vn/trang-chu/huong-dan-nghiep-vu/linh-vuc-duoc/thong-bao-ve-viec-thu-hoi-so-tiep-nhan-phieu-cong-bo-san-pha3.html</x:v>
      </x:c>
      <x:c r="N60" t="str">
        <x:v>TP. Hồ Chí Minh</x:v>
      </x:c>
      <x:c r="O60" t="str">
        <x:v>79</x:v>
      </x:c>
    </x:row>
    <x:row r="61">
      <x:c r="A61" t="str">
        <x:v>HCM-RV-038</x:v>
      </x:c>
      <x:c r="B61" s="330" t="n">
        <x:v>45709</x:v>
      </x:c>
      <x:c r="C61" t="n">
        <x:v>2022</x:v>
      </x:c>
      <x:c r="D61" t="str">
        <x:v>004103/22/CBMP-HCM</x:v>
      </x:c>
      <x:c r="E61" t="str">
        <x:v>FOR HER intimate wash - pH - balanced / Dung dịch vệ sinh phụ nữ</x:v>
      </x:c>
      <x:c r="F61" t="str">
        <x:v>FOR HER</x:v>
      </x:c>
      <x:c r="G61" t="str">
        <x:v>Dung dịch vệ sinh</x:v>
      </x:c>
      <x:c r="H61" t="str">
        <x:v>Công ty TNHH Sản xuất Thương mại Xuất Nhập khẩu Tạ Minh Quang</x:v>
      </x:c>
      <x:c r="I61" t="str">
        <x:v>15 Đường 3C, Phường An Lạc A, Quận Bình Tân, TP.HCM</x:v>
      </x:c>
      <x:c r="J61" t="str">
        <x:v>Chi nhánh Công ty TNHH Sản xuất Thương mại Xuất Nhập khẩu Tạ Minh Quang – Nhà máy Mỹ phẩm Tạ Minh Quang</x:v>
      </x:c>
      <x:c r="K61" t="str">
        <x:v>Thu hồi số tiếp nhận Phiếu công bố</x:v>
      </x:c>
      <x:c r="L61" t="str">
        <x:v>Thu hồi theo đề nghị tự nguyện của tổ chức chịu trách nhiệm đưa sản phẩm ra thị trường.</x:v>
      </x:c>
      <x:c r="M61" t="str">
        <x:v>https://soytequangninh.gov.vn/trang-chu/huong-dan-nghiep-vu/linh-vuc-duoc/thong-bao-ve-viec-thu-hoi-so-tiep-nhan-phieu-cong-bo-san-pha3.html</x:v>
      </x:c>
      <x:c r="N61" t="str">
        <x:v>TP. Hồ Chí Minh</x:v>
      </x:c>
      <x:c r="O61" t="str">
        <x:v>79</x:v>
      </x:c>
    </x:row>
    <x:row r="62">
      <x:c r="A62" t="str">
        <x:v>HCM-RV-039</x:v>
      </x:c>
      <x:c r="B62" s="330" t="n">
        <x:v>45709</x:v>
      </x:c>
      <x:c r="C62" t="n">
        <x:v>2024</x:v>
      </x:c>
      <x:c r="D62" t="str">
        <x:v>000430/24/CBMP-HCM</x:v>
      </x:c>
      <x:c r="E62" t="str">
        <x:v>Perfection Sunblock Cream</x:v>
      </x:c>
      <x:c r="F62" t="str">
        <x:v>Sắc Nguyệt Hương</x:v>
      </x:c>
      <x:c r="G62" t="str">
        <x:v>Kem chống nắng</x:v>
      </x:c>
      <x:c r="H62" t="str">
        <x:v>Công ty TNHH Thương mại Dịch vụ Mỹ phẩm Đức Anh</x:v>
      </x:c>
      <x:c r="I62" t="str">
        <x:v>335 Kênh Tân Hóa, phường Hòa Thạnh, quận Tân Phú, TP.HCM</x:v>
      </x:c>
      <x:c r="J62" t="str">
        <x:v>Công ty Cổ phần Dược Mỹ phẩm Hành Tinh Xanh</x:v>
      </x:c>
      <x:c r="K62" t="str">
        <x:v>Thu hồi số tiếp nhận Phiếu công bố</x:v>
      </x:c>
      <x:c r="L62" t="str">
        <x:v>Thu hồi theo đề nghị tự nguyện của tổ chức chịu trách nhiệm đưa sản phẩm ra thị trường.</x:v>
      </x:c>
      <x:c r="M62" t="str">
        <x:v>https://soytequangninh.gov.vn/trang-chu/huong-dan-nghiep-vu/linh-vuc-duoc/quyet-dinh-thu-hoi-so-tiep-nhan-phieu-cong-bo-san-pham-my-ph.html</x:v>
      </x:c>
      <x:c r="N62" t="str">
        <x:v>TP. Hồ Chí Minh</x:v>
      </x:c>
      <x:c r="O62" t="str">
        <x:v>79</x:v>
      </x:c>
    </x:row>
    <x:row r="63">
      <x:c r="A63" t="str">
        <x:v>HCM-RV-040</x:v>
      </x:c>
      <x:c r="B63" s="330" t="n">
        <x:v>45709</x:v>
      </x:c>
      <x:c r="C63" t="n">
        <x:v>2024</x:v>
      </x:c>
      <x:c r="D63" t="str">
        <x:v>000432/24/CBMP-HCM</x:v>
      </x:c>
      <x:c r="E63" t="str">
        <x:v>Kem trắng da - Giúp mờ nám - Chống nắng</x:v>
      </x:c>
      <x:c r="F63" t="str">
        <x:v>Sắc Nguyệt Hương</x:v>
      </x:c>
      <x:c r="G63" t="str">
        <x:v>Kem dưỡng da</x:v>
      </x:c>
      <x:c r="H63" t="str">
        <x:v>Công ty TNHH Thương mại Dịch vụ Mỹ phẩm Đức Anh</x:v>
      </x:c>
      <x:c r="I63" t="str">
        <x:v>335 Kênh Tân Hóa, phường Hòa Thạnh, quận Tân Phú, TP.HCM</x:v>
      </x:c>
      <x:c r="J63" t="str">
        <x:v>Công ty Cổ phần Dược Mỹ phẩm Hành Tinh Xanh</x:v>
      </x:c>
      <x:c r="K63" t="str">
        <x:v>Thu hồi số tiếp nhận Phiếu công bố</x:v>
      </x:c>
      <x:c r="L63" t="str">
        <x:v>Thu hồi theo đề nghị tự nguyện của tổ chức chịu trách nhiệm đưa sản phẩm ra thị trường.</x:v>
      </x:c>
      <x:c r="M63" t="str">
        <x:v>https://soytequangninh.gov.vn/trang-chu/huong-dan-nghiep-vu/linh-vuc-duoc/quyet-dinh-thu-hoi-so-tiep-nhan-phieu-cong-bo-san-pham-my-ph.html</x:v>
      </x:c>
      <x:c r="N63" t="str">
        <x:v>TP. Hồ Chí Minh</x:v>
      </x:c>
      <x:c r="O63" t="str">
        <x:v>79</x:v>
      </x:c>
    </x:row>
    <x:row r="64">
      <x:c r="A64" t="str">
        <x:v>HCM-RV-041</x:v>
      </x:c>
      <x:c r="B64" s="330" t="n">
        <x:v>45707</x:v>
      </x:c>
      <x:c r="C64" t="n">
        <x:v>2024</x:v>
      </x:c>
      <x:c r="D64" t="str">
        <x:v>001198/24/CBMP-HCM</x:v>
      </x:c>
      <x:c r="E64" t="str">
        <x:v>VITAMIN MILK CLEANSER</x:v>
      </x:c>
      <x:c r="F64" t="str">
        <x:v>Faceplus+ HOANGDUNG COSMETICS</x:v>
      </x:c>
      <x:c r="G64" t="str">
        <x:v>Sữa rửa mặt</x:v>
      </x:c>
      <x:c r="H64" t="str">
        <x:v>Công ty TNHH Thương mại Dịch vụ Mỹ phẩm Hoàng Dũng</x:v>
      </x:c>
      <x:c r="I64" t="str">
        <x:v>41 đường 3, khu nhà ở Vạn Phúc 1, phường Hiệp Bình Phước, thành phố Thủ Đức, TP.HCM</x:v>
      </x:c>
      <x:c r="J64" t="str">
        <x:v>Công ty Cổ phần Dược mỹ phẩm Hành Tinh Xanh</x:v>
      </x:c>
      <x:c r="K64" t="str">
        <x:v>Thu hồi số tiếp nhận Phiếu công bố</x:v>
      </x:c>
      <x:c r="L64" t="str">
        <x:v>Thu hồi theo đề nghị tự nguyện của tổ chức chịu trách nhiệm đưa sản phẩm ra thị trường.</x:v>
      </x:c>
      <x:c r="M64" t="str">
        <x:v>https://soytequangninh.gov.vn/trang-chu/huong-dan-nghiep-vu/linh-vuc-duoc/ve-viec-thu-hoi-so-tiep-nhan-phieu-cong-bo-san-pham-my-pham6.html</x:v>
      </x:c>
      <x:c r="N64" t="str">
        <x:v>TP. Hồ Chí Minh</x:v>
      </x:c>
      <x:c r="O64" t="str">
        <x:v>79</x:v>
      </x:c>
    </x:row>
    <x:row r="65">
      <x:c r="A65" t="str">
        <x:v>HCM-PUB-064</x:v>
      </x:c>
      <x:c r="B65" s="330" t="n">
        <x:v>45636</x:v>
      </x:c>
      <x:c r="C65" t="n">
        <x:v>2022</x:v>
      </x:c>
      <x:c r="D65" t="str">
        <x:v>2370/22/CBMP-HCM</x:v>
      </x:c>
      <x:c r="E65" t="str">
        <x:v>Su Skin Whitening Night Cream</x:v>
      </x:c>
      <x:c r="F65" t="str">
        <x:v>Yody Phương Anh</x:v>
      </x:c>
      <x:c r="G65" t="str">
        <x:v>Kem dưỡng da</x:v>
      </x:c>
      <x:c r="H65" t="str">
        <x:v>Công ty TNHH TM - DV - thẩm mỹ Yodywhite Phương Anh</x:v>
      </x:c>
      <x:c r="I65" t="str">
        <x:v>65 Gò Xoài, Khu phố 10, phường Bình Hưng Hòa A, quận Bình Tân, TP. Hồ Chí Minh</x:v>
      </x:c>
      <x:c r="J65" t="str">
        <x:v>Công ty TNHH sản xuất dược mỹ phẩm Nhật Hàn</x:v>
      </x:c>
      <x:c r="K65" t="str">
        <x:v>Đình chỉ/thu hồi lô; đề nghị thu hồi số tiếp nhận</x:v>
      </x:c>
      <x:c r="L65" t="str">
        <x:v>Lô không đạt chỉ tiêu lượng thiếu, thủy ngân; mẫu thử có Dexamethason và Betamethason valerat không có trong công thức đã công bố.</x:v>
      </x:c>
      <x:c r="M65" t="str">
        <x:v>https://www.kiemnghiemdanang.vn/index.php?Itemid=672&amp;id=96&amp;limitstart=15&amp;option=com_content&amp;view=category</x:v>
      </x:c>
      <x:c r="N65" t="str">
        <x:v>TP. Hồ Chí Minh</x:v>
      </x:c>
      <x:c r="O65" t="str">
        <x:v>79</x:v>
      </x:c>
    </x:row>
    <x:row r="66">
      <x:c r="A66" t="str">
        <x:v>HCM-PUB-065</x:v>
      </x:c>
      <x:c r="B66" s="330" t="n">
        <x:v>45636</x:v>
      </x:c>
      <x:c r="C66" t="n">
        <x:v>2022</x:v>
      </x:c>
      <x:c r="D66" t="str">
        <x:v>2371/22/CBMP-HCM</x:v>
      </x:c>
      <x:c r="E66" t="str">
        <x:v>Serum giúp tái tạo da</x:v>
      </x:c>
      <x:c r="F66" t="str">
        <x:v>Yody Phương Anh</x:v>
      </x:c>
      <x:c r="G66" t="str">
        <x:v>Serum/Essence da</x:v>
      </x:c>
      <x:c r="H66" t="str">
        <x:v>Công ty TNHH TM - DV - thẩm mỹ Yodywhite Phương Anh</x:v>
      </x:c>
      <x:c r="I66" t="str">
        <x:v>65 Gò Xoài, Khu phố 10, phường Bình Hưng Hòa A, quận Bình Tân, TP. Hồ Chí Minh</x:v>
      </x:c>
      <x:c r="J66" t="str">
        <x:v>Công ty TNHH sản xuất dược mỹ phẩm Nhật Hàn</x:v>
      </x:c>
      <x:c r="K66" t="str">
        <x:v>Đình chỉ/thu hồi lô</x:v>
      </x:c>
      <x:c r="L66" t="str">
        <x:v>Mẫu kiểm nghiệm không đạt chỉ tiêu lượng thiếu cho phép.</x:v>
      </x:c>
      <x:c r="M66" t="str">
        <x:v>https://www.kiemnghiemdanang.vn/index.php?Itemid=672&amp;id=96&amp;limitstart=15&amp;option=com_content&amp;view=category</x:v>
      </x:c>
      <x:c r="N66" t="str">
        <x:v>TP. Hồ Chí Minh</x:v>
      </x:c>
      <x:c r="O66" t="str">
        <x:v>79</x:v>
      </x:c>
    </x:row>
    <x:row r="67">
      <x:c r="A67" t="str">
        <x:v>HCM-PUB-066</x:v>
      </x:c>
      <x:c r="B67" s="330" t="n">
        <x:v>45636</x:v>
      </x:c>
      <x:c r="C67" t="n">
        <x:v>2022</x:v>
      </x:c>
      <x:c r="D67" t="str">
        <x:v>004015/22/CBMP-HCM</x:v>
      </x:c>
      <x:c r="E67" t="str">
        <x:v>Whitening Body Cream</x:v>
      </x:c>
      <x:c r="F67" t="str">
        <x:v>Yody Phương Anh</x:v>
      </x:c>
      <x:c r="G67" t="str">
        <x:v>Kem body</x:v>
      </x:c>
      <x:c r="H67" t="str">
        <x:v>Công ty TNHH TM - DV - thẩm mỹ Yodywhite Phương Anh</x:v>
      </x:c>
      <x:c r="I67" t="str">
        <x:v>65 Gò Xoài, Khu phố 10, phường Bình Hưng Hòa A, quận Bình Tân, TP. Hồ Chí Minh</x:v>
      </x:c>
      <x:c r="J67" t="str">
        <x:v>Công ty TNHH sản xuất dược mỹ phẩm Nhật Hàn</x:v>
      </x:c>
      <x:c r="K67" t="str">
        <x:v>Đình chỉ/thu hồi lô</x:v>
      </x:c>
      <x:c r="L67" t="str">
        <x:v>Mẫu không đạt chỉ tiêu lượng thiếu; thông tin trên nhãn khác thông tin kê khai trên Phiếu công bố.</x:v>
      </x:c>
      <x:c r="M67" t="str">
        <x:v>https://www.kiemnghiemdanang.vn/index.php?Itemid=672&amp;id=96&amp;limitstart=15&amp;option=com_content&amp;view=category</x:v>
      </x:c>
      <x:c r="N67" t="str">
        <x:v>TP. Hồ Chí Minh</x:v>
      </x:c>
      <x:c r="O67" t="str">
        <x:v>79</x:v>
      </x:c>
    </x:row>
    <x:row r="68">
      <x:c r="A68" t="str">
        <x:v>HCM-PUB-067</x:v>
      </x:c>
      <x:c r="B68" s="330" t="n">
        <x:v>45856</x:v>
      </x:c>
      <x:c r="C68" t="n">
        <x:v>2023</x:v>
      </x:c>
      <x:c r="D68" t="str">
        <x:v>004405/23/CBMP-HCM</x:v>
      </x:c>
      <x:c r="E68" t="str">
        <x:v>Dầu mù u Thái Dương</x:v>
      </x:c>
      <x:c r="F68"/>
      <x:c r="G68" t="str">
        <x:v>Khác</x:v>
      </x:c>
      <x:c r="H68" t="str">
        <x:v>Công ty TNHH dược phẩm Đại Hưng</x:v>
      </x:c>
      <x:c r="I68" t="str">
        <x:v>Phòng 14B03 tòa nhà Ruby Land, số 58/4 Lũy Bán Bích, phường Tân Thới Hòa, quận Tân Phú, TP. Hồ Chí Minh</x:v>
      </x:c>
      <x:c r="J68" t="str">
        <x:v>Chi nhánh Công ty TNHH sản xuất thương mại dịch vụ Contra - xưởng sản xuất</x:v>
      </x:c>
      <x:c r="K68" t="str">
        <x:v>Thu hồi/tiêu hủy 04 lô; cảnh báo nguồn gốc</x:v>
      </x:c>
      <x:c r="L68" t="str">
        <x:v>04 lô bị thông báo không rõ nguồn gốc, không đạt tiêu chuẩn chất lượng về chỉ tiêu thể tích.</x:v>
      </x:c>
      <x:c r="M68" t="str">
        <x:v>https://soyte.hatinh.gov.vn/tin-tuc-su-kien/thong-tin-y-te/duoc-my-pham-trang-thiet-bi-y-te/so-y-te-thong-bao-thu-hoi-tieu-huy-san-pham-khong-ro-nguon-g.html</x:v>
      </x:c>
      <x:c r="N68" t="str">
        <x:v>TP. Hồ Chí Minh</x:v>
      </x:c>
      <x:c r="O68" t="str">
        <x:v>79</x:v>
      </x:c>
    </x:row>
    <x:row r="69">
      <x:c r="A69" t="str">
        <x:v>HCM-PUB-068</x:v>
      </x:c>
      <x:c r="B69" s="330" t="n">
        <x:v>46175</x:v>
      </x:c>
      <x:c r="C69" t="n">
        <x:v>2025</x:v>
      </x:c>
      <x:c r="D69" t="str">
        <x:v>002013/25/CBMP-HCM</x:v>
      </x:c>
      <x:c r="E69" t="str">
        <x:v>Coop Select Dung dịch vệ sinh phụ nữ</x:v>
      </x:c>
      <x:c r="F69" t="str">
        <x:v>Coop Select</x:v>
      </x:c>
      <x:c r="G69" t="str">
        <x:v>Dung dịch vệ sinh</x:v>
      </x:c>
      <x:c r="H69" t="str">
        <x:v>Công ty cổ phần đầu tư thương mại Trường Dương</x:v>
      </x:c>
      <x:c r="I69" t="str">
        <x:v>160 Trương Công Định, phường Tân Bình, TP. Hồ Chí Minh</x:v>
      </x:c>
      <x:c r="J69" t="str">
        <x:v>Chi nhánh Công ty cổ phần đầu tư thương mại Trường Dương</x:v>
      </x:c>
      <x:c r="K69" t="str">
        <x:v>Đình chỉ/thu hồi lô</x:v>
      </x:c>
      <x:c r="L69" t="str">
        <x:v>Lô S2510087 không đạt tiêu chuẩn chất lượng về chỉ tiêu giới hạn vi sinh vật.</x:v>
      </x:c>
      <x:c r="M69" t="str">
        <x:v>https://binhnguyen.hungyen.gov.vn/thong-bao-dinh-chi-luu-hanh-va-thu-hoi-san-pham-my-pham-c2419.html</x:v>
      </x:c>
      <x:c r="N69" t="str">
        <x:v>TP. Hồ Chí Minh</x:v>
      </x:c>
      <x:c r="O69" t="str">
        <x:v>79</x:v>
      </x:c>
    </x:row>
    <x:row r="70">
      <x:c r="A70" t="str">
        <x:v>HCM-PUB-069</x:v>
      </x:c>
      <x:c r="B70" s="330" t="n">
        <x:v>45615</x:v>
      </x:c>
      <x:c r="C70" t="n">
        <x:v>2022</x:v>
      </x:c>
      <x:c r="D70" t="str">
        <x:v>001513/22/CBMP-HCM</x:v>
      </x:c>
      <x:c r="E70" t="str">
        <x:v>Élite Cream 3 in 1 Care</x:v>
      </x:c>
      <x:c r="F70"/>
      <x:c r="G70" t="str">
        <x:v>Kem dưỡng da</x:v>
      </x:c>
      <x:c r="H70" t="str">
        <x:v>Công ty TNHH sản xuất và thương mại Nguyễn Quách</x:v>
      </x:c>
      <x:c r="I70" t="str">
        <x:v>25 đường 4C, Khu phố 4, phường An Lạc A, quận Bình Tân, TP. Hồ Chí Minh</x:v>
      </x:c>
      <x:c r="J70" t="str">
        <x:v>Chi nhánh Công ty TNHH sản xuất và thương mại Nguyễn Quách</x:v>
      </x:c>
      <x:c r="K70" t="str">
        <x:v>Đình chỉ/thu hồi lô</x:v>
      </x:c>
      <x:c r="L70" t="str">
        <x:v>Mẫu chứa Propylparaben và Acid salicylic không có trong công thức đã công bố.</x:v>
      </x:c>
      <x:c r="M70" t="str">
        <x:v>https://www.kiemnghiemdanang.vn/index.php?Itemid=672&amp;id=96&amp;limitstart=15&amp;option=com_content&amp;view=category</x:v>
      </x:c>
      <x:c r="N70" t="str">
        <x:v>TP. Hồ Chí Minh</x:v>
      </x:c>
      <x:c r="O70" t="str">
        <x:v>79</x:v>
      </x:c>
    </x:row>
    <x:row r="71">
      <x:c r="A71" t="str">
        <x:v>HCM-PUB-070</x:v>
      </x:c>
      <x:c r="B71" s="330" t="n">
        <x:v>45615</x:v>
      </x:c>
      <x:c r="C71" t="n">
        <x:v>2022</x:v>
      </x:c>
      <x:c r="D71" t="str">
        <x:v>2147/22/CBMP-HCM</x:v>
      </x:c>
      <x:c r="E71" t="str">
        <x:v>Kem ngừa nám, tàn nhang, đồi mồi, trắng da Mylove</x:v>
      </x:c>
      <x:c r="F71"/>
      <x:c r="G71" t="str">
        <x:v>Kem dưỡng da</x:v>
      </x:c>
      <x:c r="H71" t="str">
        <x:v>Công ty cổ phần mỹ phẩm Long Phụng Khang</x:v>
      </x:c>
      <x:c r="I71" t="str">
        <x:v>274/14 Quốc lộ 1K, khu phố 1, phường Linh Xuân, thành phố Thủ Đức, TP. Hồ Chí Minh</x:v>
      </x:c>
      <x:c r="J71" t="str">
        <x:v>Công ty cổ phần mỹ phẩm Long Phụng Khang</x:v>
      </x:c>
      <x:c r="K71" t="str">
        <x:v>Đình chỉ/thu hồi lô</x:v>
      </x:c>
      <x:c r="L71" t="str">
        <x:v>Mẫu chứa Propylparaben và Acid salicylic không có trong công thức đã công bố.</x:v>
      </x:c>
      <x:c r="M71" t="str">
        <x:v>https://www.kiemnghiemdanang.vn/index.php?Itemid=672&amp;id=96&amp;limitstart=15&amp;option=com_content&amp;view=category</x:v>
      </x:c>
      <x:c r="N71" t="str">
        <x:v>TP. Hồ Chí Minh</x:v>
      </x:c>
      <x:c r="O71" t="str">
        <x:v>79</x:v>
      </x:c>
    </x:row>
    <x:row r="72">
      <x:c r="A72" t="str">
        <x:v>HCM-PUB-071</x:v>
      </x:c>
      <x:c r="B72" s="330" t="n">
        <x:v>45615</x:v>
      </x:c>
      <x:c r="C72" t="n">
        <x:v>2023</x:v>
      </x:c>
      <x:c r="D72" t="str">
        <x:v>002094/23/CBMP-HCM</x:v>
      </x:c>
      <x:c r="E72" t="str">
        <x:v>Kem nám, trắng da Mủ trôm Tân Gia Khang</x:v>
      </x:c>
      <x:c r="F72"/>
      <x:c r="G72" t="str">
        <x:v>Kem dưỡng da</x:v>
      </x:c>
      <x:c r="H72" t="str">
        <x:v>Công ty TNHH sản xuất và thương mại mỹ phẩm Đăng Dương</x:v>
      </x:c>
      <x:c r="I72" t="str">
        <x:v>59 đường 1B, Khu phố 8, phường Bình Trị Đông B, quận Bình Tân, TP. Hồ Chí Minh</x:v>
      </x:c>
      <x:c r="J72" t="str">
        <x:v>Chi nhánh Công ty TNHH sản xuất và thương mại mỹ phẩm Đăng Dương</x:v>
      </x:c>
      <x:c r="K72" t="str">
        <x:v>Đình chỉ/thu hồi lô</x:v>
      </x:c>
      <x:c r="L72" t="str">
        <x:v>Mẫu chứa Propylparaben và Acid salicylic không có trong công thức đã công bố.</x:v>
      </x:c>
      <x:c r="M72" t="str">
        <x:v>https://www.kiemnghiemdanang.vn/index.php?Itemid=672&amp;id=96&amp;limitstart=15&amp;option=com_content&amp;view=category</x:v>
      </x:c>
      <x:c r="N72" t="str">
        <x:v>TP. Hồ Chí Minh</x:v>
      </x:c>
      <x:c r="O72" t="str">
        <x:v>79</x:v>
      </x:c>
    </x:row>
    <x:row r="73">
      <x:c r="A73" t="str">
        <x:v>HCM-PUB-072</x:v>
      </x:c>
      <x:c r="B73" s="330" t="n">
        <x:v>45922</x:v>
      </x:c>
      <x:c r="C73" t="n">
        <x:v>2023</x:v>
      </x:c>
      <x:c r="D73" t="str">
        <x:v>001053/23/CBMP-HCM</x:v>
      </x:c>
      <x:c r="E73" t="str">
        <x:v>Kem ngừa nám cao cấp</x:v>
      </x:c>
      <x:c r="F73"/>
      <x:c r="G73" t="str">
        <x:v>Kem dưỡng da</x:v>
      </x:c>
      <x:c r="H73" t="str">
        <x:v>Công ty TNHH sản xuất và thương mại mỹ phẩm Đăng Dương</x:v>
      </x:c>
      <x:c r="I73" t="str">
        <x:v>59 Đường số 1B, Khu phố 8, Phường Bình Trị Đông B, Quận Bình Tân, TP. Hồ Chí Minh</x:v>
      </x:c>
      <x:c r="J73" t="str">
        <x:v>Chi nhánh - Công ty TNHH sản xuất và thương mại mỹ phẩm Đăng Dương</x:v>
      </x:c>
      <x:c r="K73" t="str">
        <x:v>Đình chỉ/thu hồi toàn bộ sản phẩm (2025)</x:v>
      </x:c>
      <x:c r="L73" t="str">
        <x:v>Có thành phần công thức không đúng với thành phần công thức hồ sơ đã công bố.</x:v>
      </x:c>
      <x:c r="M73" t="str">
        <x:v>https://songray.dongnai.gov.vn/vi/news/canh-bao/dinh-chi-luu-hanh-thu-hoi-tren-toan-quoc-doi-voi-05-san-pham-cua-cong-ty-tnhh-san-xuat-va-thuong-mai-my-pham-dang-duong-120.html</x:v>
      </x:c>
      <x:c r="N73" t="str">
        <x:v>TP. Hồ Chí Minh</x:v>
      </x:c>
      <x:c r="O73" t="str">
        <x:v>79</x:v>
      </x:c>
    </x:row>
    <x:row r="74">
      <x:c r="A74" t="str">
        <x:v>HCM-PUB-073</x:v>
      </x:c>
      <x:c r="B74" s="330" t="n">
        <x:v>45922</x:v>
      </x:c>
      <x:c r="C74" t="n">
        <x:v>2023</x:v>
      </x:c>
      <x:c r="D74" t="str">
        <x:v>001048/23/CBMP-HCM</x:v>
      </x:c>
      <x:c r="E74" t="str">
        <x:v>Kem dưỡng trắng giúp tái tạo da</x:v>
      </x:c>
      <x:c r="F74"/>
      <x:c r="G74" t="str">
        <x:v>Kem dưỡng da</x:v>
      </x:c>
      <x:c r="H74" t="str">
        <x:v>Công ty TNHH sản xuất và thương mại mỹ phẩm Đăng Dương</x:v>
      </x:c>
      <x:c r="I74" t="str">
        <x:v>59 Đường số 1B, Khu phố 8, Phường Bình Trị Đông B, Quận Bình Tân, TP. Hồ Chí Minh</x:v>
      </x:c>
      <x:c r="J74" t="str">
        <x:v>Chi nhánh - Công ty TNHH sản xuất và thương mại mỹ phẩm Đăng Dương</x:v>
      </x:c>
      <x:c r="K74" t="str">
        <x:v>Đình chỉ/thu hồi toàn bộ sản phẩm (2025)</x:v>
      </x:c>
      <x:c r="L74" t="str">
        <x:v>Có thành phần công thức không đúng với thành phần công thức hồ sơ đã công bố.</x:v>
      </x:c>
      <x:c r="M74" t="str">
        <x:v>https://songray.dongnai.gov.vn/vi/news/canh-bao/dinh-chi-luu-hanh-thu-hoi-tren-toan-quoc-doi-voi-05-san-pham-cua-cong-ty-tnhh-san-xuat-va-thuong-mai-my-pham-dang-duong-120.html</x:v>
      </x:c>
      <x:c r="N74" t="str">
        <x:v>TP. Hồ Chí Minh</x:v>
      </x:c>
      <x:c r="O74" t="str">
        <x:v>79</x:v>
      </x:c>
    </x:row>
    <x:row r="75">
      <x:c r="A75" t="str">
        <x:v>HCM-PUB-074</x:v>
      </x:c>
      <x:c r="B75" s="330" t="n">
        <x:v>45922</x:v>
      </x:c>
      <x:c r="C75" t="n">
        <x:v>2023</x:v>
      </x:c>
      <x:c r="D75" t="str">
        <x:v>001047/23/CBMP-HCM</x:v>
      </x:c>
      <x:c r="E75" t="str">
        <x:v>Kem dưỡng trắng giúp phục hồi da</x:v>
      </x:c>
      <x:c r="F75"/>
      <x:c r="G75" t="str">
        <x:v>Kem dưỡng da</x:v>
      </x:c>
      <x:c r="H75" t="str">
        <x:v>Công ty TNHH sản xuất và thương mại mỹ phẩm Đăng Dương</x:v>
      </x:c>
      <x:c r="I75" t="str">
        <x:v>59 Đường số 1B, Khu phố 8, Phường Bình Trị Đông B, Quận Bình Tân, TP. Hồ Chí Minh</x:v>
      </x:c>
      <x:c r="J75" t="str">
        <x:v>Chi nhánh - Công ty TNHH sản xuất và thương mại mỹ phẩm Đăng Dương</x:v>
      </x:c>
      <x:c r="K75" t="str">
        <x:v>Đình chỉ/thu hồi toàn bộ sản phẩm (2025)</x:v>
      </x:c>
      <x:c r="L75" t="str">
        <x:v>Có thành phần công thức không đúng với thành phần công thức hồ sơ đã công bố.</x:v>
      </x:c>
      <x:c r="M75" t="str">
        <x:v>https://songray.dongnai.gov.vn/vi/news/canh-bao/dinh-chi-luu-hanh-thu-hoi-tren-toan-quoc-doi-voi-05-san-pham-cua-cong-ty-tnhh-san-xuat-va-thuong-mai-my-pham-dang-duong-120.html</x:v>
      </x:c>
      <x:c r="N75" t="str">
        <x:v>TP. Hồ Chí Minh</x:v>
      </x:c>
      <x:c r="O75" t="str">
        <x:v>79</x:v>
      </x:c>
    </x:row>
    <x:row r="76">
      <x:c r="A76" t="str">
        <x:v>HCM-PUB-075</x:v>
      </x:c>
      <x:c r="B76" s="330" t="n">
        <x:v>45922</x:v>
      </x:c>
      <x:c r="C76" t="n">
        <x:v>2023</x:v>
      </x:c>
      <x:c r="D76" t="str">
        <x:v>001011/23/CBMP-HCM</x:v>
      </x:c>
      <x:c r="E76" t="str">
        <x:v>Kem dưỡng trắng giúp ngừa lão hóa da</x:v>
      </x:c>
      <x:c r="F76"/>
      <x:c r="G76" t="str">
        <x:v>Kem dưỡng da</x:v>
      </x:c>
      <x:c r="H76" t="str">
        <x:v>Công ty TNHH sản xuất và thương mại mỹ phẩm Đăng Dương</x:v>
      </x:c>
      <x:c r="I76" t="str">
        <x:v>59 Đường số 1B, Khu phố 8, Phường Bình Trị Đông B, Quận Bình Tân, TP. Hồ Chí Minh</x:v>
      </x:c>
      <x:c r="J76" t="str">
        <x:v>Chi nhánh - Công ty TNHH sản xuất và thương mại mỹ phẩm Đăng Dương</x:v>
      </x:c>
      <x:c r="K76" t="str">
        <x:v>Đình chỉ/thu hồi toàn bộ sản phẩm (2025)</x:v>
      </x:c>
      <x:c r="L76" t="str">
        <x:v>Có thành phần công thức không đúng với thành phần công thức hồ sơ đã công bố.</x:v>
      </x:c>
      <x:c r="M76" t="str">
        <x:v>https://songray.dongnai.gov.vn/vi/news/canh-bao/dinh-chi-luu-hanh-thu-hoi-tren-toan-quoc-doi-voi-05-san-pham-cua-cong-ty-tnhh-san-xuat-va-thuong-mai-my-pham-dang-duong-120.html</x:v>
      </x:c>
      <x:c r="N76" t="str">
        <x:v>TP. Hồ Chí Minh</x:v>
      </x:c>
      <x:c r="O76" t="str">
        <x:v>79</x:v>
      </x:c>
    </x:row>
    <x:row r="77">
      <x:c r="A77" t="str">
        <x:v>HCM-PUB-076</x:v>
      </x:c>
      <x:c r="B77" s="330" t="n">
        <x:v>45922</x:v>
      </x:c>
      <x:c r="C77" t="n">
        <x:v>2023</x:v>
      </x:c>
      <x:c r="D77" t="str">
        <x:v>001680/23/CBMP-HCM</x:v>
      </x:c>
      <x:c r="E77" t="str">
        <x:v>Kem nám tàn nhang đồi mồi</x:v>
      </x:c>
      <x:c r="F77"/>
      <x:c r="G77" t="str">
        <x:v>Kem dưỡng da</x:v>
      </x:c>
      <x:c r="H77" t="str">
        <x:v>Công ty TNHH sản xuất và thương mại mỹ phẩm Đăng Dương</x:v>
      </x:c>
      <x:c r="I77" t="str">
        <x:v>59 Đường số 1B, Khu phố 8, Phường Bình Trị Đông B, Quận Bình Tân, TP. Hồ Chí Minh</x:v>
      </x:c>
      <x:c r="J77" t="str">
        <x:v>Chi nhánh - Công ty TNHH sản xuất và thương mại mỹ phẩm Đăng Dương</x:v>
      </x:c>
      <x:c r="K77" t="str">
        <x:v>Đình chỉ/thu hồi toàn bộ sản phẩm (2025)</x:v>
      </x:c>
      <x:c r="L77" t="str">
        <x:v>Có thành phần công thức không đúng với thành phần công thức hồ sơ đã công bố.</x:v>
      </x:c>
      <x:c r="M77" t="str">
        <x:v>https://songray.dongnai.gov.vn/vi/news/canh-bao/dinh-chi-luu-hanh-thu-hoi-tren-toan-quoc-doi-voi-05-san-pham-cua-cong-ty-tnhh-san-xuat-va-thuong-mai-my-pham-dang-duong-120.html</x:v>
      </x:c>
      <x:c r="N77" t="str">
        <x:v>TP. Hồ Chí Minh</x:v>
      </x:c>
      <x:c r="O77" t="str">
        <x:v>79</x:v>
      </x:c>
    </x:row>
    <x:row r="78">
      <x:c r="A78" t="str">
        <x:v>HCM-PUB-077</x:v>
      </x:c>
      <x:c r="B78" s="330" t="n">
        <x:v>46020</x:v>
      </x:c>
      <x:c r="C78" t="n">
        <x:v>2022</x:v>
      </x:c>
      <x:c r="D78" t="str">
        <x:v>003402/22/CBMP-HCM</x:v>
      </x:c>
      <x:c r="E78" t="str">
        <x:v>Kem trắng da, ngừa mụn, mờ vết thâm LYNSHAO</x:v>
      </x:c>
      <x:c r="F78" t="str">
        <x:v>LYNSHAO</x:v>
      </x:c>
      <x:c r="G78" t="str">
        <x:v>Kem dưỡng da</x:v>
      </x:c>
      <x:c r="H78" t="str">
        <x:v>Công ty cổ phần mỹ phẩm Long Phụng Khang</x:v>
      </x:c>
      <x:c r="I78" t="str">
        <x:v>274/14 Quốc lộ 1K, khu phố 1, phường Linh Xuân, TP. Hồ Chí Minh</x:v>
      </x:c>
      <x:c r="J78" t="str">
        <x:v>Công ty cổ phần mỹ phẩm Long Phụng Khang</x:v>
      </x:c>
      <x:c r="K78" t="str">
        <x:v>Đình chỉ/thu hồi lô (2025)</x:v>
      </x:c>
      <x:c r="L78" t="str">
        <x:v>Lô 02324QN bị thu hồi do mẫu chứa Dexamethason.</x:v>
      </x:c>
      <x:c r="M78" t="str">
        <x:v>https://soyte.hanoi.gov.vn/duoc-pham-65229/dinh-chi-luu-hanh-thu-hoi-tren-toan-quoc-lo-san-pham-kem-trang-da-ngua-mun-mo-vet-tham-lynshao-2849251228164739661.htm</x:v>
      </x:c>
      <x:c r="N78" t="str">
        <x:v>TP. Hồ Chí Minh</x:v>
      </x:c>
      <x:c r="O78" t="str">
        <x:v>79</x:v>
      </x:c>
    </x:row>
    <x:row r="79">
      <x:c r="A79" t="str">
        <x:v>HCM-PUB-078</x:v>
      </x:c>
      <x:c r="B79" s="330" t="n">
        <x:v>45853</x:v>
      </x:c>
      <x:c r="C79" t="n">
        <x:v>2022</x:v>
      </x:c>
      <x:c r="D79" t="str">
        <x:v>000330/22/CBMP-HCM</x:v>
      </x:c>
      <x:c r="E79" t="str">
        <x:v>Y lang Dầu gội đầu Y lang chí</x:v>
      </x:c>
      <x:c r="F79" t="str">
        <x:v>Y lang</x:v>
      </x:c>
      <x:c r="G79" t="str">
        <x:v>Dầu gội</x:v>
      </x:c>
      <x:c r="H79" t="str">
        <x:v>Công ty cổ phần Nam Đô</x:v>
      </x:c>
      <x:c r="I79" t="str">
        <x:v>117 Lê Hồng Phong, Phường 2, Quận 5, TP. Hồ Chí Minh</x:v>
      </x:c>
      <x:c r="J79" t="str">
        <x:v>Công ty cổ phần Nam Đô</x:v>
      </x:c>
      <x:c r="K79" t="str">
        <x:v>Đình chỉ/thu hồi lô; sản phẩm không được phân loại là mỹ phẩm (2025)</x:v>
      </x:c>
      <x:c r="L79" t="str">
        <x:v>Lô 011024:1; cơ quan quản lý kết luận sản phẩm không được phân loại là sản phẩm mỹ phẩm.</x:v>
      </x:c>
      <x:c r="M79" t="str">
        <x:v>https://thanhsen.hatinh.gov.vn/vi/bai-viet/uy-ban-nhan-dan-phuong-thanh-sen-thong-bao-ve-viec-dinh-chi-luu-hanh-thu-hoi-va-tieu-huy-san-pham-vi-pham</x:v>
      </x:c>
      <x:c r="N79" t="str">
        <x:v>TP. Hồ Chí Minh</x:v>
      </x:c>
      <x:c r="O79" t="str">
        <x:v>79</x:v>
      </x:c>
    </x:row>
    <x:row r="80">
      <x:c r="A80" t="str">
        <x:v>HCM-PUB-079</x:v>
      </x:c>
      <x:c r="B80" s="330" t="n">
        <x:v>45371</x:v>
      </x:c>
      <x:c r="C80" t="n">
        <x:v>2022</x:v>
      </x:c>
      <x:c r="D80" t="str">
        <x:v>001052/22/CBMP-HCM</x:v>
      </x:c>
      <x:c r="E80" t="str">
        <x:v>Kem dưỡng trắng da Young One</x:v>
      </x:c>
      <x:c r="F80" t="str">
        <x:v>Young One</x:v>
      </x:c>
      <x:c r="G80" t="str">
        <x:v>Kem dưỡng da</x:v>
      </x:c>
      <x:c r="H80" t="str">
        <x:v>Công ty TNHH hóa mỹ phẩm Chi Chi</x:v>
      </x:c>
      <x:c r="I80" t="str">
        <x:v>240/13/18D Nguyễn Văn Luông, phường 11, quận 6, TP. Hồ Chí Minh</x:v>
      </x:c>
      <x:c r="J80" t="str">
        <x:v>Công ty TNHH hóa mỹ phẩm Chi Chi</x:v>
      </x:c>
      <x:c r="K80" t="str">
        <x:v>Đình chỉ/thu hồi lô (2024)</x:v>
      </x:c>
      <x:c r="L80" t="str">
        <x:v>Lô TYO.0123 bị thu hồi do chứa Propylparaben không có trong thành phần công thức đã công bố.</x:v>
      </x:c>
      <x:c r="M80" t="str">
        <x:v>https://soyte.hatinh.gov.vn/tin-tuc-su-kien/thong-tin-y-te/duoc-my-pham-trang-thiet-bi-y-te/dinh-chi-luu-hanh-thu-hoi-va-tieu-huy-my-pham-kem-duong-tran.html</x:v>
      </x:c>
      <x:c r="N80" t="str">
        <x:v>TP. Hồ Chí Minh</x:v>
      </x:c>
      <x:c r="O80" t="str">
        <x:v>79</x:v>
      </x:c>
    </x:row>
    <x:row r="81">
      <x:c r="A81" t="str">
        <x:v>HCM-PUB-080</x:v>
      </x:c>
      <x:c r="B81" s="330" t="n">
        <x:v>45499</x:v>
      </x:c>
      <x:c r="C81" t="n">
        <x:v>2023</x:v>
      </x:c>
      <x:c r="D81" t="str">
        <x:v>003167/23/CBMP-HCM</x:v>
      </x:c>
      <x:c r="E81" t="str">
        <x:v>Conditioner</x:v>
      </x:c>
      <x:c r="F81" t="str">
        <x:v>Intasilk</x:v>
      </x:c>
      <x:c r="G81" t="str">
        <x:v>Dầu xả</x:v>
      </x:c>
      <x:c r="H81" t="str">
        <x:v>Công ty TNHH Hùng Đông Tinh</x:v>
      </x:c>
      <x:c r="I81" t="str">
        <x:v>10/6 Nguyễn Ảnh Thủ, xã Bà Điểm, huyện Hóc Môn, TP. Hồ Chí Minh</x:v>
      </x:c>
      <x:c r="J81" t="str">
        <x:v>Công ty TNHH mỹ phẩm Dạ Thảo Lan – Chi nhánh 2</x:v>
      </x:c>
      <x:c r="K81" t="str">
        <x:v>Đình chỉ/thu hồi toàn bộ sản phẩm (2024)</x:v>
      </x:c>
      <x:c r="L81" t="str">
        <x:v>Sản phẩm có công thức không đúng như hồ sơ công bố sản phẩm mỹ phẩm.</x:v>
      </x:c>
      <x:c r="M81" t="str">
        <x:v>https://binhphuoc.gov.vn/vi/syt/tra-cuu-thong-tin-hanh-nghe/dinh-chi-luu-hanh-thu-hoi-va-tieu-huy-my-pham-san-pham-conditioner-3840.html</x:v>
      </x:c>
      <x:c r="N81" t="str">
        <x:v>TP. Hồ Chí Minh</x:v>
      </x:c>
      <x:c r="O81" t="str">
        <x:v>79</x:v>
      </x:c>
    </x:row>
    <x:row r="82">
      <x:c r="A82" t="str">
        <x:v>HCM-PUB-081</x:v>
      </x:c>
      <x:c r="B82" s="330" t="n">
        <x:v>45890</x:v>
      </x:c>
      <x:c r="C82" t="n">
        <x:v>2022</x:v>
      </x:c>
      <x:c r="D82" t="str">
        <x:v>2083/22/CBMP-HCM</x:v>
      </x:c>
      <x:c r="E82" t="str">
        <x:v>Nước súc miệng Lesgo trẻ em</x:v>
      </x:c>
      <x:c r="F82"/>
      <x:c r="G82" t="str">
        <x:v>Chăm sóc răng miệng</x:v>
      </x:c>
      <x:c r="H82" t="str">
        <x:v>Công ty cổ phần Ellie</x:v>
      </x:c>
      <x:c r="I82" t="str">
        <x:v>Lô C6-2, đường D2, khu công nghiệp Tân Phú Trung, xã Củ Chi, TP. Hồ Chí Minh</x:v>
      </x:c>
      <x:c r="J82" t="str">
        <x:v>Công ty cổ phần Ellie</x:v>
      </x:c>
      <x:c r="K82" t="str">
        <x:v>Đình chỉ/thu hồi lô (2025)</x:v>
      </x:c>
      <x:c r="L82" t="str">
        <x:v>Lô 0426230724 bị thu hồi do Methylparaben không có trong thành phần công thức công bố.</x:v>
      </x:c>
      <x:c r="M82" t="str">
        <x:v>https://thanhnhat.daklak.gov.vn/cuc-quan-ly-duoc-bo-y-te-thong-bao-dinh-chi-luu-hanh-thu-hoi-va-tieu-huy-my-pham-khong-dat-chat-luong-2420-2400-2399-2308-11212.html</x:v>
      </x:c>
      <x:c r="N82" t="str">
        <x:v>TP. Hồ Chí Minh</x:v>
      </x:c>
      <x:c r="O82" t="str">
        <x:v>79</x:v>
      </x:c>
    </x:row>
    <x:row r="83">
      <x:c r="A83" t="str">
        <x:v>HCM-PUB-082</x:v>
      </x:c>
      <x:c r="B83" s="330" t="n">
        <x:v>45912</x:v>
      </x:c>
      <x:c r="C83" t="n">
        <x:v>2022</x:v>
      </x:c>
      <x:c r="D83" t="str">
        <x:v>005294/22/CBMP-HCM</x:v>
      </x:c>
      <x:c r="E83" t="str">
        <x:v>Lucci</x:v>
      </x:c>
      <x:c r="F83"/>
      <x:c r="G83" t="str">
        <x:v>Khác</x:v>
      </x:c>
      <x:c r="H83" t="str">
        <x:v>Công ty TNHH MTV sản xuất dược - mỹ phẩm GAMMA</x:v>
      </x:c>
      <x:c r="I83" t="str">
        <x:v>18 đường Nguyễn Hậu, phường Tân Thành, quận Tân Phú, TP. Hồ Chí Minh</x:v>
      </x:c>
      <x:c r="J83" t="str">
        <x:v>Chi nhánh - Công ty TNHH MTV sản xuất dược - mỹ phẩm GAMMA</x:v>
      </x:c>
      <x:c r="K83" t="str">
        <x:v>Đình chỉ/thu hồi toàn bộ sản phẩm (2025)</x:v>
      </x:c>
      <x:c r="L83" t="str">
        <x:v>Công dụng trên sản phẩm lưu thông không đúng với công dụng trong hồ sơ đã công bố.</x:v>
      </x:c>
      <x:c r="M83" t="str">
        <x:v>https://soyte.hanoi.gov.vn/duoc-pham-65229/dinh-chi-luu-hanh-thu-hoi-doi-voi-9-san-pham-my-pham-vi-pham-2849250925092345442.htm</x:v>
      </x:c>
      <x:c r="N83" t="str">
        <x:v>TP. Hồ Chí Minh</x:v>
      </x:c>
      <x:c r="O83" t="str">
        <x:v>79</x:v>
      </x:c>
    </x:row>
    <x:row r="84">
      <x:c r="A84" t="str">
        <x:v>HCM-BD-083</x:v>
      </x:c>
      <x:c r="B84" s="330" t="n">
        <x:v>46174</x:v>
      </x:c>
      <x:c r="C84" t="n">
        <x:v>2024</x:v>
      </x:c>
      <x:c r="D84" t="str">
        <x:v>695/24/CBMP-BD</x:v>
      </x:c>
      <x:c r="E84" t="str">
        <x:v>NƯỚC RỬA TAY BẢO VỆ DA SẠCH TAY LÀM BẾP BOTANIKA</x:v>
      </x:c>
      <x:c r="F84" t="str">
        <x:v>BOTANIKA</x:v>
      </x:c>
      <x:c r="G84" t="str">
        <x:v>Khác</x:v>
      </x:c>
      <x:c r="H84" t="str">
        <x:v>CÔNG TY CỔ PHẦN MARICO SOUTH EAST ASIA</x:v>
      </x:c>
      <x:c r="I84" t="str">
        <x:v>Số 3, đường số 5, KCN Sóng Thần 1, phường Dĩ An, TP. Hồ Chí Minh (trước đây: TP. Dĩ An, tỉnh Bình Dương)</x:v>
      </x:c>
      <x:c r="J84" t="str">
        <x:v>CÔNG TY CỔ PHẦN MARICO SOUTH EAST ASIA</x:v>
      </x:c>
      <x:c r="K84" t="str">
        <x:v>Thu hồi số tiếp nhận Phiếu công bố + đình chỉ/thu hồi lô</x:v>
      </x:c>
      <x:c r="L84" t="str">
        <x:v>Sản phẩm lưu thông có công thức không đúng như hồ sơ đã công bố; Cục QLD đề nghị Sở Y tế TP.HCM thu hồi số tiếp nhận.</x:v>
      </x:c>
      <x:c r="M84" t="str">
        <x:v>https://suckhoedoisong.vn/bo-y-te-thu-hoi-va-yeu-cau-tieu-huy-lo-sua-tam-nuoc-hoa-xmen-for-boss-intense-16926060122105492.htm</x:v>
      </x:c>
      <x:c r="N84" t="str">
        <x:v>TP. Hồ Chí Minh</x:v>
      </x:c>
      <x:c r="O84" t="str">
        <x:v>79</x:v>
      </x:c>
    </x:row>
    <x:row r="85">
      <x:c r="A85" t="str">
        <x:v>HCM-BD-084</x:v>
      </x:c>
      <x:c r="B85" s="330" t="n">
        <x:v>46174</x:v>
      </x:c>
      <x:c r="C85" t="n">
        <x:v>2025</x:v>
      </x:c>
      <x:c r="D85" t="str">
        <x:v>295/25/CBMP-BD</x:v>
      </x:c>
      <x:c r="E85" t="str">
        <x:v>SỮA TẮM NƯỚC HOA XMEN FOR BOSS INTENSE</x:v>
      </x:c>
      <x:c r="F85" t="str">
        <x:v>X-MEN FOR BOSS</x:v>
      </x:c>
      <x:c r="G85" t="str">
        <x:v>Sữa tắm/Gel tắm</x:v>
      </x:c>
      <x:c r="H85" t="str">
        <x:v>CÔNG TY CỔ PHẦN MARICO SOUTH EAST ASIA</x:v>
      </x:c>
      <x:c r="I85" t="str">
        <x:v>Số 3, đường số 5, KCN Sóng Thần 1, phường Dĩ An, TP. Hồ Chí Minh (trước đây: TP. Dĩ An, tỉnh Bình Dương)</x:v>
      </x:c>
      <x:c r="J85" t="str">
        <x:v>CÔNG TY CỔ PHẦN MARICO SOUTH EAST ASIA</x:v>
      </x:c>
      <x:c r="K85" t="str">
        <x:v>Thu hồi số tiếp nhận Phiếu công bố + đình chỉ/thu hồi lô</x:v>
      </x:c>
      <x:c r="L85" t="str">
        <x:v>Sản phẩm lưu thông có công thức không đúng như hồ sơ đã công bố; Cục QLD đề nghị Sở Y tế TP.HCM thu hồi số tiếp nhận.</x:v>
      </x:c>
      <x:c r="M85" t="str">
        <x:v>https://suckhoedoisong.vn/bo-y-te-thu-hoi-va-yeu-cau-tieu-huy-lo-sua-tam-nuoc-hoa-xmen-for-boss-intense-16926060122105492.htm</x:v>
      </x:c>
      <x:c r="N85" t="str">
        <x:v>TP. Hồ Chí Minh</x:v>
      </x:c>
      <x:c r="O85" t="str">
        <x:v>79</x:v>
      </x:c>
    </x:row>
    <x:row r="86">
      <x:c r="A86" t="str">
        <x:v>HN-PUB-085</x:v>
      </x:c>
      <x:c r="B86" s="330" t="n">
        <x:v>46007</x:v>
      </x:c>
      <x:c r="C86" t="n">
        <x:v>2023</x:v>
      </x:c>
      <x:c r="D86" t="str">
        <x:v>15077/23/CBMP-HN</x:v>
      </x:c>
      <x:c r="E86" t="str">
        <x:v>Dầu gội đầu suôn mượt</x:v>
      </x:c>
      <x:c r="F86"/>
      <x:c r="G86" t="str">
        <x:v>Dầu gội</x:v>
      </x:c>
      <x:c r="H86" t="str">
        <x:v>Công ty cổ phần mỹ phẩm Vimac</x:v>
      </x:c>
      <x:c r="I86" t="str">
        <x:v>Tầng 5, Tòa nhà 74 Miếu Đầm, phường Từ Liêm, TP. Hà Nội</x:v>
      </x:c>
      <x:c r="J86" t="str">
        <x:v>Công ty cổ phần mỹ phẩm Vimac</x:v>
      </x:c>
      <x:c r="K86" t="str">
        <x:v>Đình chỉ/thu hồi toàn bộ sản phẩm (2025)</x:v>
      </x:c>
      <x:c r="L86" t="str">
        <x:v>SX tại Ô CN08 CCN Nguyên Khê, xã Phúc Thịnh, Hà Nội.</x:v>
      </x:c>
      <x:c r="M86" t="str">
        <x:v>https://bachonglinh.hatinh.gov.vn/tin-tuc/dinh-chi-luu-hanh-thu-hoi-va-tieu-huy-my-pham-vi-pham-doi-voi-03-san-pham-cua-cong-ty-co-phan-my-pham-vimac</x:v>
      </x:c>
      <x:c r="N86" t="str">
        <x:v>Hà Nội</x:v>
      </x:c>
      <x:c r="O86" t="str">
        <x:v>01</x:v>
      </x:c>
    </x:row>
    <x:row r="87">
      <x:c r="A87" t="str">
        <x:v>HN-PUB-086</x:v>
      </x:c>
      <x:c r="B87" s="330" t="n">
        <x:v>46007</x:v>
      </x:c>
      <x:c r="C87" t="n">
        <x:v>2023</x:v>
      </x:c>
      <x:c r="D87" t="str">
        <x:v>15078/23/CBMP-HN</x:v>
      </x:c>
      <x:c r="E87" t="str">
        <x:v>Dầu sả suôn mượt</x:v>
      </x:c>
      <x:c r="F87"/>
      <x:c r="G87" t="str">
        <x:v>Dầu xả</x:v>
      </x:c>
      <x:c r="H87" t="str">
        <x:v>Công ty cổ phần mỹ phẩm Vimac</x:v>
      </x:c>
      <x:c r="I87" t="str">
        <x:v>Tầng 5, Tòa nhà 74 Miếu Đầm, phường Từ Liêm, TP. Hà Nội</x:v>
      </x:c>
      <x:c r="J87" t="str">
        <x:v>Công ty cổ phần mỹ phẩm Vimac</x:v>
      </x:c>
      <x:c r="K87" t="str">
        <x:v>Đình chỉ/thu hồi toàn bộ sản phẩm (2025)</x:v>
      </x:c>
      <x:c r="L87" t="str">
        <x:v>SX tại Ô CN08 CCN Nguyên Khê, xã Phúc Thịnh, Hà Nội.</x:v>
      </x:c>
      <x:c r="M87" t="str">
        <x:v>https://bachonglinh.hatinh.gov.vn/tin-tuc/dinh-chi-luu-hanh-thu-hoi-va-tieu-huy-my-pham-vi-pham-doi-voi-03-san-pham-cua-cong-ty-co-phan-my-pham-vimac</x:v>
      </x:c>
      <x:c r="N87" t="str">
        <x:v>Hà Nội</x:v>
      </x:c>
      <x:c r="O87" t="str">
        <x:v>01</x:v>
      </x:c>
    </x:row>
    <x:row r="88">
      <x:c r="A88" t="str">
        <x:v>HN-PUB-087</x:v>
      </x:c>
      <x:c r="B88" s="330" t="n">
        <x:v>46007</x:v>
      </x:c>
      <x:c r="C88" t="n">
        <x:v>2023</x:v>
      </x:c>
      <x:c r="D88" t="str">
        <x:v>15079/23/CBMP-HN</x:v>
      </x:c>
      <x:c r="E88" t="str">
        <x:v>Gel tắm dưỡng da</x:v>
      </x:c>
      <x:c r="F88"/>
      <x:c r="G88" t="str">
        <x:v>Sữa tắm/Gel tắm</x:v>
      </x:c>
      <x:c r="H88" t="str">
        <x:v>Công ty cổ phần mỹ phẩm Vimac</x:v>
      </x:c>
      <x:c r="I88" t="str">
        <x:v>Tầng 5, Tòa nhà 74 Miếu Đầm, phường Từ Liêm, TP. Hà Nội</x:v>
      </x:c>
      <x:c r="J88" t="str">
        <x:v>Công ty cổ phần mỹ phẩm Vimac</x:v>
      </x:c>
      <x:c r="K88" t="str">
        <x:v>Đình chỉ/thu hồi toàn bộ sản phẩm (2025)</x:v>
      </x:c>
      <x:c r="L88" t="str">
        <x:v>SX tại Ô CN08 CCN Nguyên Khê, xã Phúc Thịnh, Hà Nội.</x:v>
      </x:c>
      <x:c r="M88" t="str">
        <x:v>https://bachonglinh.hatinh.gov.vn/tin-tuc/dinh-chi-luu-hanh-thu-hoi-va-tieu-huy-my-pham-vi-pham-doi-voi-03-san-pham-cua-cong-ty-co-phan-my-pham-vimac</x:v>
      </x:c>
      <x:c r="N88" t="str">
        <x:v>Hà Nội</x:v>
      </x:c>
      <x:c r="O88" t="str">
        <x:v>01</x:v>
      </x:c>
    </x:row>
    <x:row r="89">
      <x:c r="A89" t="str">
        <x:v>HN-PUB-088</x:v>
      </x:c>
      <x:c r="B89" s="330" t="n">
        <x:v>46133</x:v>
      </x:c>
      <x:c r="C89" t="n">
        <x:v>2023</x:v>
      </x:c>
      <x:c r="D89" t="str">
        <x:v>16717/23/CBMP-HN</x:v>
      </x:c>
      <x:c r="E89" t="str">
        <x:v>THERAPY 3M</x:v>
      </x:c>
      <x:c r="F89" t="str">
        <x:v>THERAPY 3M</x:v>
      </x:c>
      <x:c r="G89" t="str">
        <x:v>Khác</x:v>
      </x:c>
      <x:c r="H89" t="str">
        <x:v>Công ty cổ phần dược mỹ phẩm 3M PHARMA</x:v>
      </x:c>
      <x:c r="I89" t="str">
        <x:v>TT6-23, khu đấu giá Tứ Hiệp - Thanh Trì, Hà Nội</x:v>
      </x:c>
      <x:c r="J89" t="str">
        <x:v>Công ty TNHH liên doanh dược mỹ phẩm IVYPHARMA</x:v>
      </x:c>
      <x:c r="K89" t="str">
        <x:v>Đình chỉ/thu hồi sản phẩm (2026)</x:v>
      </x:c>
      <x:c r="L89" t="str">
        <x:v>SX tại Hồng Vân, Hà Nội.</x:v>
      </x:c>
      <x:c r="M89" t="str">
        <x:v>https://phuhoa.dongnai.gov.vn/vi/news/hoat-dong-chinh-quyen-nha-nuoc/dinh-chi-luu-hanh-va-thu-hoi-va-tieu-huy-my-pham-vi-pham-379.html</x:v>
      </x:c>
      <x:c r="N89" t="str">
        <x:v>Hà Nội</x:v>
      </x:c>
      <x:c r="O89" t="str">
        <x:v>01</x:v>
      </x:c>
    </x:row>
    <x:row r="90">
      <x:c r="A90" t="str">
        <x:v>HN-PUB-089</x:v>
      </x:c>
      <x:c r="B90" s="330" t="n">
        <x:v>45806</x:v>
      </x:c>
      <x:c r="C90" t="n">
        <x:v>2023</x:v>
      </x:c>
      <x:c r="D90" t="str">
        <x:v>18185/23/CBMP-HN</x:v>
      </x:c>
      <x:c r="E90" t="str">
        <x:v>Evit mù U</x:v>
      </x:c>
      <x:c r="F90"/>
      <x:c r="G90" t="str">
        <x:v>Khác</x:v>
      </x:c>
      <x:c r="H90" t="str">
        <x:v>Công ty cổ phần Hóa dược Việt Nam</x:v>
      </x:c>
      <x:c r="I90" t="str">
        <x:v>273 phố Tây Sơn, Đống Đa, Hà Nội</x:v>
      </x:c>
      <x:c r="J90" t="str">
        <x:v>Công ty cổ phần Hóa dược Việt Nam</x:v>
      </x:c>
      <x:c r="K90" t="str">
        <x:v>Đình chỉ/thu hồi lô (2025)</x:v>
      </x:c>
      <x:c r="L90" t="str">
        <x:v>SX tại 192 Đức Giang, Long Biên, Hà Nội.</x:v>
      </x:c>
      <x:c r="M90" t="str">
        <x:v>https://binhphuoc.gov.vn/vi/syt/duoc-pham-my-pham/dinh-chi-luu-hanh-thu-hoi-va-tieu-huy-my-pham-khong-dat-tieu-chuan-chat-luong-5381.html</x:v>
      </x:c>
      <x:c r="N90" t="str">
        <x:v>Hà Nội</x:v>
      </x:c>
      <x:c r="O90" t="str">
        <x:v>01</x:v>
      </x:c>
    </x:row>
    <x:row r="91">
      <x:c r="A91" t="str">
        <x:v>HN-PUB-090</x:v>
      </x:c>
      <x:c r="B91" s="330" t="n">
        <x:v>45889</x:v>
      </x:c>
      <x:c r="C91" t="n">
        <x:v>2023</x:v>
      </x:c>
      <x:c r="D91" t="str">
        <x:v>15527/23/CBMP-HN</x:v>
      </x:c>
      <x:c r="E91" t="str">
        <x:v>Gel nhiệt miệng Fobe Mouth Ulcer</x:v>
      </x:c>
      <x:c r="F91" t="str">
        <x:v>Fobe</x:v>
      </x:c>
      <x:c r="G91" t="str">
        <x:v>Khác</x:v>
      </x:c>
      <x:c r="H91" t="str">
        <x:v>Công ty cổ phần Fobelife</x:v>
      </x:c>
      <x:c r="I91" t="str">
        <x:v>137/1A Nguyễn Quý Anh, Tân Sơn Nhì, TP.HCM</x:v>
      </x:c>
      <x:c r="J91" t="str">
        <x:v>Công ty TNHH công nghệ sinh học dược mỹ phẩm SJK</x:v>
      </x:c>
      <x:c r="K91" t="str">
        <x:v>Đình chỉ/thu hồi lô (2025)</x:v>
      </x:c>
      <x:c r="L91" t="str">
        <x:v>SX tại KCN Phú Nghĩa, Hà Nội.</x:v>
      </x:c>
      <x:c r="M91" t="str">
        <x:v>https://syt.bacninh.gov.vn/news/-/details/184573/-inh-chi-luu-hanh-thu-hoi-va-tieu-huy-my-pham-khong-at-chat-luong-13578617</x:v>
      </x:c>
      <x:c r="N91" t="str">
        <x:v>Hà Nội</x:v>
      </x:c>
      <x:c r="O91" t="str">
        <x:v>01</x:v>
      </x:c>
    </x:row>
    <x:row r="92">
      <x:c r="A92" t="str">
        <x:v>HN-PUB-091</x:v>
      </x:c>
      <x:c r="B92" s="330" t="n">
        <x:v>45910</x:v>
      </x:c>
      <x:c r="C92" t="n">
        <x:v>2024</x:v>
      </x:c>
      <x:c r="D92" t="str">
        <x:v>19052/24/CBMP-HN</x:v>
      </x:c>
      <x:c r="E92" t="str">
        <x:v>Dung dịch vệ sinh phụ nữ Ori Women Pluss</x:v>
      </x:c>
      <x:c r="F92" t="str">
        <x:v>Ori Women Pluss</x:v>
      </x:c>
      <x:c r="G92" t="str">
        <x:v>Dung dịch vệ sinh</x:v>
      </x:c>
      <x:c r="H92" t="str">
        <x:v>Công ty cổ phần thảo dược và thiết bị y tế Bảo Minh Châu</x:v>
      </x:c>
      <x:c r="I92" t="str">
        <x:v>392 Nguyễn Lương Bằng, Phù Liễn, Hải Phòng</x:v>
      </x:c>
      <x:c r="J92" t="str">
        <x:v>Công ty TNHH công nghệ sinh học dược mỹ phẩm SJK</x:v>
      </x:c>
      <x:c r="K92" t="str">
        <x:v>Đình chỉ/thu hồi lô (2025)</x:v>
      </x:c>
      <x:c r="L92" t="str">
        <x:v>SX tại KCN Phú Nghĩa, Hà Nội.</x:v>
      </x:c>
      <x:c r="M92" t="str">
        <x:v>https://phuhoa.dongnai.gov.vn/vi/news/thong-bao/dinh-chi-luu-hanh-va-thu-hoi-my-pham-khong-dat-tieu-chuan-chat-luong-126.html</x:v>
      </x:c>
      <x:c r="N92" t="str">
        <x:v>Hà Nội</x:v>
      </x:c>
      <x:c r="O92" t="str">
        <x:v>01</x:v>
      </x:c>
    </x:row>
    <x:row r="93">
      <x:c r="A93" t="str">
        <x:v>HN-PUB-092</x:v>
      </x:c>
      <x:c r="B93" s="330" t="n">
        <x:v>45868</x:v>
      </x:c>
      <x:c r="C93" t="n">
        <x:v>2023</x:v>
      </x:c>
      <x:c r="D93" t="str">
        <x:v>16682/23/CBMP-HN</x:v>
      </x:c>
      <x:c r="E93" t="str">
        <x:v>Sữa chống nắng DSK UV</x:v>
      </x:c>
      <x:c r="F93" t="str">
        <x:v>DSK</x:v>
      </x:c>
      <x:c r="G93" t="str">
        <x:v>Kem chống nắng</x:v>
      </x:c>
      <x:c r="H93" t="str">
        <x:v>Công ty cổ phần dược phẩm VSHINE</x:v>
      </x:c>
      <x:c r="I93" t="str">
        <x:v>24 ngõ 118 Nguyễn Khánh Toàn, Cầu Giấy, Hà Nội</x:v>
      </x:c>
      <x:c r="J93" t="str">
        <x:v>Công ty cổ phần dược mỹ phẩm Kosna Việt Nam</x:v>
      </x:c>
      <x:c r="K93" t="str">
        <x:v>Đình chỉ/thu hồi lô (2025)</x:v>
      </x:c>
      <x:c r="L93" t="str">
        <x:v>SX tại Dương Liễu, Hoài Đức, Hà Nội.</x:v>
      </x:c>
      <x:c r="M93" t="str">
        <x:v>https://iako.gialai.gov.vn/tin-tuc/ve-viec-dinh-chi-luu-hanh-thu-hoi-va-tieu-huy-my-pham-khong-dat-tieu-chuan-chat-luong.html</x:v>
      </x:c>
      <x:c r="N93" t="str">
        <x:v>Hà Nội</x:v>
      </x:c>
      <x:c r="O93" t="str">
        <x:v>01</x:v>
      </x:c>
    </x:row>
  </x:sheetData>
  <x:pageMargins left="0.7" right="0.7" top="0.75" bottom="0.75" header="0.3" footer="0.3"/>
</x:worksheet>
</file>

<file path=xl/worksheets/sheet44.xml><?xml version="1.0" encoding="utf-8"?>
<x:worksheet xmlns:x="http://schemas.openxmlformats.org/spreadsheetml/2006/main">
  <x:sheetFormatPr baseColWidth="8" defaultRowHeight="15"/>
  <x:cols>
    <x:col min="1" max="1" width="7" style="91" customWidth="1"/>
    <x:col min="2" max="2" width="20" style="91" customWidth="1"/>
    <x:col min="3" max="3" width="42" style="91" customWidth="1"/>
    <x:col min="4" max="4" width="18" style="91" customWidth="1"/>
    <x:col min="5" max="5" width="18" style="91" customWidth="1"/>
    <x:col min="6" max="6" width="18" style="91" customWidth="1"/>
    <x:col min="7" max="7" width="14" style="91" customWidth="1"/>
    <x:col min="8" max="8" width="38" style="91" customWidth="1"/>
    <x:col min="9" max="9" width="28" style="91" customWidth="1"/>
    <x:col min="10" max="10" width="52" style="91" customWidth="1"/>
  </x:cols>
  <x:sheetData>
    <x:row r="1" s="91" customFormat="1" ht="48" customHeight="1">
      <x:c r="A1" s="276" t="inlineStr">
        <x:is>
          <x:t xml:space="preserve">STT</x:t>
        </x:is>
      </x:c>
      <x:c r="B1" s="276" t="inlineStr">
        <x:is>
          <x:t xml:space="preserve">Địa phương</x:t>
        </x:is>
      </x:c>
      <x:c r="C1" s="276" t="inlineStr">
        <x:is>
          <x:t xml:space="preserve">Loại nguồn</x:t>
        </x:is>
      </x:c>
      <x:c r="D1" s="276" t="inlineStr">
        <x:is>
          <x:t xml:space="preserve">Tổng record nguồn đã biết</x:t>
        </x:is>
      </x:c>
      <x:c r="E1" s="276" t="inlineStr">
        <x:is>
          <x:t xml:space="preserve">Record đã nạp từ luồng</x:t>
        </x:is>
      </x:c>
      <x:c r="F1" s="276" t="inlineStr">
        <x:is>
          <x:t xml:space="preserve">Record sự kiện pháp lý</x:t>
        </x:is>
      </x:c>
      <x:c r="G1" s="276" t="inlineStr">
        <x:is>
          <x:t xml:space="preserve">Độ phủ nguồn %</x:t>
        </x:is>
      </x:c>
      <x:c r="H1" s="276" t="inlineStr">
        <x:is>
          <x:t xml:space="preserve">Trạng thái nguồn</x:t>
        </x:is>
      </x:c>
      <x:c r="I1" s="276" t="inlineStr">
        <x:is>
          <x:t xml:space="preserve">Dùng tính thị trường?</x:t>
        </x:is>
      </x:c>
      <x:c r="J1" s="276" t="inlineStr">
        <x:is>
          <x:t xml:space="preserve">Ghi chú</x:t>
        </x:is>
      </x:c>
      <x:c r="K1" s="272" t="n"/>
      <x:c r="L1" s="272" t="n"/>
      <x:c r="M1" s="272" t="n"/>
      <x:c r="N1" s="272" t="n"/>
      <x:c r="O1" s="272" t="n"/>
      <x:c r="P1" s="272" t="n"/>
      <x:c r="Q1" s="272" t="n"/>
      <x:c r="R1" s="272" t="n"/>
      <x:c r="S1" s="272" t="n"/>
      <x:c r="T1" s="272" t="n"/>
      <x:c r="U1" s="272" t="n"/>
      <x:c r="V1" s="272" t="n"/>
      <x:c r="W1" s="272" t="n"/>
      <x:c r="X1" s="272" t="n"/>
      <x:c r="Y1" s="272" t="n"/>
      <x:c r="Z1" s="272" t="n"/>
    </x:row>
    <x:row r="2">
      <x:c r="A2" t="inlineStr">
        <x:is>
          <x:t xml:space="preserve">01-A</x:t>
        </x:is>
      </x:c>
      <x:c r="B2" t="inlineStr">
        <x:is>
          <x:t xml:space="preserve">TP. Hồ Chí Minh</x:t>
        </x:is>
      </x:c>
      <x:c r="C2" t="inlineStr">
        <x:is>
          <x:t xml:space="preserve">Kho trực tiếp Phiếu tiếp nhận Công bố mỹ phẩm</x:t>
        </x:is>
      </x:c>
      <x:c r="D2" t="n">
        <x:v>39614</x:v>
      </x:c>
      <x:c r="E2" t="n">
        <x:v>20</x:v>
      </x:c>
      <x:c r="F2" t="n">
        <x:v>0</x:v>
      </x:c>
      <x:c r="G2" s="319" t="n">
        <x:f>IF(D2="","",IF(D2=0,"",E2/D2))</x:f>
        <x:v>0.0005048720149442116</x:v>
      </x:c>
      <x:c r="H2" t="inlineStr">
        <x:is>
          <x:t xml:space="preserve">Nguồn lõi đã xác nhận; batch đầu 20/39.614</x:t>
        </x:is>
      </x:c>
      <x:c r="I2" t="inlineStr">
        <x:is>
          <x:t xml:space="preserve">Có – sau dedupe</x:t>
        </x:is>
      </x:c>
      <x:c r="J2" t="inlineStr">
        <x:is>
          <x:t xml:space="preserve">Số nguồn có thể chồng với MEDINET/QC/CFS; không cộng các luồng với nhau.</x:t>
        </x:is>
      </x:c>
    </x:row>
    <x:row r="3">
      <x:c r="A3" t="inlineStr">
        <x:is>
          <x:t xml:space="preserve">01-B</x:t>
        </x:is>
      </x:c>
      <x:c r="B3" t="inlineStr">
        <x:is>
          <x:t xml:space="preserve">TP. Hồ Chí Minh</x:t>
        </x:is>
      </x:c>
      <x:c r="C3" t="inlineStr">
        <x:is>
          <x:t xml:space="preserve">MEDINET HCM cũ – declaration</x:t>
        </x:is>
      </x:c>
      <x:c r="E3" t="n">
        <x:v>19</x:v>
      </x:c>
      <x:c r="F3" t="n">
        <x:v>0</x:v>
      </x:c>
      <x:c r="G3" s="319" t="str">
        <x:f>IF(D3="","",IF(D3=0,"",E3/D3))</x:f>
      </x:c>
      <x:c r="H3" t="inlineStr">
        <x:is>
          <x:t xml:space="preserve">Seed/index chưa đủ</x:t>
        </x:is>
      </x:c>
      <x:c r="I3" t="inlineStr">
        <x:is>
          <x:t xml:space="preserve">Có khi đủ</x:t>
        </x:is>
      </x:c>
      <x:c r="J3" t="inlineStr">
        <x:is>
          <x:t xml:space="preserve">Nguồn lịch sử TP.HCM cũ; có thể trùng kho trực tiếp.</x:t>
        </x:is>
      </x:c>
    </x:row>
    <x:row r="4">
      <x:c r="A4" t="inlineStr">
        <x:is>
          <x:t xml:space="preserve">01-C</x:t>
        </x:is>
      </x:c>
      <x:c r="B4" t="inlineStr">
        <x:is>
          <x:t xml:space="preserve">TP. Hồ Chí Minh</x:t>
        </x:is>
      </x:c>
      <x:c r="C4" t="inlineStr">
        <x:is>
          <x:t xml:space="preserve">Cross-check CBMP-HCM qua QC/CFS</x:t>
        </x:is>
      </x:c>
      <x:c r="E4" t="n">
        <x:v>25</x:v>
      </x:c>
      <x:c r="F4" t="n">
        <x:v>0</x:v>
      </x:c>
      <x:c r="G4" s="319" t="str">
        <x:f>IF(D4="","",IF(D4=0,"",E4/D4))</x:f>
      </x:c>
      <x:c r="H4" t="inlineStr">
        <x:is>
          <x:t xml:space="preserve">Batch cross-check đã nạp</x:t>
        </x:is>
      </x:c>
      <x:c r="I4" t="inlineStr">
        <x:is>
          <x:t xml:space="preserve">Có – record xác định</x:t>
        </x:is>
      </x:c>
      <x:c r="J4" t="inlineStr">
        <x:is>
          <x:t xml:space="preserve">Nguồn phụ chính thức; dedupe bằng số CBMP.</x:t>
        </x:is>
      </x:c>
    </x:row>
    <x:row r="5">
      <x:c r="A5" t="inlineStr">
        <x:is>
          <x:t xml:space="preserve">01-D</x:t>
        </x:is>
      </x:c>
      <x:c r="B5" t="inlineStr">
        <x:is>
          <x:t xml:space="preserve">TP. Hồ Chí Minh</x:t>
        </x:is>
      </x:c>
      <x:c r="C5" t="inlineStr">
        <x:is>
          <x:t xml:space="preserve">Cross-check CBMP-BD – Bình Dương cũ</x:t>
        </x:is>
      </x:c>
      <x:c r="E5" t="n">
        <x:v>22</x:v>
      </x:c>
      <x:c r="F5" t="n">
        <x:v>0</x:v>
      </x:c>
      <x:c r="G5" s="319" t="str">
        <x:f>IF(D5="","",IF(D5=0,"",E5/D5))</x:f>
      </x:c>
      <x:c r="H5" t="inlineStr">
        <x:is>
          <x:t xml:space="preserve">Batch Bình Dương cũ đã nạp</x:t>
        </x:is>
      </x:c>
      <x:c r="I5" t="inlineStr">
        <x:is>
          <x:t xml:space="preserve">Có – record xác định</x:t>
        </x:is>
      </x:c>
      <x:c r="J5" t="inlineStr">
        <x:is>
          <x:t xml:space="preserve">Cần bulk Bình Dương cũ; có thể đã được hợp nhất vào portal hiện hành.</x:t>
        </x:is>
      </x:c>
    </x:row>
    <x:row r="6">
      <x:c r="A6" t="inlineStr">
        <x:is>
          <x:t xml:space="preserve">01-E</x:t>
        </x:is>
      </x:c>
      <x:c r="B6" t="inlineStr">
        <x:is>
          <x:t xml:space="preserve">TP. Hồ Chí Minh</x:t>
        </x:is>
      </x:c>
      <x:c r="C6" t="inlineStr">
        <x:is>
          <x:t xml:space="preserve">Tra cứu quảng cáo mỹ phẩm</x:t>
        </x:is>
      </x:c>
      <x:c r="D6" t="n">
        <x:v>3533</x:v>
      </x:c>
      <x:c r="E6" t="n">
        <x:v>0</x:v>
      </x:c>
      <x:c r="F6" t="n">
        <x:v>0</x:v>
      </x:c>
      <x:c r="G6" s="319" t="n">
        <x:f>IF(D6="","",IF(D6=0,"",E6/D6))</x:f>
        <x:v>0</x:v>
      </x:c>
      <x:c r="H6" t="inlineStr">
        <x:is>
          <x:t xml:space="preserve">Reverse lookup lớn</x:t>
        </x:is>
      </x:c>
      <x:c r="I6" t="inlineStr">
        <x:is>
          <x:t xml:space="preserve">Không</x:t>
        </x:is>
      </x:c>
      <x:c r="J6" t="inlineStr">
        <x:is>
          <x:t xml:space="preserve">3.533 là hồ sơ quảng cáo, không phải declaration.</x:t>
        </x:is>
      </x:c>
    </x:row>
    <x:row r="7">
      <x:c r="A7" t="inlineStr">
        <x:is>
          <x:t xml:space="preserve">01-F</x:t>
        </x:is>
      </x:c>
      <x:c r="B7" t="inlineStr">
        <x:is>
          <x:t xml:space="preserve">TP. Hồ Chí Minh</x:t>
        </x:is>
      </x:c>
      <x:c r="C7" t="inlineStr">
        <x:is>
          <x:t xml:space="preserve">Tra cứu CFS</x:t>
        </x:is>
      </x:c>
      <x:c r="D7" t="n">
        <x:v>7</x:v>
      </x:c>
      <x:c r="E7" t="n">
        <x:v>0</x:v>
      </x:c>
      <x:c r="F7" t="n">
        <x:v>0</x:v>
      </x:c>
      <x:c r="G7" s="319" t="n">
        <x:f>IF(D7="","",IF(D7=0,"",E7/D7))</x:f>
        <x:v>0</x:v>
      </x:c>
      <x:c r="H7" t="inlineStr">
        <x:is>
          <x:t xml:space="preserve">Đã khai thác trang hiện tại</x:t>
        </x:is>
      </x:c>
      <x:c r="I7" t="inlineStr">
        <x:is>
          <x:t xml:space="preserve">Không trực tiếp</x:t>
        </x:is>
      </x:c>
      <x:c r="J7" t="inlineStr">
        <x:is>
          <x:t xml:space="preserve">Dùng cross-check số công bố/nhà máy.</x:t>
        </x:is>
      </x:c>
    </x:row>
    <x:row r="8">
      <x:c r="A8" t="inlineStr">
        <x:is>
          <x:t xml:space="preserve">01-G</x:t>
        </x:is>
      </x:c>
      <x:c r="B8" t="inlineStr">
        <x:is>
          <x:t xml:space="preserve">TP. Hồ Chí Minh</x:t>
        </x:is>
      </x:c>
      <x:c r="C8" t="inlineStr">
        <x:is>
          <x:t xml:space="preserve">Cơ sở đủ điều kiện sản xuất mỹ phẩm</x:t>
        </x:is>
      </x:c>
      <x:c r="D8" t="n">
        <x:v>250</x:v>
      </x:c>
      <x:c r="E8" t="n">
        <x:v>20</x:v>
      </x:c>
      <x:c r="F8" t="n">
        <x:v>0</x:v>
      </x:c>
      <x:c r="G8" s="319" t="n">
        <x:f>E8/D8</x:f>
        <x:v>0.08</x:v>
      </x:c>
      <x:c r="H8" t="inlineStr">
        <x:is>
          <x:t xml:space="preserve">Đã nạp 20/250 cơ sở; đã lập HCM_FACTORY_CLUSTER</x:t>
        </x:is>
      </x:c>
      <x:c r="I8" t="inlineStr">
        <x:is>
          <x:t xml:space="preserve">Không</x:t>
        </x:is>
      </x:c>
      <x:c r="J8" t="inlineStr">
        <x:is>
          <x:t xml:space="preserve">Lớp FACTORY; ưu tiên Tân Tạo, Củ Chi, VSIP, Quận 12, Thủ Đức.</x:t>
        </x:is>
      </x:c>
    </x:row>
    <x:row r="9">
      <x:c r="A9" t="inlineStr">
        <x:is>
          <x:t xml:space="preserve">01-H</x:t>
        </x:is>
      </x:c>
      <x:c r="B9" t="inlineStr">
        <x:is>
          <x:t xml:space="preserve">TP. Hồ Chí Minh</x:t>
        </x:is>
      </x:c>
      <x:c r="C9" t="inlineStr">
        <x:is>
          <x:t xml:space="preserve">Bà Rịa–Vũng Tàu cũ – archive/legal</x:t>
        </x:is>
      </x:c>
      <x:c r="E9" t="n">
        <x:v>0</x:v>
      </x:c>
      <x:c r="F9" t="n">
        <x:v>0</x:v>
      </x:c>
      <x:c r="G9" s="319" t="str">
        <x:f>IF(D9="","",IF(D9=0,"",E9/D9))</x:f>
      </x:c>
      <x:c r="H9" t="inlineStr">
        <x:is>
          <x:t xml:space="preserve">Đã xác nhận archive</x:t>
        </x:is>
      </x:c>
      <x:c r="I9" t="inlineStr">
        <x:is>
          <x:t xml:space="preserve">Chưa</x:t>
        </x:is>
      </x:c>
      <x:c r="J9" t="inlineStr">
        <x:is>
          <x:t xml:space="preserve">Cần tìm bulk declaration BRVT cũ; ưu tiên Phú Mỹ/Vũng Tàu.</x:t>
        </x:is>
      </x:c>
    </x:row>
    <x:row r="10">
      <x:c r="A10" t="inlineStr">
        <x:is>
          <x:t xml:space="preserve">02</x:t>
        </x:is>
      </x:c>
      <x:c r="B10" t="inlineStr">
        <x:is>
          <x:t xml:space="preserve">Hà Nội</x:t>
        </x:is>
      </x:c>
      <x:c r="C10" t="inlineStr">
        <x:is>
          <x:t xml:space="preserve">Danh sách cấp/thu hồi 3748</x:t>
        </x:is>
      </x:c>
      <x:c r="E10" t="n">
        <x:v>0</x:v>
      </x:c>
      <x:c r="F10" t="n">
        <x:v>3</x:v>
      </x:c>
      <x:c r="G10" s="319" t="str">
        <x:f>IF(D10="","",IF(D10=0,"",E10/D10))</x:f>
      </x:c>
      <x:c r="H10" t="inlineStr">
        <x:is>
          <x:t xml:space="preserve">3 file chưa ingest</x:t>
        </x:is>
      </x:c>
      <x:c r="I10" t="inlineStr">
        <x:is>
          <x:t xml:space="preserve">Chưa</x:t>
        </x:is>
      </x:c>
      <x:c r="J10" t="inlineStr">
        <x:is>
          <x:t xml:space="preserve">Phải tách declaration/legal.</x:t>
        </x:is>
      </x:c>
    </x:row>
    <x:row r="11">
      <x:c r="A11" t="inlineStr">
        <x:is>
          <x:t xml:space="preserve">03-A</x:t>
        </x:is>
      </x:c>
      <x:c r="B11" t="inlineStr">
        <x:is>
          <x:t xml:space="preserve">Hải Phòng</x:t>
        </x:is>
      </x:c>
      <x:c r="C11" t="inlineStr">
        <x:is>
          <x:t xml:space="preserve">XLSX legacy Hải Dương 2024</x:t>
        </x:is>
      </x:c>
      <x:c r="D11" t="n">
        <x:v>409</x:v>
      </x:c>
      <x:c r="E11" t="n">
        <x:v>41</x:v>
      </x:c>
      <x:c r="F11" t="n">
        <x:v>13</x:v>
      </x:c>
      <x:c r="G11" s="319" t="n">
        <x:f>IF(D11="","",IF(D11=0,"",E11/D11))</x:f>
        <x:v>0.10024449877750612</x:v>
      </x:c>
      <x:c r="H11" t="inlineStr">
        <x:is>
          <x:t xml:space="preserve">41/409</x:t>
        </x:is>
      </x:c>
      <x:c r="I11" t="inlineStr">
        <x:is>
          <x:t xml:space="preserve">Chưa</x:t>
        </x:is>
      </x:c>
      <x:c r="J11" t="inlineStr">
        <x:is>
          <x:t xml:space="preserve">CBMP-HD legacy.</x:t>
        </x:is>
      </x:c>
    </x:row>
    <x:row r="12">
      <x:c r="A12" t="inlineStr">
        <x:is>
          <x:t xml:space="preserve">03-B</x:t>
        </x:is>
      </x:c>
      <x:c r="B12" t="inlineStr">
        <x:is>
          <x:t xml:space="preserve">Hải Phòng</x:t>
        </x:is>
      </x:c>
      <x:c r="C12" t="inlineStr">
        <x:is>
          <x:t xml:space="preserve">CBMP-HP hiện hành</x:t>
        </x:is>
      </x:c>
      <x:c r="E12" t="n">
        <x:v>1</x:v>
      </x:c>
      <x:c r="F12" t="n">
        <x:v>1</x:v>
      </x:c>
      <x:c r="G12" s="319" t="str">
        <x:f>IF(D12="","",IF(D12=0,"",E12/D12))</x:f>
      </x:c>
      <x:c r="H12" t="inlineStr">
        <x:is>
          <x:t xml:space="preserve">Mới 1 record</x:t>
        </x:is>
      </x:c>
      <x:c r="I12" t="inlineStr">
        <x:is>
          <x:t xml:space="preserve">Chưa</x:t>
        </x:is>
      </x:c>
      <x:c r="J12" t="inlineStr">
        <x:is>
          <x:t xml:space="preserve">Tìm bulk current.</x:t>
        </x:is>
      </x:c>
    </x:row>
    <x:row r="13">
      <x:c r="A13" t="inlineStr">
        <x:is>
          <x:t xml:space="preserve">04</x:t>
        </x:is>
      </x:c>
      <x:c r="B13" t="inlineStr">
        <x:is>
          <x:t xml:space="preserve">Đà Nẵng</x:t>
        </x:is>
      </x:c>
      <x:c r="C13" t="inlineStr">
        <x:is>
          <x:t xml:space="preserve">CBMP-ĐN + bulk RAR 2018</x:t>
        </x:is>
      </x:c>
      <x:c r="E13" t="n">
        <x:v>4</x:v>
      </x:c>
      <x:c r="F13" t="n">
        <x:v>4</x:v>
      </x:c>
      <x:c r="G13" s="319" t="str">
        <x:f>IF(D13="","",IF(D13=0,"",E13/D13))</x:f>
      </x:c>
      <x:c r="H13" t="inlineStr">
        <x:is>
          <x:t xml:space="preserve">Có bulk RAR 2018; mới cross-check 4 hồ sơ 2024</x:t>
        </x:is>
      </x:c>
      <x:c r="I13" t="inlineStr">
        <x:is>
          <x:t xml:space="preserve">Chưa</x:t>
        </x:is>
      </x:c>
      <x:c r="J13" t="inlineStr">
        <x:is>
          <x:t xml:space="preserve">Cần ingest Đà Nẵng cũ + Quảng Nam cũ.</x:t>
        </x:is>
      </x:c>
    </x:row>
    <x:row r="14">
      <x:c r="A14" t="inlineStr">
        <x:is>
          <x:t xml:space="preserve">05</x:t>
        </x:is>
      </x:c>
      <x:c r="B14" t="inlineStr">
        <x:is>
          <x:t xml:space="preserve">Cần Thơ</x:t>
        </x:is>
      </x:c>
      <x:c r="C14" t="inlineStr">
        <x:is>
          <x:t xml:space="preserve">Cần Thơ + Sóc Trăng + Hậu Giang</x:t>
        </x:is>
      </x:c>
      <x:c r="E14" t="n">
        <x:v>0</x:v>
      </x:c>
      <x:c r="F14" t="n">
        <x:v>0</x:v>
      </x:c>
      <x:c r="G14" s="319" t="str">
        <x:f>IF(D14="","",IF(D14=0,"",E14/D14))</x:f>
      </x:c>
      <x:c r="H14" t="inlineStr">
        <x:is>
          <x:t xml:space="preserve">Đang dò</x:t>
        </x:is>
      </x:c>
      <x:c r="I14" t="inlineStr">
        <x:is>
          <x:t xml:space="preserve">Chưa</x:t>
        </x:is>
      </x:c>
      <x:c r="J14" t="inlineStr">
        <x:is>
          <x:t xml:space="preserve">Ba kho lịch sử.</x:t>
        </x:is>
      </x:c>
    </x:row>
    <x:row r="15">
      <x:c r="A15" t="inlineStr">
        <x:is>
          <x:t xml:space="preserve">06</x:t>
        </x:is>
      </x:c>
      <x:c r="B15" t="inlineStr">
        <x:is>
          <x:t xml:space="preserve">Huế</x:t>
        </x:is>
      </x:c>
      <x:c r="C15" t="inlineStr">
        <x:is>
          <x:t xml:space="preserve">Legal/archive</x:t>
        </x:is>
      </x:c>
      <x:c r="E15" t="n">
        <x:v>0</x:v>
      </x:c>
      <x:c r="F15" t="n">
        <x:v>0</x:v>
      </x:c>
      <x:c r="G15" s="319" t="str">
        <x:f>IF(D15="","",IF(D15=0,"",E15/D15))</x:f>
      </x:c>
      <x:c r="H15" t="inlineStr">
        <x:is>
          <x:t xml:space="preserve">Nguồn đã xác nhận</x:t>
        </x:is>
      </x:c>
      <x:c r="I15" t="inlineStr">
        <x:is>
          <x:t xml:space="preserve">Chưa</x:t>
        </x:is>
      </x:c>
      <x:c r="J15" t="inlineStr">
        <x:is>
          <x:t xml:space="preserve">Tìm bulk declaration.</x:t>
        </x:is>
      </x:c>
    </x:row>
    <x:row r="16">
      <x:c r="A16" t="inlineStr">
        <x:is>
          <x:t xml:space="preserve">01-I</x:t>
        </x:is>
      </x:c>
      <x:c r="B16" t="inlineStr">
        <x:is>
          <x:t xml:space="preserve">TP. Hồ Chí Minh</x:t>
        </x:is>
      </x:c>
      <x:c r="C16" t="inlineStr">
        <x:is>
          <x:t xml:space="preserve">Retail/E-commerce market signal</x:t>
        </x:is>
      </x:c>
      <x:c r="E16" t="n">
        <x:v>15</x:v>
      </x:c>
      <x:c r="F16" t="n">
        <x:v>0</x:v>
      </x:c>
      <x:c r="H16" t="inlineStr">
        <x:is>
          <x:t xml:space="preserve">Guardian/Watsons/Circle K/MM/MINISTOP/TikTok/GS25/WinMart đã map</x:t>
        </x:is>
      </x:c>
      <x:c r="I16" t="inlineStr">
        <x:is>
          <x:t xml:space="preserve">Không trực tiếp</x:t>
        </x:is>
      </x:c>
      <x:c r="J16" t="inlineStr">
        <x:is>
          <x:t xml:space="preserve">Dùng tạo queue reverse lookup; Mẹ &amp; Bé đã tách queue 15 dòng.</x:t>
        </x:is>
      </x:c>
    </x:row>
    <x:row r="17">
      <x:c r="A17" t="inlineStr">
        <x:is>
          <x:t xml:space="preserve">01-J</x:t>
        </x:is>
      </x:c>
      <x:c r="B17" t="inlineStr">
        <x:is>
          <x:t xml:space="preserve">TP. Hồ Chí Minh</x:t>
        </x:is>
      </x:c>
      <x:c r="C17" t="inlineStr">
        <x:is>
          <x:t xml:space="preserve">Mỹ phẩm nhập khẩu – CBMP-QLD cross-check</x:t>
        </x:is>
      </x:c>
      <x:c r="E17" t="n">
        <x:v>10</x:v>
      </x:c>
      <x:c r="F17" t="n">
        <x:v>0</x:v>
      </x:c>
      <x:c r="H17" t="inlineStr">
        <x:is>
          <x:t xml:space="preserve">10 số CBMP-QLD đã cross-check qua hồ sơ QC chính thức SYT TP.HCM</x:t>
        </x:is>
      </x:c>
      <x:c r="I17" t="inlineStr">
        <x:is>
          <x:t xml:space="preserve">Không cộng vào MASTER_ALL tỉnh</x:t>
        </x:is>
      </x:c>
      <x:c r="J17" t="inlineStr">
        <x:is>
          <x:t xml:space="preserve">2 M.O.I Baby Skin Powder + 4 Bioderma + 4 Nuxe; cần đối chiếu DAV gốc/thu hồi.</x:t>
        </x:is>
      </x:c>
    </x:row>
    <x:row r="18">
      <x:c r="A18" t="inlineStr">
        <x:is>
          <x:t xml:space="preserve">RULE-5Y</x:t>
        </x:is>
      </x:c>
      <x:c r="B18" t="inlineStr">
        <x:is>
          <x:t xml:space="preserve">Toàn quốc</x:t>
        </x:is>
      </x:c>
      <x:c r="C18" t="inlineStr">
        <x:is>
          <x:t xml:space="preserve">Bộ lọc vận hành 2022+</x:t>
        </x:is>
      </x:c>
      <x:c r="E18" t="n">
        <x:v>138</x:v>
      </x:c>
      <x:c r="F18" t="n">
        <x:v>0</x:v>
      </x:c>
      <x:c r="H18" t="inlineStr">
        <x:is>
          <x:t xml:space="preserve">Đã khóa phạm vi ưu tiên 2022+</x:t>
        </x:is>
      </x:c>
      <x:c r="I18" t="inlineStr">
        <x:is>
          <x:t xml:space="preserve">Dùng cho góc nhìn hiện hành</x:t>
        </x:is>
      </x:c>
      <x:c r="J18" t="inlineStr">
        <x:is>
          <x:t xml:space="preserve">Không thay thế kiểm tra hiệu lực chính xác theo ngày cấp +5 năm và LEGAL_EVENTS.</x:t>
        </x:is>
      </x:c>
    </x:row>
    <x:row r="19">
      <x:c r="A19" t="str">
        <x:v>01-K</x:v>
      </x:c>
      <x:c r="B19" t="str">
        <x:v>TP. Hồ Chí Minh</x:v>
      </x:c>
      <x:c r="C19" t="str">
        <x:v>QĐ thu hồi chính thức HCM – batch legal 2022–2024</x:v>
      </x:c>
      <x:c r="D19" t="n">
        <x:v>41</x:v>
      </x:c>
      <x:c r="E19" t="n">
        <x:v>41</x:v>
      </x:c>
      <x:c r="F19" t="n">
        <x:v>41</x:v>
      </x:c>
      <x:c r="G19" s="448" t="n">
        <x:v>1</x:v>
      </x:c>
      <x:c r="H19" t="str">
        <x:v>Đã nạp đủ 41 declaration + 41 legal events</x:v>
      </x:c>
      <x:c r="I19" t="str">
        <x:v>Có cho lịch sử; loại khỏi active nếu đã thu hồi</x:v>
      </x:c>
      <x:c r="J19" t="str">
        <x:v>38 Tạ Minh Quang + 2 Đức Anh/Hành Tinh Xanh + 1 Hoàng Dũng/Hành Tinh Xanh.</x:v>
      </x:c>
    </x:row>
    <x:row r="20">
      <x:c r="A20" t="str">
        <x:v>01-L</x:v>
      </x:c>
      <x:c r="B20" t="str">
        <x:v>TP. Hồ Chí Minh</x:v>
      </x:c>
      <x:c r="C20" t="str">
        <x:v>Mốc sequence từ ảnh phiếu gốc</x:v>
      </x:c>
      <x:c r="D20" t="n">
        <x:v>2</x:v>
      </x:c>
      <x:c r="E20" t="n">
        <x:v>0</x:v>
      </x:c>
      <x:c r="F20" t="n">
        <x:v>0</x:v>
      </x:c>
      <x:c r="G20" t="n">
        <x:v>0</x:v>
      </x:c>
      <x:c r="H20" t="str">
        <x:v>2 mốc thật nhưng thiếu company/factory trong ảnh hiện có</x:v>
      </x:c>
      <x:c r="I20" t="str">
        <x:v>Không</x:v>
      </x:c>
      <x:c r="J20" t="str">
        <x:v>Đã chuyển CHO_XAC_MINH; chỉ dùng làm mốc tìm kiếm, không phải declaration trong MASTER.</x:v>
      </x:c>
    </x:row>
    <x:row r="21">
      <x:c r="A21" t="str">
        <x:v>01-M</x:v>
      </x:c>
      <x:c r="B21" t="str">
        <x:v>TP. Hồ Chí Minh</x:v>
      </x:c>
      <x:c r="C21" t="str">
        <x:v>Public quality/recall notices có đủ CBMP + company + manufacturer</x:v>
      </x:c>
      <x:c r="D21" t="n">
        <x:v>8</x:v>
      </x:c>
      <x:c r="E21" t="n">
        <x:v>8</x:v>
      </x:c>
      <x:c r="F21" t="n">
        <x:v>8</x:v>
      </x:c>
      <x:c r="G21" s="448" t="n">
        <x:v>1</x:v>
      </x:c>
      <x:c r="H21" t="str">
        <x:v>Đã nạp 8 record sạch mới 2022–2025</x:v>
      </x:c>
      <x:c r="I21" t="str">
        <x:v>Có – declaration verified</x:v>
      </x:c>
      <x:c r="J21" t="str">
        <x:v>Nguồn công khai nhà nước; batch recall không mặc nhiên = thu hồi số tiếp nhận.</x:v>
      </x:c>
    </x:row>
    <x:row r="22">
      <x:c r="A22" t="str">
        <x:v>01-N</x:v>
      </x:c>
      <x:c r="B22" t="str">
        <x:v>TP. Hồ Chí Minh</x:v>
      </x:c>
      <x:c r="C22" t="str">
        <x:v>Public government notices batch 2022–2023</x:v>
      </x:c>
      <x:c r="D22" t="n">
        <x:v>11</x:v>
      </x:c>
      <x:c r="E22" t="n">
        <x:v>11</x:v>
      </x:c>
      <x:c r="F22" t="n">
        <x:v>11</x:v>
      </x:c>
      <x:c r="G22" s="448" t="n">
        <x:v>1</x:v>
      </x:c>
      <x:c r="H22" t="str">
        <x:v>5 Đăng Dương + LYNSHAO + Y lang + Young One + Intasilk + Lesgo + Lucci</x:v>
      </x:c>
      <x:c r="I22" t="str">
        <x:v>Có – clean declaration</x:v>
      </x:c>
      <x:c r="J22" t="str">
        <x:v>Tách batch recall / full-product recall.</x:v>
      </x:c>
    </x:row>
    <x:row r="23">
      <x:c r="A23" t="str">
        <x:v>01-O</x:v>
      </x:c>
      <x:c r="B23" t="str">
        <x:v>TP. Hồ Chí Minh</x:v>
      </x:c>
      <x:c r="C23" t="str">
        <x:v>Medinet legacy snapshots 2020–2021</x:v>
      </x:c>
      <x:c r="D23" t="n">
        <x:v>3</x:v>
      </x:c>
      <x:c r="E23" t="n">
        <x:v>0</x:v>
      </x:c>
      <x:c r="F23" t="n">
        <x:v>0</x:v>
      </x:c>
      <x:c r="G23" s="448" t="n">
        <x:v>0</x:v>
      </x:c>
      <x:c r="H23" t="str">
        <x:v>Đã xác định 3 snapshot: 09/12/2020, 17/05/2021, 25/06/2021</x:v>
      </x:c>
      <x:c r="I23" t="str">
        <x:v>Chưa</x:v>
      </x:c>
      <x:c r="J23" t="str">
        <x:v>Archive; anti-bot. Không nạp MASTER nếu chưa mở được dữ liệu/attachment thật.</x:v>
      </x:c>
    </x:row>
    <x:row r="24">
      <x:c r="A24" t="str">
        <x:v>HIER-01</x:v>
      </x:c>
      <x:c r="B24" t="str">
        <x:v>Toàn quốc</x:v>
      </x:c>
      <x:c r="C24" t="str">
        <x:v>Bộ Y tế → Cục QLD → DVCQG/VNSW</x:v>
      </x:c>
      <x:c r="D24"/>
      <x:c r="E24" t="n">
        <x:v>0</x:v>
      </x:c>
      <x:c r="F24" t="n">
        <x:v>0</x:v>
      </x:c>
      <x:c r="G24"/>
      <x:c r="H24" t="str">
        <x:v>Đã map lại source hierarchy từ trên xuống</x:v>
      </x:c>
      <x:c r="I24" t="str">
        <x:v>Source control</x:v>
      </x:c>
      <x:c r="J24" t="str">
        <x:v>Dùng định tuyến cơ quan và archive; không cộng declaration.</x:v>
      </x:c>
    </x:row>
    <x:row r="25">
      <x:c r="A25" t="str">
        <x:v>BD-01</x:v>
      </x:c>
      <x:c r="B25" t="str">
        <x:v>TP. Hồ Chí Minh</x:v>
      </x:c>
      <x:c r="C25" t="str">
        <x:v>Bình Dương cũ – Sở/DVC/Open Data</x:v>
      </x:c>
      <x:c r="D25"/>
      <x:c r="E25" t="n">
        <x:v>0</x:v>
      </x:c>
      <x:c r="F25" t="n">
        <x:v>0</x:v>
      </x:c>
      <x:c r="G25"/>
      <x:c r="H25" t="str">
        <x:v>Đã map 3 nhánh archive chính thức; chưa lấy được bulk cosmetic list</x:v>
      </x:c>
      <x:c r="I25" t="str">
        <x:v>Chưa</x:v>
      </x:c>
      <x:c r="J25" t="str">
        <x:v>Không ingest nếu chưa có file/record thật.</x:v>
      </x:c>
    </x:row>
    <x:row r="26">
      <x:c r="A26" t="str">
        <x:v>BD-02</x:v>
      </x:c>
      <x:c r="B26" t="str">
        <x:v>TP. Hồ Chí Minh</x:v>
      </x:c>
      <x:c r="C26" t="str">
        <x:v>Bình Dương cũ – HCM ads/CFS cross-reference</x:v>
      </x:c>
      <x:c r="D26"/>
      <x:c r="E26" t="n">
        <x:v>22</x:v>
      </x:c>
      <x:c r="F26" t="n">
        <x:v>22</x:v>
      </x:c>
      <x:c r="G26"/>
      <x:c r="H26" t="str">
        <x:v>Legacy CBMP-BD đang tồn tại trong hệ thống SYT TP.HCM mới</x:v>
      </x:c>
      <x:c r="I26" t="str">
        <x:v>Cross-check</x:v>
      </x:c>
      <x:c r="J26" t="str">
        <x:v>Tiếp tục reverse lookup theo Rohto/Wipro/Marico/factory.</x:v>
      </x:c>
    </x:row>
    <x:row r="27">
      <x:c r="A27" t="str">
        <x:v>BD-03</x:v>
      </x:c>
      <x:c r="B27" t="str">
        <x:v>TP. Hồ Chí Minh</x:v>
      </x:c>
      <x:c r="C27" t="str">
        <x:v>Bình Dương cũ – Cục QLD central archive</x:v>
      </x:c>
      <x:c r="D27"/>
      <x:c r="E27" t="n">
        <x:v>0</x:v>
      </x:c>
      <x:c r="F27" t="n">
        <x:v>0</x:v>
      </x:c>
      <x:c r="G27"/>
      <x:c r="H27" t="str">
        <x:v>Đã xác định DAV archive có dữ liệu lịch sử và quyết định liên quan Bình Dương</x:v>
      </x:c>
      <x:c r="I27" t="str">
        <x:v>Có khi đủ clean gate</x:v>
      </x:c>
      <x:c r="J27" t="str">
        <x:v>Search full archive theo Bình Dương/CBMP-BD/company.</x:v>
      </x:c>
    </x:row>
    <x:row r="28">
      <x:c r="A28" t="str">
        <x:v>BD-04</x:v>
      </x:c>
      <x:c r="B28" t="str">
        <x:v>TP. Hồ Chí Minh</x:v>
      </x:c>
      <x:c r="C28" t="str">
        <x:v>Marico legal recovery – CBMP-BD</x:v>
      </x:c>
      <x:c r="D28" t="n">
        <x:v>2</x:v>
      </x:c>
      <x:c r="E28" t="n">
        <x:v>2</x:v>
      </x:c>
      <x:c r="F28" t="n">
        <x:v>2</x:v>
      </x:c>
      <x:c r="G28" s="448" t="n">
        <x:v>1</x:v>
      </x:c>
      <x:c r="H28" t="str">
        <x:v>695/24 Botanika + 295/25 Xmen For Boss Intense</x:v>
      </x:c>
      <x:c r="I28" t="str">
        <x:v>Đã nạp MASTER</x:v>
      </x:c>
      <x:c r="J28" t="str">
        <x:v>Nguồn Sức khỏe &amp; Đời sống dẫn văn bản Cục QLD; 2 số bị thu hồi.</x:v>
      </x:c>
    </x:row>
    <x:row r="29">
      <x:c r="A29" t="str">
        <x:v>BD-05</x:v>
      </x:c>
      <x:c r="B29" t="str">
        <x:v>TP. Hồ Chí Minh</x:v>
      </x:c>
      <x:c r="C29" t="str">
        <x:v>Marico reverse-lookup retail leads</x:v>
      </x:c>
      <x:c r="D29" t="n">
        <x:v>6</x:v>
      </x:c>
      <x:c r="E29" t="n">
        <x:v>0</x:v>
      </x:c>
      <x:c r="F29" t="n">
        <x:v>0</x:v>
      </x:c>
      <x:c r="G29" s="448" t="n">
        <x:v>0</x:v>
      </x:c>
      <x:c r="H29" t="str">
        <x:v>053/25; 011/24; 507/24; 011/25; 052/25; 465/24</x:v>
      </x:c>
      <x:c r="I29" t="str">
        <x:v>Chưa</x:v>
      </x:c>
      <x:c r="J29" t="str">
        <x:v>Chỉ là leads; cần official cross-check.</x:v>
      </x:c>
    </x:row>
    <x:row r="30">
      <x:c r="A30" t="str">
        <x:v>HN-01</x:v>
      </x:c>
      <x:c r="B30" t="str">
        <x:v>Hà Nội</x:v>
      </x:c>
      <x:c r="C30" t="str">
        <x:v>3748/SYT-NVD + 3 PDF bulk</x:v>
      </x:c>
      <x:c r="D30" t="n">
        <x:v>3</x:v>
      </x:c>
      <x:c r="E30" t="n">
        <x:v>0</x:v>
      </x:c>
      <x:c r="F30" t="n">
        <x:v>0</x:v>
      </x:c>
      <x:c r="G30" s="448" t="n">
        <x:v>0</x:v>
      </x:c>
      <x:c r="H30" t="str">
        <x:v>Nguồn chính thức A++</x:v>
      </x:c>
      <x:c r="I30" t="str">
        <x:v>Chưa ingest bulk</x:v>
      </x:c>
      <x:c r="J30" t="str">
        <x:v>Fetch PDF timeout; tiếp tục tìm mirror/index/manual.</x:v>
      </x:c>
    </x:row>
    <x:row r="31">
      <x:c r="A31" t="str">
        <x:v>HN-02</x:v>
      </x:c>
      <x:c r="B31" t="str">
        <x:v>Hà Nội</x:v>
      </x:c>
      <x:c r="C31" t="str">
        <x:v>Government recall/quality notices</x:v>
      </x:c>
      <x:c r="D31" t="n">
        <x:v>8</x:v>
      </x:c>
      <x:c r="E31" t="n">
        <x:v>8</x:v>
      </x:c>
      <x:c r="F31" t="n">
        <x:v>8</x:v>
      </x:c>
      <x:c r="G31" s="448" t="n">
        <x:v>1</x:v>
      </x:c>
      <x:c r="H31" t="str">
        <x:v>VIMAC 3 + THERAPY + Evit + Fobe + Ori + DSK</x:v>
      </x:c>
      <x:c r="I31" t="str">
        <x:v>Đã nạp MASTER</x:v>
      </x:c>
      <x:c r="J31" t="str">
        <x:v>Đủ clean gate.</x:v>
      </x:c>
    </x:row>
    <x:row r="32">
      <x:c r="A32" t="str">
        <x:v>HN-03</x:v>
      </x:c>
      <x:c r="B32" t="str">
        <x:v>Hà Nội</x:v>
      </x:c>
      <x:c r="C32" t="str">
        <x:v>Chuyên mục thu hồi số tiếp nhận SYT Hà Nội</x:v>
      </x:c>
      <x:c r="D32"/>
      <x:c r="E32" t="n">
        <x:v>0</x:v>
      </x:c>
      <x:c r="F32" t="n">
        <x:v>0</x:v>
      </x:c>
      <x:c r="G32" s="448"/>
      <x:c r="H32" t="str">
        <x:v>Đã xác định endpoint</x:v>
      </x:c>
      <x:c r="I32" t="str">
        <x:v>Đang khai thác</x:v>
      </x:c>
      <x:c r="J32" t="str">
        <x:v>Nguồn recovery hàng loạt tiềm năng.</x:v>
      </x:c>
    </x:row>
    <x:row r="33">
      <x:c r="A33" t="str">
        <x:v>BULK-01</x:v>
      </x:c>
      <x:c r="B33" t="str">
        <x:v>Liên tỉnh</x:v>
      </x:c>
      <x:c r="C33" t="str">
        <x:v>Văn bản tổng hợp thu hồi 2026</x:v>
      </x:c>
      <x:c r="D33" t="n">
        <x:v>242</x:v>
      </x:c>
      <x:c r="E33" t="n">
        <x:v>0</x:v>
      </x:c>
      <x:c r="F33" t="n">
        <x:v>0</x:v>
      </x:c>
      <x:c r="G33" s="448" t="n">
        <x:v>0</x:v>
      </x:c>
      <x:c r="H33" t="str">
        <x:v>10 HCM + 214 HN + 1 ĐN + 16 Ninh Bình + 1 HP; có phụ lục chi tiết</x:v>
      </x:c>
      <x:c r="I33" t="str">
        <x:v>CHƯA INGEST</x:v>
      </x:c>
      <x:c r="J33" t="str">
        <x:v>Ưu tiên cao nhất: tìm phụ lục/bản mirror chính thức.</x:v>
      </x:c>
    </x:row>
    <x:row r="34">
      <x:c r="A34" t="str">
        <x:v>HN-04</x:v>
      </x:c>
      <x:c r="B34" t="str">
        <x:v>Hà Nội</x:v>
      </x:c>
      <x:c r="C34" t="str">
        <x:v>Bulk 214 CBMP-HN bị thu hồi</x:v>
      </x:c>
      <x:c r="D34" t="n">
        <x:v>214</x:v>
      </x:c>
      <x:c r="E34" t="n">
        <x:v>0</x:v>
      </x:c>
      <x:c r="F34" t="n">
        <x:v>0</x:v>
      </x:c>
      <x:c r="G34" s="448" t="n">
        <x:v>0</x:v>
      </x:c>
      <x:c r="H34" t="str">
        <x:v>Đã xác nhận số lượng qua văn bản nhà nước</x:v>
      </x:c>
      <x:c r="I34" t="str">
        <x:v>CHƯA INGEST</x:v>
      </x:c>
      <x:c r="J34" t="str">
        <x:v>Nếu lấy được phụ lục có thể tăng MASTER &gt; 200 record trong một batch.</x:v>
      </x:c>
    </x:row>
    <x:row r="35">
      <x:c r="A35" t="str">
        <x:v>HP-04</x:v>
      </x:c>
      <x:c r="B35" t="str">
        <x:v>Hải Phòng</x:v>
      </x:c>
      <x:c r="C35" t="str">
        <x:v>TPHARMA – thu hồi 10 CBMP</x:v>
      </x:c>
      <x:c r="D35" t="n">
        <x:v>10</x:v>
      </x:c>
      <x:c r="E35" t="n">
        <x:v>0</x:v>
      </x:c>
      <x:c r="F35" t="n">
        <x:v>0</x:v>
      </x:c>
      <x:c r="G35" s="448" t="n">
        <x:v>0</x:v>
      </x:c>
      <x:c r="H35" t="str">
        <x:v>Trang official có 3 PDF đính kèm</x:v>
      </x:c>
      <x:c r="I35" t="str">
        <x:v>CHƯA INGEST</x:v>
      </x:c>
      <x:c r="J35" t="str">
        <x:v>Truy danh sách 10 số + tên SP + company.</x:v>
      </x:c>
    </x:row>
    <x:row r="36">
      <x:c r="A36" t="str">
        <x:v>HP-05</x:v>
      </x:c>
      <x:c r="B36" t="str">
        <x:v>Hải Phòng</x:v>
      </x:c>
      <x:c r="C36" t="str">
        <x:v>XLSX legacy 409 dòng</x:v>
      </x:c>
      <x:c r="D36" t="n">
        <x:v>409</x:v>
      </x:c>
      <x:c r="E36" t="n">
        <x:v>42</x:v>
      </x:c>
      <x:c r="F36" t="n">
        <x:v>13</x:v>
      </x:c>
      <x:c r="G36" s="448" t="n">
        <x:v>0.10268948655256724</x:v>
      </x:c>
      <x:c r="H36" t="str">
        <x:v>Nguồn chính thức bulk đang có độ phủ thấp</x:v>
      </x:c>
      <x:c r="I36" t="str">
        <x:v>ĐANG VÉT</x:v>
      </x:c>
      <x:c r="J36" t="str">
        <x:v>Mục tiêu nạp đủ file trước khi chuyển khỏi Hải Phòng.</x:v>
      </x:c>
    </x:row>
  </x:sheetData>
  <x:pageMargins left="0.7" right="0.7" top="0.75" bottom="0.75" header="0.3" footer="0.3"/>
</x:worksheet>
</file>

<file path=xl/worksheets/sheet45.xml><?xml version="1.0" encoding="utf-8"?>
<x:worksheet xmlns:x="http://schemas.openxmlformats.org/spreadsheetml/2006/main">
  <x:sheetFormatPr baseColWidth="8" defaultRowHeight="15"/>
  <x:cols>
    <x:col min="1" max="1" width="28" style="91" customWidth="1"/>
    <x:col min="2" max="2" width="23" style="91" customWidth="1"/>
    <x:col min="3" max="3" width="18" style="91" customWidth="1"/>
    <x:col min="4" max="4" width="52" style="91" customWidth="1"/>
    <x:col min="6" max="6" width="32" style="91" customWidth="1"/>
    <x:col min="7" max="7" width="16" style="91" customWidth="1"/>
    <x:col min="8" max="8" width="34" style="91" customWidth="1"/>
    <x:col min="9" max="9" width="65" style="91" customWidth="1"/>
  </x:cols>
  <x:sheetData>
    <x:row r="1" s="91" customFormat="1" ht="48" customHeight="1">
      <x:c r="A1" s="320" t="inlineStr">
        <x:is>
          <x:t xml:space="preserve">HẢI PHÒNG – AUDIT NGUỒN &amp; ĐỘ PHỦ DỮ LIỆU</x:t>
        </x:is>
      </x:c>
      <x:c r="B1" s="1" t="n"/>
      <x:c r="C1" s="1" t="n"/>
      <x:c r="D1" s="1" t="n"/>
      <x:c r="E1" s="1" t="n"/>
      <x:c r="F1" s="1" t="n"/>
      <x:c r="G1" s="1" t="n"/>
      <x:c r="H1" s="1" t="n"/>
      <x:c r="I1" s="274" t="n"/>
      <x:c r="J1" s="272" t="n"/>
      <x:c r="K1" s="272" t="n"/>
      <x:c r="L1" s="272" t="n"/>
      <x:c r="M1" s="272" t="n"/>
      <x:c r="N1" s="272" t="n"/>
      <x:c r="O1" s="272" t="n"/>
      <x:c r="P1" s="272" t="n"/>
      <x:c r="Q1" s="272" t="n"/>
      <x:c r="R1" s="272" t="n"/>
      <x:c r="S1" s="272" t="n"/>
      <x:c r="T1" s="272" t="n"/>
      <x:c r="U1" s="272" t="n"/>
      <x:c r="V1" s="272" t="n"/>
      <x:c r="W1" s="272" t="n"/>
      <x:c r="X1" s="272" t="n"/>
      <x:c r="Y1" s="272" t="n"/>
      <x:c r="Z1" s="272" t="n"/>
    </x:row>
    <x:row r="3">
      <x:c r="A3" s="60" t="inlineStr">
        <x:is>
          <x:t xml:space="preserve">Kiểm tra</x:t>
        </x:is>
      </x:c>
      <x:c r="B3" s="60" t="inlineStr">
        <x:is>
          <x:t xml:space="preserve">Kết quả</x:t>
        </x:is>
      </x:c>
      <x:c r="C3" s="60" t="inlineStr">
        <x:is>
          <x:t xml:space="preserve">Đánh giá</x:t>
        </x:is>
      </x:c>
      <x:c r="D3" s="60" t="inlineStr">
        <x:is>
          <x:t xml:space="preserve">Ghi chú</x:t>
        </x:is>
      </x:c>
      <x:c r="F3" s="62" t="inlineStr">
        <x:is>
          <x:t xml:space="preserve">KPI Hải Phòng hiện tại</x:t>
        </x:is>
      </x:c>
      <x:c r="G3" s="62" t="inlineStr">
        <x:is>
          <x:t xml:space="preserve">Giá trị</x:t>
        </x:is>
      </x:c>
      <x:c r="H3" s="62" t="inlineStr">
        <x:is>
          <x:t xml:space="preserve">Ý nghĩa</x:t>
        </x:is>
      </x:c>
    </x:row>
    <x:row r="4">
      <x:c r="A4" s="109" t="inlineStr">
        <x:is>
          <x:t xml:space="preserve">Nguồn dữ liệu mở chính thức</x:t>
        </x:is>
      </x:c>
      <x:c r="B4" s="109" t="inlineStr">
        <x:is>
          <x:t xml:space="preserve">Có – XLSX của Sở Y tế Hải Phòng</x:t>
        </x:is>
      </x:c>
      <x:c r="C4" s="109" t="inlineStr">
        <x:is>
          <x:t xml:space="preserve">PASS</x:t>
        </x:is>
      </x:c>
      <x:c r="D4" s="109" t="inlineStr">
        <x:is>
          <x:t xml:space="preserve">Cổng dữ liệu mở hiện liệt kê bộ dữ liệu số tiếp nhận Phiếu công bố mỹ phẩm.</x:t>
        </x:is>
      </x:c>
      <x:c r="F4" t="inlineStr">
        <x:is>
          <x:t xml:space="preserve">Hồ sơ legacy 2024 đã biết</x:t>
        </x:is>
      </x:c>
      <x:c r="G4" t="n">
        <x:v>409</x:v>
      </x:c>
      <x:c r="H4" t="inlineStr">
        <x:is>
          <x:t xml:space="preserve">Tổng record của file XLSX legacy Hải Dương đã đọc</x:t>
        </x:is>
      </x:c>
    </x:row>
    <x:row r="5">
      <x:c r="A5" s="109" t="inlineStr">
        <x:is>
          <x:t xml:space="preserve">Số dòng file legacy đã đọc</x:t>
        </x:is>
      </x:c>
      <x:c r="B5" s="109" t="inlineStr">
        <x:is>
          <x:t xml:space="preserve">409</x:t>
        </x:is>
      </x:c>
      <x:c r="C5" s="109" t="inlineStr">
        <x:is>
          <x:t xml:space="preserve">PASS</x:t>
        </x:is>
      </x:c>
      <x:c r="D5" s="109" t="inlineStr">
        <x:is>
          <x:t xml:space="preserve">File đã kiểm tra ở phiên trước.</x:t>
        </x:is>
      </x:c>
      <x:c r="F5" t="inlineStr">
        <x:is>
          <x:t xml:space="preserve">Legacy 2024 đã nhập/đối chiếu</x:t>
        </x:is>
      </x:c>
      <x:c r="G5" t="n">
        <x:f>COUNTIF('03_HaiPhong'!$D$2:$D$5000,2024)</x:f>
        <x:v>69</x:v>
      </x:c>
      <x:c r="H5" t="inlineStr">
        <x:is>
          <x:t xml:space="preserve">28 file + 13 cross-check pháp lý</x:t>
        </x:is>
      </x:c>
    </x:row>
    <x:row r="6">
      <x:c r="A6" s="109" t="inlineStr">
        <x:is>
          <x:t xml:space="preserve">Năm trong file legacy</x:t>
        </x:is>
      </x:c>
      <x:c r="B6" s="109" t="inlineStr">
        <x:is>
          <x:t xml:space="preserve">409/409 = 2024</x:t>
        </x:is>
      </x:c>
      <x:c r="C6" s="109" t="inlineStr">
        <x:is>
          <x:t xml:space="preserve">PASS</x:t>
        </x:is>
      </x:c>
      <x:c r="D6" s="109" t="inlineStr">
        <x:is>
          <x:t xml:space="preserve">Không coi đây là dữ liệu nhiều năm.</x:t>
        </x:is>
      </x:c>
      <x:c r="F6" t="inlineStr">
        <x:is>
          <x:t xml:space="preserve">Coverage legacy</x:t>
        </x:is>
      </x:c>
      <x:c r="G6" s="113" t="n">
        <x:f>IF(G4=0,0,G5/G4)</x:f>
        <x:v>0.1687041564792176</x:v>
      </x:c>
      <x:c r="H6" t="inlineStr">
        <x:is>
          <x:t xml:space="preserve">41 / 409</x:t>
        </x:is>
      </x:c>
    </x:row>
    <x:row r="7">
      <x:c r="A7" s="109" t="inlineStr">
        <x:is>
          <x:t xml:space="preserve">Địa bàn trong file legacy</x:t>
        </x:is>
      </x:c>
      <x:c r="B7" s="109" t="inlineStr">
        <x:is>
          <x:t xml:space="preserve">409/409 = Hải Dương</x:t>
        </x:is>
      </x:c>
      <x:c r="C7" s="109" t="inlineStr">
        <x:is>
          <x:t xml:space="preserve">CẢNH BÁO</x:t>
        </x:is>
      </x:c>
      <x:c r="D7" s="109" t="inlineStr">
        <x:is>
          <x:t xml:space="preserve">Đây là dữ liệu Hải Dương lịch sử, không phải toàn bộ Hải Phòng hiện nay.</x:t>
        </x:is>
      </x:c>
      <x:c r="F7" t="inlineStr">
        <x:is>
          <x:t xml:space="preserve">Hồ sơ CBMP-HP 2026 đã đối chiếu</x:t>
        </x:is>
      </x:c>
      <x:c r="G7" t="n">
        <x:f>COUNTIF('03_HaiPhong'!$D$2:$D$5000,2026)</x:f>
        <x:v>1</x:v>
      </x:c>
      <x:c r="H7" t="inlineStr">
        <x:is>
          <x:t xml:space="preserve">R GLOW – 064/26/CBMP-HP</x:t>
        </x:is>
      </x:c>
    </x:row>
    <x:row r="8">
      <x:c r="A8" s="109" t="inlineStr">
        <x:is>
          <x:t xml:space="preserve">Tên cơ sở sản xuất trong file legacy</x:t>
        </x:is>
      </x:c>
      <x:c r="B8" s="109" t="inlineStr">
        <x:is>
          <x:t xml:space="preserve">409/409 xuất giá trị '20'</x:t>
        </x:is>
      </x:c>
      <x:c r="C8" s="109" t="inlineStr">
        <x:is>
          <x:t xml:space="preserve">FAIL SOURCE</x:t>
        </x:is>
      </x:c>
      <x:c r="D8" s="109" t="inlineStr">
        <x:is>
          <x:t xml:space="preserve">Không dùng trường này để xác định nhà máy.</x:t>
        </x:is>
      </x:c>
      <x:c r="F8" t="inlineStr">
        <x:is>
          <x:t xml:space="preserve">Tổng declaration đang có trong 03_HaiPhong</x:t>
        </x:is>
      </x:c>
      <x:c r="G8" t="n">
        <x:f>COUNTA('03_HaiPhong'!$H$2:$H$5000)</x:f>
        <x:v>72</x:v>
      </x:c>
      <x:c r="H8" t="inlineStr">
        <x:is>
          <x:t xml:space="preserve">Không đồng nghĩa toàn bộ thị trường Hải Phòng</x:t>
        </x:is>
      </x:c>
    </x:row>
    <x:row r="9">
      <x:c r="A9" s="109" t="inlineStr">
        <x:is>
          <x:t xml:space="preserve">Địa chỉ cơ sở sản xuất trong file legacy</x:t>
        </x:is>
      </x:c>
      <x:c r="B9" s="109" t="inlineStr">
        <x:is>
          <x:t xml:space="preserve">409/409 xuất giá trị '20'</x:t>
        </x:is>
      </x:c>
      <x:c r="C9" s="109" t="inlineStr">
        <x:is>
          <x:t xml:space="preserve">FAIL SOURCE</x:t>
        </x:is>
      </x:c>
      <x:c r="D9" s="109" t="inlineStr">
        <x:is>
          <x:t xml:space="preserve">Không dùng.</x:t>
        </x:is>
      </x:c>
      <x:c r="F9" t="inlineStr">
        <x:is>
          <x:t xml:space="preserve">Legal events Hải Phòng đã ghi</x:t>
        </x:is>
      </x:c>
      <x:c r="G9" t="n">
        <x:f>COUNTIF(LEGAL_EVENTS!$N$2:$N$5000,"Hải Phòng")</x:f>
        <x:v>14</x:v>
      </x:c>
      <x:c r="H9" t="inlineStr">
        <x:is>
          <x:t xml:space="preserve">Các hồ sơ trong Phụ lục thu hồi 10/04/2026</x:t>
        </x:is>
      </x:c>
    </x:row>
    <x:row r="10">
      <x:c r="A10" s="109" t="inlineStr">
        <x:is>
          <x:t xml:space="preserve">Mã DN trong file legacy</x:t>
        </x:is>
      </x:c>
      <x:c r="B10" s="109" t="inlineStr">
        <x:is>
          <x:t xml:space="preserve">409/409 xuất giá trị '20'</x:t>
        </x:is>
      </x:c>
      <x:c r="C10" s="109" t="inlineStr">
        <x:is>
          <x:t xml:space="preserve">FAIL SOURCE</x:t>
        </x:is>
      </x:c>
      <x:c r="D10" s="109" t="inlineStr">
        <x:is>
          <x:t xml:space="preserve">Không dùng.</x:t>
        </x:is>
      </x:c>
    </x:row>
    <x:row r="11">
      <x:c r="A11" s="109" t="inlineStr">
        <x:is>
          <x:t xml:space="preserve">Đã nạp trực tiếp từ file legacy</x:t>
        </x:is>
      </x:c>
      <x:c r="B11" s="109" t="inlineStr">
        <x:is>
          <x:t xml:space="preserve">28/409</x:t>
        </x:is>
      </x:c>
      <x:c r="C11" s="109" t="inlineStr">
        <x:is>
          <x:t xml:space="preserve">PARTIAL</x:t>
        </x:is>
      </x:c>
      <x:c r="D11" s="109" t="inlineStr">
        <x:is>
          <x:t xml:space="preserve">28 dòng đầu đọc trực tiếp từ XLSX.</x:t>
        </x:is>
      </x:c>
    </x:row>
    <x:row r="12">
      <x:c r="A12" s="109" t="inlineStr">
        <x:is>
          <x:t xml:space="preserve">Đã đối chiếu thêm hồ sơ 2024 legacy</x:t>
        </x:is>
      </x:c>
      <x:c r="B12" s="109" t="inlineStr">
        <x:is>
          <x:t xml:space="preserve">13 hồ sơ</x:t>
        </x:is>
      </x:c>
      <x:c r="C12" s="109" t="inlineStr">
        <x:is>
          <x:t xml:space="preserve">PASS</x:t>
        </x:is>
      </x:c>
      <x:c r="D12" s="109" t="inlineStr">
        <x:is>
          <x:t xml:space="preserve">Nguồn pháp lý khác của Hải Phòng có số CBMP-HD + ngày cấp.</x:t>
        </x:is>
      </x:c>
      <x:c r="F12" s="119" t="inlineStr">
        <x:is>
          <x:t xml:space="preserve">Nhóm hiện đã nhập</x:t>
        </x:is>
      </x:c>
      <x:c r="G12" s="119" t="inlineStr">
        <x:is>
          <x:t xml:space="preserve">Số hồ sơ</x:t>
        </x:is>
      </x:c>
      <x:c r="H12" s="119" t="inlineStr">
        <x:is>
          <x:t xml:space="preserve">Tỷ trọng trong 42 hồ sơ</x:t>
        </x:is>
      </x:c>
    </x:row>
    <x:row r="13">
      <x:c r="F13" t="inlineStr">
        <x:is>
          <x:t xml:space="preserve">Dầu gội</x:t>
        </x:is>
      </x:c>
      <x:c r="G13" t="n">
        <x:f>COUNTIF('03_HaiPhong'!$J$2:$J$5000,F13)</x:f>
        <x:v>24</x:v>
      </x:c>
      <x:c r="H13" s="113" t="n">
        <x:f>IF($G$8=0,0,G13/$G$8)</x:f>
        <x:v>0.3333333333333333</x:v>
      </x:c>
    </x:row>
    <x:row r="14">
      <x:c r="F14" t="inlineStr">
        <x:is>
          <x:t xml:space="preserve">Dầu xả</x:t>
        </x:is>
      </x:c>
      <x:c r="G14" t="n">
        <x:f>COUNTIF('03_HaiPhong'!$J$2:$J$5000,F14)</x:f>
        <x:v>14</x:v>
      </x:c>
      <x:c r="H14" s="113" t="n">
        <x:f>IF($G$8=0,0,G14/$G$8)</x:f>
        <x:v>0.19444444444444445</x:v>
      </x:c>
    </x:row>
    <x:row r="15">
      <x:c r="A15" s="122" t="inlineStr">
        <x:is>
          <x:t xml:space="preserve">Luồng nguồn</x:t>
        </x:is>
      </x:c>
      <x:c r="B15" s="122" t="inlineStr">
        <x:is>
          <x:t xml:space="preserve">Phạm vi</x:t>
        </x:is>
      </x:c>
      <x:c r="C15" s="122" t="inlineStr">
        <x:is>
          <x:t xml:space="preserve">Trạng thái</x:t>
        </x:is>
      </x:c>
      <x:c r="D15" s="122" t="inlineStr">
        <x:is>
          <x:t xml:space="preserve">Quy tắc dùng</x:t>
        </x:is>
      </x:c>
      <x:c r="F15" t="inlineStr">
        <x:is>
          <x:t xml:space="preserve">Uốn/duỗi/giữ nếp tóc</x:t>
        </x:is>
      </x:c>
      <x:c r="G15" t="n">
        <x:f>COUNTIF('03_HaiPhong'!$J$2:$J$5000,F15)</x:f>
        <x:v>13</x:v>
      </x:c>
      <x:c r="H15" s="113" t="n">
        <x:f>IF($G$8=0,0,G15/$G$8)</x:f>
        <x:v>0.18055555555555555</x:v>
      </x:c>
    </x:row>
    <x:row r="16">
      <x:c r="A16" s="109" t="inlineStr">
        <x:is>
          <x:t xml:space="preserve">A. XLSX dữ liệu mở</x:t>
        </x:is>
      </x:c>
      <x:c r="B16" s="109" t="inlineStr">
        <x:is>
          <x:t xml:space="preserve">Hải Dương lịch sử – 2024 – 409 dòng</x:t>
        </x:is>
      </x:c>
      <x:c r="C16" s="109" t="inlineStr">
        <x:is>
          <x:t xml:space="preserve">PARTIAL 28/409</x:t>
        </x:is>
      </x:c>
      <x:c r="D16" s="109" t="inlineStr">
        <x:is>
          <x:t xml:space="preserve">Nguồn nền; cần lấy lại file để nạp đủ.</x:t>
        </x:is>
      </x:c>
      <x:c r="F16" t="inlineStr">
        <x:is>
          <x:t xml:space="preserve">Tạo kiểu tóc</x:t>
        </x:is>
      </x:c>
      <x:c r="G16" t="n">
        <x:f>COUNTIF('03_HaiPhong'!$J$2:$J$5000,F16)</x:f>
        <x:v>2</x:v>
      </x:c>
      <x:c r="H16" s="113" t="n">
        <x:f>IF($G$8=0,0,G16/$G$8)</x:f>
        <x:v>0.027777777777777776</x:v>
      </x:c>
    </x:row>
    <x:row r="17">
      <x:c r="A17" s="109" t="inlineStr">
        <x:is>
          <x:t xml:space="preserve">B. Phụ lục thu hồi 10/04/2026</x:t>
        </x:is>
      </x:c>
      <x:c r="B17" s="109" t="inlineStr">
        <x:is>
          <x:t xml:space="preserve">13 CBMP-HD 2024 + 1 CBMP-HP 2026</x:t>
        </x:is>
      </x:c>
      <x:c r="C17" s="109" t="inlineStr">
        <x:is>
          <x:t xml:space="preserve">ĐÃ NHẬP 14</x:t>
        </x:is>
      </x:c>
      <x:c r="D17" s="109" t="inlineStr">
        <x:is>
          <x:t xml:space="preserve">Dùng đối chiếu số, ngày cấp, công ty và legal status.</x:t>
        </x:is>
      </x:c>
      <x:c r="F17" t="inlineStr">
        <x:is>
          <x:t xml:space="preserve">Nhuộm/tẩy màu tóc</x:t>
        </x:is>
      </x:c>
      <x:c r="G17" t="n">
        <x:f>COUNTIF('03_HaiPhong'!$J$2:$J$5000,F17)</x:f>
        <x:v>1</x:v>
      </x:c>
      <x:c r="H17" s="113" t="n">
        <x:f>IF($G$8=0,0,G17/$G$8)</x:f>
        <x:v>0.013888888888888888</x:v>
      </x:c>
    </x:row>
    <x:row r="18">
      <x:c r="A18" s="109" t="inlineStr">
        <x:is>
          <x:t xml:space="preserve">C. CBMP-HP hiện hành</x:t>
        </x:is>
      </x:c>
      <x:c r="B18" s="109" t="inlineStr">
        <x:is>
          <x:t xml:space="preserve">Hải Phòng hiện nay</x:t>
        </x:is>
      </x:c>
      <x:c r="C18" s="109" t="inlineStr">
        <x:is>
          <x:t xml:space="preserve">MỚI CÓ 1 MẪU</x:t>
        </x:is>
      </x:c>
      <x:c r="D18" s="109" t="inlineStr">
        <x:is>
          <x:t xml:space="preserve">Phải tìm danh sách cấp số hiện hành riêng.</x:t>
        </x:is>
      </x:c>
      <x:c r="F18" t="inlineStr">
        <x:is>
          <x:t xml:space="preserve">Sữa tắm/Gel tắm</x:t>
        </x:is>
      </x:c>
      <x:c r="G18" t="n">
        <x:f>COUNTIF('03_HaiPhong'!$J$2:$J$5000,F18)</x:f>
        <x:v>3</x:v>
      </x:c>
      <x:c r="H18" s="113" t="n">
        <x:f>IF($G$8=0,0,G18/$G$8)</x:f>
        <x:v>0.041666666666666664</x:v>
      </x:c>
    </x:row>
    <x:row r="19">
      <x:c r="A19" s="109" t="inlineStr">
        <x:is>
          <x:t xml:space="preserve">D. Hải Phòng cũ trước sáp nhập</x:t>
        </x:is>
      </x:c>
      <x:c r="B19" s="109" t="inlineStr">
        <x:is>
          <x:t xml:space="preserve">CBMP-HP các năm cũ</x:t>
        </x:is>
      </x:c>
      <x:c r="C19" s="109" t="inlineStr">
        <x:is>
          <x:t xml:space="preserve">CHƯA ĐỦ</x:t>
        </x:is>
      </x:c>
      <x:c r="D19" s="109" t="inlineStr">
        <x:is>
          <x:t xml:space="preserve">Không được coi file 409 Hải Dương là thay thế.</x:t>
        </x:is>
      </x:c>
      <x:c r="F19" t="inlineStr">
        <x:is>
          <x:t xml:space="preserve">Dung dịch vệ sinh</x:t>
        </x:is>
      </x:c>
      <x:c r="G19" t="n">
        <x:f>COUNTIF('03_HaiPhong'!$J$2:$J$5000,F19)</x:f>
        <x:v>6</x:v>
      </x:c>
      <x:c r="H19" s="113" t="n">
        <x:f>IF($G$8=0,0,G19/$G$8)</x:f>
        <x:v>0.08333333333333333</x:v>
      </x:c>
    </x:row>
    <x:row r="20">
      <x:c r="A20" s="109" t="inlineStr">
        <x:is>
          <x:t xml:space="preserve">Kết luận QA</x:t>
        </x:is>
      </x:c>
      <x:c r="B20" s="109" t="inlineStr">
        <x:is>
          <x:t xml:space="preserve">Chưa đủ toàn Hải Phòng</x:t>
        </x:is>
      </x:c>
      <x:c r="C20" s="109" t="inlineStr">
        <x:is>
          <x:t xml:space="preserve">KHÔNG CHỐT 100%</x:t>
        </x:is>
      </x:c>
      <x:c r="D20" s="109" t="inlineStr">
        <x:is>
          <x:t xml:space="preserve">Chỉ chốt 100% khi các luồng A+C+D đủ kỳ dữ liệu cần phân tích.</x:t>
        </x:is>
      </x:c>
      <x:c r="F20" t="inlineStr">
        <x:is>
          <x:t xml:space="preserve">Khử mùi</x:t>
        </x:is>
      </x:c>
      <x:c r="G20" t="n">
        <x:f>COUNTIF('03_HaiPhong'!$J$2:$J$5000,F20)</x:f>
        <x:v>2</x:v>
      </x:c>
      <x:c r="H20" s="113" t="n">
        <x:f>IF($G$8=0,0,G20/$G$8)</x:f>
        <x:v>0.027777777777777776</x:v>
      </x:c>
    </x:row>
    <x:row r="21">
      <x:c r="F21" t="inlineStr">
        <x:is>
          <x:t xml:space="preserve">Dưỡng tóc/Serum tóc</x:t>
        </x:is>
      </x:c>
      <x:c r="G21" t="n">
        <x:f>COUNTIF('03_HaiPhong'!$J$2:$J$5000,F21)</x:f>
        <x:v>1</x:v>
      </x:c>
      <x:c r="H21" s="113" t="n">
        <x:f>IF($G$8=0,0,G21/$G$8)</x:f>
        <x:v>0.013888888888888888</x:v>
      </x:c>
    </x:row>
    <x:row r="22">
      <x:c r="F22" t="inlineStr">
        <x:is>
          <x:t xml:space="preserve">Ủ tóc/Hair mask</x:t>
        </x:is>
      </x:c>
      <x:c r="G22" t="n">
        <x:f>COUNTIF('03_HaiPhong'!$J$2:$J$5000,F22)</x:f>
        <x:v>2</x:v>
      </x:c>
      <x:c r="H22" s="113" t="n">
        <x:f>IF($G$8=0,0,G22/$G$8)</x:f>
        <x:v>0.027777777777777776</x:v>
      </x:c>
    </x:row>
    <x:row r="23">
      <x:c r="A23" s="127" t="inlineStr">
        <x:is>
          <x:t xml:space="preserve">STT</x:t>
        </x:is>
      </x:c>
      <x:c r="B23" s="127" t="inlineStr">
        <x:is>
          <x:t xml:space="preserve">Ngày cấp</x:t>
        </x:is>
      </x:c>
      <x:c r="C23" s="127" t="inlineStr">
        <x:is>
          <x:t xml:space="preserve">Số CBMP</x:t>
        </x:is>
      </x:c>
      <x:c r="D23" s="127" t="inlineStr">
        <x:is>
          <x:t xml:space="preserve">Sản phẩm</x:t>
        </x:is>
      </x:c>
      <x:c r="E23" s="127" t="inlineStr">
        <x:is>
          <x:t xml:space="preserve">Brand</x:t>
        </x:is>
      </x:c>
      <x:c r="F23" s="127" t="inlineStr">
        <x:is>
          <x:t xml:space="preserve">Khác</x:t>
        </x:is>
      </x:c>
      <x:c r="G23" s="127" t="n">
        <x:f>COUNTIF('03_HaiPhong'!$J$2:$J$5000,F23)</x:f>
        <x:v>2</x:v>
      </x:c>
      <x:c r="H23" s="128" t="n">
        <x:f>IF($G$8=0,0,G23/$G$8)</x:f>
        <x:v>0.027777777777777776</x:v>
      </x:c>
      <x:c r="I23" s="127" t="inlineStr">
        <x:is>
          <x:t xml:space="preserve">Nguồn</x:t>
        </x:is>
      </x:c>
    </x:row>
    <x:row r="24">
      <x:c r="A24" t="n">
        <x:v>1</x:v>
      </x:c>
      <x:c r="B24" s="99" t="n">
        <x:v>45587</x:v>
      </x:c>
      <x:c r="C24" t="inlineStr">
        <x:is>
          <x:t xml:space="preserve">332/24/CBMP-HD</x:t>
        </x:is>
      </x:c>
      <x:c r="D24" t="inlineStr">
        <x:is>
          <x:t xml:space="preserve">LUCASTA CONDITIONER</x:t>
        </x:is>
      </x:c>
      <x:c r="E24" t="inlineStr">
        <x:is>
          <x:t xml:space="preserve">LUCASTA</x:t>
        </x:is>
      </x:c>
      <x:c r="F24" t="inlineStr">
        <x:is>
          <x:t xml:space="preserve">Dầu xả</x:t>
        </x:is>
      </x:c>
      <x:c r="G24" t="inlineStr">
        <x:is>
          <x:t xml:space="preserve">Công ty TNHH Sản xuất và Thương mại Mỹ phẩm Việt Anh</x:t>
        </x:is>
      </x:c>
      <x:c r="H24" t="inlineStr">
        <x:is>
          <x:t xml:space="preserve">0110789789</x:t>
        </x:is>
      </x:c>
      <x:c r="I24" t="inlineStr">
        <x:is>
          <x:t xml:space="preserve">https://tanhung.haiphong.gov.vn/trang-chu-66859/phuong-tan-hung-thong-bao-ve-viec-thu-hoi-san-pham-my-pham-888028</x:t>
        </x:is>
      </x:c>
    </x:row>
    <x:row r="25">
      <x:c r="A25" t="n">
        <x:v>2</x:v>
      </x:c>
      <x:c r="B25" s="99" t="n">
        <x:v>45587</x:v>
      </x:c>
      <x:c r="C25" t="inlineStr">
        <x:is>
          <x:t xml:space="preserve">333/24/CBMP-HD</x:t>
        </x:is>
      </x:c>
      <x:c r="D25" t="inlineStr">
        <x:is>
          <x:t xml:space="preserve">LUCASTA SHAMPOO</x:t>
        </x:is>
      </x:c>
      <x:c r="E25" t="inlineStr">
        <x:is>
          <x:t xml:space="preserve">LUCASTA</x:t>
        </x:is>
      </x:c>
      <x:c r="F25" t="inlineStr">
        <x:is>
          <x:t xml:space="preserve">Dầu gội</x:t>
        </x:is>
      </x:c>
      <x:c r="G25" t="inlineStr">
        <x:is>
          <x:t xml:space="preserve">Công ty TNHH Sản xuất và Thương mại Mỹ phẩm Việt Anh</x:t>
        </x:is>
      </x:c>
      <x:c r="H25" t="inlineStr">
        <x:is>
          <x:t xml:space="preserve">0110789789</x:t>
        </x:is>
      </x:c>
      <x:c r="I25" t="inlineStr">
        <x:is>
          <x:t xml:space="preserve">https://tanhung.haiphong.gov.vn/trang-chu-66859/phuong-tan-hung-thong-bao-ve-viec-thu-hoi-san-pham-my-pham-888028</x:t>
        </x:is>
      </x:c>
    </x:row>
    <x:row r="26">
      <x:c r="A26" t="n">
        <x:v>3</x:v>
      </x:c>
      <x:c r="B26" s="99" t="n">
        <x:v>45587</x:v>
      </x:c>
      <x:c r="C26" t="inlineStr">
        <x:is>
          <x:t xml:space="preserve">334/24/CBMP-HD</x:t>
        </x:is>
      </x:c>
      <x:c r="D26" t="inlineStr">
        <x:is>
          <x:t xml:space="preserve">UỐN LẠNH LUCASTA</x:t>
        </x:is>
      </x:c>
      <x:c r="E26" t="inlineStr">
        <x:is>
          <x:t xml:space="preserve">LUCASTA</x:t>
        </x:is>
      </x:c>
      <x:c r="F26" t="inlineStr">
        <x:is>
          <x:t xml:space="preserve">Uốn/duỗi/giữ nếp tóc</x:t>
        </x:is>
      </x:c>
      <x:c r="G26" t="inlineStr">
        <x:is>
          <x:t xml:space="preserve">Công ty TNHH Sản xuất và Thương mại Mỹ phẩm Việt Anh</x:t>
        </x:is>
      </x:c>
      <x:c r="H26" t="inlineStr">
        <x:is>
          <x:t xml:space="preserve">0110789789</x:t>
        </x:is>
      </x:c>
      <x:c r="I26" t="inlineStr">
        <x:is>
          <x:t xml:space="preserve">https://tanhung.haiphong.gov.vn/trang-chu-66859/phuong-tan-hung-thong-bao-ve-viec-thu-hoi-san-pham-my-pham-888028</x:t>
        </x:is>
      </x:c>
    </x:row>
    <x:row r="27">
      <x:c r="A27" t="n">
        <x:v>4</x:v>
      </x:c>
      <x:c r="B27" s="99" t="n">
        <x:v>45622</x:v>
      </x:c>
      <x:c r="C27" t="inlineStr">
        <x:is>
          <x:t xml:space="preserve">367/24/CBMP-HD</x:t>
        </x:is>
      </x:c>
      <x:c r="D27" t="inlineStr">
        <x:is>
          <x:t xml:space="preserve">SÁP TÓC LUCASTA</x:t>
        </x:is>
      </x:c>
      <x:c r="E27" t="inlineStr">
        <x:is>
          <x:t xml:space="preserve">LUCASTA</x:t>
        </x:is>
      </x:c>
      <x:c r="F27" t="inlineStr">
        <x:is>
          <x:t xml:space="preserve">Tạo kiểu tóc</x:t>
        </x:is>
      </x:c>
      <x:c r="G27" t="inlineStr">
        <x:is>
          <x:t xml:space="preserve">Công ty TNHH Sản xuất và Thương mại Mỹ phẩm Việt Anh</x:t>
        </x:is>
      </x:c>
      <x:c r="H27" t="inlineStr">
        <x:is>
          <x:t xml:space="preserve">0110789789</x:t>
        </x:is>
      </x:c>
      <x:c r="I27" t="inlineStr">
        <x:is>
          <x:t xml:space="preserve">https://tanhung.haiphong.gov.vn/trang-chu-66859/phuong-tan-hung-thong-bao-ve-viec-thu-hoi-san-pham-my-pham-888028</x:t>
        </x:is>
      </x:c>
    </x:row>
    <x:row r="28">
      <x:c r="A28" t="n">
        <x:v>5</x:v>
      </x:c>
      <x:c r="B28" s="99" t="n">
        <x:v>45469</x:v>
      </x:c>
      <x:c r="C28" t="inlineStr">
        <x:is>
          <x:t xml:space="preserve">208/24/CBMP-HD</x:t>
        </x:is>
      </x:c>
      <x:c r="D28" t="inlineStr">
        <x:is>
          <x:t xml:space="preserve">ĐỊNH HÌNH ĐA NĂNG DÀNH CHO TÓC UỐN AUFHELLEN</x:t>
        </x:is>
      </x:c>
      <x:c r="E28" t="inlineStr">
        <x:is>
          <x:t xml:space="preserve">AUFHELLEN</x:t>
        </x:is>
      </x:c>
      <x:c r="F28" t="inlineStr">
        <x:is>
          <x:t xml:space="preserve">Tạo kiểu tóc</x:t>
        </x:is>
      </x:c>
      <x:c r="G28" t="inlineStr">
        <x:is>
          <x:t xml:space="preserve">Công ty TNHH mỹ phẩm Khải Phát</x:t>
        </x:is>
      </x:c>
      <x:c r="H28" t="inlineStr">
        <x:is>
          <x:t xml:space="preserve">0109703258</x:t>
        </x:is>
      </x:c>
      <x:c r="I28" t="inlineStr">
        <x:is>
          <x:t xml:space="preserve">https://tanhung.haiphong.gov.vn/trang-chu-66859/phuong-tan-hung-thong-bao-ve-viec-thu-hoi-san-pham-my-pham-888028</x:t>
        </x:is>
      </x:c>
    </x:row>
    <x:row r="29">
      <x:c r="A29" t="n">
        <x:v>6</x:v>
      </x:c>
      <x:c r="B29" s="99" t="n">
        <x:v>45474</x:v>
      </x:c>
      <x:c r="C29" t="inlineStr">
        <x:is>
          <x:t xml:space="preserve">211/24/CBMP-HD</x:t>
        </x:is>
      </x:c>
      <x:c r="D29" t="inlineStr">
        <x:is>
          <x:t xml:space="preserve">OXIANTE TRỢ NHUỘM TÓC AUFHLLEN</x:t>
        </x:is>
      </x:c>
      <x:c r="E29" t="inlineStr">
        <x:is>
          <x:t xml:space="preserve">AUFHELLEN</x:t>
        </x:is>
      </x:c>
      <x:c r="F29" t="inlineStr">
        <x:is>
          <x:t xml:space="preserve">Nhuộm/tẩy màu tóc</x:t>
        </x:is>
      </x:c>
      <x:c r="G29" t="inlineStr">
        <x:is>
          <x:t xml:space="preserve">Công ty TNHH mỹ phẩm Khải Phát</x:t>
        </x:is>
      </x:c>
      <x:c r="H29" t="inlineStr">
        <x:is>
          <x:t xml:space="preserve">0109703258</x:t>
        </x:is>
      </x:c>
      <x:c r="I29" t="inlineStr">
        <x:is>
          <x:t xml:space="preserve">https://tanhung.haiphong.gov.vn/trang-chu-66859/phuong-tan-hung-thong-bao-ve-viec-thu-hoi-san-pham-my-pham-888028</x:t>
        </x:is>
      </x:c>
    </x:row>
    <x:row r="30">
      <x:c r="A30" t="n">
        <x:v>7</x:v>
      </x:c>
      <x:c r="B30" s="99" t="n">
        <x:v>46077</x:v>
      </x:c>
      <x:c r="C30" t="inlineStr">
        <x:is>
          <x:t xml:space="preserve">064/26/CBMP-HP</x:t>
        </x:is>
      </x:c>
      <x:c r="D30" t="inlineStr">
        <x:is>
          <x:t xml:space="preserve">R GLOW</x:t>
        </x:is>
      </x:c>
      <x:c r="E30" t="inlineStr">
        <x:is>
          <x:t xml:space="preserve">R GLOW</x:t>
        </x:is>
      </x:c>
      <x:c r="F30" t="inlineStr">
        <x:is>
          <x:t xml:space="preserve">Khác</x:t>
        </x:is>
      </x:c>
      <x:c r="G30" t="inlineStr">
        <x:is>
          <x:t xml:space="preserve">Hộ kinh doanh Hoàng Thị Thương</x:t>
        </x:is>
      </x:c>
      <x:c r="H30" t="inlineStr">
        <x:is>
          <x:t xml:space="preserve">027194004334</x:t>
        </x:is>
      </x:c>
      <x:c r="I30" t="inlineStr">
        <x:is>
          <x:t xml:space="preserve">https://tanhung.haiphong.gov.vn/trang-chu-66859/phuong-tan-hung-thong-bao-ve-viec-thu-hoi-san-pham-my-pham-888028</x:t>
        </x:is>
      </x:c>
    </x:row>
    <x:row r="31">
      <x:c r="A31" t="n">
        <x:v>8</x:v>
      </x:c>
      <x:c r="B31" s="99" t="n">
        <x:v>45569</x:v>
      </x:c>
      <x:c r="C31" t="inlineStr">
        <x:is>
          <x:t xml:space="preserve">309/24/CBMP-HD</x:t>
        </x:is>
      </x:c>
      <x:c r="D31" t="inlineStr">
        <x:is>
          <x:t xml:space="preserve">SỮA TẮM DƯỢC LIỆU DAO ĐỎ VNUA</x:t>
        </x:is>
      </x:c>
      <x:c r="E31" t="inlineStr">
        <x:is>
          <x:t xml:space="preserve">VNUA</x:t>
        </x:is>
      </x:c>
      <x:c r="F31" t="inlineStr">
        <x:is>
          <x:t xml:space="preserve">Sữa tắm/Gel tắm</x:t>
        </x:is>
      </x:c>
      <x:c r="G31" t="inlineStr">
        <x:is>
          <x:t xml:space="preserve">Công ty Cổ phần Khoa học Sinh Dược Việt Nam</x:t>
        </x:is>
      </x:c>
      <x:c r="H31" t="inlineStr">
        <x:is>
          <x:t xml:space="preserve">0110626199</x:t>
        </x:is>
      </x:c>
      <x:c r="I31" t="inlineStr">
        <x:is>
          <x:t xml:space="preserve">https://tanhung.haiphong.gov.vn/trang-chu-66859/phuong-tan-hung-thong-bao-ve-viec-thu-hoi-san-pham-my-pham-888028</x:t>
        </x:is>
      </x:c>
    </x:row>
    <x:row r="32">
      <x:c r="A32" t="n">
        <x:v>9</x:v>
      </x:c>
      <x:c r="B32" s="99" t="n">
        <x:v>45569</x:v>
      </x:c>
      <x:c r="C32" t="inlineStr">
        <x:is>
          <x:t xml:space="preserve">311/24/CBMP-HD</x:t>
        </x:is>
      </x:c>
      <x:c r="D32" t="inlineStr">
        <x:is>
          <x:t xml:space="preserve">XỊT TÓC DƯỢC LIỆU VNUA</x:t>
        </x:is>
      </x:c>
      <x:c r="E32" t="inlineStr">
        <x:is>
          <x:t xml:space="preserve">VNUA</x:t>
        </x:is>
      </x:c>
      <x:c r="F32" t="inlineStr">
        <x:is>
          <x:t xml:space="preserve">Dưỡng tóc/Serum tóc</x:t>
        </x:is>
      </x:c>
      <x:c r="G32" t="inlineStr">
        <x:is>
          <x:t xml:space="preserve">Công ty Cổ phần Khoa học Sinh Dược Việt Nam</x:t>
        </x:is>
      </x:c>
      <x:c r="H32" t="inlineStr">
        <x:is>
          <x:t xml:space="preserve">0110626199</x:t>
        </x:is>
      </x:c>
      <x:c r="I32" t="inlineStr">
        <x:is>
          <x:t xml:space="preserve">https://tanhung.haiphong.gov.vn/trang-chu-66859/phuong-tan-hung-thong-bao-ve-viec-thu-hoi-san-pham-my-pham-888028</x:t>
        </x:is>
      </x:c>
    </x:row>
    <x:row r="33">
      <x:c r="A33" t="n">
        <x:v>10</x:v>
      </x:c>
      <x:c r="B33" s="99" t="n">
        <x:v>45569</x:v>
      </x:c>
      <x:c r="C33" t="inlineStr">
        <x:is>
          <x:t xml:space="preserve">312/24/CBMP-HD</x:t>
        </x:is>
      </x:c>
      <x:c r="D33" t="inlineStr">
        <x:is>
          <x:t xml:space="preserve">VNUA EVASOFT</x:t>
        </x:is>
      </x:c>
      <x:c r="E33" t="inlineStr">
        <x:is>
          <x:t xml:space="preserve">VNUA</x:t>
        </x:is>
      </x:c>
      <x:c r="F33" t="inlineStr">
        <x:is>
          <x:t xml:space="preserve">Khác</x:t>
        </x:is>
      </x:c>
      <x:c r="G33" t="inlineStr">
        <x:is>
          <x:t xml:space="preserve">Công ty Cổ phần Khoa học Sinh Dược Việt Nam</x:t>
        </x:is>
      </x:c>
      <x:c r="H33" t="inlineStr">
        <x:is>
          <x:t xml:space="preserve">0110626199</x:t>
        </x:is>
      </x:c>
      <x:c r="I33" t="inlineStr">
        <x:is>
          <x:t xml:space="preserve">https://tanhung.haiphong.gov.vn/trang-chu-66859/phuong-tan-hung-thong-bao-ve-viec-thu-hoi-san-pham-my-pham-888028</x:t>
        </x:is>
      </x:c>
    </x:row>
    <x:row r="34">
      <x:c r="A34" t="n">
        <x:v>11</x:v>
      </x:c>
      <x:c r="B34" s="99" t="n">
        <x:v>45569</x:v>
      </x:c>
      <x:c r="C34" t="inlineStr">
        <x:is>
          <x:t xml:space="preserve">313/24/CBMP-HD</x:t>
        </x:is>
      </x:c>
      <x:c r="D34" t="inlineStr">
        <x:is>
          <x:t xml:space="preserve">DẦU GỘI DƯỢC LIỆU SẠCH GÀU VNUA FOR DANDRUFF</x:t>
        </x:is>
      </x:c>
      <x:c r="E34" t="inlineStr">
        <x:is>
          <x:t xml:space="preserve">VNUA</x:t>
        </x:is>
      </x:c>
      <x:c r="F34" t="inlineStr">
        <x:is>
          <x:t xml:space="preserve">Dầu gội</x:t>
        </x:is>
      </x:c>
      <x:c r="G34" t="inlineStr">
        <x:is>
          <x:t xml:space="preserve">Công ty Cổ phần Khoa học Sinh Dược Việt Nam</x:t>
        </x:is>
      </x:c>
      <x:c r="H34" t="inlineStr">
        <x:is>
          <x:t xml:space="preserve">0110626199</x:t>
        </x:is>
      </x:c>
      <x:c r="I34" t="inlineStr">
        <x:is>
          <x:t xml:space="preserve">https://tanhung.haiphong.gov.vn/trang-chu-66859/phuong-tan-hung-thong-bao-ve-viec-thu-hoi-san-pham-my-pham-888028</x:t>
        </x:is>
      </x:c>
    </x:row>
    <x:row r="35">
      <x:c r="A35" t="n">
        <x:v>12</x:v>
      </x:c>
      <x:c r="B35" s="99" t="n">
        <x:v>45569</x:v>
      </x:c>
      <x:c r="C35" t="inlineStr">
        <x:is>
          <x:t xml:space="preserve">314/24/CBMP-HD</x:t>
        </x:is>
      </x:c>
      <x:c r="D35" t="inlineStr">
        <x:is>
          <x:t xml:space="preserve">DẦU XẢ DƯỢC LIỆU VNUA</x:t>
        </x:is>
      </x:c>
      <x:c r="E35" t="inlineStr">
        <x:is>
          <x:t xml:space="preserve">VNUA</x:t>
        </x:is>
      </x:c>
      <x:c r="F35" t="inlineStr">
        <x:is>
          <x:t xml:space="preserve">Dầu xả</x:t>
        </x:is>
      </x:c>
      <x:c r="G35" t="inlineStr">
        <x:is>
          <x:t xml:space="preserve">Công ty Cổ phần Khoa học Sinh Dược Việt Nam</x:t>
        </x:is>
      </x:c>
      <x:c r="H35" t="inlineStr">
        <x:is>
          <x:t xml:space="preserve">0110626199</x:t>
        </x:is>
      </x:c>
      <x:c r="I35" t="inlineStr">
        <x:is>
          <x:t xml:space="preserve">https://tanhung.haiphong.gov.vn/trang-chu-66859/phuong-tan-hung-thong-bao-ve-viec-thu-hoi-san-pham-my-pham-888028</x:t>
        </x:is>
      </x:c>
    </x:row>
    <x:row r="36">
      <x:c r="A36" t="n">
        <x:v>13</x:v>
      </x:c>
      <x:c r="B36" s="99" t="n">
        <x:v>45653</x:v>
      </x:c>
      <x:c r="C36" t="inlineStr">
        <x:is>
          <x:t xml:space="preserve">404/24/CBMP-HD</x:t>
        </x:is>
      </x:c>
      <x:c r="D36" t="inlineStr">
        <x:is>
          <x:t xml:space="preserve">DẦU GỘI DƯỢC LIỆU VNUA IDEAL FOR FUNGAL SCALP</x:t>
        </x:is>
      </x:c>
      <x:c r="E36" t="inlineStr">
        <x:is>
          <x:t xml:space="preserve">VNUA</x:t>
        </x:is>
      </x:c>
      <x:c r="F36" t="inlineStr">
        <x:is>
          <x:t xml:space="preserve">Dầu gội</x:t>
        </x:is>
      </x:c>
      <x:c r="G36" t="inlineStr">
        <x:is>
          <x:t xml:space="preserve">Công ty Cổ phần Khoa học Sinh Dược Việt Nam</x:t>
        </x:is>
      </x:c>
      <x:c r="H36" t="inlineStr">
        <x:is>
          <x:t xml:space="preserve">0110626199</x:t>
        </x:is>
      </x:c>
      <x:c r="I36" t="inlineStr">
        <x:is>
          <x:t xml:space="preserve">https://tanhung.haiphong.gov.vn/trang-chu-66859/phuong-tan-hung-thong-bao-ve-viec-thu-hoi-san-pham-my-pham-888028</x:t>
        </x:is>
      </x:c>
    </x:row>
    <x:row r="37">
      <x:c r="A37" t="n">
        <x:v>14</x:v>
      </x:c>
      <x:c r="B37" s="99" t="n">
        <x:v>45646</x:v>
      </x:c>
      <x:c r="C37" t="inlineStr">
        <x:is>
          <x:t xml:space="preserve">387/24/CBMP-HD</x:t>
        </x:is>
      </x:c>
      <x:c r="D37" t="inlineStr">
        <x:is>
          <x:t xml:space="preserve">DẦU GỘI DƯỢC LIỆU VNUA 4IN1</x:t>
        </x:is>
      </x:c>
      <x:c r="E37" t="inlineStr">
        <x:is>
          <x:t xml:space="preserve">VNUA</x:t>
        </x:is>
      </x:c>
      <x:c r="F37" t="inlineStr">
        <x:is>
          <x:t xml:space="preserve">Dầu gội</x:t>
        </x:is>
      </x:c>
      <x:c r="G37" t="inlineStr">
        <x:is>
          <x:t xml:space="preserve">Công ty Cổ phần Khoa học Sinh Dược Việt Nam</x:t>
        </x:is>
      </x:c>
      <x:c r="H37" t="inlineStr">
        <x:is>
          <x:t xml:space="preserve">0110626199</x:t>
        </x:is>
      </x:c>
      <x:c r="I37" t="inlineStr">
        <x:is>
          <x:t xml:space="preserve">https://tanhung.haiphong.gov.vn/trang-chu-66859/phuong-tan-hung-thong-bao-ve-viec-thu-hoi-san-pham-my-pham-888028</x:t>
        </x:is>
      </x:c>
    </x:row>
    <x:row r="39">
      <x:c r="A39" s="144" t="inlineStr">
        <x:is>
          <x:t xml:space="preserve">Nguồn bổ sung</x:t>
        </x:is>
      </x:c>
      <x:c r="B39" s="144" t="inlineStr">
        <x:is>
          <x:t xml:space="preserve">Kết quả</x:t>
        </x:is>
      </x:c>
      <x:c r="C39" s="144" t="inlineStr">
        <x:is>
          <x:t xml:space="preserve">Đánh giá</x:t>
        </x:is>
      </x:c>
      <x:c r="D39" s="144" t="inlineStr">
        <x:is>
          <x:t xml:space="preserve">Ghi chú</x:t>
        </x:is>
      </x:c>
    </x:row>
    <x:row r="40">
      <x:c r="A40" s="109" t="inlineStr">
        <x:is>
          <x:t xml:space="preserve">Dataset cơ sở sản xuất mỹ phẩm phía Tây Hải Phòng</x:t>
        </x:is>
      </x:c>
      <x:c r="B40" s="109" t="inlineStr">
        <x:is>
          <x:t xml:space="preserve">Có – XLSX chính thức Sở Y tế</x:t>
        </x:is>
      </x:c>
      <x:c r="C40" s="109" t="inlineStr">
        <x:is>
          <x:t xml:space="preserve">PASS</x:t>
        </x:is>
      </x:c>
      <x:c r="D40" s="109" t="inlineStr">
        <x:is>
          <x:t xml:space="preserve">Cổng dữ liệu mở ghi cập nhật 13/01/2026.</x:t>
        </x:is>
      </x:c>
    </x:row>
    <x:row r="41">
      <x:c r="A41" s="109" t="inlineStr">
        <x:is>
          <x:t xml:space="preserve">Vai trò nguồn</x:t>
        </x:is>
      </x:c>
      <x:c r="B41" s="109" t="inlineStr">
        <x:is>
          <x:t xml:space="preserve">Cross-match nhà máy/cơ sở sản xuất</x:t>
        </x:is>
      </x:c>
      <x:c r="C41" s="109" t="inlineStr">
        <x:is>
          <x:t xml:space="preserve">PASS</x:t>
        </x:is>
      </x:c>
      <x:c r="D41" s="109" t="inlineStr">
        <x:is>
          <x:t xml:space="preserve">Không dùng để đếm declaration.</x:t>
        </x:is>
      </x:c>
    </x:row>
    <x:row r="42">
      <x:c r="A42" s="109" t="inlineStr">
        <x:is>
          <x:t xml:space="preserve">Trạng thái nạp</x:t>
        </x:is>
      </x:c>
      <x:c r="B42" s="109" t="inlineStr">
        <x:is>
          <x:t xml:space="preserve">Chưa nạp dữ liệu chi tiết</x:t>
        </x:is>
      </x:c>
      <x:c r="C42" s="109" t="inlineStr">
        <x:is>
          <x:t xml:space="preserve">PENDING</x:t>
        </x:is>
      </x:c>
      <x:c r="D42" s="109" t="inlineStr">
        <x:is>
          <x:t xml:space="preserve">Đã xác nhận dataset; cần lấy file/preview để ingest.</x:t>
        </x:is>
      </x:c>
    </x:row>
    <x:row r="43">
      <x:c r="A43" s="109" t="inlineStr">
        <x:is>
          <x:t xml:space="preserve">Ý nghĩa</x:t>
        </x:is>
      </x:c>
      <x:c r="B43" s="109" t="inlineStr">
        <x:is>
          <x:t xml:space="preserve">Bổ sung lớp FACTORY cho Hải Phòng</x:t>
        </x:is>
      </x:c>
      <x:c r="C43" s="109" t="inlineStr">
        <x:is>
          <x:t xml:space="preserve">READY</x:t>
        </x:is>
      </x:c>
      <x:c r="D43" s="109" t="inlineStr">
        <x:is>
          <x:t xml:space="preserve">Khi nạp được sẽ nối Product ↔ Responsible Company ↔ Factory.</x:t>
        </x:is>
      </x:c>
    </x:row>
    <x:row r="44">
      <x:c r="A44" t="str">
        <x:v>BULK ACCELERATION</x:v>
      </x:c>
      <x:c r="B44" t="str">
        <x:v>Trạng thái</x:v>
      </x:c>
      <x:c r="C44" t="str">
        <x:v>Đánh giá</x:v>
      </x:c>
      <x:c r="D44" t="str">
        <x:v>Ghi chú</x:v>
      </x:c>
      <x:c r="E44"/>
      <x:c r="F44"/>
      <x:c r="G44"/>
      <x:c r="H44"/>
      <x:c r="I44"/>
    </x:row>
    <x:row r="45">
      <x:c r="A45" t="str">
        <x:v>XLSX 409 dòng</x:v>
      </x:c>
      <x:c r="B45" t="str">
        <x:v>42/409 hiện có</x:v>
      </x:c>
      <x:c r="C45" t="str">
        <x:v>A+++</x:v>
      </x:c>
      <x:c r="D45" t="str">
        <x:v>Ưu tiên nạp đủ file trước khi quay lại exact-search.</x:v>
      </x:c>
      <x:c r="E45"/>
      <x:c r="F45"/>
      <x:c r="G45"/>
      <x:c r="H45"/>
      <x:c r="I45"/>
    </x:row>
    <x:row r="46">
      <x:c r="A46" t="str">
        <x:v>TPHARMA 10 CBMP</x:v>
      </x:c>
      <x:c r="B46" t="str">
        <x:v>Trang official + 3 PDF</x:v>
      </x:c>
      <x:c r="C46" t="str">
        <x:v>A++</x:v>
      </x:c>
      <x:c r="D46" t="str">
        <x:v>Batch 10 số đang truy từ attachment.</x:v>
      </x:c>
      <x:c r="E46"/>
      <x:c r="F46"/>
      <x:c r="G46"/>
      <x:c r="H46"/>
      <x:c r="I46"/>
    </x:row>
  </x:sheetData>
  <x:mergeCells>
    <x:mergeCell ref="A1:H1"/>
  </x:mergeCells>
  <x:pageMargins left="0.7" right="0.7" top="0.75" bottom="0.75" header="0.3" footer="0.3"/>
</x:worksheet>
</file>

<file path=xl/worksheets/sheet46.xml><?xml version="1.0" encoding="utf-8"?>
<x:worksheet xmlns:x="http://schemas.openxmlformats.org/spreadsheetml/2006/main">
  <x:sheetFormatPr baseColWidth="8" defaultRowHeight="15"/>
  <x:cols>
    <x:col min="1" max="1" width="33" style="91" customWidth="1"/>
    <x:col min="2" max="2" width="44" style="91" customWidth="1"/>
    <x:col min="3" max="3" width="16" style="91" customWidth="1"/>
    <x:col min="4" max="4" width="62" style="91" customWidth="1"/>
    <x:col min="6" max="6" width="30" style="91" customWidth="1"/>
    <x:col min="7" max="7" width="16" style="91" customWidth="1"/>
    <x:col min="8" max="8" width="34" style="91" customWidth="1"/>
  </x:cols>
  <x:sheetData>
    <x:row r="1" s="91" customFormat="1" ht="48" customHeight="1">
      <x:c r="A1" s="320" t="inlineStr">
        <x:is>
          <x:t xml:space="preserve">TP.HCM MỚI – AUDIT SIÊU ĐÔ THỊ &amp; NGUỒN CÔNG BỐ</x:t>
        </x:is>
      </x:c>
      <x:c r="B1" s="1" t="n"/>
      <x:c r="C1" s="1" t="n"/>
      <x:c r="D1" s="1" t="n"/>
      <x:c r="E1" s="1" t="n"/>
      <x:c r="F1" s="1" t="n"/>
      <x:c r="G1" s="1" t="n"/>
      <x:c r="H1" s="1" t="n"/>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3">
      <x:c r="A3" s="191" t="inlineStr">
        <x:is>
          <x:t xml:space="preserve">Kiểm tra</x:t>
        </x:is>
      </x:c>
      <x:c r="B3" s="191" t="inlineStr">
        <x:is>
          <x:t xml:space="preserve">Kết quả</x:t>
        </x:is>
      </x:c>
      <x:c r="C3" s="191" t="inlineStr">
        <x:is>
          <x:t xml:space="preserve">Đánh giá</x:t>
        </x:is>
      </x:c>
      <x:c r="D3" s="191" t="inlineStr">
        <x:is>
          <x:t xml:space="preserve">Ghi chú</x:t>
        </x:is>
      </x:c>
      <x:c r="F3" s="192" t="str">
        <x:v>KPI TP.HCM – CLEAN</x:v>
      </x:c>
      <x:c r="G3" s="192" t="str">
        <x:v>Giá trị</x:v>
      </x:c>
      <x:c r="H3" s="192" t="str">
        <x:v>Ý nghĩa</x:v>
      </x:c>
    </x:row>
    <x:row r="4">
      <x:c r="A4" s="109" t="inlineStr">
        <x:is>
          <x:t xml:space="preserve">Phạm vi TP.HCM hiện nay</x:t>
        </x:is>
      </x:c>
      <x:c r="B4" s="109" t="inlineStr">
        <x:is>
          <x:t xml:space="preserve">TP.HCM cũ + Bình Dương cũ + Bà Rịa–Vũng Tàu cũ</x:t>
        </x:is>
      </x:c>
      <x:c r="C4" s="109" t="inlineStr">
        <x:is>
          <x:t xml:space="preserve">PASS</x:t>
        </x:is>
      </x:c>
      <x:c r="D4" s="109" t="inlineStr">
        <x:is>
          <x:t xml:space="preserve">Ba kho lịch sử phải được hợp nhất.</x:t>
        </x:is>
      </x:c>
      <x:c r="F4" t="str">
        <x:v>Declaration sạch TP.HCM</x:v>
      </x:c>
      <x:c r="G4" t="n">
        <x:v>125</x:v>
      </x:c>
      <x:c r="H4" t="str">
        <x:v>Đủ CBMP + company + source</x:v>
      </x:c>
    </x:row>
    <x:row r="5">
      <x:c r="A5" s="109" t="inlineStr">
        <x:is>
          <x:t xml:space="preserve">Cấp xã hiện hành</x:t>
        </x:is>
      </x:c>
      <x:c r="B5" s="109" t="inlineStr">
        <x:is>
          <x:t xml:space="preserve">168 đơn vị: 113 phường, 54 xã, 1 đặc khu</x:t>
        </x:is>
      </x:c>
      <x:c r="C5" s="109" t="inlineStr">
        <x:is>
          <x:t xml:space="preserve">PASS</x:t>
        </x:is>
      </x:c>
      <x:c r="D5" s="109" t="inlineStr">
        <x:is>
          <x:t xml:space="preserve">Không dùng mô hình 24 quận để chia dữ liệu.</x:t>
        </x:is>
      </x:c>
      <x:c r="F5" t="str">
        <x:v>Direct portal tổng nguồn</x:v>
      </x:c>
      <x:c r="G5" t="n">
        <x:v>39614</x:v>
      </x:c>
      <x:c r="H5" t="str">
        <x:v>Nguồn official public</x:v>
      </x:c>
    </x:row>
    <x:row r="6">
      <x:c r="A6" s="109" t="inlineStr">
        <x:is>
          <x:t xml:space="preserve">Kho trực tiếp công bố mỹ phẩm</x:t>
        </x:is>
      </x:c>
      <x:c r="B6" s="109" t="inlineStr">
        <x:is>
          <x:t xml:space="preserve">39.614 kết quả</x:t>
        </x:is>
      </x:c>
      <x:c r="C6" s="109" t="inlineStr">
        <x:is>
          <x:t xml:space="preserve">PASS</x:t>
        </x:is>
      </x:c>
      <x:c r="D6" s="109" t="inlineStr">
        <x:is>
          <x:t xml:space="preserve">Đây là nguồn lõi mới; phải crawl/dedupe theo số công bố.</x:t>
        </x:is>
      </x:c>
      <x:c r="F6" t="str">
        <x:v>Direct portal batch clean</x:v>
      </x:c>
      <x:c r="G6"/>
      <x:c r="H6" t="str">
        <x:v>Chỉ tính record qua quality gate</x:v>
      </x:c>
    </x:row>
    <x:row r="7">
      <x:c r="A7" s="109" t="inlineStr">
        <x:is>
          <x:t xml:space="preserve">Batch trực tiếp v0.13</x:t>
        </x:is>
      </x:c>
      <x:c r="B7" s="109" t="inlineStr">
        <x:is>
          <x:t xml:space="preserve">20 phiếu</x:t>
        </x:is>
      </x:c>
      <x:c r="C7" s="109" t="inlineStr">
        <x:is>
          <x:t xml:space="preserve">PASS</x:t>
        </x:is>
      </x:c>
      <x:c r="D7" s="109" t="inlineStr">
        <x:is>
          <x:t xml:space="preserve">Có ngày cấp, số CBMP, nhãn, công ty, nhà sản xuất, mã hồ sơ.</x:t>
        </x:is>
      </x:c>
      <x:c r="F7" t="str">
        <x:v>Cơ sở SX đủ điều kiện</x:v>
      </x:c>
      <x:c r="G7" s="319" t="n">
        <x:v>250</x:v>
      </x:c>
      <x:c r="H7" t="str">
        <x:v>Kho factory</x:v>
      </x:c>
    </x:row>
    <x:row r="8">
      <x:c r="A8" s="109" t="inlineStr">
        <x:is>
          <x:t xml:space="preserve">Kho cơ sở đủ điều kiện SX mỹ phẩm</x:t>
        </x:is>
      </x:c>
      <x:c r="B8" s="109" t="inlineStr">
        <x:is>
          <x:t xml:space="preserve">250 cơ sở</x:t>
        </x:is>
      </x:c>
      <x:c r="C8" s="109" t="inlineStr">
        <x:is>
          <x:t xml:space="preserve">PASS</x:t>
        </x:is>
      </x:c>
      <x:c r="D8" s="109" t="inlineStr">
        <x:is>
          <x:t xml:space="preserve">Lớp FACTORY; đã nạp 12 cơ sở mẫu.</x:t>
        </x:is>
      </x:c>
      <x:c r="F8" t="str">
        <x:v>Factory đã nạp</x:v>
      </x:c>
      <x:c r="G8" t="n">
        <x:v>20</x:v>
      </x:c>
      <x:c r="H8" t="str">
        <x:v>FACTORY_REGISTRY</x:v>
      </x:c>
    </x:row>
    <x:row r="9">
      <x:c r="A9" s="109" t="inlineStr">
        <x:is>
          <x:t xml:space="preserve">MEDINET TP.HCM cũ</x:t>
        </x:is>
      </x:c>
      <x:c r="B9" s="109" t="inlineStr">
        <x:is>
          <x:t xml:space="preserve">Có</x:t>
        </x:is>
      </x:c>
      <x:c r="C9" s="109" t="inlineStr">
        <x:is>
          <x:t xml:space="preserve">PARTIAL</x:t>
        </x:is>
      </x:c>
      <x:c r="D9" s="109" t="inlineStr">
        <x:is>
          <x:t xml:space="preserve">19 seed cũ; dùng lịch sử và đối chiếu.</x:t>
        </x:is>
      </x:c>
      <x:c r="F9" t="str">
        <x:v>Legal events toàn workbook</x:v>
      </x:c>
      <x:c r="G9" t="n">
        <x:v>63</x:v>
      </x:c>
      <x:c r="H9" t="str">
        <x:v>Tách khỏi active</x:v>
      </x:c>
    </x:row>
    <x:row r="10">
      <x:c r="A10" s="109" t="inlineStr">
        <x:is>
          <x:t xml:space="preserve">Tra cứu quảng cáo mỹ phẩm</x:t>
        </x:is>
      </x:c>
      <x:c r="B10" s="109" t="inlineStr">
        <x:is>
          <x:t xml:space="preserve">3.533 hồ sơ quảng cáo</x:t>
        </x:is>
      </x:c>
      <x:c r="C10" s="109" t="inlineStr">
        <x:is>
          <x:t xml:space="preserve">PASS</x:t>
        </x:is>
      </x:c>
      <x:c r="D10" s="109" t="inlineStr">
        <x:is>
          <x:t xml:space="preserve">Reverse lookup; không phải tổng declaration.</x:t>
        </x:is>
      </x:c>
      <x:c r="F10" t="str">
        <x:v>Quarantine toàn workbook</x:v>
      </x:c>
      <x:c r="G10" t="n">
        <x:v>23</x:v>
      </x:c>
      <x:c r="H10" t="str">
        <x:v>Không tính</x:v>
      </x:c>
    </x:row>
    <x:row r="11">
      <x:c r="A11" s="109" t="inlineStr">
        <x:is>
          <x:t xml:space="preserve">Tra cứu CFS</x:t>
        </x:is>
      </x:c>
      <x:c r="B11" s="109" t="inlineStr">
        <x:is>
          <x:t xml:space="preserve">7 hồ sơ CFS</x:t>
        </x:is>
      </x:c>
      <x:c r="C11" s="109" t="inlineStr">
        <x:is>
          <x:t xml:space="preserve">PASS</x:t>
        </x:is>
      </x:c>
      <x:c r="D11" s="109" t="inlineStr">
        <x:is>
          <x:t xml:space="preserve">Dùng cross-check số CBMP và nhà máy.</x:t>
        </x:is>
      </x:c>
      <x:c r="F11" t="str">
        <x:v>Portal số bất thường</x:v>
      </x:c>
      <x:c r="G11" t="n">
        <x:v>4</x:v>
      </x:c>
      <x:c r="H11" t="str">
        <x:v>Chờ phiếu gốc</x:v>
      </x:c>
    </x:row>
    <x:row r="12">
      <x:c r="A12" s="109" t="inlineStr">
        <x:is>
          <x:t xml:space="preserve">Bình Dương cũ</x:t>
        </x:is>
      </x:c>
      <x:c r="B12" s="109" t="inlineStr">
        <x:is>
          <x:t xml:space="preserve">22 CBMP-BD đã cross-check</x:t>
        </x:is>
      </x:c>
      <x:c r="C12" s="109" t="inlineStr">
        <x:is>
          <x:t xml:space="preserve">PARTIAL</x:t>
        </x:is>
      </x:c>
      <x:c r="D12" s="109" t="inlineStr">
        <x:is>
          <x:t xml:space="preserve">Cần bulk riêng; ưu tiên VSIP/Thuận An/Dĩ An/Tân Uyên/Bến Cát.</x:t>
        </x:is>
      </x:c>
      <x:c r="F12" t="str">
        <x:v>Image seed thiếu company</x:v>
      </x:c>
      <x:c r="G12" t="n">
        <x:v>2</x:v>
      </x:c>
      <x:c r="H12" t="str">
        <x:v>Chờ trang đầy đủ</x:v>
      </x:c>
    </x:row>
    <x:row r="13">
      <x:c r="A13" s="109" t="inlineStr">
        <x:is>
          <x:t xml:space="preserve">Bà Rịa–Vũng Tàu cũ</x:t>
        </x:is>
      </x:c>
      <x:c r="B13" s="109" t="inlineStr">
        <x:is>
          <x:t xml:space="preserve">Đã xác nhận archive/legal</x:t>
        </x:is>
      </x:c>
      <x:c r="C13" s="109" t="inlineStr">
        <x:is>
          <x:t xml:space="preserve">PARTIAL</x:t>
        </x:is>
      </x:c>
      <x:c r="D13" s="109" t="inlineStr">
        <x:is>
          <x:t xml:space="preserve">Chưa có bulk declaration; ưu tiên Phú Mỹ/Vũng Tàu.</x:t>
        </x:is>
      </x:c>
      <x:c r="F13" t="str">
        <x:v>MASTER rule</x:v>
      </x:c>
      <x:c r="G13" t="str">
        <x:v>STRICT</x:v>
      </x:c>
      <x:c r="H13" t="str">
        <x:v>Không filler / không suy đoán</x:v>
      </x:c>
    </x:row>
    <x:row r="14">
      <x:c r="A14" s="109" t="inlineStr">
        <x:is>
          <x:t xml:space="preserve">Dedupe</x:t>
        </x:is>
      </x:c>
      <x:c r="B14" s="109" t="inlineStr">
        <x:is>
          <x:t xml:space="preserve">Theo số CBMP</x:t>
        </x:is>
      </x:c>
      <x:c r="C14" s="109" t="inlineStr">
        <x:is>
          <x:t xml:space="preserve">RULE</x:t>
        </x:is>
      </x:c>
      <x:c r="D14" s="109" t="inlineStr">
        <x:is>
          <x:t xml:space="preserve">Các luồng nguồn có thể trùng nhau; không cộng tổng nguồn.</x:t>
        </x:is>
      </x:c>
    </x:row>
    <x:row r="15">
      <x:c r="A15" s="109" t="inlineStr">
        <x:is>
          <x:t xml:space="preserve">Gate coverage</x:t>
        </x:is>
      </x:c>
      <x:c r="B15" s="109" t="inlineStr">
        <x:is>
          <x:t xml:space="preserve">Chưa đủ</x:t>
        </x:is>
      </x:c>
      <x:c r="C15" s="109" t="inlineStr">
        <x:is>
          <x:t xml:space="preserve">GATE</x:t>
        </x:is>
      </x:c>
      <x:c r="D15" s="109" t="inlineStr">
        <x:is>
          <x:t xml:space="preserve">39.614 mới nạp trực tiếp 20; cần mở rộng theo batch lớn.</x:t>
        </x:is>
      </x:c>
    </x:row>
    <x:row r="16">
      <x:c r="A16" s="109" t="inlineStr">
        <x:is>
          <x:t xml:space="preserve">Ưu tiên tiếp</x:t>
        </x:is>
      </x:c>
      <x:c r="B16" s="109" t="inlineStr">
        <x:is>
          <x:t xml:space="preserve">Direct portal HCM → factory → BRVT/BD → Hà Nội</x:t>
        </x:is>
      </x:c>
      <x:c r="C16" s="109" t="inlineStr">
        <x:is>
          <x:t xml:space="preserve">A++</x:t>
        </x:is>
      </x:c>
      <x:c r="D16" s="109" t="inlineStr">
        <x:is>
          <x:t xml:space="preserve">Kho trực tiếp mới là ưu tiên số 1.</x:t>
        </x:is>
      </x:c>
    </x:row>
    <x:row r="17">
      <x:c r="A17" s="340" t="str">
        <x:v>QĐ thu hồi Tạ Minh Quang</x:v>
      </x:c>
      <x:c r="B17" s="340" t="str">
        <x:v>38 CBMP-HCM (2022–2023)</x:v>
      </x:c>
      <x:c r="C17" s="340" t="str">
        <x:v>PASS</x:v>
      </x:c>
      <x:c r="D17" s="340" t="str">
        <x:v>Official HCM decision; source mirrored by Sở Y tế Quảng Ninh.</x:v>
      </x:c>
    </x:row>
    <x:row r="18">
      <x:c r="A18" s="340" t="str">
        <x:v>QĐ thu hồi Đức Anh</x:v>
      </x:c>
      <x:c r="B18" s="340" t="str">
        <x:v>2 CBMP-HCM (2024)</x:v>
      </x:c>
      <x:c r="C18" s="340" t="str">
        <x:v>PASS</x:v>
      </x:c>
      <x:c r="D18" s="340" t="str">
        <x:v>Factory: Hành Tinh Xanh.</x:v>
      </x:c>
    </x:row>
    <x:row r="19">
      <x:c r="A19" s="340" t="str">
        <x:v>QĐ thu hồi Hoàng Dũng</x:v>
      </x:c>
      <x:c r="B19" s="340" t="str">
        <x:v>1 CBMP-HCM (2024)</x:v>
      </x:c>
      <x:c r="C19" s="340" t="str">
        <x:v>PASS</x:v>
      </x:c>
      <x:c r="D19" s="340" t="str">
        <x:v>Factory: Hành Tinh Xanh.</x:v>
      </x:c>
    </x:row>
    <x:row r="20">
      <x:c r="A20" s="340" t="str">
        <x:v>Public-quality batch v0.26</x:v>
      </x:c>
      <x:c r="B20" s="340" t="str">
        <x:v>8 CBMP-HCM</x:v>
      </x:c>
      <x:c r="C20" s="340" t="str">
        <x:v>PASS</x:v>
      </x:c>
      <x:c r="D20" s="340" t="str">
        <x:v>Đủ số + company + manufacturer + official/public-government source.</x:v>
      </x:c>
    </x:row>
    <x:row r="21">
      <x:c r="A21" s="340" t="str">
        <x:v>Yody Phương Anh / Nhật Hàn</x:v>
      </x:c>
      <x:c r="B21" s="340" t="str">
        <x:v>3 CBMP</x:v>
      </x:c>
      <x:c r="C21" s="340" t="str">
        <x:v>PASS</x:v>
      </x:c>
      <x:c r="D21" s="340" t="str">
        <x:v>2370, 2371, 004015</x:v>
      </x:c>
    </x:row>
    <x:row r="22">
      <x:c r="A22" s="340" t="str">
        <x:v>Bình Tân / Tân Tạo cluster</x:v>
      </x:c>
      <x:c r="B22" s="340" t="str">
        <x:v>3 CBMP</x:v>
      </x:c>
      <x:c r="C22" s="340" t="str">
        <x:v>PASS</x:v>
      </x:c>
      <x:c r="D22" s="340" t="str">
        <x:v>001513 Nguyễn Quách; 002094 Đăng Dương; plus Yody records.</x:v>
      </x:c>
    </x:row>
    <x:row r="23">
      <x:c r="A23" s="340" t="str">
        <x:v>Consumer retail signal</x:v>
      </x:c>
      <x:c r="B23" s="340" t="str">
        <x:v>002013/25 Coop Select</x:v>
      </x:c>
      <x:c r="C23" s="340" t="str">
        <x:v>PASS</x:v>
      </x:c>
      <x:c r="D23" s="340" t="str">
        <x:v>Public recall notice confirms responsible company + manufacturer.</x:v>
      </x:c>
    </x:row>
    <x:row r="24">
      <x:c r="A24" t="str">
        <x:v>Public batch v0.27</x:v>
      </x:c>
      <x:c r="B24" t="str">
        <x:v>11 CBMP-HCM</x:v>
      </x:c>
      <x:c r="C24" t="str">
        <x:v>PASS</x:v>
      </x:c>
      <x:c r="D24" t="str">
        <x:v>Đủ clean gate.</x:v>
      </x:c>
    </x:row>
    <x:row r="25">
      <x:c r="A25" t="str">
        <x:v>Đăng Dương</x:v>
      </x:c>
      <x:c r="B25" t="str">
        <x:v>5 CBMP 2023</x:v>
      </x:c>
      <x:c r="C25" t="str">
        <x:v>PASS</x:v>
      </x:c>
      <x:c r="D25" t="str">
        <x:v>Có ngày cấp + company + manufacturer.</x:v>
      </x:c>
    </x:row>
    <x:row r="26">
      <x:c r="A26" t="str">
        <x:v>Long Phụng Khang</x:v>
      </x:c>
      <x:c r="B26" t="str">
        <x:v>003402/22</x:v>
      </x:c>
      <x:c r="C26" t="str">
        <x:v>PASS</x:v>
      </x:c>
      <x:c r="D26" t="str">
        <x:v>LYNSHAO.</x:v>
      </x:c>
    </x:row>
    <x:row r="27">
      <x:c r="A27" t="str">
        <x:v>Nam Đô / Chi Chi / Intasilk</x:v>
      </x:c>
      <x:c r="B27" t="str">
        <x:v>3 CBMP</x:v>
      </x:c>
      <x:c r="C27" t="str">
        <x:v>PASS</x:v>
      </x:c>
      <x:c r="D27" t="str">
        <x:v>000330, 001052, 003167.</x:v>
      </x:c>
    </x:row>
    <x:row r="28">
      <x:c r="A28" t="str">
        <x:v>Ellie / GAMMA</x:v>
      </x:c>
      <x:c r="B28" t="str">
        <x:v>2 CBMP</x:v>
      </x:c>
      <x:c r="C28" t="str">
        <x:v>PASS</x:v>
      </x:c>
      <x:c r="D28" t="str">
        <x:v>2083/22 và 005294/22.</x:v>
      </x:c>
    </x:row>
  </x:sheetData>
  <x:mergeCells>
    <x:mergeCell ref="A1:H1"/>
  </x:mergeCells>
  <x:pageMargins left="0.7" right="0.7" top="0.75" bottom="0.75" header="0.3" footer="0.3"/>
</x:worksheet>
</file>

<file path=xl/worksheets/sheet47.xml><?xml version="1.0" encoding="utf-8"?>
<x:worksheet xmlns:x="http://schemas.openxmlformats.org/spreadsheetml/2006/main">
  <x:sheetFormatPr baseColWidth="8" defaultRowHeight="15"/>
  <x:cols>
    <x:col min="1" max="1" width="10" style="91" customWidth="1"/>
    <x:col min="2" max="2" width="20" style="91" customWidth="1"/>
    <x:col min="3" max="3" width="38" style="91" customWidth="1"/>
    <x:col min="4" max="4" width="18" style="91" customWidth="1"/>
    <x:col min="5" max="5" width="46" style="91" customWidth="1"/>
    <x:col min="6" max="6" width="36" style="91" customWidth="1"/>
    <x:col min="7" max="7" width="22" style="91" customWidth="1"/>
    <x:col min="8" max="8" width="52" style="91" customWidth="1"/>
    <x:col min="9" max="9" width="70" style="91" customWidth="1"/>
  </x:cols>
  <x:sheetData>
    <x:row r="1" s="91" customFormat="1" ht="48" customHeight="1">
      <x:c r="A1" s="276" t="inlineStr">
        <x:is>
          <x:t xml:space="preserve">Ưu tiên</x:t>
        </x:is>
      </x:c>
      <x:c r="B1" s="276" t="inlineStr">
        <x:is>
          <x:t xml:space="preserve">Thành phố hiện hành</x:t>
        </x:is>
      </x:c>
      <x:c r="C1" s="276" t="inlineStr">
        <x:is>
          <x:t xml:space="preserve">Hình thành từ</x:t>
        </x:is>
      </x:c>
      <x:c r="D1" s="276" t="inlineStr">
        <x:is>
          <x:t xml:space="preserve">Record declaration đang có</x:t>
        </x:is>
      </x:c>
      <x:c r="E1" s="276" t="inlineStr">
        <x:is>
          <x:t xml:space="preserve">Nguồn mạnh đã xác nhận</x:t>
        </x:is>
      </x:c>
      <x:c r="F1" s="276" t="inlineStr">
        <x:is>
          <x:t xml:space="preserve">Kho lịch sử phải gom</x:t>
        </x:is>
      </x:c>
      <x:c r="G1" s="276" t="inlineStr">
        <x:is>
          <x:t xml:space="preserve">Trạng thái</x:t>
        </x:is>
      </x:c>
      <x:c r="H1" s="276" t="inlineStr">
        <x:is>
          <x:t xml:space="preserve">Việc tiếp theo</x:t>
        </x:is>
      </x:c>
      <x:c r="I1" s="276" t="inlineStr">
        <x:is>
          <x:t xml:space="preserve">URL chính</x:t>
        </x:is>
      </x:c>
      <x:c r="J1" s="272" t="n"/>
      <x:c r="K1" s="272" t="n"/>
      <x:c r="L1" s="272" t="n"/>
      <x:c r="M1" s="272" t="n"/>
      <x:c r="N1" s="272" t="n"/>
      <x:c r="O1" s="272" t="n"/>
      <x:c r="P1" s="272" t="n"/>
      <x:c r="Q1" s="272" t="n"/>
      <x:c r="R1" s="272" t="n"/>
      <x:c r="S1" s="272" t="n"/>
      <x:c r="T1" s="272" t="n"/>
      <x:c r="U1" s="272" t="n"/>
      <x:c r="V1" s="272" t="n"/>
      <x:c r="W1" s="272" t="n"/>
      <x:c r="X1" s="272" t="n"/>
      <x:c r="Y1" s="272" t="n"/>
      <x:c r="Z1" s="272" t="n"/>
    </x:row>
    <x:row r="2">
      <x:c r="A2" t="inlineStr">
        <x:is>
          <x:t xml:space="preserve">A++</x:t>
        </x:is>
      </x:c>
      <x:c r="B2" t="inlineStr">
        <x:is>
          <x:t xml:space="preserve">TP. Hồ Chí Minh</x:t>
        </x:is>
      </x:c>
      <x:c r="C2" t="inlineStr">
        <x:is>
          <x:t xml:space="preserve">TP.HCM + Bình Dương + Bà Rịa–Vũng Tàu</x:t>
        </x:is>
      </x:c>
      <x:c r="D2" t="n">
        <x:v>127</x:v>
      </x:c>
      <x:c r="E2" t="str">
        <x:v>39.614 direct + Bình Dương legacy recovery + public/legal recovery + factory + retail/import</x:v>
      </x:c>
      <x:c r="F2" t="inlineStr">
        <x:is>
          <x:t xml:space="preserve">TP.HCM cũ + Bình Dương cũ + Bà Rịa–Vũng Tàu cũ</x:t>
        </x:is>
      </x:c>
      <x:c r="G2" t="str">
        <x:v>Đang đào sâu – public notification data only; PIF out of scope</x:v>
      </x:c>
      <x:c r="H2" t="str">
        <x:v>Tiếp tục exact-CBMP sweep Bình Dương cũ; ưu tiên Marico/Wipro/Rohto + DAV/SYT BD archive</x:v>
      </x:c>
      <x:c r="I2" t="inlineStr">
        <x:is>
          <x:t xml:space="preserve">https://tracuu.medinet.org.vn/category/cosodulieukhac/quangcao-mypham</x:t>
        </x:is>
      </x:c>
    </x:row>
    <x:row r="3">
      <x:c r="A3" t="inlineStr">
        <x:is>
          <x:t xml:space="preserve">A++</x:t>
        </x:is>
      </x:c>
      <x:c r="B3" t="inlineStr">
        <x:is>
          <x:t xml:space="preserve">Hà Nội</x:t>
        </x:is>
      </x:c>
      <x:c r="C3" t="inlineStr">
        <x:is>
          <x:t xml:space="preserve">Hà Nội</x:t>
        </x:is>
      </x:c>
      <x:c r="D3" t="n">
        <x:v>0</x:v>
      </x:c>
      <x:c r="E3" t="inlineStr">
        <x:is>
          <x:t xml:space="preserve">Công văn 3748/SYT-NVD + 3 file</x:t>
        </x:is>
      </x:c>
      <x:c r="F3" t="inlineStr">
        <x:is>
          <x:t xml:space="preserve">CBMP-HN</x:t>
        </x:is>
      </x:c>
      <x:c r="G3" t="inlineStr">
        <x:is>
          <x:t xml:space="preserve">Nguồn đã xác nhận</x:t>
        </x:is>
      </x:c>
      <x:c r="H3" t="inlineStr">
        <x:is>
          <x:t xml:space="preserve">Lấy đủ 3 file declaration</x:t>
        </x:is>
      </x:c>
      <x:c r="I3" t="inlineStr">
        <x:is>
          <x:t xml:space="preserve">https://soyte.hanoi.gov.vn/van-ban-chi-dao-dieu-hanh/thong-tin-danh-sach-cap-thu-hoi-so-tiep-nhan-phieu-cong-bo-san-pham-my-pham-240679</x:t>
        </x:is>
      </x:c>
    </x:row>
    <x:row r="4">
      <x:c r="A4" t="inlineStr">
        <x:is>
          <x:t xml:space="preserve">A</x:t>
        </x:is>
      </x:c>
      <x:c r="B4" t="inlineStr">
        <x:is>
          <x:t xml:space="preserve">Hải Phòng</x:t>
        </x:is>
      </x:c>
      <x:c r="C4" t="inlineStr">
        <x:is>
          <x:t xml:space="preserve">Hải Phòng + Hải Dương</x:t>
        </x:is>
      </x:c>
      <x:c r="D4" t="n">
        <x:v>42</x:v>
      </x:c>
      <x:c r="E4" t="inlineStr">
        <x:is>
          <x:t xml:space="preserve">XLSX 409 legacy + HP hiện hành</x:t>
        </x:is>
      </x:c>
      <x:c r="F4" t="inlineStr">
        <x:is>
          <x:t xml:space="preserve">CBMP-HD + CBMP-HP</x:t>
        </x:is>
      </x:c>
      <x:c r="G4" t="inlineStr">
        <x:is>
          <x:t xml:space="preserve">Deep audit</x:t>
        </x:is>
      </x:c>
      <x:c r="H4" t="inlineStr">
        <x:is>
          <x:t xml:space="preserve">Nạp đủ 409 + current HP</x:t>
        </x:is>
      </x:c>
      <x:c r="I4" t="inlineStr">
        <x:is>
          <x:t xml:space="preserve">https://data.haiphong.gov.vn/dataset/du-lieu-so-tiep-nhan-phieu-cong-bo-san-pham-my-pham</x:t>
        </x:is>
      </x:c>
    </x:row>
    <x:row r="5">
      <x:c r="A5" t="inlineStr">
        <x:is>
          <x:t xml:space="preserve">A</x:t>
        </x:is>
      </x:c>
      <x:c r="B5" t="inlineStr">
        <x:is>
          <x:t xml:space="preserve">Đà Nẵng</x:t>
        </x:is>
      </x:c>
      <x:c r="C5" t="inlineStr">
        <x:is>
          <x:t xml:space="preserve">Đà Nẵng + Quảng Nam</x:t>
        </x:is>
      </x:c>
      <x:c r="D5" t="n">
        <x:v>4</x:v>
      </x:c>
      <x:c r="E5" t="inlineStr">
        <x:is>
          <x:t xml:space="preserve">Bulk RAR danh sách cấp số đến 04/07/2018 + legal cross-check 2024/2025</x:t>
        </x:is>
      </x:c>
      <x:c r="F5" t="inlineStr">
        <x:is>
          <x:t xml:space="preserve">Đà Nẵng cũ + Quảng Nam cũ</x:t>
        </x:is>
      </x:c>
      <x:c r="G5" t="inlineStr">
        <x:is>
          <x:t xml:space="preserve">Đang đào sâu</x:t>
        </x:is>
      </x:c>
      <x:c r="H5" t="inlineStr">
        <x:is>
          <x:t xml:space="preserve">Lấy file RAR 2018; truy CBMP-ĐN mới; tìm archive Quảng Nam cũ</x:t>
        </x:is>
      </x:c>
      <x:c r="I5" t="inlineStr">
        <x:is>
          <x:t xml:space="preserve">https://soyte.danang.gov.vn/</x:t>
        </x:is>
      </x:c>
    </x:row>
    <x:row r="6">
      <x:c r="A6" t="inlineStr">
        <x:is>
          <x:t xml:space="preserve">A</x:t>
        </x:is>
      </x:c>
      <x:c r="B6" t="inlineStr">
        <x:is>
          <x:t xml:space="preserve">Cần Thơ</x:t>
        </x:is>
      </x:c>
      <x:c r="C6" t="inlineStr">
        <x:is>
          <x:t xml:space="preserve">Cần Thơ + Sóc Trăng + Hậu Giang</x:t>
        </x:is>
      </x:c>
      <x:c r="D6" t="n">
        <x:v>0</x:v>
      </x:c>
      <x:c r="E6" t="inlineStr">
        <x:is>
          <x:t xml:space="preserve">Cổng Sở Y tế/DVC</x:t>
        </x:is>
      </x:c>
      <x:c r="F6" t="inlineStr">
        <x:is>
          <x:t xml:space="preserve">3 kho lịch sử</x:t>
        </x:is>
      </x:c>
      <x:c r="G6" t="inlineStr">
        <x:is>
          <x:t xml:space="preserve">Đang dò</x:t>
        </x:is>
      </x:c>
      <x:c r="H6" t="inlineStr">
        <x:is>
          <x:t xml:space="preserve">Tìm bulk 3 kho</x:t>
        </x:is>
      </x:c>
      <x:c r="I6" t="inlineStr">
        <x:is>
          <x:t xml:space="preserve">https://soyte.cantho.gov.vn/</x:t>
        </x:is>
      </x:c>
    </x:row>
    <x:row r="7">
      <x:c r="A7" t="inlineStr">
        <x:is>
          <x:t xml:space="preserve">A</x:t>
        </x:is>
      </x:c>
      <x:c r="B7" t="inlineStr">
        <x:is>
          <x:t xml:space="preserve">Huế</x:t>
        </x:is>
      </x:c>
      <x:c r="C7" t="inlineStr">
        <x:is>
          <x:t xml:space="preserve">Huế</x:t>
        </x:is>
      </x:c>
      <x:c r="D7" t="n">
        <x:v>0</x:v>
      </x:c>
      <x:c r="E7" t="inlineStr">
        <x:is>
          <x:t xml:space="preserve">Sở Y tế Huế legal/archive</x:t>
        </x:is>
      </x:c>
      <x:c r="F7" t="inlineStr">
        <x:is>
          <x:t xml:space="preserve">CBMP-TTH/Huế</x:t>
        </x:is>
      </x:c>
      <x:c r="G7" t="inlineStr">
        <x:is>
          <x:t xml:space="preserve">Đã có nguồn legal</x:t>
        </x:is>
      </x:c>
      <x:c r="H7" t="inlineStr">
        <x:is>
          <x:t xml:space="preserve">Tìm bulk declaration</x:t>
        </x:is>
      </x:c>
      <x:c r="I7" t="inlineStr">
        <x:is>
          <x:t xml:space="preserve">https://syt.hue.gov.vn/</x:t>
        </x:is>
      </x:c>
    </x:row>
  </x:sheetData>
  <x:pageMargins left="0.7" right="0.7" top="0.75" bottom="0.75" header="0.3" footer="0.3"/>
</x:worksheet>
</file>

<file path=xl/worksheets/sheet48.xml><?xml version="1.0" encoding="utf-8"?>
<x:worksheet xmlns:x="http://schemas.openxmlformats.org/spreadsheetml/2006/main">
  <x:sheetFormatPr baseColWidth="8" defaultRowHeight="15"/>
  <x:cols>
    <x:col min="1" max="1" width="32" style="91" customWidth="1"/>
    <x:col min="2" max="2" width="38" style="91" customWidth="1"/>
    <x:col min="3" max="3" width="16" style="91" customWidth="1"/>
    <x:col min="4" max="4" width="62" style="91" customWidth="1"/>
    <x:col min="6" max="6" width="30" style="91" customWidth="1"/>
    <x:col min="7" max="7" width="16" style="91" customWidth="1"/>
    <x:col min="8" max="8" width="36" style="91" customWidth="1"/>
  </x:cols>
  <x:sheetData>
    <x:row r="1" s="91" customFormat="1" ht="48" customHeight="1">
      <x:c r="A1" s="320" t="inlineStr">
        <x:is>
          <x:t xml:space="preserve">ĐÀ NẴNG – AUDIT NGUỒN CÔNG BỐ &amp; KHO LỊCH SỬ</x:t>
        </x:is>
      </x:c>
      <x:c r="B1" s="1" t="n"/>
      <x:c r="C1" s="1" t="n"/>
      <x:c r="D1" s="1" t="n"/>
      <x:c r="E1" s="1" t="n"/>
      <x:c r="F1" s="1" t="n"/>
      <x:c r="G1" s="1" t="n"/>
      <x:c r="H1" s="1" t="n"/>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3">
      <x:c r="A3" s="177" t="inlineStr">
        <x:is>
          <x:t xml:space="preserve">Kiểm tra</x:t>
        </x:is>
      </x:c>
      <x:c r="B3" s="177" t="inlineStr">
        <x:is>
          <x:t xml:space="preserve">Kết quả</x:t>
        </x:is>
      </x:c>
      <x:c r="C3" s="177" t="inlineStr">
        <x:is>
          <x:t xml:space="preserve">Đánh giá</x:t>
        </x:is>
      </x:c>
      <x:c r="D3" s="177" t="inlineStr">
        <x:is>
          <x:t xml:space="preserve">Ghi chú</x:t>
        </x:is>
      </x:c>
      <x:c r="F3" s="180" t="inlineStr">
        <x:is>
          <x:t xml:space="preserve">KPI Đà Nẵng</x:t>
        </x:is>
      </x:c>
      <x:c r="G3" s="180" t="inlineStr">
        <x:is>
          <x:t xml:space="preserve">Giá trị</x:t>
        </x:is>
      </x:c>
      <x:c r="H3" s="180" t="inlineStr">
        <x:is>
          <x:t xml:space="preserve">Ý nghĩa</x:t>
        </x:is>
      </x:c>
    </x:row>
    <x:row r="4">
      <x:c r="A4" t="inlineStr">
        <x:is>
          <x:t xml:space="preserve">Bulk declaration Đà Nẵng cũ</x:t>
        </x:is>
      </x:c>
      <x:c r="B4" t="inlineStr">
        <x:is>
          <x:t xml:space="preserve">Có – danh sách đến 04/07/2018</x:t>
        </x:is>
      </x:c>
      <x:c r="C4" t="inlineStr">
        <x:is>
          <x:t xml:space="preserve">PASS</x:t>
        </x:is>
      </x:c>
      <x:c r="D4" t="inlineStr">
        <x:is>
          <x:t xml:space="preserve">Sở Y tế công bố file RAR tổng; chưa ingest được file trong phiên.</x:t>
        </x:is>
      </x:c>
      <x:c r="F4" t="inlineStr">
        <x:is>
          <x:t xml:space="preserve">Declaration hiện có</x:t>
        </x:is>
      </x:c>
      <x:c r="G4" t="n">
        <x:f>COUNTA('04_DaNang'!$H$2:$H$5000)</x:f>
        <x:v>5</x:v>
      </x:c>
      <x:c r="H4" t="inlineStr">
        <x:is>
          <x:t xml:space="preserve">Tự tính từ 04_DaNang</x:t>
        </x:is>
      </x:c>
    </x:row>
    <x:row r="5">
      <x:c r="A5" t="inlineStr">
        <x:is>
          <x:t xml:space="preserve">Nguồn hiện hành/legal</x:t>
        </x:is>
      </x:c>
      <x:c r="B5" t="inlineStr">
        <x:is>
          <x:t xml:space="preserve">Có</x:t>
        </x:is>
      </x:c>
      <x:c r="C5" t="inlineStr">
        <x:is>
          <x:t xml:space="preserve">PASS</x:t>
        </x:is>
      </x:c>
      <x:c r="D5" t="inlineStr">
        <x:is>
          <x:t xml:space="preserve">Có nhiều thông báo thu hồi/cảnh báo trên Sở Y tế Đà Nẵng và nguồn nhà nước khác.</x:t>
        </x:is>
      </x:c>
      <x:c r="F5" t="inlineStr">
        <x:is>
          <x:t xml:space="preserve">Legal events hiện có</x:t>
        </x:is>
      </x:c>
      <x:c r="G5" t="n">
        <x:f>COUNTIF(LEGAL_EVENTS!$N$2:$N$5000,"Đà Nẵng")</x:f>
        <x:v>4</x:v>
      </x:c>
      <x:c r="H5" t="inlineStr">
        <x:is>
          <x:t xml:space="preserve">Tự tính từ LEGAL_EVENTS</x:t>
        </x:is>
      </x:c>
    </x:row>
    <x:row r="6">
      <x:c r="A6" t="inlineStr">
        <x:is>
          <x:t xml:space="preserve">CBMP-ĐN đã cross-check</x:t>
        </x:is>
      </x:c>
      <x:c r="B6" t="n">
        <x:v>4</x:v>
      </x:c>
      <x:c r="C6" t="inlineStr">
        <x:is>
          <x:t xml:space="preserve">PARTIAL</x:t>
        </x:is>
      </x:c>
      <x:c r="D6" t="inlineStr">
        <x:is>
          <x:t xml:space="preserve">779, 780, 792, 794/24/CBMP-ĐN.</x:t>
        </x:is>
      </x:c>
      <x:c r="F6" t="inlineStr">
        <x:is>
          <x:t xml:space="preserve">Bulk source 2018</x:t>
        </x:is>
      </x:c>
      <x:c r="G6" t="n">
        <x:v>1</x:v>
      </x:c>
      <x:c r="H6" t="inlineStr">
        <x:is>
          <x:t xml:space="preserve">Có file tổng RAR</x:t>
        </x:is>
      </x:c>
    </x:row>
    <x:row r="7">
      <x:c r="A7" t="inlineStr">
        <x:is>
          <x:t xml:space="preserve">Hanayuki Sunscreen Body</x:t>
        </x:is>
      </x:c>
      <x:c r="B7" t="inlineStr">
        <x:is>
          <x:t xml:space="preserve">779/24/CBMP-ĐN</x:t>
        </x:is>
      </x:c>
      <x:c r="C7" t="inlineStr">
        <x:is>
          <x:t xml:space="preserve">LEGAL</x:t>
        </x:is>
      </x:c>
      <x:c r="D7" t="inlineStr">
        <x:is>
          <x:t xml:space="preserve">Đình chỉ/thu hồi.</x:t>
        </x:is>
      </x:c>
      <x:c r="F7" t="inlineStr">
        <x:is>
          <x:t xml:space="preserve">Kho Quảng Nam cũ</x:t>
        </x:is>
      </x:c>
      <x:c r="G7" t="n">
        <x:v>0</x:v>
      </x:c>
      <x:c r="H7" t="inlineStr">
        <x:is>
          <x:t xml:space="preserve">Chưa ingest</x:t>
        </x:is>
      </x:c>
    </x:row>
    <x:row r="8">
      <x:c r="A8" t="inlineStr">
        <x:is>
          <x:t xml:space="preserve">Hanayuki Shampoo</x:t>
        </x:is>
      </x:c>
      <x:c r="B8" t="inlineStr">
        <x:is>
          <x:t xml:space="preserve">780/24/CBMP-ĐN</x:t>
        </x:is>
      </x:c>
      <x:c r="C8" t="inlineStr">
        <x:is>
          <x:t xml:space="preserve">WATCH</x:t>
        </x:is>
      </x:c>
      <x:c r="D8" t="inlineStr">
        <x:is>
          <x:t xml:space="preserve">Có cảnh báo/đang làm rõ.</x:t>
        </x:is>
      </x:c>
      <x:c r="F8" t="inlineStr">
        <x:is>
          <x:t xml:space="preserve">Trạng thái</x:t>
        </x:is>
      </x:c>
      <x:c r="G8" t="inlineStr">
        <x:is>
          <x:t xml:space="preserve">PARTIAL</x:t>
        </x:is>
      </x:c>
      <x:c r="H8" t="inlineStr">
        <x:is>
          <x:t xml:space="preserve">Chưa dùng để suy rộng thị trường</x:t>
        </x:is>
      </x:c>
    </x:row>
    <x:row r="9">
      <x:c r="A9" t="inlineStr">
        <x:is>
          <x:t xml:space="preserve">VB Soft &amp; Silk</x:t>
        </x:is>
      </x:c>
      <x:c r="B9" t="inlineStr">
        <x:is>
          <x:t xml:space="preserve">792/24/CBMP-ĐN</x:t>
        </x:is>
      </x:c>
      <x:c r="C9" t="inlineStr">
        <x:is>
          <x:t xml:space="preserve">WATCH</x:t>
        </x:is>
      </x:c>
      <x:c r="D9" t="inlineStr">
        <x:is>
          <x:t xml:space="preserve">Có cảnh báo/đang làm rõ.</x:t>
        </x:is>
      </x:c>
    </x:row>
    <x:row r="10">
      <x:c r="A10" t="inlineStr">
        <x:is>
          <x:t xml:space="preserve">Hanayuki Conditioner</x:t>
        </x:is>
      </x:c>
      <x:c r="B10" t="inlineStr">
        <x:is>
          <x:t xml:space="preserve">794/24/CBMP-ĐN</x:t>
        </x:is>
      </x:c>
      <x:c r="C10" t="inlineStr">
        <x:is>
          <x:t xml:space="preserve">LEGAL</x:t>
        </x:is>
      </x:c>
      <x:c r="D10" t="inlineStr">
        <x:is>
          <x:t xml:space="preserve">Đình chỉ/thu hồi.</x:t>
        </x:is>
      </x:c>
    </x:row>
    <x:row r="11">
      <x:c r="A11" t="inlineStr">
        <x:is>
          <x:t xml:space="preserve">Quảng Nam cũ</x:t>
        </x:is>
      </x:c>
      <x:c r="B11" t="inlineStr">
        <x:is>
          <x:t xml:space="preserve">Chưa gom bulk</x:t>
        </x:is>
      </x:c>
      <x:c r="C11" t="inlineStr">
        <x:is>
          <x:t xml:space="preserve">GAP</x:t>
        </x:is>
      </x:c>
      <x:c r="D11" t="inlineStr">
        <x:is>
          <x:t xml:space="preserve">Sau sáp nhập Đà Nẵng phải hợp nhất thêm kho lịch sử Quảng Nam.</x:t>
        </x:is>
      </x:c>
    </x:row>
    <x:row r="12">
      <x:c r="A12" t="inlineStr">
        <x:is>
          <x:t xml:space="preserve">Gate hoàn tất</x:t>
        </x:is>
      </x:c>
      <x:c r="B12" t="inlineStr">
        <x:is>
          <x:t xml:space="preserve">Chưa đủ</x:t>
        </x:is>
      </x:c>
      <x:c r="C12" t="inlineStr">
        <x:is>
          <x:t xml:space="preserve">GATE</x:t>
        </x:is>
      </x:c>
      <x:c r="D12" t="inlineStr">
        <x:is>
          <x:t xml:space="preserve">Phải ingest bulk Đà Nẵng cũ + Quảng Nam cũ + dữ liệu hiện hành.</x:t>
        </x:is>
      </x:c>
    </x:row>
  </x:sheetData>
  <x:mergeCells>
    <x:mergeCell ref="A1:H1"/>
  </x:mergeCells>
  <x:pageMargins left="0.7" right="0.7" top="0.75" bottom="0.75" header="0.3" footer="0.3"/>
</x:worksheet>
</file>

<file path=xl/worksheets/sheet49.xml><?xml version="1.0" encoding="utf-8"?>
<x:worksheet xmlns:x="http://schemas.openxmlformats.org/spreadsheetml/2006/main">
  <x:sheetFormatPr baseColWidth="8" defaultRowHeight="15"/>
  <x:cols>
    <x:col min="1" max="1" width="7" style="91" customWidth="1"/>
    <x:col min="2" max="2" width="20" style="91" customWidth="1"/>
    <x:col min="3" max="3" width="18" style="91" customWidth="1"/>
    <x:col min="4" max="4" width="56" style="91" customWidth="1"/>
    <x:col min="5" max="5" width="20" style="91" customWidth="1"/>
    <x:col min="6" max="6" width="14" style="91" customWidth="1"/>
    <x:col min="7" max="7" width="24" style="91" customWidth="1"/>
    <x:col min="8" max="8" width="62" style="91" customWidth="1"/>
    <x:col min="9" max="9" width="52" style="91" customWidth="1"/>
    <x:col min="10" max="10" width="18" style="91" customWidth="1"/>
    <x:col min="11" max="11" width="76" style="91" customWidth="1"/>
    <x:col min="12" max="12" width="32" style="91" customWidth="1"/>
  </x:cols>
  <x:sheetData>
    <x:row r="1" s="91" customFormat="1" ht="48" customHeight="1">
      <x:c r="A1" s="276" t="inlineStr">
        <x:is>
          <x:t xml:space="preserve">ID</x:t>
        </x:is>
      </x:c>
      <x:c r="B1" s="276" t="inlineStr">
        <x:is>
          <x:t xml:space="preserve">Tỉnh/TP hiện hành</x:t>
        </x:is>
      </x:c>
      <x:c r="C1" s="276" t="inlineStr">
        <x:is>
          <x:t xml:space="preserve">Khu vực lịch sử</x:t>
        </x:is>
      </x:c>
      <x:c r="D1" s="276" t="inlineStr">
        <x:is>
          <x:t xml:space="preserve">Tên cơ sở sản xuất</x:t>
        </x:is>
      </x:c>
      <x:c r="E1" s="276" t="inlineStr">
        <x:is>
          <x:t xml:space="preserve">Số ĐKSXMP</x:t>
        </x:is>
      </x:c>
      <x:c r="F1" s="276" t="inlineStr">
        <x:is>
          <x:t xml:space="preserve">Ngày xác nhận</x:t>
        </x:is>
      </x:c>
      <x:c r="G1" s="276" t="inlineStr">
        <x:is>
          <x:t xml:space="preserve">Người đại diện</x:t>
        </x:is>
      </x:c>
      <x:c r="H1" s="276" t="inlineStr">
        <x:is>
          <x:t xml:space="preserve">Địa chỉ</x:t>
        </x:is>
      </x:c>
      <x:c r="I1" s="276" t="inlineStr">
        <x:is>
          <x:t xml:space="preserve">Phạm vi sản xuất</x:t>
        </x:is>
      </x:c>
      <x:c r="J1" s="276" t="inlineStr">
        <x:is>
          <x:t xml:space="preserve">Trạng thái</x:t>
        </x:is>
      </x:c>
      <x:c r="K1" s="276" t="inlineStr">
        <x:is>
          <x:t xml:space="preserve">URL nguồn</x:t>
        </x:is>
      </x:c>
      <x:c r="L1" s="276" t="inlineStr">
        <x:is>
          <x:t xml:space="preserve">Mức xác minh</x:t>
        </x:is>
      </x:c>
      <x:c r="M1" s="272" t="n"/>
      <x:c r="N1" s="272" t="n"/>
      <x:c r="O1" s="272" t="n"/>
      <x:c r="P1" s="272" t="n"/>
      <x:c r="Q1" s="272" t="n"/>
      <x:c r="R1" s="272" t="n"/>
      <x:c r="S1" s="272" t="n"/>
      <x:c r="T1" s="272" t="n"/>
      <x:c r="U1" s="272" t="n"/>
      <x:c r="V1" s="272" t="n"/>
      <x:c r="W1" s="272" t="n"/>
      <x:c r="X1" s="272" t="n"/>
      <x:c r="Y1" s="272" t="n"/>
      <x:c r="Z1" s="272" t="n"/>
    </x:row>
    <x:row r="2">
      <x:c r="A2" t="n">
        <x:v>1</x:v>
      </x:c>
      <x:c r="B2" t="inlineStr">
        <x:is>
          <x:t xml:space="preserve">TP. Hồ Chí Minh</x:t>
        </x:is>
      </x:c>
      <x:c r="C2" t="inlineStr">
        <x:is>
          <x:t xml:space="preserve">TP.HCM cũ</x:t>
        </x:is>
      </x:c>
      <x:c r="D2" t="inlineStr">
        <x:is>
          <x:t xml:space="preserve">Chi Nhánh Công ty TNHH Hanacos VietNam</x:t>
        </x:is>
      </x:c>
      <x:c r="E2" t="inlineStr">
        <x:is>
          <x:t xml:space="preserve">18/HCM-ĐĐKSXMP</x:t>
        </x:is>
      </x:c>
      <x:c r="F2" s="99" t="n"/>
      <x:c r="G2" t="inlineStr">
        <x:is>
          <x:t xml:space="preserve">Trần Quang Huy</x:t>
        </x:is>
      </x:c>
      <x:c r="H2" t="inlineStr">
        <x:is>
          <x:t xml:space="preserve">125 Đường Tây Lân, Khu phố 7, Phường Bình Trị Đông A, Quận Bình Tân, TP.HCM</x:t>
        </x:is>
      </x:c>
      <x:c r="I2" t="inlineStr">
        <x:is>
          <x:t xml:space="preserve">Sản xuất sản phẩm dạng ướt</x:t>
        </x:is>
      </x:c>
      <x:c r="J2" t="inlineStr">
        <x:is>
          <x:t xml:space="preserve">Đang hoạt động</x:t>
        </x:is>
      </x:c>
      <x:c r="K2" t="inlineStr">
        <x:is>
          <x:t xml:space="preserve">https://tracuu.medinet.org.vn/category/cosodulieukhac/gxn-ddksxmp</x:t>
        </x:is>
      </x:c>
      <x:c r="L2" t="inlineStr">
        <x:is>
          <x:t xml:space="preserve">Nguồn trực tiếp SYT TP.HCM</x:t>
        </x:is>
      </x:c>
    </x:row>
    <x:row r="3">
      <x:c r="A3" t="n">
        <x:v>2</x:v>
      </x:c>
      <x:c r="B3" t="inlineStr">
        <x:is>
          <x:t xml:space="preserve">TP. Hồ Chí Minh</x:t>
        </x:is>
      </x:c>
      <x:c r="C3" t="inlineStr">
        <x:is>
          <x:t xml:space="preserve">TP.HCM cũ</x:t>
        </x:is>
      </x:c>
      <x:c r="D3" t="inlineStr">
        <x:is>
          <x:t xml:space="preserve">Chi nhánh Công ty TNHH Mỹ phẩm Minh Triết</x:t>
        </x:is>
      </x:c>
      <x:c r="E3" t="inlineStr">
        <x:is>
          <x:t xml:space="preserve">184/HCM-ĐĐKSXMP</x:t>
        </x:is>
      </x:c>
      <x:c r="F3" s="99" t="n"/>
      <x:c r="G3" t="inlineStr">
        <x:is>
          <x:t xml:space="preserve">Đặng Văn Hậu</x:t>
        </x:is>
      </x:c>
      <x:c r="H3" t="inlineStr">
        <x:is>
          <x:t xml:space="preserve">188 Nguyễn Thị Điệp, Xã Đông Thạnh, Huyện Hóc Môn, TP.HCM</x:t>
        </x:is>
      </x:c>
      <x:c r="I3" t="inlineStr">
        <x:is>
          <x:t xml:space="preserve">Đóng gói; bán thành phẩm dạng ướt; sản phẩm dạng ướt</x:t>
        </x:is>
      </x:c>
      <x:c r="J3" t="inlineStr">
        <x:is>
          <x:t xml:space="preserve">Đang hoạt động</x:t>
        </x:is>
      </x:c>
      <x:c r="K3" t="inlineStr">
        <x:is>
          <x:t xml:space="preserve">https://tracuu.medinet.org.vn/category/cosodulieukhac/gxn-ddksxmp</x:t>
        </x:is>
      </x:c>
      <x:c r="L3" t="inlineStr">
        <x:is>
          <x:t xml:space="preserve">Nguồn trực tiếp SYT TP.HCM</x:t>
        </x:is>
      </x:c>
    </x:row>
    <x:row r="4">
      <x:c r="A4" t="n">
        <x:v>3</x:v>
      </x:c>
      <x:c r="B4" t="inlineStr">
        <x:is>
          <x:t xml:space="preserve">TP. Hồ Chí Minh</x:t>
        </x:is>
      </x:c>
      <x:c r="C4" t="inlineStr">
        <x:is>
          <x:t xml:space="preserve">TP.HCM cũ</x:t>
        </x:is>
      </x:c>
      <x:c r="D4" t="inlineStr">
        <x:is>
          <x:t xml:space="preserve">Công ty Cổ phần Bột Giặt Lix</x:t>
        </x:is>
      </x:c>
      <x:c r="E4" t="inlineStr">
        <x:is>
          <x:t xml:space="preserve">163/HCM-ĐĐKSXMP</x:t>
        </x:is>
      </x:c>
      <x:c r="F4" s="99" t="n"/>
      <x:c r="G4" t="inlineStr">
        <x:is>
          <x:t xml:space="preserve">Cao Thành Tín</x:t>
        </x:is>
      </x:c>
      <x:c r="H4" t="inlineStr">
        <x:is>
          <x:t xml:space="preserve">Số 3 Đường số 2, Khu phố 1, Phường Linh Trung, TP. Thủ Đức, TP.HCM</x:t>
        </x:is>
      </x:c>
      <x:c r="I4" t="inlineStr">
        <x:is>
          <x:t xml:space="preserve">Đóng gói; sản phẩm dạng ướt</x:t>
        </x:is>
      </x:c>
      <x:c r="J4" t="inlineStr">
        <x:is>
          <x:t xml:space="preserve">Đang hoạt động</x:t>
        </x:is>
      </x:c>
      <x:c r="K4" t="inlineStr">
        <x:is>
          <x:t xml:space="preserve">https://tracuu.medinet.org.vn/category/cosodulieukhac/gxn-ddksxmp</x:t>
        </x:is>
      </x:c>
      <x:c r="L4" t="inlineStr">
        <x:is>
          <x:t xml:space="preserve">Nguồn trực tiếp SYT TP.HCM</x:t>
        </x:is>
      </x:c>
    </x:row>
    <x:row r="5">
      <x:c r="A5" t="n">
        <x:v>4</x:v>
      </x:c>
      <x:c r="B5" t="inlineStr">
        <x:is>
          <x:t xml:space="preserve">TP. Hồ Chí Minh</x:t>
        </x:is>
      </x:c>
      <x:c r="C5" t="inlineStr">
        <x:is>
          <x:t xml:space="preserve">TP.HCM cũ</x:t>
        </x:is>
      </x:c>
      <x:c r="D5" t="inlineStr">
        <x:is>
          <x:t xml:space="preserve">Công ty Cổ phần Dược phẩm Phương Đông - Chi nhánh 1</x:t>
        </x:is>
      </x:c>
      <x:c r="E5" t="inlineStr">
        <x:is>
          <x:t xml:space="preserve">167/HCM-ĐĐKSXMP</x:t>
        </x:is>
      </x:c>
      <x:c r="F5" s="99" t="n"/>
      <x:c r="G5" t="inlineStr">
        <x:is>
          <x:t xml:space="preserve">Võ Quân Duy</x:t>
        </x:is>
      </x:c>
      <x:c r="H5" t="inlineStr">
        <x:is>
          <x:t xml:space="preserve">Lô số 68, đường số 2, Khu công nghiệp Tân Tạo, Phường Tân Tạo A, Quận Bình Tân, TP.HCM</x:t>
        </x:is>
      </x:c>
      <x:c r="I5" t="inlineStr">
        <x:is>
          <x:t xml:space="preserve">Đóng gói; bán thành phẩm dạng khô/ướt; sản phẩm dạng khô/ướt</x:t>
        </x:is>
      </x:c>
      <x:c r="J5" t="inlineStr">
        <x:is>
          <x:t xml:space="preserve">Đang hoạt động</x:t>
        </x:is>
      </x:c>
      <x:c r="K5" t="inlineStr">
        <x:is>
          <x:t xml:space="preserve">https://tracuu.medinet.org.vn/category/cosodulieukhac/gxn-ddksxmp</x:t>
        </x:is>
      </x:c>
      <x:c r="L5" t="inlineStr">
        <x:is>
          <x:t xml:space="preserve">Nguồn trực tiếp SYT TP.HCM</x:t>
        </x:is>
      </x:c>
    </x:row>
    <x:row r="6">
      <x:c r="A6" t="n">
        <x:v>5</x:v>
      </x:c>
      <x:c r="B6" t="inlineStr">
        <x:is>
          <x:t xml:space="preserve">TP. Hồ Chí Minh</x:t>
        </x:is>
      </x:c>
      <x:c r="C6" t="inlineStr">
        <x:is>
          <x:t xml:space="preserve">TP.HCM cũ</x:t>
        </x:is>
      </x:c>
      <x:c r="D6" t="inlineStr">
        <x:is>
          <x:t xml:space="preserve">Hộ Kinh doanh Cơ Sở Dầu Gió Trung Tâm</x:t>
        </x:is>
      </x:c>
      <x:c r="E6" t="inlineStr">
        <x:is>
          <x:t xml:space="preserve">205/HCM-ĐĐKSXMP</x:t>
        </x:is>
      </x:c>
      <x:c r="F6" s="99" t="n"/>
      <x:c r="G6" t="inlineStr">
        <x:is>
          <x:t xml:space="preserve">Giang Chí Hùng</x:t>
        </x:is>
      </x:c>
      <x:c r="H6" t="inlineStr">
        <x:is>
          <x:t xml:space="preserve">C3/16C Lê Đình Chi, ấp 3, Xã Lê Minh Xuân, Huyện Bình Chánh, TP.HCM</x:t>
        </x:is>
      </x:c>
      <x:c r="I6" t="inlineStr">
        <x:is>
          <x:t xml:space="preserve">Sản xuất sản phẩm dạng ướt</x:t>
        </x:is>
      </x:c>
      <x:c r="J6" t="inlineStr">
        <x:is>
          <x:t xml:space="preserve">Đang hoạt động</x:t>
        </x:is>
      </x:c>
      <x:c r="K6" t="inlineStr">
        <x:is>
          <x:t xml:space="preserve">https://tracuu.medinet.org.vn/category/cosodulieukhac/gxn-ddksxmp</x:t>
        </x:is>
      </x:c>
      <x:c r="L6" t="inlineStr">
        <x:is>
          <x:t xml:space="preserve">Nguồn trực tiếp SYT TP.HCM</x:t>
        </x:is>
      </x:c>
    </x:row>
    <x:row r="7">
      <x:c r="A7" t="n">
        <x:v>6</x:v>
      </x:c>
      <x:c r="B7" t="inlineStr">
        <x:is>
          <x:t xml:space="preserve">TP. Hồ Chí Minh</x:t>
        </x:is>
      </x:c>
      <x:c r="C7" t="inlineStr">
        <x:is>
          <x:t xml:space="preserve">TP.HCM cũ</x:t>
        </x:is>
      </x:c>
      <x:c r="D7" t="inlineStr">
        <x:is>
          <x:t xml:space="preserve">CHI NHÁNH - CÔNG TY TNHH T&amp;T BEAUTY</x:t>
        </x:is>
      </x:c>
      <x:c r="E7" t="inlineStr">
        <x:is>
          <x:t xml:space="preserve">00264/HCM-ĐKSXMP</x:t>
        </x:is>
      </x:c>
      <x:c r="F7" s="99" t="n">
        <x:v>46066</x:v>
      </x:c>
      <x:c r="G7" t="inlineStr">
        <x:is>
          <x:t xml:space="preserve">NGUYỄN NGỌC THANH</x:t>
        </x:is>
      </x:c>
      <x:c r="H7" t="inlineStr">
        <x:is>
          <x:t xml:space="preserve">14/19 Đường Hiệp Thành 43, Khu phố 3, phường Tân Thới Hiệp, thành phố Hồ Chí Minh</x:t>
        </x:is>
      </x:c>
      <x:c r="I7" t="inlineStr">
        <x:is>
          <x:t xml:space="preserve">Đóng gói; bán thành phẩm dạng ướt/khô; sản phẩm dạng ướt/khô</x:t>
        </x:is>
      </x:c>
      <x:c r="J7" t="inlineStr">
        <x:is>
          <x:t xml:space="preserve">Đang hoạt động</x:t>
        </x:is>
      </x:c>
      <x:c r="K7" t="inlineStr">
        <x:is>
          <x:t xml:space="preserve">https://tracuu.medinet.org.vn/category/cosodulieukhac/gxn-ddksxmp</x:t>
        </x:is>
      </x:c>
      <x:c r="L7" t="inlineStr">
        <x:is>
          <x:t xml:space="preserve">Nguồn trực tiếp SYT TP.HCM</x:t>
        </x:is>
      </x:c>
    </x:row>
    <x:row r="8">
      <x:c r="A8" t="n">
        <x:v>7</x:v>
      </x:c>
      <x:c r="B8" t="inlineStr">
        <x:is>
          <x:t xml:space="preserve">TP. Hồ Chí Minh</x:t>
        </x:is>
      </x:c>
      <x:c r="C8" t="inlineStr">
        <x:is>
          <x:t xml:space="preserve">TP.HCM cũ</x:t>
        </x:is>
      </x:c>
      <x:c r="D8" t="inlineStr">
        <x:is>
          <x:t xml:space="preserve">CÔNG TY TNHH SẢN XUẤT DƯỢC - MỸ PHẨM HIKACHI</x:t>
        </x:is>
      </x:c>
      <x:c r="E8" t="inlineStr">
        <x:is>
          <x:t xml:space="preserve">00200/HCM-ĐKSXMP</x:t>
        </x:is>
      </x:c>
      <x:c r="F8" s="99" t="n">
        <x:v>46050</x:v>
      </x:c>
      <x:c r="G8" t="inlineStr">
        <x:is>
          <x:t xml:space="preserve">Nguyễn Thị Kim Phượng</x:t>
        </x:is>
      </x:c>
      <x:c r="I8" t="inlineStr">
        <x:is>
          <x:t xml:space="preserve">Phạm vi sản xuất chưa hiển thị trong snippet</x:t>
        </x:is>
      </x:c>
      <x:c r="J8" t="inlineStr">
        <x:is>
          <x:t xml:space="preserve">Đang hoạt động</x:t>
        </x:is>
      </x:c>
      <x:c r="K8" t="inlineStr">
        <x:is>
          <x:t xml:space="preserve">https://tracuu.medinet.org.vn/category/cosodulieukhac/gxn-ddksxmp</x:t>
        </x:is>
      </x:c>
      <x:c r="L8" t="inlineStr">
        <x:is>
          <x:t xml:space="preserve">Nguồn trực tiếp SYT TP.HCM</x:t>
        </x:is>
      </x:c>
    </x:row>
    <x:row r="9">
      <x:c r="A9" t="n">
        <x:v>8</x:v>
      </x:c>
      <x:c r="B9" t="inlineStr">
        <x:is>
          <x:t xml:space="preserve">TP. Hồ Chí Minh</x:t>
        </x:is>
      </x:c>
      <x:c r="C9" t="inlineStr">
        <x:is>
          <x:t xml:space="preserve">TP.HCM cũ</x:t>
        </x:is>
      </x:c>
      <x:c r="D9" t="inlineStr">
        <x:is>
          <x:t xml:space="preserve">CHI NHÁNH CÔNG TY TNHH SẢN XUẤT THƯƠNG MẠI XUẤT NHẬP KHẨU TẠ MINH QUANG - NHÀ MÁY MỸ PHẨM TẠ MINH QUANG</x:t>
        </x:is>
      </x:c>
      <x:c r="E9" t="inlineStr">
        <x:is>
          <x:t xml:space="preserve">085/HCM-ĐKSXMP</x:t>
        </x:is>
      </x:c>
      <x:c r="F9" s="99" t="n">
        <x:v>46010</x:v>
      </x:c>
      <x:c r="G9" t="inlineStr">
        <x:is>
          <x:t xml:space="preserve">Tạ Quốc Cường</x:t>
        </x:is>
      </x:c>
      <x:c r="H9" t="inlineStr">
        <x:is>
          <x:t xml:space="preserve">Lô 14A, Đường số 8, Khu Công Nghiệp Tân Tạo Mở Rộng, Phường Tân Tạo A, Quận Bình Tân, TP.HCM</x:t>
        </x:is>
      </x:c>
      <x:c r="I9" t="inlineStr">
        <x:is>
          <x:t xml:space="preserve">Bán thành phẩm dạng ướt; sản phẩm dạng ướt</x:t>
        </x:is>
      </x:c>
      <x:c r="J9" t="inlineStr">
        <x:is>
          <x:t xml:space="preserve">Đang hoạt động</x:t>
        </x:is>
      </x:c>
      <x:c r="K9" t="inlineStr">
        <x:is>
          <x:t xml:space="preserve">https://tracuu.medinet.org.vn/category/cosodulieukhac/gxn-ddksxmp</x:t>
        </x:is>
      </x:c>
      <x:c r="L9" t="inlineStr">
        <x:is>
          <x:t xml:space="preserve">Nguồn trực tiếp SYT TP.HCM</x:t>
        </x:is>
      </x:c>
    </x:row>
    <x:row r="10">
      <x:c r="A10" t="n">
        <x:v>9</x:v>
      </x:c>
      <x:c r="B10" t="inlineStr">
        <x:is>
          <x:t xml:space="preserve">TP. Hồ Chí Minh</x:t>
        </x:is>
      </x:c>
      <x:c r="C10" t="inlineStr">
        <x:is>
          <x:t xml:space="preserve">TP.HCM cũ</x:t>
        </x:is>
      </x:c>
      <x:c r="D10" t="inlineStr">
        <x:is>
          <x:t xml:space="preserve">CHI NHÁNH CÔNG TY TNHH THƯƠNG MẠI VÀ DỊCH VỤ WONMOM – XƯỞNG SẢN XUẤT WONMOM</x:t>
        </x:is>
      </x:c>
      <x:c r="E10" t="inlineStr">
        <x:is>
          <x:t xml:space="preserve">0100/HCM-ĐKSXMP</x:t>
        </x:is>
      </x:c>
      <x:c r="F10" s="99" t="n">
        <x:v>46009</x:v>
      </x:c>
      <x:c r="G10" t="inlineStr">
        <x:is>
          <x:t xml:space="preserve">VÕ THỊ HÒA</x:t>
        </x:is>
      </x:c>
      <x:c r="H10" t="inlineStr">
        <x:is>
          <x:t xml:space="preserve">Số 149 Đường Thạnh Lộc 27, Phường Thạnh Lộc, Quận 12, TP.HCM</x:t>
        </x:is>
      </x:c>
      <x:c r="I10" t="inlineStr">
        <x:is>
          <x:t xml:space="preserve">Sản phẩm dạng ướt; sản phẩm dạng khô</x:t>
        </x:is>
      </x:c>
      <x:c r="J10" t="inlineStr">
        <x:is>
          <x:t xml:space="preserve">Đang hoạt động</x:t>
        </x:is>
      </x:c>
      <x:c r="K10" t="inlineStr">
        <x:is>
          <x:t xml:space="preserve">https://tracuu.medinet.org.vn/category/cosodulieukhac/gxn-ddksxmp</x:t>
        </x:is>
      </x:c>
      <x:c r="L10" t="inlineStr">
        <x:is>
          <x:t xml:space="preserve">Nguồn trực tiếp SYT TP.HCM</x:t>
        </x:is>
      </x:c>
    </x:row>
    <x:row r="11">
      <x:c r="A11" t="n">
        <x:v>10</x:v>
      </x:c>
      <x:c r="B11" t="inlineStr">
        <x:is>
          <x:t xml:space="preserve">TP. Hồ Chí Minh</x:t>
        </x:is>
      </x:c>
      <x:c r="C11" t="inlineStr">
        <x:is>
          <x:t xml:space="preserve">TP.HCM cũ</x:t>
        </x:is>
      </x:c>
      <x:c r="D11" t="inlineStr">
        <x:is>
          <x:t xml:space="preserve">CÔNG TY TNHH THƯƠNG MẠI DỊCH VỤ SẢN XUẤT MỸ PHẨM BẢO NGỌC</x:t>
        </x:is>
      </x:c>
      <x:c r="E11" t="inlineStr">
        <x:is>
          <x:t xml:space="preserve">0009/HCM-ĐKSXMP</x:t>
        </x:is>
      </x:c>
      <x:c r="F11" s="99" t="n">
        <x:v>45943</x:v>
      </x:c>
      <x:c r="G11" t="inlineStr">
        <x:is>
          <x:t xml:space="preserve">NGUYỄN THỊ HUỲNH NHƯ</x:t>
        </x:is>
      </x:c>
      <x:c r="H11" t="inlineStr">
        <x:is>
          <x:t xml:space="preserve">78/5 Bình Lợi, phường 13, quận Bình Thạnh, TP.HCM</x:t>
        </x:is>
      </x:c>
      <x:c r="I11" t="inlineStr">
        <x:is>
          <x:t xml:space="preserve">Đóng gói; bán thành phẩm dạng ướt; sản phẩm dạng ướt</x:t>
        </x:is>
      </x:c>
      <x:c r="J11" t="inlineStr">
        <x:is>
          <x:t xml:space="preserve">Đang hoạt động</x:t>
        </x:is>
      </x:c>
      <x:c r="K11" t="inlineStr">
        <x:is>
          <x:t xml:space="preserve">https://tracuu.medinet.org.vn/category/cosodulieukhac/gxn-ddksxmp</x:t>
        </x:is>
      </x:c>
      <x:c r="L11" t="inlineStr">
        <x:is>
          <x:t xml:space="preserve">Nguồn trực tiếp SYT TP.HCM</x:t>
        </x:is>
      </x:c>
    </x:row>
    <x:row r="12">
      <x:c r="A12" t="n">
        <x:v>11</x:v>
      </x:c>
      <x:c r="B12" t="inlineStr">
        <x:is>
          <x:t xml:space="preserve">TP. Hồ Chí Minh</x:t>
        </x:is>
      </x:c>
      <x:c r="C12" t="inlineStr">
        <x:is>
          <x:t xml:space="preserve">Bình Dương cũ</x:t>
        </x:is>
      </x:c>
      <x:c r="D12" t="inlineStr">
        <x:is>
          <x:t xml:space="preserve">CÔNG TY TRÁCH NHIỆM HỮU HẠN WIPRO CONSUMER CARE VIỆT NAM</x:t>
        </x:is>
      </x:c>
      <x:c r="E12" t="inlineStr">
        <x:is>
          <x:t xml:space="preserve">00258/HCM-ĐKSXMP</x:t>
        </x:is>
      </x:c>
      <x:c r="F12" s="99" t="n">
        <x:v>45943</x:v>
      </x:c>
      <x:c r="G12" t="inlineStr">
        <x:is>
          <x:t xml:space="preserve">ĐẶNG TOÀN VINH</x:t>
        </x:is>
      </x:c>
      <x:c r="H12" t="inlineStr">
        <x:is>
          <x:t xml:space="preserve">Số 7, Đường số 4, Khu công nghiệp Việt Nam - Singapore, phường Bình Hòa, thành phố Thuận An, tỉnh Bình Dương</x:t>
        </x:is>
      </x:c>
      <x:c r="I12" t="inlineStr">
        <x:is>
          <x:t xml:space="preserve">Sản phẩm dạng ướt; sản phẩm dạng khô</x:t>
        </x:is>
      </x:c>
      <x:c r="J12" t="inlineStr">
        <x:is>
          <x:t xml:space="preserve">Đang hoạt động</x:t>
        </x:is>
      </x:c>
      <x:c r="K12" t="inlineStr">
        <x:is>
          <x:t xml:space="preserve">https://tracuu.medinet.org.vn/category/cosodulieukhac/gxn-ddksxmp</x:t>
        </x:is>
      </x:c>
      <x:c r="L12" t="inlineStr">
        <x:is>
          <x:t xml:space="preserve">Nguồn trực tiếp SYT TP.HCM; địa chỉ lịch sử Bình Dương</x:t>
        </x:is>
      </x:c>
    </x:row>
    <x:row r="13">
      <x:c r="A13" t="n">
        <x:v>12</x:v>
      </x:c>
      <x:c r="B13" t="inlineStr">
        <x:is>
          <x:t xml:space="preserve">TP. Hồ Chí Minh</x:t>
        </x:is>
      </x:c>
      <x:c r="C13" t="inlineStr">
        <x:is>
          <x:t xml:space="preserve">TP.HCM cũ</x:t>
        </x:is>
      </x:c>
      <x:c r="D13" t="inlineStr">
        <x:is>
          <x:t xml:space="preserve">CÔNG TY TNHH NHÀ MÁY SẢN XUẤT DƯỢC MỸ PHẨM BIO-A GROUP</x:t>
        </x:is>
      </x:c>
      <x:c r="E13" t="inlineStr">
        <x:is>
          <x:t xml:space="preserve">00257/HCM-ĐKSXMP</x:t>
        </x:is>
      </x:c>
      <x:c r="F13" s="99" t="n">
        <x:v>45937</x:v>
      </x:c>
      <x:c r="G13" t="inlineStr">
        <x:is>
          <x:t xml:space="preserve">NGUYỄN VĂN QUÝ</x:t>
        </x:is>
      </x:c>
      <x:c r="H13" t="inlineStr">
        <x:is>
          <x:t xml:space="preserve">696/3/10H Đường Dương Quảng Hàm, Phường 6, Quận Gò Vấp, TP.HCM</x:t>
        </x:is>
      </x:c>
      <x:c r="I13" t="inlineStr">
        <x:is>
          <x:t xml:space="preserve">Đóng gói; bán thành phẩm dạng ướt; sản phẩm dạng ướt</x:t>
        </x:is>
      </x:c>
      <x:c r="J13" t="inlineStr">
        <x:is>
          <x:t xml:space="preserve">Đang hoạt động</x:t>
        </x:is>
      </x:c>
      <x:c r="K13" t="inlineStr">
        <x:is>
          <x:t xml:space="preserve">https://tracuu.medinet.org.vn/category/cosodulieukhac/gxn-ddksxmp</x:t>
        </x:is>
      </x:c>
      <x:c r="L13" t="inlineStr">
        <x:is>
          <x:t xml:space="preserve">Nguồn trực tiếp SYT TP.HCM</x:t>
        </x:is>
      </x:c>
    </x:row>
    <x:row r="14">
      <x:c r="A14" t="n">
        <x:v>13</x:v>
      </x:c>
      <x:c r="B14" t="inlineStr">
        <x:is>
          <x:t xml:space="preserve">TP. Hồ Chí Minh</x:t>
        </x:is>
      </x:c>
      <x:c r="C14" t="inlineStr">
        <x:is>
          <x:t xml:space="preserve">TP.HCM cũ</x:t>
        </x:is>
      </x:c>
      <x:c r="D14" t="inlineStr">
        <x:is>
          <x:t xml:space="preserve">Công ty TNHH Hataphaco</x:t>
        </x:is>
      </x:c>
      <x:c r="E14" t="inlineStr">
        <x:is>
          <x:t xml:space="preserve">229/HCM-ĐĐKSXMP</x:t>
        </x:is>
      </x:c>
      <x:c r="F14" s="99" t="n"/>
      <x:c r="G14" t="inlineStr">
        <x:is>
          <x:t xml:space="preserve">Nguyễn Xuân Hiếu</x:t>
        </x:is>
      </x:c>
      <x:c r="H14" t="inlineStr">
        <x:is>
          <x:t xml:space="preserve">20/93 Đường Thạnh Xuân 24, Khu phố 7, Phường Thạnh Xuân, Quận 12, TP.HCM</x:t>
        </x:is>
      </x:c>
      <x:c r="I14" t="inlineStr">
        <x:is>
          <x:t xml:space="preserve">Đóng gói; bán thành phẩm dạng ướt; sản phẩm dạng ướt</x:t>
        </x:is>
      </x:c>
      <x:c r="J14" t="inlineStr">
        <x:is>
          <x:t xml:space="preserve">Đang hoạt động</x:t>
        </x:is>
      </x:c>
      <x:c r="K14" t="inlineStr">
        <x:is>
          <x:t xml:space="preserve">https://tracuu.medinet.org.vn/category/cosodulieukhac/gxn-ddksxmp</x:t>
        </x:is>
      </x:c>
      <x:c r="L14" t="inlineStr">
        <x:is>
          <x:t xml:space="preserve">Nguồn trực tiếp SYT TP.HCM</x:t>
        </x:is>
      </x:c>
    </x:row>
    <x:row r="15">
      <x:c r="A15" t="n">
        <x:v>14</x:v>
      </x:c>
      <x:c r="B15" t="inlineStr">
        <x:is>
          <x:t xml:space="preserve">TP. Hồ Chí Minh</x:t>
        </x:is>
      </x:c>
      <x:c r="C15" t="inlineStr">
        <x:is>
          <x:t xml:space="preserve">TP.HCM cũ</x:t>
        </x:is>
      </x:c>
      <x:c r="D15" t="inlineStr">
        <x:is>
          <x:t xml:space="preserve">Công ty TNHH Mỹ phẩm Minh Long</x:t>
        </x:is>
      </x:c>
      <x:c r="E15" t="inlineStr">
        <x:is>
          <x:t xml:space="preserve">183/HCM-ĐĐKSXMP</x:t>
        </x:is>
      </x:c>
      <x:c r="F15" s="99" t="n"/>
      <x:c r="G15" t="inlineStr">
        <x:is>
          <x:t xml:space="preserve">Thân Hữu Phước</x:t>
        </x:is>
      </x:c>
      <x:c r="H15" t="inlineStr">
        <x:is>
          <x:t xml:space="preserve">36/3Z1 Đường Quang Trung, Phường 11, Quận Gò Vấp, TP.HCM</x:t>
        </x:is>
      </x:c>
      <x:c r="I15" t="inlineStr">
        <x:is>
          <x:t xml:space="preserve">Đóng gói; bán thành phẩm dạng ướt; sản phẩm dạng ướt</x:t>
        </x:is>
      </x:c>
      <x:c r="J15" t="inlineStr">
        <x:is>
          <x:t xml:space="preserve">Đang hoạt động</x:t>
        </x:is>
      </x:c>
      <x:c r="K15" t="inlineStr">
        <x:is>
          <x:t xml:space="preserve">https://tracuu.medinet.org.vn/category/cosodulieukhac/gxn-ddksxmp</x:t>
        </x:is>
      </x:c>
      <x:c r="L15" t="inlineStr">
        <x:is>
          <x:t xml:space="preserve">Nguồn trực tiếp SYT TP.HCM</x:t>
        </x:is>
      </x:c>
    </x:row>
    <x:row r="16">
      <x:c r="A16" t="n">
        <x:v>15</x:v>
      </x:c>
      <x:c r="B16" t="inlineStr">
        <x:is>
          <x:t xml:space="preserve">TP. Hồ Chí Minh</x:t>
        </x:is>
      </x:c>
      <x:c r="C16" t="inlineStr">
        <x:is>
          <x:t xml:space="preserve">TP.HCM cũ</x:t>
        </x:is>
      </x:c>
      <x:c r="D16" t="inlineStr">
        <x:is>
          <x:t xml:space="preserve">Công ty TNHH Sản xuất Dược mỹ phẩm AVB Chi nhánh Công ty TNHH Thương mại Sản xuất Xuất nhập khẩu Trinh Âu</x:t>
        </x:is>
      </x:c>
      <x:c r="E16" t="inlineStr">
        <x:is>
          <x:t xml:space="preserve">185/HCM-ĐĐKSXMP</x:t>
        </x:is>
      </x:c>
      <x:c r="F16" s="99" t="n"/>
      <x:c r="G16" t="inlineStr">
        <x:is>
          <x:t xml:space="preserve">Nguyễn Đắc Bảo Chi Âu Trần Diễm Trinh</x:t>
        </x:is>
      </x:c>
      <x:c r="H16" t="inlineStr">
        <x:is>
          <x:t xml:space="preserve">184/8 Đường QL1A, KP4, Phường Tam Bình, TP. Thủ Đức, TP.HCM</x:t>
        </x:is>
      </x:c>
      <x:c r="I16" t="inlineStr">
        <x:is>
          <x:t xml:space="preserve">Đóng gói; bán thành phẩm dạng ướt; sản phẩm dạng ướt</x:t>
        </x:is>
      </x:c>
      <x:c r="J16" t="inlineStr">
        <x:is>
          <x:t xml:space="preserve">Đang hoạt động</x:t>
        </x:is>
      </x:c>
      <x:c r="K16" t="inlineStr">
        <x:is>
          <x:t xml:space="preserve">https://tracuu.medinet.org.vn/category/cosodulieukhac/gxn-ddksxmp</x:t>
        </x:is>
      </x:c>
      <x:c r="L16" t="inlineStr">
        <x:is>
          <x:t xml:space="preserve">Nguồn trực tiếp SYT TP.HCM</x:t>
        </x:is>
      </x:c>
    </x:row>
    <x:row r="17">
      <x:c r="A17" t="n">
        <x:v>16</x:v>
      </x:c>
      <x:c r="B17" t="inlineStr">
        <x:is>
          <x:t xml:space="preserve">TP. Hồ Chí Minh</x:t>
        </x:is>
      </x:c>
      <x:c r="C17" t="inlineStr">
        <x:is>
          <x:t xml:space="preserve">TP.HCM cũ</x:t>
        </x:is>
      </x:c>
      <x:c r="D17" t="inlineStr">
        <x:is>
          <x:t xml:space="preserve">Công ty TNHH Sản xuất Mỹ phẩm Thanh Trang</x:t>
        </x:is>
      </x:c>
      <x:c r="E17" t="inlineStr">
        <x:is>
          <x:t xml:space="preserve">74/HCM-ĐĐKSXMP</x:t>
        </x:is>
      </x:c>
      <x:c r="F17" s="99" t="n"/>
      <x:c r="G17" t="inlineStr">
        <x:is>
          <x:t xml:space="preserve">Huỳnh Thị Kim Trang</x:t>
        </x:is>
      </x:c>
      <x:c r="H17" t="inlineStr">
        <x:is>
          <x:t xml:space="preserve">45 Đường TTN06, Phường Tân Thới Nhất, Quận 12, TP.HCM</x:t>
        </x:is>
      </x:c>
      <x:c r="I17" t="inlineStr">
        <x:is>
          <x:t xml:space="preserve">Đóng gói; bán thành phẩm dạng ướt; sản phẩm dạng ướt; sản phẩm dạng khô</x:t>
        </x:is>
      </x:c>
      <x:c r="J17" t="inlineStr">
        <x:is>
          <x:t xml:space="preserve">Đang hoạt động</x:t>
        </x:is>
      </x:c>
      <x:c r="K17" t="inlineStr">
        <x:is>
          <x:t xml:space="preserve">https://tracuu.medinet.org.vn/category/cosodulieukhac/gxn-ddksxmp</x:t>
        </x:is>
      </x:c>
      <x:c r="L17" t="inlineStr">
        <x:is>
          <x:t xml:space="preserve">Nguồn trực tiếp SYT TP.HCM</x:t>
        </x:is>
      </x:c>
    </x:row>
    <x:row r="18">
      <x:c r="A18" t="n">
        <x:v>17</x:v>
      </x:c>
      <x:c r="B18" t="inlineStr">
        <x:is>
          <x:t xml:space="preserve">TP. Hồ Chí Minh</x:t>
        </x:is>
      </x:c>
      <x:c r="C18" t="inlineStr">
        <x:is>
          <x:t xml:space="preserve">TP.HCM cũ</x:t>
        </x:is>
      </x:c>
      <x:c r="D18" t="inlineStr">
        <x:is>
          <x:t xml:space="preserve">CHI NHÁNH CÔNG TY TNHH ERACOS BEAUTY</x:t>
        </x:is>
      </x:c>
      <x:c r="E18" t="inlineStr">
        <x:is>
          <x:t xml:space="preserve">00250/HCM-ĐKSXMP</x:t>
        </x:is>
      </x:c>
      <x:c r="F18" s="99" t="n">
        <x:v>45838</x:v>
      </x:c>
      <x:c r="G18" t="inlineStr">
        <x:is>
          <x:t xml:space="preserve">Nguyễn Hoàng Minh</x:t>
        </x:is>
      </x:c>
      <x:c r="H18" t="inlineStr">
        <x:is>
          <x:t xml:space="preserve">Số 21 đường số 42, khu phố 8, Phường Hiệp Bình Chánh, TP. Thủ Đức, TP.HCM</x:t>
        </x:is>
      </x:c>
      <x:c r="I18" t="inlineStr">
        <x:is>
          <x:t xml:space="preserve">Đóng gói; bán thành phẩm dạng ướt; sản phẩm dạng ướt</x:t>
        </x:is>
      </x:c>
      <x:c r="J18" t="inlineStr">
        <x:is>
          <x:t xml:space="preserve">Đang hoạt động</x:t>
        </x:is>
      </x:c>
      <x:c r="K18" t="inlineStr">
        <x:is>
          <x:t xml:space="preserve">https://tracuu.medinet.org.vn/category/cosodulieukhac/gxn-ddksxmp</x:t>
        </x:is>
      </x:c>
      <x:c r="L18" t="inlineStr">
        <x:is>
          <x:t xml:space="preserve">Nguồn trực tiếp SYT TP.HCM</x:t>
        </x:is>
      </x:c>
    </x:row>
    <x:row r="19">
      <x:c r="A19" t="n">
        <x:v>18</x:v>
      </x:c>
      <x:c r="B19" t="inlineStr">
        <x:is>
          <x:t xml:space="preserve">TP. Hồ Chí Minh</x:t>
        </x:is>
      </x:c>
      <x:c r="C19" t="inlineStr">
        <x:is>
          <x:t xml:space="preserve">TP.HCM cũ</x:t>
        </x:is>
      </x:c>
      <x:c r="D19" t="inlineStr">
        <x:is>
          <x:t xml:space="preserve">CÔNG TY TNHH NHÀ MÁY SX DƯỢC MỸ PHẨM - TRANG THIẾT BỊ Y TẾ LAPKOREA</x:t>
        </x:is>
      </x:c>
      <x:c r="E19" t="inlineStr">
        <x:is>
          <x:t xml:space="preserve">00248/HCM-ĐKSXMP</x:t>
        </x:is>
      </x:c>
      <x:c r="F19" s="99" t="n">
        <x:v>45825</x:v>
      </x:c>
      <x:c r="G19" t="inlineStr">
        <x:is>
          <x:t xml:space="preserve">Phan Như Quỳnh</x:t>
        </x:is>
      </x:c>
      <x:c r="H19" t="inlineStr">
        <x:is>
          <x:t xml:space="preserve">A105/31 Nguyễn Thần Hiến, Khu phố 3, Phường 18, Quận 4, TP.HCM</x:t>
        </x:is>
      </x:c>
      <x:c r="I19" t="inlineStr">
        <x:is>
          <x:t xml:space="preserve">Đóng gói; bán thành phẩm dạng ướt; sản phẩm dạng ướt; sản phẩm dạng khác</x:t>
        </x:is>
      </x:c>
      <x:c r="J19" t="inlineStr">
        <x:is>
          <x:t xml:space="preserve">Đang hoạt động</x:t>
        </x:is>
      </x:c>
      <x:c r="K19" t="inlineStr">
        <x:is>
          <x:t xml:space="preserve">https://tracuu.medinet.org.vn/category/cosodulieukhac/gxn-ddksxmp</x:t>
        </x:is>
      </x:c>
      <x:c r="L19" t="inlineStr">
        <x:is>
          <x:t xml:space="preserve">Nguồn trực tiếp SYT TP.HCM</x:t>
        </x:is>
      </x:c>
    </x:row>
    <x:row r="20">
      <x:c r="A20" t="n">
        <x:v>19</x:v>
      </x:c>
      <x:c r="B20" t="inlineStr">
        <x:is>
          <x:t xml:space="preserve">TP. Hồ Chí Minh</x:t>
        </x:is>
      </x:c>
      <x:c r="C20" t="inlineStr">
        <x:is>
          <x:t xml:space="preserve">TP.HCM cũ</x:t>
        </x:is>
      </x:c>
      <x:c r="D20" t="inlineStr">
        <x:is>
          <x:t xml:space="preserve">CHI NHÁNH CÔNG TY TNHH HULO CARE – NHÀ MÁY MỸ PHẨM</x:t>
        </x:is>
      </x:c>
      <x:c r="E20" t="inlineStr">
        <x:is>
          <x:t xml:space="preserve">00247/HCM-ĐKSXMP</x:t>
        </x:is>
      </x:c>
      <x:c r="F20" s="99" t="n">
        <x:v>45793</x:v>
      </x:c>
      <x:c r="G20" t="inlineStr">
        <x:is>
          <x:t xml:space="preserve">Đỗ Vũ Huy Hùng</x:t>
        </x:is>
      </x:c>
      <x:c r="H20" t="inlineStr">
        <x:is>
          <x:t xml:space="preserve">Nhà Xưởng D-4, Lô G6, G7, G8, G9, Đường N3, Khu công nghiệp Đông Nam, Xã Bình Mỹ, Huyện Củ Chi, TP.HCM</x:t>
        </x:is>
      </x:c>
      <x:c r="I20" t="inlineStr">
        <x:is>
          <x:t xml:space="preserve">Đóng gói; bán thành phẩm dạng ướt; sản phẩm dạng ướt</x:t>
        </x:is>
      </x:c>
      <x:c r="J20" t="inlineStr">
        <x:is>
          <x:t xml:space="preserve">Đang hoạt động</x:t>
        </x:is>
      </x:c>
      <x:c r="K20" t="inlineStr">
        <x:is>
          <x:t xml:space="preserve">https://tracuu.medinet.org.vn/category/cosodulieukhac/gxn-ddksxmp</x:t>
        </x:is>
      </x:c>
      <x:c r="L20" t="inlineStr">
        <x:is>
          <x:t xml:space="preserve">Nguồn trực tiếp SYT TP.HCM</x:t>
        </x:is>
      </x:c>
    </x:row>
    <x:row r="21">
      <x:c r="A21" t="n">
        <x:v>20</x:v>
      </x:c>
      <x:c r="B21" t="inlineStr">
        <x:is>
          <x:t xml:space="preserve">TP. Hồ Chí Minh</x:t>
        </x:is>
      </x:c>
      <x:c r="C21" t="inlineStr">
        <x:is>
          <x:t xml:space="preserve">TP.HCM cũ</x:t>
        </x:is>
      </x:c>
      <x:c r="D21" t="inlineStr">
        <x:is>
          <x:t xml:space="preserve">Chi nhánh Công ty TNHH Sản xuất Thương mại Dịch vụ Con Tra - Xưởng sản xuất</x:t>
        </x:is>
      </x:c>
      <x:c r="E21" t="inlineStr">
        <x:is>
          <x:t xml:space="preserve">149/HCM-ĐĐKSXMP</x:t>
        </x:is>
      </x:c>
      <x:c r="F21" s="99" t="n">
        <x:v>45734</x:v>
      </x:c>
      <x:c r="G21" t="inlineStr">
        <x:is>
          <x:t xml:space="preserve">Lê Công Trang</x:t>
        </x:is>
      </x:c>
      <x:c r="H21" t="inlineStr">
        <x:is>
          <x:t xml:space="preserve">Số 19, Đường 165, Ấp 19, Xã Bình Mỹ, Huyện Củ Chi, TP.HCM</x:t>
        </x:is>
      </x:c>
      <x:c r="I21" t="inlineStr">
        <x:is>
          <x:t xml:space="preserve">Đóng gói; bán thành phẩm dạng ướt; sản phẩm dạng ướt</x:t>
        </x:is>
      </x:c>
      <x:c r="J21" t="inlineStr">
        <x:is>
          <x:t xml:space="preserve">Đang hoạt động</x:t>
        </x:is>
      </x:c>
      <x:c r="K21" t="inlineStr">
        <x:is>
          <x:t xml:space="preserve">https://tracuu.medinet.org.vn/category/cosodulieukhac/gxn-ddksxmp</x:t>
        </x:is>
      </x:c>
      <x:c r="L21" t="inlineStr">
        <x:is>
          <x:t xml:space="preserve">Nguồn trực tiếp SYT TP.HCM</x:t>
        </x:is>
      </x:c>
    </x:row>
  </x:sheetData>
  <x:pageMargins left="0.7" right="0.7" top="0.75" bottom="0.75" header="0.3" footer="0.3"/>
</x:worksheet>
</file>

<file path=xl/worksheets/sheet50.xml><?xml version="1.0" encoding="utf-8"?>
<x:worksheet xmlns:x="http://schemas.openxmlformats.org/spreadsheetml/2006/main">
  <x:sheetFormatPr baseColWidth="8" defaultRowHeight="15"/>
  <x:cols>
    <x:col min="1" max="1" width="10" style="91" customWidth="1"/>
    <x:col min="2" max="2" width="14" style="91" customWidth="1"/>
    <x:col min="3" max="3" width="20" style="91" customWidth="1"/>
    <x:col min="4" max="4" width="22" style="91" customWidth="1"/>
    <x:col min="5" max="5" width="22" style="91" customWidth="1"/>
    <x:col min="6" max="6" width="48" style="91" customWidth="1"/>
    <x:col min="7" max="7" width="18" style="91" customWidth="1"/>
    <x:col min="8" max="8" width="18" style="91" customWidth="1"/>
    <x:col min="9" max="9" width="24" style="91" customWidth="1"/>
    <x:col min="10" max="10" width="52" style="91" customWidth="1"/>
    <x:col min="11" max="11" width="28" style="91" customWidth="1"/>
    <x:col min="12" max="12" width="80" style="91" customWidth="1"/>
    <x:col min="13" max="13" width="62" style="91" customWidth="1"/>
  </x:cols>
  <x:sheetData>
    <x:row r="1" s="91" customFormat="1" ht="48" customHeight="1">
      <x:c r="A1" s="276" t="inlineStr">
        <x:is>
          <x:t xml:space="preserve">Signal ID</x:t>
        </x:is>
      </x:c>
      <x:c r="B1" s="276" t="inlineStr">
        <x:is>
          <x:t xml:space="preserve">Ngày kiểm tra</x:t>
        </x:is>
      </x:c>
      <x:c r="C1" s="276" t="inlineStr">
        <x:is>
          <x:t xml:space="preserve">Loại kênh</x:t>
        </x:is>
      </x:c>
      <x:c r="D1" s="276" t="inlineStr">
        <x:is>
          <x:t xml:space="preserve">Chuỗi/Nền tảng</x:t>
        </x:is>
      </x:c>
      <x:c r="E1" s="276" t="inlineStr">
        <x:is>
          <x:t xml:space="preserve">Phạm vi</x:t>
        </x:is>
      </x:c>
      <x:c r="F1" s="276" t="inlineStr">
        <x:is>
          <x:t xml:space="preserve">Sản phẩm/Nhóm quan sát</x:t>
        </x:is>
      </x:c>
      <x:c r="G1" s="276" t="inlineStr">
        <x:is>
          <x:t xml:space="preserve">Số lượng hiển thị</x:t>
        </x:is>
      </x:c>
      <x:c r="H1" s="276" t="inlineStr">
        <x:is>
          <x:t xml:space="preserve">Cường độ tín hiệu</x:t>
        </x:is>
      </x:c>
      <x:c r="I1" s="276" t="inlineStr">
        <x:is>
          <x:t xml:space="preserve">Xuất xứ</x:t>
        </x:is>
      </x:c>
      <x:c r="J1" s="276" t="inlineStr">
        <x:is>
          <x:t xml:space="preserve">Tuyến pháp lý cần truy</x:t>
        </x:is>
      </x:c>
      <x:c r="K1" s="276" t="inlineStr">
        <x:is>
          <x:t xml:space="preserve">Trạng thái pháp lý</x:t>
        </x:is>
      </x:c>
      <x:c r="L1" s="276" t="inlineStr">
        <x:is>
          <x:t xml:space="preserve">URL nguồn</x:t>
        </x:is>
      </x:c>
      <x:c r="M1" s="276" t="inlineStr">
        <x:is>
          <x:t xml:space="preserve">Ghi chú</x:t>
        </x:is>
      </x:c>
      <x:c r="N1" s="272" t="n"/>
      <x:c r="O1" s="272" t="n"/>
      <x:c r="P1" s="272" t="n"/>
      <x:c r="Q1" s="272" t="n"/>
      <x:c r="R1" s="272" t="n"/>
      <x:c r="S1" s="272" t="n"/>
      <x:c r="T1" s="272" t="n"/>
      <x:c r="U1" s="272" t="n"/>
      <x:c r="V1" s="272" t="n"/>
      <x:c r="W1" s="272" t="n"/>
      <x:c r="X1" s="272" t="n"/>
      <x:c r="Y1" s="272" t="n"/>
      <x:c r="Z1" s="272" t="n"/>
    </x:row>
    <x:row r="2">
      <x:c r="A2" t="inlineStr">
        <x:is>
          <x:t xml:space="preserve">RS001</x:t>
        </x:is>
      </x:c>
      <x:c r="B2" s="99" t="n">
        <x:v>46247</x:v>
      </x:c>
      <x:c r="C2" t="inlineStr">
        <x:is>
          <x:t xml:space="preserve">Beauty retail</x:t>
        </x:is>
      </x:c>
      <x:c r="D2" t="inlineStr">
        <x:is>
          <x:t xml:space="preserve">Guardian</x:t>
        </x:is>
      </x:c>
      <x:c r="E2" t="inlineStr">
        <x:is>
          <x:t xml:space="preserve">TP.HCM / Việt Nam</x:t>
        </x:is>
      </x:c>
      <x:c r="F2" t="inlineStr">
        <x:is>
          <x:t xml:space="preserve">Guardian private label – body care; Aloe Vera Gel, Body Wash...</x:t>
        </x:is>
      </x:c>
      <x:c r="G2" t="n">
        <x:v>39</x:v>
      </x:c>
      <x:c r="H2" t="inlineStr">
        <x:is>
          <x:t xml:space="preserve">Cao</x:t>
        </x:is>
      </x:c>
      <x:c r="I2" t="inlineStr">
        <x:is>
          <x:t xml:space="preserve">Chưa xác minh</x:t>
        </x:is>
      </x:c>
      <x:c r="J2" t="inlineStr">
        <x:is>
          <x:t xml:space="preserve">Nếu nhập khẩu → Cục QLD; nếu SX trong nước → Sở Y tế nơi đặt nhà máy</x:t>
        </x:is>
      </x:c>
      <x:c r="K2" t="inlineStr">
        <x:is>
          <x:t xml:space="preserve">Chưa truy số CBMP</x:t>
        </x:is>
      </x:c>
      <x:c r="L2" t="inlineStr">
        <x:is>
          <x:t xml:space="preserve">https://www.guardian.com.vn/shopby/guardian.html?brand_id=1%2C1728</x:t>
        </x:is>
      </x:c>
      <x:c r="M2" t="inlineStr">
        <x:is>
          <x:t xml:space="preserve">Có bán chính thức = market signal. Không mặc nhiên coi là đã xác minh công bố.</x:t>
        </x:is>
      </x:c>
    </x:row>
    <x:row r="3">
      <x:c r="A3" t="inlineStr">
        <x:is>
          <x:t xml:space="preserve">RS002</x:t>
        </x:is>
      </x:c>
      <x:c r="B3" s="99" t="n">
        <x:v>46247</x:v>
      </x:c>
      <x:c r="C3" t="inlineStr">
        <x:is>
          <x:t xml:space="preserve">Beauty retail</x:t>
        </x:is>
      </x:c>
      <x:c r="D3" t="inlineStr">
        <x:is>
          <x:t xml:space="preserve">Watsons</x:t>
        </x:is>
      </x:c>
      <x:c r="E3" t="inlineStr">
        <x:is>
          <x:t xml:space="preserve">TP.HCM / Việt Nam</x:t>
        </x:is>
      </x:c>
      <x:c r="F3" t="inlineStr">
        <x:is>
          <x:t xml:space="preserve">Dầu gội</x:t>
        </x:is>
      </x:c>
      <x:c r="G3" t="n">
        <x:v>142</x:v>
      </x:c>
      <x:c r="H3" t="inlineStr">
        <x:is>
          <x:t xml:space="preserve">Rất cao</x:t>
        </x:is>
      </x:c>
      <x:c r="I3" t="inlineStr">
        <x:is>
          <x:t xml:space="preserve">Hỗn hợp nội địa + nhập khẩu</x:t>
        </x:is>
      </x:c>
      <x:c r="J3" t="inlineStr">
        <x:is>
          <x:t xml:space="preserve">Tách từng SKU: nội địa → Sở Y tế; nhập khẩu → Cục QLD</x:t>
        </x:is>
      </x:c>
      <x:c r="K3" t="inlineStr">
        <x:is>
          <x:t xml:space="preserve">Chưa truy từng SKU</x:t>
        </x:is>
      </x:c>
      <x:c r="L3" t="inlineStr">
        <x:is>
          <x:t xml:space="preserve">https://www.watsons.vn/vi/ch%C4%83m-s%C3%B3c-t%C3%B3c/d%E1%BA%A7u-g%E1%BB%99i/c/0501000</x:t>
        </x:is>
      </x:c>
      <x:c r="M3" t="inlineStr">
        <x:is>
          <x:t xml:space="preserve">Nguồn rất tốt để lập queue reverse lookup theo brand/SKU.</x:t>
        </x:is>
      </x:c>
    </x:row>
    <x:row r="4">
      <x:c r="A4" t="inlineStr">
        <x:is>
          <x:t xml:space="preserve">RS003</x:t>
        </x:is>
      </x:c>
      <x:c r="B4" s="99" t="n">
        <x:v>46247</x:v>
      </x:c>
      <x:c r="C4" t="inlineStr">
        <x:is>
          <x:t xml:space="preserve">Beauty retail</x:t>
        </x:is>
      </x:c>
      <x:c r="D4" t="inlineStr">
        <x:is>
          <x:t xml:space="preserve">Watsons</x:t>
        </x:is>
      </x:c>
      <x:c r="E4" t="inlineStr">
        <x:is>
          <x:t xml:space="preserve">TP.HCM / Việt Nam</x:t>
        </x:is>
      </x:c>
      <x:c r="F4" t="inlineStr">
        <x:is>
          <x:t xml:space="preserve">Chăm sóc tóc tổng</x:t>
        </x:is>
      </x:c>
      <x:c r="G4" t="n">
        <x:v>365</x:v>
      </x:c>
      <x:c r="H4" t="inlineStr">
        <x:is>
          <x:t xml:space="preserve">Rất cao</x:t>
        </x:is>
      </x:c>
      <x:c r="I4" t="inlineStr">
        <x:is>
          <x:t xml:space="preserve">Hỗn hợp nội địa + nhập khẩu</x:t>
        </x:is>
      </x:c>
      <x:c r="J4" t="inlineStr">
        <x:is>
          <x:t xml:space="preserve">Tách từng SKU theo xuất xứ</x:t>
        </x:is>
      </x:c>
      <x:c r="K4" t="inlineStr">
        <x:is>
          <x:t xml:space="preserve">Chưa truy từng SKU</x:t>
        </x:is>
      </x:c>
      <x:c r="L4" t="inlineStr">
        <x:is>
          <x:t xml:space="preserve">https://www.watsons.vn/vi/ch%C4%83m-s%C3%B3c-t%C3%B3c/c/0500000</x:t>
        </x:is>
      </x:c>
      <x:c r="M4" t="inlineStr">
        <x:is>
          <x:t xml:space="preserve">Có thể dùng để đo breadth danh mục và ưu tiên sản phẩm bán thật.</x:t>
        </x:is>
      </x:c>
    </x:row>
    <x:row r="5">
      <x:c r="A5" t="inlineStr">
        <x:is>
          <x:t xml:space="preserve">RS004</x:t>
        </x:is>
      </x:c>
      <x:c r="B5" s="99" t="n">
        <x:v>46247</x:v>
      </x:c>
      <x:c r="C5" t="inlineStr">
        <x:is>
          <x:t xml:space="preserve">Convenience 24/7</x:t>
        </x:is>
      </x:c>
      <x:c r="D5" t="inlineStr">
        <x:is>
          <x:t xml:space="preserve">Circle K</x:t>
        </x:is>
      </x:c>
      <x:c r="E5" t="inlineStr">
        <x:is>
          <x:t xml:space="preserve">TP.HCM / Việt Nam</x:t>
        </x:is>
      </x:c>
      <x:c r="F5" t="inlineStr">
        <x:is>
          <x:t xml:space="preserve">Hóa mỹ phẩm: chăm sóc cá nhân, mỹ phẩm, chăm sóc da...</x:t>
        </x:is>
      </x:c>
      <x:c r="H5" t="inlineStr">
        <x:is>
          <x:t xml:space="preserve">Cao</x:t>
        </x:is>
      </x:c>
      <x:c r="I5" t="inlineStr">
        <x:is>
          <x:t xml:space="preserve">Hỗn hợp</x:t>
        </x:is>
      </x:c>
      <x:c r="J5" t="inlineStr">
        <x:is>
          <x:t xml:space="preserve">Reverse lookup SKU tại cửa hàng/online nếu có</x:t>
        </x:is>
      </x:c>
      <x:c r="K5" t="inlineStr">
        <x:is>
          <x:t xml:space="preserve">Chưa truy SKU</x:t>
        </x:is>
      </x:c>
      <x:c r="L5" t="inlineStr">
        <x:is>
          <x:t xml:space="preserve">https://www.circlek.com.vn/vi/san-pham-dich-vu/san-pham/</x:t>
        </x:is>
      </x:c>
      <x:c r="M5" t="inlineStr">
        <x:is>
          <x:t xml:space="preserve">Nguồn category-level; cần audit SKU theo cửa hàng hoặc catalogue.</x:t>
        </x:is>
      </x:c>
    </x:row>
    <x:row r="6">
      <x:c r="A6" t="inlineStr">
        <x:is>
          <x:t xml:space="preserve">RS005</x:t>
        </x:is>
      </x:c>
      <x:c r="B6" s="99" t="n">
        <x:v>46247</x:v>
      </x:c>
      <x:c r="C6" t="inlineStr">
        <x:is>
          <x:t xml:space="preserve">Hypermarket</x:t>
        </x:is>
      </x:c>
      <x:c r="D6" t="inlineStr">
        <x:is>
          <x:t xml:space="preserve">MM Mega Market</x:t>
        </x:is>
      </x:c>
      <x:c r="E6" t="inlineStr">
        <x:is>
          <x:t xml:space="preserve">TP.HCM / Việt Nam</x:t>
        </x:is>
      </x:c>
      <x:c r="F6" t="inlineStr">
        <x:is>
          <x:t xml:space="preserve">Hóa mỹ phẩm / chăm sóc cá nhân</x:t>
        </x:is>
      </x:c>
      <x:c r="H6" t="inlineStr">
        <x:is>
          <x:t xml:space="preserve">Rất cao</x:t>
        </x:is>
      </x:c>
      <x:c r="I6" t="inlineStr">
        <x:is>
          <x:t xml:space="preserve">Hỗn hợp</x:t>
        </x:is>
      </x:c>
      <x:c r="J6" t="inlineStr">
        <x:is>
          <x:t xml:space="preserve">Reverse lookup SKU + hồ sơ nhà cung cấp</x:t>
        </x:is>
      </x:c>
      <x:c r="K6" t="inlineStr">
        <x:is>
          <x:t xml:space="preserve">Chưa truy SKU</x:t>
        </x:is>
      </x:c>
      <x:c r="L6" t="inlineStr">
        <x:is>
          <x:t xml:space="preserve">https://mmvietnam.com/san-pham/hoa-my-pham/</x:t>
        </x:is>
      </x:c>
      <x:c r="M6" t="inlineStr">
        <x:is>
          <x:t xml:space="preserve">MM nêu có tiêu chí đầu vào, rà soát/kiểm tra; có 21 trung tâm phân phối toàn quốc.</x:t>
        </x:is>
      </x:c>
    </x:row>
    <x:row r="7">
      <x:c r="A7" t="inlineStr">
        <x:is>
          <x:t xml:space="preserve">RS006</x:t>
        </x:is>
      </x:c>
      <x:c r="B7" s="99" t="n">
        <x:v>46247</x:v>
      </x:c>
      <x:c r="C7" t="inlineStr">
        <x:is>
          <x:t xml:space="preserve">Convenience 24/7</x:t>
        </x:is>
      </x:c>
      <x:c r="D7" t="inlineStr">
        <x:is>
          <x:t xml:space="preserve">MINISTOP</x:t>
        </x:is>
      </x:c>
      <x:c r="E7" t="inlineStr">
        <x:is>
          <x:t xml:space="preserve">TP.HCM</x:t>
        </x:is>
      </x:c>
      <x:c r="F7" t="inlineStr">
        <x:is>
          <x:t xml:space="preserve">Hệ thống cửa hàng 24/7</x:t>
        </x:is>
      </x:c>
      <x:c r="H7" t="inlineStr">
        <x:is>
          <x:t xml:space="preserve">Trung bình</x:t>
        </x:is>
      </x:c>
      <x:c r="I7" t="inlineStr">
        <x:is>
          <x:t xml:space="preserve">Chưa xác minh</x:t>
        </x:is>
      </x:c>
      <x:c r="J7" t="inlineStr">
        <x:is>
          <x:t xml:space="preserve">Audit SKU hóa mỹ phẩm tại cửa hàng → truy công bố</x:t>
        </x:is>
      </x:c>
      <x:c r="K7" t="inlineStr">
        <x:is>
          <x:t xml:space="preserve">Chưa có danh mục mỹ phẩm public đủ</x:t>
        </x:is>
      </x:c>
      <x:c r="L7" t="inlineStr">
        <x:is>
          <x:t xml:space="preserve">https://www.ministop.vn/vi/ms</x:t>
        </x:is>
      </x:c>
      <x:c r="M7" t="inlineStr">
        <x:is>
          <x:t xml:space="preserve">Dùng như location signal; inventory mỹ phẩm cần khảo sát thêm.</x:t>
        </x:is>
      </x:c>
    </x:row>
    <x:row r="8">
      <x:c r="A8" t="inlineStr">
        <x:is>
          <x:t xml:space="preserve">RS007</x:t>
        </x:is>
      </x:c>
      <x:c r="B8" s="99" t="n">
        <x:v>46247</x:v>
      </x:c>
      <x:c r="C8" t="inlineStr">
        <x:is>
          <x:t xml:space="preserve">E-commerce</x:t>
        </x:is>
      </x:c>
      <x:c r="D8" t="inlineStr">
        <x:is>
          <x:t xml:space="preserve">TikTok Shop Việt Nam</x:t>
        </x:is>
      </x:c>
      <x:c r="E8" t="inlineStr">
        <x:is>
          <x:t xml:space="preserve">Toàn quốc</x:t>
        </x:is>
      </x:c>
      <x:c r="F8" t="inlineStr">
        <x:is>
          <x:t xml:space="preserve">Mỹ phẩm – thuộc tính giấy phép sản phẩm</x:t>
        </x:is>
      </x:c>
      <x:c r="H8" t="inlineStr">
        <x:is>
          <x:t xml:space="preserve">Rất cao</x:t>
        </x:is>
      </x:c>
      <x:c r="I8" t="inlineStr">
        <x:is>
          <x:t xml:space="preserve">N/A</x:t>
        </x:is>
      </x:c>
      <x:c r="J8" t="inlineStr">
        <x:is>
          <x:t xml:space="preserve">Bắt buộc đối chiếu loại giấy phép/số đăng ký/ngày cấp/nơi cấp</x:t>
        </x:is>
      </x:c>
      <x:c r="K8" t="inlineStr">
        <x:is>
          <x:t xml:space="preserve">Platform-enforced signal</x:t>
        </x:is>
      </x:c>
      <x:c r="L8" t="inlineStr">
        <x:is>
          <x:t xml:space="preserve">https://seller-vn.tiktok.com/university/essay?anchor_link=EC4200CA&amp;course_type=1&amp;from=search&amp;identity=1&amp;knowledge_id=5985153894614801&amp;role=1</x:t>
        </x:is>
      </x:c>
      <x:c r="M8" t="inlineStr">
        <x:is>
          <x:t xml:space="preserve">Từ 20/03/2026, ngành Mỹ phẩm phải khai loại giấy phép, số đăng ký, ngày cấp, nơi cấp.</x:t>
        </x:is>
      </x:c>
    </x:row>
    <x:row r="9">
      <x:c r="A9" t="inlineStr">
        <x:is>
          <x:t xml:space="preserve">RS008</x:t>
        </x:is>
      </x:c>
      <x:c r="B9" s="99" t="n">
        <x:v>46247</x:v>
      </x:c>
      <x:c r="C9" t="inlineStr">
        <x:is>
          <x:t xml:space="preserve">E-commerce</x:t>
        </x:is>
      </x:c>
      <x:c r="D9" t="inlineStr">
        <x:is>
          <x:t xml:space="preserve">TikTok Shop Việt Nam</x:t>
        </x:is>
      </x:c>
      <x:c r="E9" t="inlineStr">
        <x:is>
          <x:t xml:space="preserve">Toàn quốc</x:t>
        </x:is>
      </x:c>
      <x:c r="F9" t="inlineStr">
        <x:is>
          <x:t xml:space="preserve">Beauty &amp; Personal Care – restricted products</x:t>
        </x:is>
      </x:c>
      <x:c r="H9" t="inlineStr">
        <x:is>
          <x:t xml:space="preserve">Rất cao</x:t>
        </x:is>
      </x:c>
      <x:c r="I9" t="inlineStr">
        <x:is>
          <x:t xml:space="preserve">N/A</x:t>
        </x:is>
      </x:c>
      <x:c r="J9" t="inlineStr">
        <x:is>
          <x:t xml:space="preserve">Có thể yêu cầu Thông báo sản phẩm mỹ phẩm và nhãn đầy đủ</x:t>
        </x:is>
      </x:c>
      <x:c r="K9" t="inlineStr">
        <x:is>
          <x:t xml:space="preserve">Platform-enforced signal</x:t>
        </x:is>
      </x:c>
      <x:c r="L9" t="inlineStr">
        <x:is>
          <x:t xml:space="preserve">https://seller-vn.tiktok.com/university/essay?default_language=en&amp;knowledge_id=7179954358388497</x:t>
        </x:is>
      </x:c>
      <x:c r="M9" t="inlineStr">
        <x:is>
          <x:t xml:space="preserve">Chính sách 14/07/2026: mỹ phẩm có thể phải nộp tài liệu chứng minh tuân thủ.</x:t>
        </x:is>
      </x:c>
    </x:row>
    <x:row r="10">
      <x:c r="A10" t="inlineStr">
        <x:is>
          <x:t xml:space="preserve">RS009</x:t>
        </x:is>
      </x:c>
      <x:c r="B10" s="99" t="n">
        <x:v>46247</x:v>
      </x:c>
      <x:c r="C10" t="inlineStr">
        <x:is>
          <x:t xml:space="preserve">Mother &amp; Baby retail</x:t>
        </x:is>
      </x:c>
      <x:c r="D10" t="inlineStr">
        <x:is>
          <x:t xml:space="preserve">Guardian</x:t>
        </x:is>
      </x:c>
      <x:c r="E10" t="inlineStr">
        <x:is>
          <x:t xml:space="preserve">TP.HCM / Việt Nam</x:t>
        </x:is>
      </x:c>
      <x:c r="F10" t="inlineStr">
        <x:is>
          <x:t xml:space="preserve">Mẹ &amp; Bé tổng</x:t>
        </x:is>
      </x:c>
      <x:c r="G10" t="n">
        <x:v>202</x:v>
      </x:c>
      <x:c r="H10" t="inlineStr">
        <x:is>
          <x:t xml:space="preserve">Rất cao</x:t>
        </x:is>
      </x:c>
      <x:c r="I10" t="inlineStr">
        <x:is>
          <x:t xml:space="preserve">Hỗn hợp</x:t>
        </x:is>
      </x:c>
      <x:c r="J10" t="inlineStr">
        <x:is>
          <x:t xml:space="preserve">Tách hóa mỹ phẩm vs TPCN/vật dụng; reverse lookup SKU mỹ phẩm</x:t>
        </x:is>
      </x:c>
      <x:c r="K10" t="inlineStr">
        <x:is>
          <x:t xml:space="preserve">Market signal</x:t>
        </x:is>
      </x:c>
      <x:c r="L10" t="inlineStr">
        <x:is>
          <x:t xml:space="preserve">https://www.guardian.com.vn/all-products</x:t>
        </x:is>
      </x:c>
      <x:c r="M10" t="inlineStr">
        <x:is>
          <x:t xml:space="preserve">Guardian hiển thị 202 SP Mẹ &amp; Bé; 106 chăm sóc bé; 31 tắm gội; 24 da/chống nắng; 16 dầu gội bé; 14 răng miệng bé.</x:t>
        </x:is>
      </x:c>
    </x:row>
    <x:row r="11">
      <x:c r="A11" t="inlineStr">
        <x:is>
          <x:t xml:space="preserve">RS010</x:t>
        </x:is>
      </x:c>
      <x:c r="B11" s="99" t="n">
        <x:v>46247</x:v>
      </x:c>
      <x:c r="C11" t="inlineStr">
        <x:is>
          <x:t xml:space="preserve">Mother &amp; Baby retail</x:t>
        </x:is>
      </x:c>
      <x:c r="D11" t="inlineStr">
        <x:is>
          <x:t xml:space="preserve">Guardian</x:t>
        </x:is>
      </x:c>
      <x:c r="E11" t="inlineStr">
        <x:is>
          <x:t xml:space="preserve">TP.HCM / Việt Nam</x:t>
        </x:is>
      </x:c>
      <x:c r="F11" t="inlineStr">
        <x:is>
          <x:t xml:space="preserve">Guardian private label – chăm sóc bé</x:t>
        </x:is>
      </x:c>
      <x:c r="G11" t="n">
        <x:v>9</x:v>
      </x:c>
      <x:c r="H11" t="inlineStr">
        <x:is>
          <x:t xml:space="preserve">Cao</x:t>
        </x:is>
      </x:c>
      <x:c r="I11" t="inlineStr">
        <x:is>
          <x:t xml:space="preserve">Chưa xác minh</x:t>
        </x:is>
      </x:c>
      <x:c r="J11" t="inlineStr">
        <x:is>
          <x:t xml:space="preserve">Reverse lookup Guardian Kids theo xuất xứ và số công bố</x:t>
        </x:is>
      </x:c>
      <x:c r="K11" t="inlineStr">
        <x:is>
          <x:t xml:space="preserve">Market signal</x:t>
        </x:is>
      </x:c>
      <x:c r="L11" t="inlineStr">
        <x:is>
          <x:t xml:space="preserve">https://www.guardian.com.vn/doc-quyen-guardian/san-pham-guardian/cham-soc-be.html</x:t>
        </x:is>
      </x:c>
      <x:c r="M11" t="inlineStr">
        <x:is>
          <x:t xml:space="preserve">Có 9 SKU Guardian chăm sóc bé; riêng Head To Toe Wash là hóa mỹ phẩm cần truy số công bố.</x:t>
        </x:is>
      </x:c>
    </x:row>
    <x:row r="12">
      <x:c r="A12" t="inlineStr">
        <x:is>
          <x:t xml:space="preserve">RS011</x:t>
        </x:is>
      </x:c>
      <x:c r="B12" s="99" t="n">
        <x:v>46247</x:v>
      </x:c>
      <x:c r="C12" t="inlineStr">
        <x:is>
          <x:t xml:space="preserve">Mother &amp; Baby retail</x:t>
        </x:is>
      </x:c>
      <x:c r="D12" t="inlineStr">
        <x:is>
          <x:t xml:space="preserve">Watsons</x:t>
        </x:is>
      </x:c>
      <x:c r="E12" t="inlineStr">
        <x:is>
          <x:t xml:space="preserve">TP.HCM / Việt Nam</x:t>
        </x:is>
      </x:c>
      <x:c r="F12" t="inlineStr">
        <x:is>
          <x:t xml:space="preserve">Trẻ em / Chăm sóc bé</x:t>
        </x:is>
      </x:c>
      <x:c r="G12" t="n">
        <x:v>44</x:v>
      </x:c>
      <x:c r="H12" t="inlineStr">
        <x:is>
          <x:t xml:space="preserve">Rất cao</x:t>
        </x:is>
      </x:c>
      <x:c r="I12" t="inlineStr">
        <x:is>
          <x:t xml:space="preserve">Hỗn hợp nội địa + nhập khẩu</x:t>
        </x:is>
      </x:c>
      <x:c r="J12" t="inlineStr">
        <x:is>
          <x:t xml:space="preserve">Tách mỹ phẩm, TPCN, vật dụng; ưu tiên SKU hóa mỹ phẩm</x:t>
        </x:is>
      </x:c>
      <x:c r="K12" t="inlineStr">
        <x:is>
          <x:t xml:space="preserve">Market signal</x:t>
        </x:is>
      </x:c>
      <x:c r="L12" t="inlineStr">
        <x:is>
          <x:t xml:space="preserve">https://www.watsons.vn/vi/tr%E1%BA%BB-em/c/0600000</x:t>
        </x:is>
      </x:c>
      <x:c r="M12" t="inlineStr">
        <x:is>
          <x:t xml:space="preserve">Có Cetaphil Baby, Lactacyd Baby, Johnson's Baby, Bzu Bzu, Bioré Kids...</x:t>
        </x:is>
      </x:c>
    </x:row>
    <x:row r="13">
      <x:c r="A13" t="inlineStr">
        <x:is>
          <x:t xml:space="preserve">RS012</x:t>
        </x:is>
      </x:c>
      <x:c r="B13" s="99" t="n">
        <x:v>46247</x:v>
      </x:c>
      <x:c r="C13" t="inlineStr">
        <x:is>
          <x:t xml:space="preserve">Mother &amp; Baby retail</x:t>
        </x:is>
      </x:c>
      <x:c r="D13" t="inlineStr">
        <x:is>
          <x:t xml:space="preserve">Watsons</x:t>
        </x:is>
      </x:c>
      <x:c r="E13" t="inlineStr">
        <x:is>
          <x:t xml:space="preserve">TP.HCM / Việt Nam</x:t>
        </x:is>
      </x:c>
      <x:c r="F13" t="inlineStr">
        <x:is>
          <x:t xml:space="preserve">Tắm gội trẻ em</x:t>
        </x:is>
      </x:c>
      <x:c r="G13" t="n">
        <x:v>17</x:v>
      </x:c>
      <x:c r="H13" t="inlineStr">
        <x:is>
          <x:t xml:space="preserve">Rất cao</x:t>
        </x:is>
      </x:c>
      <x:c r="I13" t="inlineStr">
        <x:is>
          <x:t xml:space="preserve">Hỗn hợp nội địa + nhập khẩu</x:t>
        </x:is>
      </x:c>
      <x:c r="J13" t="inlineStr">
        <x:is>
          <x:t xml:space="preserve">Reverse lookup từng SKU vào CBMP tỉnh hoặc CBMP-QLD</x:t>
        </x:is>
      </x:c>
      <x:c r="K13" t="inlineStr">
        <x:is>
          <x:t xml:space="preserve">Market signal</x:t>
        </x:is>
      </x:c>
      <x:c r="L13" t="inlineStr">
        <x:is>
          <x:t xml:space="preserve">https://www.watsons.vn/vi/tr%E1%BA%BB-em/t%E1%BA%AFm-g%E1%BB%99i/c/0601001</x:t>
        </x:is>
      </x:c>
      <x:c r="M13" t="inlineStr">
        <x:is>
          <x:t xml:space="preserve">Queue ưu tiên: Cetaphil Baby, Johnson's, Lactacyd, White Rain Kids, Carrie Junior, Sebamed.</x:t>
        </x:is>
      </x:c>
    </x:row>
    <x:row r="14">
      <x:c r="A14" t="inlineStr">
        <x:is>
          <x:t xml:space="preserve">RS013</x:t>
        </x:is>
      </x:c>
      <x:c r="B14" s="99" t="n">
        <x:v>46247</x:v>
      </x:c>
      <x:c r="C14" t="inlineStr">
        <x:is>
          <x:t xml:space="preserve">Convenience 24/7</x:t>
        </x:is>
      </x:c>
      <x:c r="D14" t="inlineStr">
        <x:is>
          <x:t xml:space="preserve">GS25</x:t>
        </x:is>
      </x:c>
      <x:c r="E14" t="inlineStr">
        <x:is>
          <x:t xml:space="preserve">TP.HCM / Việt Nam</x:t>
        </x:is>
      </x:c>
      <x:c r="F14" t="inlineStr">
        <x:is>
          <x:t xml:space="preserve">Hàng tiêu dùng</x:t>
        </x:is>
      </x:c>
      <x:c r="H14" t="inlineStr">
        <x:is>
          <x:t xml:space="preserve">Trung bình</x:t>
        </x:is>
      </x:c>
      <x:c r="I14" t="inlineStr">
        <x:is>
          <x:t xml:space="preserve">Hỗn hợp</x:t>
        </x:is>
      </x:c>
      <x:c r="J14" t="inlineStr">
        <x:is>
          <x:t xml:space="preserve">Chỉ truy khi xác định được SKU hóa mỹ phẩm</x:t>
        </x:is>
      </x:c>
      <x:c r="K14" t="inlineStr">
        <x:is>
          <x:t xml:space="preserve">Category signal</x:t>
        </x:is>
      </x:c>
      <x:c r="L14" t="inlineStr">
        <x:is>
          <x:t xml:space="preserve">https://gs25.com.vn/san-pham/product/</x:t>
        </x:is>
      </x:c>
      <x:c r="M14" t="inlineStr">
        <x:is>
          <x:t xml:space="preserve">Trang sản phẩm chính thức có nhóm Hàng tiêu dùng; chưa đủ dữ liệu công khai để tách SKU mỹ phẩm.</x:t>
        </x:is>
      </x:c>
    </x:row>
    <x:row r="15">
      <x:c r="A15" t="inlineStr">
        <x:is>
          <x:t xml:space="preserve">RS014</x:t>
        </x:is>
      </x:c>
      <x:c r="B15" s="99" t="n">
        <x:v>46247</x:v>
      </x:c>
      <x:c r="C15" t="inlineStr">
        <x:is>
          <x:t xml:space="preserve">Supermarket</x:t>
        </x:is>
      </x:c>
      <x:c r="D15" t="inlineStr">
        <x:is>
          <x:t xml:space="preserve">WinMart</x:t>
        </x:is>
      </x:c>
      <x:c r="E15" t="inlineStr">
        <x:is>
          <x:t xml:space="preserve">TP.HCM / Việt Nam</x:t>
        </x:is>
      </x:c>
      <x:c r="F15" t="inlineStr">
        <x:is>
          <x:t xml:space="preserve">Chăm Sóc Cá Nhân</x:t>
        </x:is>
      </x:c>
      <x:c r="H15" t="inlineStr">
        <x:is>
          <x:t xml:space="preserve">Cao</x:t>
        </x:is>
      </x:c>
      <x:c r="I15" t="inlineStr">
        <x:is>
          <x:t xml:space="preserve">Hỗn hợp</x:t>
        </x:is>
      </x:c>
      <x:c r="J15" t="inlineStr">
        <x:is>
          <x:t xml:space="preserve">Reverse lookup SKU khi inventory theo cửa hàng khả dụng</x:t>
        </x:is>
      </x:c>
      <x:c r="K15" t="inlineStr">
        <x:is>
          <x:t xml:space="preserve">Category signal</x:t>
        </x:is>
      </x:c>
      <x:c r="L15" t="inlineStr">
        <x:is>
          <x:t xml:space="preserve">https://winmart.vn/cham-soc-ca-nhan--c11</x:t>
        </x:is>
      </x:c>
      <x:c r="M15" t="inlineStr">
        <x:is>
          <x:t xml:space="preserve">Trang ngành chính thức; inventory có thể phụ thuộc cửa hàng/khu vực.</x:t>
        </x:is>
      </x:c>
    </x:row>
    <x:row r="16">
      <x:c r="A16" t="inlineStr">
        <x:is>
          <x:t xml:space="preserve">RS015</x:t>
        </x:is>
      </x:c>
      <x:c r="B16" s="99" t="n">
        <x:v>46247</x:v>
      </x:c>
      <x:c r="C16" t="inlineStr">
        <x:is>
          <x:t xml:space="preserve">Supermarket</x:t>
        </x:is>
      </x:c>
      <x:c r="D16" t="inlineStr">
        <x:is>
          <x:t xml:space="preserve">WinMart</x:t>
        </x:is>
      </x:c>
      <x:c r="E16" t="inlineStr">
        <x:is>
          <x:t xml:space="preserve">TP.HCM / Việt Nam</x:t>
        </x:is>
      </x:c>
      <x:c r="F16" t="inlineStr">
        <x:is>
          <x:t xml:space="preserve">Chăm Sóc Da</x:t>
        </x:is>
      </x:c>
      <x:c r="H16" t="inlineStr">
        <x:is>
          <x:t xml:space="preserve">Cao</x:t>
        </x:is>
      </x:c>
      <x:c r="I16" t="inlineStr">
        <x:is>
          <x:t xml:space="preserve">Hỗn hợp</x:t>
        </x:is>
      </x:c>
      <x:c r="J16" t="inlineStr">
        <x:is>
          <x:t xml:space="preserve">Reverse lookup SKU khi inventory theo cửa hàng khả dụng</x:t>
        </x:is>
      </x:c>
      <x:c r="K16" t="inlineStr">
        <x:is>
          <x:t xml:space="preserve">Category signal</x:t>
        </x:is>
      </x:c>
      <x:c r="L16" t="inlineStr">
        <x:is>
          <x:t xml:space="preserve">https://winmart.vn/cham-soc-da--c0146</x:t>
        </x:is>
      </x:c>
      <x:c r="M16" t="inlineStr">
        <x:is>
          <x:t xml:space="preserve">Trang ngành chính thức; dùng như tín hiệu kênh, chưa dùng làm declaration.</x:t>
        </x:is>
      </x:c>
    </x:row>
  </x:sheetData>
  <x:pageMargins left="0.7" right="0.7" top="0.75" bottom="0.75" header="0.3" footer="0.3"/>
</x:worksheet>
</file>

<file path=xl/worksheets/sheet51.xml><?xml version="1.0" encoding="utf-8"?>
<x:worksheet xmlns:x="http://schemas.openxmlformats.org/spreadsheetml/2006/main">
  <x:sheetFormatPr baseColWidth="8" defaultRowHeight="15"/>
  <x:cols>
    <x:col min="1" max="1" width="38" style="91" customWidth="1"/>
    <x:col min="2" max="2" width="38" style="91" customWidth="1"/>
    <x:col min="3" max="3" width="28" style="91" customWidth="1"/>
    <x:col min="4" max="4" width="68" style="91" customWidth="1"/>
    <x:col min="5" max="5" width="84" style="91" customWidth="1"/>
  </x:cols>
  <x:sheetData>
    <x:row r="1" s="91" customFormat="1" ht="48" customHeight="1">
      <x:c r="A1" s="276" t="inlineStr">
        <x:is>
          <x:t xml:space="preserve">Trường hợp</x:t>
        </x:is>
      </x:c>
      <x:c r="B1" s="276" t="inlineStr">
        <x:is>
          <x:t xml:space="preserve">Cơ quan cấp/tiếp nhận</x:t>
        </x:is>
      </x:c>
      <x:c r="C1" s="276" t="inlineStr">
        <x:is>
          <x:t xml:space="preserve">Tuyến dữ liệu</x:t>
        </x:is>
      </x:c>
      <x:c r="D1" s="276" t="inlineStr">
        <x:is>
          <x:t xml:space="preserve">Quy tắc dự án</x:t>
        </x:is>
      </x:c>
      <x:c r="E1" s="276" t="inlineStr">
        <x:is>
          <x:t xml:space="preserve">Nguồn chính thức</x:t>
        </x:is>
      </x:c>
      <x:c r="F1" s="272" t="n"/>
      <x:c r="G1" s="272" t="n"/>
      <x:c r="H1" s="272" t="n"/>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2">
      <x:c r="A2" t="inlineStr">
        <x:is>
          <x:t xml:space="preserve">Mỹ phẩm sản xuất trong nước</x:t>
        </x:is>
      </x:c>
      <x:c r="B2" t="inlineStr">
        <x:is>
          <x:t xml:space="preserve">Sở Y tế nơi đặt nhà máy sản xuất</x:t>
        </x:is>
      </x:c>
      <x:c r="C2" t="inlineStr">
        <x:is>
          <x:t xml:space="preserve">CBMP tỉnh/thành</x:t>
        </x:is>
      </x:c>
      <x:c r="D2" t="inlineStr">
        <x:is>
          <x:t xml:space="preserve">Gắn vào tỉnh hiện hành nhưng giữ mã/số công bố lịch sử.</x:t>
        </x:is>
      </x:c>
      <x:c r="E2" t="inlineStr">
        <x:is>
          <x:t xml:space="preserve">https://dichvucong.gov.vn/p/home/dvc-chi-tiet-thu-tuc-hanh-chinh.html?id_tinh_thanh=50&amp;ma_thu_tuc=1.002600</x:t>
        </x:is>
      </x:c>
    </x:row>
    <x:row r="3">
      <x:c r="A3" t="inlineStr">
        <x:is>
          <x:t xml:space="preserve">Sản xuất/đóng gói từ bán thành phẩm nhập khẩu</x:t>
        </x:is>
      </x:c>
      <x:c r="B3" t="inlineStr">
        <x:is>
          <x:t xml:space="preserve">Sở Y tế nơi đặt nhà máy</x:t>
        </x:is>
      </x:c>
      <x:c r="C3" t="inlineStr">
        <x:is>
          <x:t xml:space="preserve">CBMP tỉnh/thành</x:t>
        </x:is>
      </x:c>
      <x:c r="D3" t="inlineStr">
        <x:is>
          <x:t xml:space="preserve">Theo thủ tục hiện hành được coi là sản phẩm sản xuất trong nước.</x:t>
        </x:is>
      </x:c>
      <x:c r="E3" t="inlineStr">
        <x:is>
          <x:t xml:space="preserve">https://dichvucong.gov.vn/p/home/dvc-chi-tiet-thu-tuc-hanh-chinh.html?id_tinh_thanh=50&amp;ma_thu_tuc=1.002600</x:t>
        </x:is>
      </x:c>
    </x:row>
    <x:row r="4">
      <x:c r="A4" t="inlineStr">
        <x:is>
          <x:t xml:space="preserve">Mỹ phẩm nhập khẩu thành phẩm</x:t>
        </x:is>
      </x:c>
      <x:c r="B4" t="inlineStr">
        <x:is>
          <x:t xml:space="preserve">Cục Quản lý Dược – Bộ Y tế</x:t>
        </x:is>
      </x:c>
      <x:c r="C4" t="inlineStr">
        <x:is>
          <x:t xml:space="preserve">IMPORT_DECLARATIONS</x:t>
        </x:is>
      </x:c>
      <x:c r="D4" t="inlineStr">
        <x:is>
          <x:t xml:space="preserve">Phải tách khỏi CBMP tỉnh; truy qua Cổng một cửa quốc gia/DAV.</x:t>
        </x:is>
      </x:c>
      <x:c r="E4" t="inlineStr">
        <x:is>
          <x:t xml:space="preserve">https://vpcp.dichvucong.gov.vn/p/home/dvc-chi-tiet-thu-tuc-hanh-chinh.html?ma_thu_tuc=1.002088</x:t>
        </x:is>
      </x:c>
    </x:row>
    <x:row r="5">
      <x:c r="A5" t="inlineStr">
        <x:is>
          <x:t xml:space="preserve">Retail chain / siêu thị / cửa hàng 24/7</x:t>
        </x:is>
      </x:c>
      <x:c r="B5" t="inlineStr">
        <x:is>
          <x:t xml:space="preserve">Không phải cơ quan pháp lý</x:t>
        </x:is>
      </x:c>
      <x:c r="C5" t="inlineStr">
        <x:is>
          <x:t xml:space="preserve">RETAIL_ECOM_SIGNAL</x:t>
        </x:is>
      </x:c>
      <x:c r="D5" t="inlineStr">
        <x:is>
          <x:t xml:space="preserve">Chỉ là market signal; phải reverse lookup số công bố/nhà nhập khẩu.</x:t>
        </x:is>
      </x:c>
    </x:row>
    <x:row r="6">
      <x:c r="A6" t="inlineStr">
        <x:is>
          <x:t xml:space="preserve">Sàn TMĐT</x:t>
        </x:is>
      </x:c>
      <x:c r="B6" t="inlineStr">
        <x:is>
          <x:t xml:space="preserve">Không phải cơ quan cấp số</x:t>
        </x:is>
      </x:c>
      <x:c r="C6" t="inlineStr">
        <x:is>
          <x:t xml:space="preserve">RETAIL_ECOM_SIGNAL</x:t>
        </x:is>
      </x:c>
      <x:c r="D6" t="inlineStr">
        <x:is>
          <x:t xml:space="preserve">Platform compliance là tín hiệu mạnh nhưng không thay hồ sơ gốc.</x:t>
        </x:is>
      </x:c>
      <x:c r="E6" t="inlineStr">
        <x:is>
          <x:t xml:space="preserve">https://seller-vn.tiktok.com/university/essay?anchor_link=EC4200CA&amp;course_type=1&amp;from=search&amp;identity=1&amp;knowledge_id=5985153894614801&amp;role=1</x:t>
        </x:is>
      </x:c>
    </x:row>
  </x:sheetData>
  <x:pageMargins left="0.7" right="0.7" top="0.75" bottom="0.75" header="0.3" footer="0.3"/>
</x:worksheet>
</file>

<file path=xl/worksheets/sheet52.xml><?xml version="1.0" encoding="utf-8"?>
<x:worksheet xmlns:x="http://schemas.openxmlformats.org/spreadsheetml/2006/main">
  <x:sheetFormatPr baseColWidth="8" defaultRowHeight="15"/>
  <x:cols>
    <x:col min="1" max="1" width="8" style="91" customWidth="1"/>
    <x:col min="2" max="2" width="14" style="91" customWidth="1"/>
    <x:col min="3" max="3" width="22" style="91" customWidth="1"/>
    <x:col min="4" max="4" width="42" style="91" customWidth="1"/>
    <x:col min="5" max="5" width="22" style="91" customWidth="1"/>
    <x:col min="6" max="6" width="22" style="91" customWidth="1"/>
    <x:col min="7" max="7" width="48" style="91" customWidth="1"/>
    <x:col min="8" max="8" width="48" style="91" customWidth="1"/>
    <x:col min="9" max="9" width="22" style="91" customWidth="1"/>
    <x:col min="10" max="10" width="24" style="91" customWidth="1"/>
    <x:col min="11" max="11" width="30" style="91" customWidth="1"/>
    <x:col min="12" max="12" width="52" style="91" customWidth="1"/>
    <x:col min="13" max="13" width="78" style="91" customWidth="1"/>
    <x:col min="14" max="14" width="78" style="91" customWidth="1"/>
    <x:col min="15" max="15" width="58" style="91" customWidth="1"/>
  </x:cols>
  <x:sheetData>
    <x:row r="1" s="91" customFormat="1" ht="48" customHeight="1">
      <x:c r="A1" s="280" t="inlineStr">
        <x:is>
          <x:t xml:space="preserve">ID</x:t>
        </x:is>
      </x:c>
      <x:c r="B1" s="280" t="inlineStr">
        <x:is>
          <x:t xml:space="preserve">Ngày cấp</x:t>
        </x:is>
      </x:c>
      <x:c r="C1" s="280" t="inlineStr">
        <x:is>
          <x:t xml:space="preserve">Số tiếp nhận</x:t>
        </x:is>
      </x:c>
      <x:c r="D1" s="280" t="inlineStr">
        <x:is>
          <x:t xml:space="preserve">Tên sản phẩm</x:t>
        </x:is>
      </x:c>
      <x:c r="E1" s="280" t="inlineStr">
        <x:is>
          <x:t xml:space="preserve">Thương hiệu</x:t>
        </x:is>
      </x:c>
      <x:c r="F1" s="280" t="inlineStr">
        <x:is>
          <x:t xml:space="preserve">Nhóm chuẩn</x:t>
        </x:is>
      </x:c>
      <x:c r="G1" s="280" t="inlineStr">
        <x:is>
          <x:t xml:space="preserve">Tổ chức chịu trách nhiệm tại VN</x:t>
        </x:is>
      </x:c>
      <x:c r="H1" s="280" t="inlineStr">
        <x:is>
          <x:t xml:space="preserve">Nhà sản xuất nước ngoài</x:t>
        </x:is>
      </x:c>
      <x:c r="I1" s="280" t="inlineStr">
        <x:is>
          <x:t xml:space="preserve">Quốc gia sản xuất</x:t>
        </x:is>
      </x:c>
      <x:c r="J1" s="280" t="inlineStr">
        <x:is>
          <x:t xml:space="preserve">Trạng thái pháp lý</x:t>
        </x:is>
      </x:c>
      <x:c r="K1" s="280" t="inlineStr">
        <x:is>
          <x:t xml:space="preserve">Mức xác minh</x:t>
        </x:is>
      </x:c>
      <x:c r="L1" s="280" t="inlineStr">
        <x:is>
          <x:t xml:space="preserve">Retail/Ecom signal</x:t>
        </x:is>
      </x:c>
      <x:c r="M1" s="280" t="inlineStr">
        <x:is>
          <x:t xml:space="preserve">URL pháp lý</x:t>
        </x:is>
      </x:c>
      <x:c r="N1" s="280" t="inlineStr">
        <x:is>
          <x:t xml:space="preserve">URL thị trường</x:t>
        </x:is>
      </x:c>
      <x:c r="O1" s="280" t="inlineStr">
        <x:is>
          <x:t xml:space="preserve">Ghi chú</x:t>
        </x:is>
      </x:c>
      <x:c r="P1" s="272" t="n"/>
      <x:c r="Q1" s="272" t="n"/>
      <x:c r="R1" s="272" t="n"/>
      <x:c r="S1" s="272" t="n"/>
      <x:c r="T1" s="272" t="n"/>
      <x:c r="U1" s="272" t="n"/>
      <x:c r="V1" s="272" t="n"/>
      <x:c r="W1" s="272" t="n"/>
      <x:c r="X1" s="272" t="n"/>
      <x:c r="Y1" s="272" t="n"/>
      <x:c r="Z1" s="272" t="n"/>
    </x:row>
    <x:row r="2">
      <x:c r="A2" t="str">
        <x:v>IMP0001</x:v>
      </x:c>
      <x:c r="B2" s="330"/>
      <x:c r="C2" t="str">
        <x:v>207832/23/CBMP-QLD</x:v>
      </x:c>
      <x:c r="D2" t="str">
        <x:v>M.O.I BABY SKIN POWDER #1</x:v>
      </x:c>
      <x:c r="E2" t="str">
        <x:v>M.O.I</x:v>
      </x:c>
      <x:c r="F2" t="str">
        <x:v>Khác</x:v>
      </x:c>
      <x:c r="G2" t="str">
        <x:v>CÔNG TY TNHH M.O.I COSMETICS</x:v>
      </x:c>
      <x:c r="H2"/>
      <x:c r="I2"/>
      <x:c r="J2" t="str">
        <x:v>Chưa đối chiếu thu hồi</x:v>
      </x:c>
      <x:c r="K2" t="str">
        <x:v>Cross-check chính thức SYT TP.HCM – chưa đối chiếu hồ sơ DAV gốc</x:v>
      </x:c>
      <x:c r="L2" t="str">
        <x:v>Mẹ &amp; Bé / Baby cosmetic</x:v>
      </x:c>
      <x:c r="M2" t="str">
        <x:v>https://tracuu.medinet.org.vn/category/cosodulieukhac/quangcao-mypham</x:v>
      </x:c>
      <x:c r="N2"/>
      <x:c r="O2" t="str">
        <x:v>Số CBMP-QLD xuất hiện trong hồ sơ QC 568/2026/XNQC-YTHCM ngày 04/03/2026.</x:v>
      </x:c>
    </x:row>
    <x:row r="3">
      <x:c r="A3" t="str">
        <x:v>IMP0002</x:v>
      </x:c>
      <x:c r="B3" s="330"/>
      <x:c r="C3" t="str">
        <x:v>224040/24/CBMP-QLD</x:v>
      </x:c>
      <x:c r="D3" t="str">
        <x:v>M.O.I Baby Skin Powder #2</x:v>
      </x:c>
      <x:c r="E3" t="str">
        <x:v>M.O.I</x:v>
      </x:c>
      <x:c r="F3" t="str">
        <x:v>Khác</x:v>
      </x:c>
      <x:c r="G3" t="str">
        <x:v>CÔNG TY TNHH M.O.I COSMETICS</x:v>
      </x:c>
      <x:c r="H3"/>
      <x:c r="I3"/>
      <x:c r="J3" t="str">
        <x:v>Chưa đối chiếu thu hồi</x:v>
      </x:c>
      <x:c r="K3" t="str">
        <x:v>Cross-check chính thức SYT TP.HCM – chưa đối chiếu hồ sơ DAV gốc</x:v>
      </x:c>
      <x:c r="L3" t="str">
        <x:v>Mẹ &amp; Bé / Baby cosmetic</x:v>
      </x:c>
      <x:c r="M3" t="str">
        <x:v>https://tracuu.medinet.org.vn/category/cosodulieukhac/quangcao-mypham</x:v>
      </x:c>
      <x:c r="N3"/>
      <x:c r="O3" t="str">
        <x:v>Số CBMP-QLD xuất hiện trong hồ sơ QC 568/2026/XNQC-YTHCM ngày 04/03/2026.</x:v>
      </x:c>
    </x:row>
    <x:row r="4">
      <x:c r="A4" t="str">
        <x:v>IMP0003</x:v>
      </x:c>
      <x:c r="B4" s="330"/>
      <x:c r="C4" t="str">
        <x:v>261024/24/CBMP-QLD</x:v>
      </x:c>
      <x:c r="D4" t="str">
        <x:v>BIODERMA SEBIUM PORE REFINER</x:v>
      </x:c>
      <x:c r="E4" t="str">
        <x:v>BIODERMA</x:v>
      </x:c>
      <x:c r="F4" t="str">
        <x:v>Kem dưỡng da</x:v>
      </x:c>
      <x:c r="G4" t="str">
        <x:v>CÔNG TY TNHH MINTHACARE</x:v>
      </x:c>
      <x:c r="H4"/>
      <x:c r="I4"/>
      <x:c r="J4" t="str">
        <x:v>Chưa đối chiếu thu hồi</x:v>
      </x:c>
      <x:c r="K4" t="str">
        <x:v>Cross-check chính thức SYT TP.HCM – chưa đối chiếu hồ sơ DAV gốc</x:v>
      </x:c>
      <x:c r="L4" t="str">
        <x:v>Advertising/E-commerce signal</x:v>
      </x:c>
      <x:c r="M4" t="str">
        <x:v>https://tracuu.medinet.org.vn/category/cosodulieukhac/quangcao-mypham</x:v>
      </x:c>
      <x:c r="N4"/>
      <x:c r="O4" t="str">
        <x:v>Số CBMP-QLD xuất hiện trong hồ sơ quảng cáo chính thức của MINTHACARE.</x:v>
      </x:c>
    </x:row>
    <x:row r="5">
      <x:c r="A5" t="str">
        <x:v>IMP0004</x:v>
      </x:c>
      <x:c r="B5" s="330"/>
      <x:c r="C5" t="str">
        <x:v>280531/25/CBMP-QLD</x:v>
      </x:c>
      <x:c r="D5" t="str">
        <x:v>BIODERMA SEBIUM SENSITIVE</x:v>
      </x:c>
      <x:c r="E5" t="str">
        <x:v>BIODERMA</x:v>
      </x:c>
      <x:c r="F5" t="str">
        <x:v>Kem dưỡng da</x:v>
      </x:c>
      <x:c r="G5" t="str">
        <x:v>CÔNG TY TNHH MINTHACARE</x:v>
      </x:c>
      <x:c r="H5"/>
      <x:c r="I5"/>
      <x:c r="J5" t="str">
        <x:v>Chưa đối chiếu thu hồi</x:v>
      </x:c>
      <x:c r="K5" t="str">
        <x:v>Cross-check chính thức SYT TP.HCM – chưa đối chiếu hồ sơ DAV gốc</x:v>
      </x:c>
      <x:c r="L5" t="str">
        <x:v>Advertising/E-commerce signal</x:v>
      </x:c>
      <x:c r="M5" t="str">
        <x:v>https://tracuu.medinet.org.vn/category/cosodulieukhac/quangcao-mypham</x:v>
      </x:c>
      <x:c r="N5"/>
      <x:c r="O5" t="str">
        <x:v>Số CBMP-QLD xuất hiện trong hồ sơ quảng cáo chính thức của MINTHACARE.</x:v>
      </x:c>
    </x:row>
    <x:row r="6">
      <x:c r="A6" t="str">
        <x:v>IMP0005</x:v>
      </x:c>
      <x:c r="B6" s="330"/>
      <x:c r="C6" t="str">
        <x:v>163102/21/CBMP-QLD</x:v>
      </x:c>
      <x:c r="D6" t="str">
        <x:v>BIODERMA SENSIBIO DEFENSIVE</x:v>
      </x:c>
      <x:c r="E6" t="str">
        <x:v>BIODERMA</x:v>
      </x:c>
      <x:c r="F6" t="str">
        <x:v>Kem dưỡng da</x:v>
      </x:c>
      <x:c r="G6" t="str">
        <x:v>CÔNG TY TNHH MINTHACARE</x:v>
      </x:c>
      <x:c r="H6"/>
      <x:c r="I6"/>
      <x:c r="J6" t="str">
        <x:v>Chưa đối chiếu thu hồi</x:v>
      </x:c>
      <x:c r="K6" t="str">
        <x:v>Cross-check chính thức SYT TP.HCM – chưa đối chiếu hồ sơ DAV gốc</x:v>
      </x:c>
      <x:c r="L6" t="str">
        <x:v>Advertising/E-commerce signal</x:v>
      </x:c>
      <x:c r="M6" t="str">
        <x:v>https://tracuu.medinet.org.vn/category/cosodulieukhac/quangcao-mypham</x:v>
      </x:c>
      <x:c r="N6"/>
      <x:c r="O6" t="str">
        <x:v>Số CBMP-QLD xuất hiện trong hồ sơ quảng cáo chính thức của MINTHACARE.</x:v>
      </x:c>
    </x:row>
    <x:row r="7">
      <x:c r="A7" t="str">
        <x:v>IMP0006</x:v>
      </x:c>
      <x:c r="B7" s="330"/>
      <x:c r="C7" t="str">
        <x:v>239464/24/CBMP-QLD</x:v>
      </x:c>
      <x:c r="D7" t="str">
        <x:v>BIODERMA CICABIO CREME+</x:v>
      </x:c>
      <x:c r="E7" t="str">
        <x:v>BIODERMA</x:v>
      </x:c>
      <x:c r="F7" t="str">
        <x:v>Kem dưỡng da</x:v>
      </x:c>
      <x:c r="G7" t="str">
        <x:v>CÔNG TY TNHH MINTHACARE</x:v>
      </x:c>
      <x:c r="H7"/>
      <x:c r="I7"/>
      <x:c r="J7" t="str">
        <x:v>Chưa đối chiếu thu hồi</x:v>
      </x:c>
      <x:c r="K7" t="str">
        <x:v>Cross-check chính thức SYT TP.HCM – chưa đối chiếu hồ sơ DAV gốc</x:v>
      </x:c>
      <x:c r="L7" t="str">
        <x:v>Advertising/E-commerce signal</x:v>
      </x:c>
      <x:c r="M7" t="str">
        <x:v>https://tracuu.medinet.org.vn/category/cosodulieukhac/quangcao-mypham</x:v>
      </x:c>
      <x:c r="N7"/>
      <x:c r="O7" t="str">
        <x:v>Số CBMP-QLD xuất hiện trong hồ sơ quảng cáo chính thức của MINTHACARE.</x:v>
      </x:c>
    </x:row>
    <x:row r="8">
      <x:c r="A8" t="str">
        <x:v>IMP0007</x:v>
      </x:c>
      <x:c r="B8" s="330"/>
      <x:c r="C8" t="str">
        <x:v>262773/25/CBMP-QLD</x:v>
      </x:c>
      <x:c r="D8" t="str">
        <x:v>NUXE HUILE PRODIGIEUSE MULTI-PURPOSE DRY OIL</x:v>
      </x:c>
      <x:c r="E8" t="str">
        <x:v>NUXE</x:v>
      </x:c>
      <x:c r="F8" t="str">
        <x:v>Kem body</x:v>
      </x:c>
      <x:c r="G8" t="str">
        <x:v>CÔNG TY TNHH MINTHACARE</x:v>
      </x:c>
      <x:c r="H8"/>
      <x:c r="I8"/>
      <x:c r="J8" t="str">
        <x:v>Chưa đối chiếu thu hồi</x:v>
      </x:c>
      <x:c r="K8" t="str">
        <x:v>Cross-check chính thức SYT TP.HCM – chưa đối chiếu hồ sơ DAV gốc</x:v>
      </x:c>
      <x:c r="L8" t="str">
        <x:v>Advertising signal</x:v>
      </x:c>
      <x:c r="M8" t="str">
        <x:v>https://tracuu.medinet.org.vn/category/cosodulieukhac/quangcao-mypham</x:v>
      </x:c>
      <x:c r="N8"/>
      <x:c r="O8" t="str">
        <x:v>Dầu khô đa năng; phân nhóm tạm Kem body/Dưỡng thể cho market taxonomy.</x:v>
      </x:c>
    </x:row>
    <x:row r="9">
      <x:c r="A9" t="str">
        <x:v>IMP0008</x:v>
      </x:c>
      <x:c r="B9" s="330"/>
      <x:c r="C9" t="str">
        <x:v>216141/23/CBMP-QLD</x:v>
      </x:c>
      <x:c r="D9" t="str">
        <x:v>NUXE HUILE PRODIGIEUSE FLORALE MULTI-PURPOSE DRY OIL</x:v>
      </x:c>
      <x:c r="E9" t="str">
        <x:v>NUXE</x:v>
      </x:c>
      <x:c r="F9" t="str">
        <x:v>Kem body</x:v>
      </x:c>
      <x:c r="G9" t="str">
        <x:v>CÔNG TY TNHH MINTHACARE</x:v>
      </x:c>
      <x:c r="H9"/>
      <x:c r="I9"/>
      <x:c r="J9" t="str">
        <x:v>Chưa đối chiếu thu hồi</x:v>
      </x:c>
      <x:c r="K9" t="str">
        <x:v>Cross-check chính thức SYT TP.HCM – chưa đối chiếu hồ sơ DAV gốc</x:v>
      </x:c>
      <x:c r="L9" t="str">
        <x:v>Advertising signal</x:v>
      </x:c>
      <x:c r="M9" t="str">
        <x:v>https://tracuu.medinet.org.vn/category/cosodulieukhac/quangcao-mypham</x:v>
      </x:c>
      <x:c r="N9"/>
      <x:c r="O9" t="str">
        <x:v>Dầu khô đa năng; phân nhóm tạm Kem body/Dưỡng thể cho market taxonomy.</x:v>
      </x:c>
    </x:row>
    <x:row r="10">
      <x:c r="A10" t="str">
        <x:v>IMP0009</x:v>
      </x:c>
      <x:c r="B10" s="330"/>
      <x:c r="C10" t="str">
        <x:v>306293/26/CBMP-QLD</x:v>
      </x:c>
      <x:c r="D10" t="str">
        <x:v>NUXE HUILE PRODIGIEUSE OR MULTI-PURPOSE DRY OIL</x:v>
      </x:c>
      <x:c r="E10" t="str">
        <x:v>NUXE</x:v>
      </x:c>
      <x:c r="F10" t="str">
        <x:v>Kem body</x:v>
      </x:c>
      <x:c r="G10" t="str">
        <x:v>CÔNG TY TNHH MINTHACARE</x:v>
      </x:c>
      <x:c r="H10"/>
      <x:c r="I10"/>
      <x:c r="J10" t="str">
        <x:v>Chưa đối chiếu thu hồi</x:v>
      </x:c>
      <x:c r="K10" t="str">
        <x:v>Cross-check chính thức SYT TP.HCM – chưa đối chiếu hồ sơ DAV gốc</x:v>
      </x:c>
      <x:c r="L10" t="str">
        <x:v>Advertising signal</x:v>
      </x:c>
      <x:c r="M10" t="str">
        <x:v>https://tracuu.medinet.org.vn/category/cosodulieukhac/quangcao-mypham</x:v>
      </x:c>
      <x:c r="N10"/>
      <x:c r="O10" t="str">
        <x:v>Dầu khô đa năng; phân nhóm tạm Kem body/Dưỡng thể cho market taxonomy.</x:v>
      </x:c>
    </x:row>
    <x:row r="11">
      <x:c r="A11" t="str">
        <x:v>IMP0010</x:v>
      </x:c>
      <x:c r="B11" s="330"/>
      <x:c r="C11" t="str">
        <x:v>224680/24/CBMP-QLD</x:v>
      </x:c>
      <x:c r="D11" t="str">
        <x:v>NUXE HUILE PRODIGIEUSE OR FLORALE MULTI-PURPOSE DRY OIL</x:v>
      </x:c>
      <x:c r="E11" t="str">
        <x:v>NUXE</x:v>
      </x:c>
      <x:c r="F11" t="str">
        <x:v>Kem body</x:v>
      </x:c>
      <x:c r="G11" t="str">
        <x:v>CÔNG TY TNHH MINTHACARE</x:v>
      </x:c>
      <x:c r="H11"/>
      <x:c r="I11"/>
      <x:c r="J11" t="str">
        <x:v>Chưa đối chiếu thu hồi</x:v>
      </x:c>
      <x:c r="K11" t="str">
        <x:v>Cross-check chính thức SYT TP.HCM – chưa đối chiếu hồ sơ DAV gốc</x:v>
      </x:c>
      <x:c r="L11" t="str">
        <x:v>Advertising signal</x:v>
      </x:c>
      <x:c r="M11" t="str">
        <x:v>https://tracuu.medinet.org.vn/category/cosodulieukhac/quangcao-mypham</x:v>
      </x:c>
      <x:c r="N11"/>
      <x:c r="O11" t="str">
        <x:v>Dầu khô đa năng; phân nhóm tạm Kem body/Dưỡng thể cho market taxonomy.</x:v>
      </x:c>
    </x:row>
    <x:row r="12">
      <x:c r="A12" t="str">
        <x:v>IMP0011</x:v>
      </x:c>
      <x:c r="B12" s="330" t="n">
        <x:v>45169</x:v>
      </x:c>
      <x:c r="C12" t="str">
        <x:v>210883/23/CBMP-QLD</x:v>
      </x:c>
      <x:c r="D12" t="str">
        <x:v>Ksurgery Instalift Hyaluronic Liftup Eye Serum</x:v>
      </x:c>
      <x:c r="E12" t="str">
        <x:v>Ksurgery</x:v>
      </x:c>
      <x:c r="F12" t="str">
        <x:v>Serum/Essence da</x:v>
      </x:c>
      <x:c r="G12" t="str">
        <x:v>Công ty TNHH Y Dược Quốc Tế Đông Nam</x:v>
      </x:c>
      <x:c r="H12"/>
      <x:c r="I12"/>
      <x:c r="J12" t="str">
        <x:v>Đã thu hồi – QĐ 97/QĐ-QLD ngày 06/02/2026</x:v>
      </x:c>
      <x:c r="K12" t="str">
        <x:v>A+++ – phụ lục chính thức 252 số; block STT 1–56 explicit responsible company</x:v>
      </x:c>
      <x:c r="L12"/>
      <x:c r="M12" t="str">
        <x:v>https://doanket.laichau.gov.vn/upload/103883/20260210/Cong_van_ve_viec_Thu_hoi_so_tiep_nhan_Phieu_cong_bo_san_pham_my_pham_03_cong_ty__CT_Y_duoc_Quoc_te_Dong_Nam__Duoc_pham_toan_cau_Dong_Nam__XNK_Quoc_te_Dong_Nam__2dec5.pdf</x:v>
      </x:c>
      <x:c r="N12"/>
      <x:c r="O12" t="str">
        <x:v>Bulk QĐ97; thu hồi tự nguyện do không còn nhu cầu kinh doanh.</x:v>
      </x:c>
    </x:row>
    <x:row r="13">
      <x:c r="A13" t="str">
        <x:v>IMP0012</x:v>
      </x:c>
      <x:c r="B13" s="330" t="n">
        <x:v>45169</x:v>
      </x:c>
      <x:c r="C13" t="str">
        <x:v>210884/23/CBMP-QLD</x:v>
      </x:c>
      <x:c r="D13" t="str">
        <x:v>Ksurgery Syn Sun You Nature SPF50 UVA</x:v>
      </x:c>
      <x:c r="E13" t="str">
        <x:v>Ksurgery</x:v>
      </x:c>
      <x:c r="F13" t="str">
        <x:v>Kem chống nắng</x:v>
      </x:c>
      <x:c r="G13" t="str">
        <x:v>Công ty TNHH Y Dược Quốc Tế Đông Nam</x:v>
      </x:c>
      <x:c r="H13"/>
      <x:c r="I13"/>
      <x:c r="J13" t="str">
        <x:v>Đã thu hồi – QĐ 97/QĐ-QLD ngày 06/02/2026</x:v>
      </x:c>
      <x:c r="K13" t="str">
        <x:v>A+++ – phụ lục chính thức 252 số; block STT 1–56 explicit responsible company</x:v>
      </x:c>
      <x:c r="L13"/>
      <x:c r="M13" t="str">
        <x:v>https://doanket.laichau.gov.vn/upload/103883/20260210/Cong_van_ve_viec_Thu_hoi_so_tiep_nhan_Phieu_cong_bo_san_pham_my_pham_03_cong_ty__CT_Y_duoc_Quoc_te_Dong_Nam__Duoc_pham_toan_cau_Dong_Nam__XNK_Quoc_te_Dong_Nam__2dec5.pdf</x:v>
      </x:c>
      <x:c r="N13"/>
      <x:c r="O13" t="str">
        <x:v>Bulk QĐ97; thu hồi tự nguyện do không còn nhu cầu kinh doanh.</x:v>
      </x:c>
    </x:row>
    <x:row r="14">
      <x:c r="A14" s="340" t="str">
        <x:v>IMP0013</x:v>
      </x:c>
      <x:c r="B14" s="506" t="n">
        <x:v>45169</x:v>
      </x:c>
      <x:c r="C14" s="340" t="str">
        <x:v>210901/23/CBMP-QLD</x:v>
      </x:c>
      <x:c r="D14" s="340" t="str">
        <x:v>Ksurgery Essential Hyaluronic Foam Cleanser</x:v>
      </x:c>
      <x:c r="E14" s="340" t="str">
        <x:v>Ksurgery</x:v>
      </x:c>
      <x:c r="F14" s="340" t="str">
        <x:v>Sữa rửa mặt</x:v>
      </x:c>
      <x:c r="G14" s="340" t="str">
        <x:v>Công ty TNHH Y Dược Quốc Tế Đông Nam</x:v>
      </x:c>
      <x:c r="H14" s="340"/>
      <x:c r="I14" s="340"/>
      <x:c r="J14" s="340" t="str">
        <x:v>Đã thu hồi – QĐ 97/QĐ-QLD ngày 06/02/2026</x:v>
      </x:c>
      <x:c r="K14" s="340" t="str">
        <x:v>A+++ – phụ lục chính thức 252 số; block STT 1–56 explicit responsible company</x:v>
      </x:c>
      <x:c r="L14" s="340"/>
      <x:c r="M14" s="340" t="str">
        <x:v>https://doanket.laichau.gov.vn/upload/103883/20260210/Cong_van_ve_viec_Thu_hoi_so_tiep_nhan_Phieu_cong_bo_san_pham_my_pham_03_cong_ty__CT_Y_duoc_Quoc_te_Dong_Nam__Duoc_pham_toan_cau_Dong_Nam__XNK_Quoc_te_Dong_Nam__2dec5.pdf</x:v>
      </x:c>
      <x:c r="N14" s="340"/>
      <x:c r="O14" s="340" t="str">
        <x:v>Bulk QĐ97; thu hồi tự nguyện do không còn nhu cầu kinh doanh.</x:v>
      </x:c>
    </x:row>
    <x:row r="15">
      <x:c r="A15" s="340" t="str">
        <x:v>IMP0014</x:v>
      </x:c>
      <x:c r="B15" s="506" t="n">
        <x:v>45169</x:v>
      </x:c>
      <x:c r="C15" s="340" t="str">
        <x:v>210902/23/CBMP-QLD</x:v>
      </x:c>
      <x:c r="D15" s="340" t="str">
        <x:v>Ksurgery Omnia Hyaluchrono</x:v>
      </x:c>
      <x:c r="E15" s="340" t="str">
        <x:v>Ksurgery</x:v>
      </x:c>
      <x:c r="F15" s="340" t="str">
        <x:v>Khác</x:v>
      </x:c>
      <x:c r="G15" s="340" t="str">
        <x:v>Công ty TNHH Y Dược Quốc Tế Đông Nam</x:v>
      </x:c>
      <x:c r="H15" s="340"/>
      <x:c r="I15" s="340"/>
      <x:c r="J15" s="340" t="str">
        <x:v>Đã thu hồi – QĐ 97/QĐ-QLD ngày 06/02/2026</x:v>
      </x:c>
      <x:c r="K15" s="340" t="str">
        <x:v>A+++ – phụ lục chính thức 252 số; block STT 1–56 explicit responsible company</x:v>
      </x:c>
      <x:c r="L15" s="340"/>
      <x:c r="M15" s="340" t="str">
        <x:v>https://doanket.laichau.gov.vn/upload/103883/20260210/Cong_van_ve_viec_Thu_hoi_so_tiep_nhan_Phieu_cong_bo_san_pham_my_pham_03_cong_ty__CT_Y_duoc_Quoc_te_Dong_Nam__Duoc_pham_toan_cau_Dong_Nam__XNK_Quoc_te_Dong_Nam__2dec5.pdf</x:v>
      </x:c>
      <x:c r="N15" s="340"/>
      <x:c r="O15" s="340" t="str">
        <x:v>Bulk QĐ97; thu hồi tự nguyện do không còn nhu cầu kinh doanh.</x:v>
      </x:c>
    </x:row>
    <x:row r="16">
      <x:c r="A16" s="340" t="str">
        <x:v>IMP0015</x:v>
      </x:c>
      <x:c r="B16" s="506" t="n">
        <x:v>45169</x:v>
      </x:c>
      <x:c r="C16" s="340" t="str">
        <x:v>210906/23/CBMP-QLD</x:v>
      </x:c>
      <x:c r="D16" s="340" t="str">
        <x:v>Ksurgery Time Solution Hyaluronic Revitalizing Cream</x:v>
      </x:c>
      <x:c r="E16" s="340" t="str">
        <x:v>Ksurgery</x:v>
      </x:c>
      <x:c r="F16" s="340" t="str">
        <x:v>Kem dưỡng da</x:v>
      </x:c>
      <x:c r="G16" s="340" t="str">
        <x:v>Công ty TNHH Y Dược Quốc Tế Đông Nam</x:v>
      </x:c>
      <x:c r="H16" s="340"/>
      <x:c r="I16" s="340"/>
      <x:c r="J16" s="340" t="str">
        <x:v>Đã thu hồi – QĐ 97/QĐ-QLD ngày 06/02/2026</x:v>
      </x:c>
      <x:c r="K16" s="340" t="str">
        <x:v>A+++ – phụ lục chính thức 252 số; block STT 1–56 explicit responsible company</x:v>
      </x:c>
      <x:c r="L16" s="340"/>
      <x:c r="M16" s="340" t="str">
        <x:v>https://doanket.laichau.gov.vn/upload/103883/20260210/Cong_van_ve_viec_Thu_hoi_so_tiep_nhan_Phieu_cong_bo_san_pham_my_pham_03_cong_ty__CT_Y_duoc_Quoc_te_Dong_Nam__Duoc_pham_toan_cau_Dong_Nam__XNK_Quoc_te_Dong_Nam__2dec5.pdf</x:v>
      </x:c>
      <x:c r="N16" s="340"/>
      <x:c r="O16" s="340" t="str">
        <x:v>Bulk QĐ97; thu hồi tự nguyện do không còn nhu cầu kinh doanh.</x:v>
      </x:c>
    </x:row>
    <x:row r="17">
      <x:c r="A17" s="340" t="str">
        <x:v>IMP0016</x:v>
      </x:c>
      <x:c r="B17" s="506" t="n">
        <x:v>45273</x:v>
      </x:c>
      <x:c r="C17" s="340" t="str">
        <x:v>218918/23/CBMP-QLD</x:v>
      </x:c>
      <x:c r="D17" s="340" t="str">
        <x:v>Ksurgery Instalift Hyaluronic Liftup Eye Serum</x:v>
      </x:c>
      <x:c r="E17" s="340" t="str">
        <x:v>Ksurgery</x:v>
      </x:c>
      <x:c r="F17" s="340" t="str">
        <x:v>Serum/Essence da</x:v>
      </x:c>
      <x:c r="G17" s="340" t="str">
        <x:v>Công ty TNHH Y Dược Quốc Tế Đông Nam</x:v>
      </x:c>
      <x:c r="H17" s="340"/>
      <x:c r="I17" s="340"/>
      <x:c r="J17" s="340" t="str">
        <x:v>Đã thu hồi – QĐ 97/QĐ-QLD ngày 06/02/2026</x:v>
      </x:c>
      <x:c r="K17" s="340" t="str">
        <x:v>A+++ – phụ lục chính thức 252 số; block STT 1–56 explicit responsible company</x:v>
      </x:c>
      <x:c r="L17" s="340"/>
      <x:c r="M17" s="340" t="str">
        <x:v>https://doanket.laichau.gov.vn/upload/103883/20260210/Cong_van_ve_viec_Thu_hoi_so_tiep_nhan_Phieu_cong_bo_san_pham_my_pham_03_cong_ty__CT_Y_duoc_Quoc_te_Dong_Nam__Duoc_pham_toan_cau_Dong_Nam__XNK_Quoc_te_Dong_Nam__2dec5.pdf</x:v>
      </x:c>
      <x:c r="N17" s="340"/>
      <x:c r="O17" s="340" t="str">
        <x:v>Bulk QĐ97; thu hồi tự nguyện do không còn nhu cầu kinh doanh.</x:v>
      </x:c>
    </x:row>
    <x:row r="18">
      <x:c r="A18" s="340" t="str">
        <x:v>IMP0017</x:v>
      </x:c>
      <x:c r="B18" s="506" t="n">
        <x:v>45273</x:v>
      </x:c>
      <x:c r="C18" s="340" t="str">
        <x:v>218919/23/CBMP-QLD</x:v>
      </x:c>
      <x:c r="D18" s="340" t="str">
        <x:v>Ksurgery Instalift Hyaluronic Double Action Lift-active Mask</x:v>
      </x:c>
      <x:c r="E18" s="340" t="str">
        <x:v>Ksurgery</x:v>
      </x:c>
      <x:c r="F18" s="340" t="str">
        <x:v>Mặt nạ</x:v>
      </x:c>
      <x:c r="G18" s="340" t="str">
        <x:v>Công ty TNHH Y Dược Quốc Tế Đông Nam</x:v>
      </x:c>
      <x:c r="H18" s="340"/>
      <x:c r="I18" s="340"/>
      <x:c r="J18" s="340" t="str">
        <x:v>Đã thu hồi – QĐ 97/QĐ-QLD ngày 06/02/2026</x:v>
      </x:c>
      <x:c r="K18" s="340" t="str">
        <x:v>A+++ – phụ lục chính thức 252 số; block STT 1–56 explicit responsible company</x:v>
      </x:c>
      <x:c r="L18" s="340"/>
      <x:c r="M18" s="340" t="str">
        <x:v>https://doanket.laichau.gov.vn/upload/103883/20260210/Cong_van_ve_viec_Thu_hoi_so_tiep_nhan_Phieu_cong_bo_san_pham_my_pham_03_cong_ty__CT_Y_duoc_Quoc_te_Dong_Nam__Duoc_pham_toan_cau_Dong_Nam__XNK_Quoc_te_Dong_Nam__2dec5.pdf</x:v>
      </x:c>
      <x:c r="N18" s="340"/>
      <x:c r="O18" s="340" t="str">
        <x:v>Bulk QĐ97; thu hồi tự nguyện do không còn nhu cầu kinh doanh.</x:v>
      </x:c>
    </x:row>
    <x:row r="19">
      <x:c r="A19" s="340" t="str">
        <x:v>IMP0018</x:v>
      </x:c>
      <x:c r="B19" s="506" t="n">
        <x:v>45273</x:v>
      </x:c>
      <x:c r="C19" s="340" t="str">
        <x:v>218920/23/CBMP-QLD</x:v>
      </x:c>
      <x:c r="D19" s="340" t="str">
        <x:v>Ksurgery Instalift Hyaluronic Multi Lift Booster</x:v>
      </x:c>
      <x:c r="E19" s="340" t="str">
        <x:v>Ksurgery</x:v>
      </x:c>
      <x:c r="F19" s="340" t="str">
        <x:v>Serum/Essence da</x:v>
      </x:c>
      <x:c r="G19" s="340" t="str">
        <x:v>Công ty TNHH Y Dược Quốc Tế Đông Nam</x:v>
      </x:c>
      <x:c r="H19" s="340"/>
      <x:c r="I19" s="340"/>
      <x:c r="J19" s="340" t="str">
        <x:v>Đã thu hồi – QĐ 97/QĐ-QLD ngày 06/02/2026</x:v>
      </x:c>
      <x:c r="K19" s="340" t="str">
        <x:v>A+++ – phụ lục chính thức 252 số; block STT 1–56 explicit responsible company</x:v>
      </x:c>
      <x:c r="L19" s="340"/>
      <x:c r="M19" s="340" t="str">
        <x:v>https://doanket.laichau.gov.vn/upload/103883/20260210/Cong_van_ve_viec_Thu_hoi_so_tiep_nhan_Phieu_cong_bo_san_pham_my_pham_03_cong_ty__CT_Y_duoc_Quoc_te_Dong_Nam__Duoc_pham_toan_cau_Dong_Nam__XNK_Quoc_te_Dong_Nam__2dec5.pdf</x:v>
      </x:c>
      <x:c r="N19" s="340"/>
      <x:c r="O19" s="340" t="str">
        <x:v>Bulk QĐ97; thu hồi tự nguyện do không còn nhu cầu kinh doanh.</x:v>
      </x:c>
    </x:row>
    <x:row r="20">
      <x:c r="A20" s="340" t="str">
        <x:v>IMP0019</x:v>
      </x:c>
      <x:c r="B20" s="506" t="n">
        <x:v>45273</x:v>
      </x:c>
      <x:c r="C20" s="340" t="str">
        <x:v>218921/23/CBMP-QLD</x:v>
      </x:c>
      <x:c r="D20" s="340" t="str">
        <x:v>Ksurgery Instalift Hyaluronic Face Ampoule</x:v>
      </x:c>
      <x:c r="E20" s="340" t="str">
        <x:v>Ksurgery</x:v>
      </x:c>
      <x:c r="F20" s="340" t="str">
        <x:v>Serum/Essence da</x:v>
      </x:c>
      <x:c r="G20" s="340" t="str">
        <x:v>Công ty TNHH Y Dược Quốc Tế Đông Nam</x:v>
      </x:c>
      <x:c r="H20" s="340"/>
      <x:c r="I20" s="340"/>
      <x:c r="J20" s="340" t="str">
        <x:v>Đã thu hồi – QĐ 97/QĐ-QLD ngày 06/02/2026</x:v>
      </x:c>
      <x:c r="K20" s="340" t="str">
        <x:v>A+++ – phụ lục chính thức 252 số; block STT 1–56 explicit responsible company</x:v>
      </x:c>
      <x:c r="L20" s="340"/>
      <x:c r="M20" s="340" t="str">
        <x:v>https://doanket.laichau.gov.vn/upload/103883/20260210/Cong_van_ve_viec_Thu_hoi_so_tiep_nhan_Phieu_cong_bo_san_pham_my_pham_03_cong_ty__CT_Y_duoc_Quoc_te_Dong_Nam__Duoc_pham_toan_cau_Dong_Nam__XNK_Quoc_te_Dong_Nam__2dec5.pdf</x:v>
      </x:c>
      <x:c r="N20" s="340"/>
      <x:c r="O20" s="340" t="str">
        <x:v>Bulk QĐ97; thu hồi tự nguyện do không còn nhu cầu kinh doanh.</x:v>
      </x:c>
    </x:row>
    <x:row r="21">
      <x:c r="A21" s="340" t="str">
        <x:v>IMP0020</x:v>
      </x:c>
      <x:c r="B21" s="506" t="n">
        <x:v>45273</x:v>
      </x:c>
      <x:c r="C21" s="340" t="str">
        <x:v>218927/23/CBMP-QLD</x:v>
      </x:c>
      <x:c r="D21" s="340" t="str">
        <x:v>Ksurgery Hyaluronic Oxygen Shield Hyaluronic Face Ampoule</x:v>
      </x:c>
      <x:c r="E21" s="340" t="str">
        <x:v>Ksurgery</x:v>
      </x:c>
      <x:c r="F21" s="340" t="str">
        <x:v>Serum/Essence da</x:v>
      </x:c>
      <x:c r="G21" s="340" t="str">
        <x:v>Công ty TNHH Y Dược Quốc Tế Đông Nam</x:v>
      </x:c>
      <x:c r="H21" s="340"/>
      <x:c r="I21" s="340"/>
      <x:c r="J21" s="340" t="str">
        <x:v>Đã thu hồi – QĐ 97/QĐ-QLD ngày 06/02/2026</x:v>
      </x:c>
      <x:c r="K21" s="340" t="str">
        <x:v>A+++ – phụ lục chính thức 252 số; block STT 1–56 explicit responsible company</x:v>
      </x:c>
      <x:c r="L21" s="340"/>
      <x:c r="M21" s="340" t="str">
        <x:v>https://doanket.laichau.gov.vn/upload/103883/20260210/Cong_van_ve_viec_Thu_hoi_so_tiep_nhan_Phieu_cong_bo_san_pham_my_pham_03_cong_ty__CT_Y_duoc_Quoc_te_Dong_Nam__Duoc_pham_toan_cau_Dong_Nam__XNK_Quoc_te_Dong_Nam__2dec5.pdf</x:v>
      </x:c>
      <x:c r="N21" s="340"/>
      <x:c r="O21" s="340" t="str">
        <x:v>Bulk QĐ97; thu hồi tự nguyện do không còn nhu cầu kinh doanh.</x:v>
      </x:c>
    </x:row>
    <x:row r="22">
      <x:c r="A22" s="340" t="str">
        <x:v>IMP0021</x:v>
      </x:c>
      <x:c r="B22" s="506" t="n">
        <x:v>45273</x:v>
      </x:c>
      <x:c r="C22" s="340" t="str">
        <x:v>218933/23/CBMP-QLD</x:v>
      </x:c>
      <x:c r="D22" s="340" t="str">
        <x:v>Ksurgery Hyaluronic Novacell Intensive Formula</x:v>
      </x:c>
      <x:c r="E22" s="340" t="str">
        <x:v>Ksurgery</x:v>
      </x:c>
      <x:c r="F22" s="340" t="str">
        <x:v>Khác</x:v>
      </x:c>
      <x:c r="G22" s="340" t="str">
        <x:v>Công ty TNHH Y Dược Quốc Tế Đông Nam</x:v>
      </x:c>
      <x:c r="H22" s="340"/>
      <x:c r="I22" s="340"/>
      <x:c r="J22" s="340" t="str">
        <x:v>Đã thu hồi – QĐ 97/QĐ-QLD ngày 06/02/2026</x:v>
      </x:c>
      <x:c r="K22" s="340" t="str">
        <x:v>A+++ – phụ lục chính thức 252 số; block STT 1–56 explicit responsible company</x:v>
      </x:c>
      <x:c r="L22" s="340"/>
      <x:c r="M22" s="340" t="str">
        <x:v>https://doanket.laichau.gov.vn/upload/103883/20260210/Cong_van_ve_viec_Thu_hoi_so_tiep_nhan_Phieu_cong_bo_san_pham_my_pham_03_cong_ty__CT_Y_duoc_Quoc_te_Dong_Nam__Duoc_pham_toan_cau_Dong_Nam__XNK_Quoc_te_Dong_Nam__2dec5.pdf</x:v>
      </x:c>
      <x:c r="N22" s="340"/>
      <x:c r="O22" s="340" t="str">
        <x:v>Bulk QĐ97; thu hồi tự nguyện do không còn nhu cầu kinh doanh.</x:v>
      </x:c>
    </x:row>
    <x:row r="23">
      <x:c r="A23" s="340" t="str">
        <x:v>IMP0022</x:v>
      </x:c>
      <x:c r="B23" s="506" t="n">
        <x:v>45273</x:v>
      </x:c>
      <x:c r="C23" s="340" t="str">
        <x:v>218934/23/CBMP-QLD</x:v>
      </x:c>
      <x:c r="D23" s="340" t="str">
        <x:v>Ksurgery Hyaluronic Lipotech High Definition Thermic Cream</x:v>
      </x:c>
      <x:c r="E23" s="340" t="str">
        <x:v>Ksurgery</x:v>
      </x:c>
      <x:c r="F23" s="340" t="str">
        <x:v>Kem dưỡng da</x:v>
      </x:c>
      <x:c r="G23" s="340" t="str">
        <x:v>Công ty TNHH Y Dược Quốc Tế Đông Nam</x:v>
      </x:c>
      <x:c r="H23" s="340"/>
      <x:c r="I23" s="340"/>
      <x:c r="J23" s="340" t="str">
        <x:v>Đã thu hồi – QĐ 97/QĐ-QLD ngày 06/02/2026</x:v>
      </x:c>
      <x:c r="K23" s="340" t="str">
        <x:v>A+++ – phụ lục chính thức 252 số; block STT 1–56 explicit responsible company</x:v>
      </x:c>
      <x:c r="L23" s="340"/>
      <x:c r="M23" s="340" t="str">
        <x:v>https://doanket.laichau.gov.vn/upload/103883/20260210/Cong_van_ve_viec_Thu_hoi_so_tiep_nhan_Phieu_cong_bo_san_pham_my_pham_03_cong_ty__CT_Y_duoc_Quoc_te_Dong_Nam__Duoc_pham_toan_cau_Dong_Nam__XNK_Quoc_te_Dong_Nam__2dec5.pdf</x:v>
      </x:c>
      <x:c r="N23" s="340"/>
      <x:c r="O23" s="340" t="str">
        <x:v>Bulk QĐ97; thu hồi tự nguyện do không còn nhu cầu kinh doanh.</x:v>
      </x:c>
    </x:row>
    <x:row r="24">
      <x:c r="A24" s="340" t="str">
        <x:v>IMP0023</x:v>
      </x:c>
      <x:c r="B24" s="506" t="n">
        <x:v>45273</x:v>
      </x:c>
      <x:c r="C24" s="340" t="str">
        <x:v>218935/23/CBMP-QLD</x:v>
      </x:c>
      <x:c r="D24" s="340" t="str">
        <x:v>Ksurgery Hydrawave Hyaluronic ProAge Face Serum</x:v>
      </x:c>
      <x:c r="E24" s="340" t="str">
        <x:v>Ksurgery</x:v>
      </x:c>
      <x:c r="F24" s="340" t="str">
        <x:v>Serum/Essence da</x:v>
      </x:c>
      <x:c r="G24" s="340" t="str">
        <x:v>Công ty TNHH Y Dược Quốc Tế Đông Nam</x:v>
      </x:c>
      <x:c r="H24" s="340"/>
      <x:c r="I24" s="340"/>
      <x:c r="J24" s="340" t="str">
        <x:v>Đã thu hồi – QĐ 97/QĐ-QLD ngày 06/02/2026</x:v>
      </x:c>
      <x:c r="K24" s="340" t="str">
        <x:v>A+++ – phụ lục chính thức 252 số; block STT 1–56 explicit responsible company</x:v>
      </x:c>
      <x:c r="L24" s="340"/>
      <x:c r="M24" s="340" t="str">
        <x:v>https://doanket.laichau.gov.vn/upload/103883/20260210/Cong_van_ve_viec_Thu_hoi_so_tiep_nhan_Phieu_cong_bo_san_pham_my_pham_03_cong_ty__CT_Y_duoc_Quoc_te_Dong_Nam__Duoc_pham_toan_cau_Dong_Nam__XNK_Quoc_te_Dong_Nam__2dec5.pdf</x:v>
      </x:c>
      <x:c r="N24" s="340"/>
      <x:c r="O24" s="340" t="str">
        <x:v>Bulk QĐ97; thu hồi tự nguyện do không còn nhu cầu kinh doanh.</x:v>
      </x:c>
    </x:row>
    <x:row r="25">
      <x:c r="A25" s="340" t="str">
        <x:v>IMP0024</x:v>
      </x:c>
      <x:c r="B25" s="506" t="n">
        <x:v>45273</x:v>
      </x:c>
      <x:c r="C25" s="340" t="str">
        <x:v>218936/23/CBMP-QLD</x:v>
      </x:c>
      <x:c r="D25" s="340" t="str">
        <x:v>Ksurgery Hydrawave Hyaluronic Face Ampoule</x:v>
      </x:c>
      <x:c r="E25" s="340" t="str">
        <x:v>Ksurgery</x:v>
      </x:c>
      <x:c r="F25" s="340" t="str">
        <x:v>Serum/Essence da</x:v>
      </x:c>
      <x:c r="G25" s="340" t="str">
        <x:v>Công ty TNHH Y Dược Quốc Tế Đông Nam</x:v>
      </x:c>
      <x:c r="H25" s="340"/>
      <x:c r="I25" s="340"/>
      <x:c r="J25" s="340" t="str">
        <x:v>Đã thu hồi – QĐ 97/QĐ-QLD ngày 06/02/2026</x:v>
      </x:c>
      <x:c r="K25" s="340" t="str">
        <x:v>A+++ – phụ lục chính thức 252 số; block STT 1–56 explicit responsible company</x:v>
      </x:c>
      <x:c r="L25" s="340"/>
      <x:c r="M25" s="340" t="str">
        <x:v>https://doanket.laichau.gov.vn/upload/103883/20260210/Cong_van_ve_viec_Thu_hoi_so_tiep_nhan_Phieu_cong_bo_san_pham_my_pham_03_cong_ty__CT_Y_duoc_Quoc_te_Dong_Nam__Duoc_pham_toan_cau_Dong_Nam__XNK_Quoc_te_Dong_Nam__2dec5.pdf</x:v>
      </x:c>
      <x:c r="N25" s="340"/>
      <x:c r="O25" s="340" t="str">
        <x:v>Bulk QĐ97; thu hồi tự nguyện do không còn nhu cầu kinh doanh.</x:v>
      </x:c>
    </x:row>
    <x:row r="26">
      <x:c r="A26" s="340" t="str">
        <x:v>IMP0025</x:v>
      </x:c>
      <x:c r="B26" s="506" t="n">
        <x:v>45273</x:v>
      </x:c>
      <x:c r="C26" s="340" t="str">
        <x:v>218937/23/CBMP-QLD</x:v>
      </x:c>
      <x:c r="D26" s="340" t="str">
        <x:v>Ksurgery Essential Hyaluronic Soothing Tonic</x:v>
      </x:c>
      <x:c r="E26" s="340" t="str">
        <x:v>Ksurgery</x:v>
      </x:c>
      <x:c r="F26" s="340" t="str">
        <x:v>Khác</x:v>
      </x:c>
      <x:c r="G26" s="340" t="str">
        <x:v>Công ty TNHH Y Dược Quốc Tế Đông Nam</x:v>
      </x:c>
      <x:c r="H26" s="340"/>
      <x:c r="I26" s="340"/>
      <x:c r="J26" s="340" t="str">
        <x:v>Đã thu hồi – QĐ 97/QĐ-QLD ngày 06/02/2026</x:v>
      </x:c>
      <x:c r="K26" s="340" t="str">
        <x:v>A+++ – phụ lục chính thức 252 số; block STT 1–56 explicit responsible company</x:v>
      </x:c>
      <x:c r="L26" s="340"/>
      <x:c r="M26" s="340" t="str">
        <x:v>https://doanket.laichau.gov.vn/upload/103883/20260210/Cong_van_ve_viec_Thu_hoi_so_tiep_nhan_Phieu_cong_bo_san_pham_my_pham_03_cong_ty__CT_Y_duoc_Quoc_te_Dong_Nam__Duoc_pham_toan_cau_Dong_Nam__XNK_Quoc_te_Dong_Nam__2dec5.pdf</x:v>
      </x:c>
      <x:c r="N26" s="340"/>
      <x:c r="O26" s="340" t="str">
        <x:v>Bulk QĐ97; thu hồi tự nguyện do không còn nhu cầu kinh doanh.</x:v>
      </x:c>
    </x:row>
    <x:row r="27">
      <x:c r="A27" s="340" t="str">
        <x:v>IMP0026</x:v>
      </x:c>
      <x:c r="B27" s="506" t="n">
        <x:v>45273</x:v>
      </x:c>
      <x:c r="C27" s="340" t="str">
        <x:v>219319/23/CBMP-QLD</x:v>
      </x:c>
      <x:c r="D27" s="340" t="str">
        <x:v>Ksurgery Hyaluronic Oxygen Shield Blue Light Guard Cream</x:v>
      </x:c>
      <x:c r="E27" s="340" t="str">
        <x:v>Ksurgery</x:v>
      </x:c>
      <x:c r="F27" s="340" t="str">
        <x:v>Kem dưỡng da</x:v>
      </x:c>
      <x:c r="G27" s="340" t="str">
        <x:v>Công ty TNHH Y Dược Quốc Tế Đông Nam</x:v>
      </x:c>
      <x:c r="H27" s="340"/>
      <x:c r="I27" s="340"/>
      <x:c r="J27" s="340" t="str">
        <x:v>Đã thu hồi – QĐ 97/QĐ-QLD ngày 06/02/2026</x:v>
      </x:c>
      <x:c r="K27" s="340" t="str">
        <x:v>A+++ – phụ lục chính thức 252 số; block STT 1–56 explicit responsible company</x:v>
      </x:c>
      <x:c r="L27" s="340"/>
      <x:c r="M27" s="340" t="str">
        <x:v>https://doanket.laichau.gov.vn/upload/103883/20260210/Cong_van_ve_viec_Thu_hoi_so_tiep_nhan_Phieu_cong_bo_san_pham_my_pham_03_cong_ty__CT_Y_duoc_Quoc_te_Dong_Nam__Duoc_pham_toan_cau_Dong_Nam__XNK_Quoc_te_Dong_Nam__2dec5.pdf</x:v>
      </x:c>
      <x:c r="N27" s="340"/>
      <x:c r="O27" s="340" t="str">
        <x:v>Bulk QĐ97; thu hồi tự nguyện do không còn nhu cầu kinh doanh.</x:v>
      </x:c>
    </x:row>
    <x:row r="28">
      <x:c r="A28" s="340" t="str">
        <x:v>IMP0027</x:v>
      </x:c>
      <x:c r="B28" s="506" t="n">
        <x:v>45273</x:v>
      </x:c>
      <x:c r="C28" s="340" t="str">
        <x:v>219320/23/CBMP-QLD</x:v>
      </x:c>
      <x:c r="D28" s="340" t="str">
        <x:v>Ksurgery Hyaluronic Novacell Slimboost Body Wraps</x:v>
      </x:c>
      <x:c r="E28" s="340" t="str">
        <x:v>Ksurgery</x:v>
      </x:c>
      <x:c r="F28" s="340" t="str">
        <x:v>Kem body</x:v>
      </x:c>
      <x:c r="G28" s="340" t="str">
        <x:v>Công ty TNHH Y Dược Quốc Tế Đông Nam</x:v>
      </x:c>
      <x:c r="H28" s="340"/>
      <x:c r="I28" s="340"/>
      <x:c r="J28" s="340" t="str">
        <x:v>Đã thu hồi – QĐ 97/QĐ-QLD ngày 06/02/2026</x:v>
      </x:c>
      <x:c r="K28" s="340" t="str">
        <x:v>A+++ – phụ lục chính thức 252 số; block STT 1–56 explicit responsible company</x:v>
      </x:c>
      <x:c r="L28" s="340"/>
      <x:c r="M28" s="340" t="str">
        <x:v>https://doanket.laichau.gov.vn/upload/103883/20260210/Cong_van_ve_viec_Thu_hoi_so_tiep_nhan_Phieu_cong_bo_san_pham_my_pham_03_cong_ty__CT_Y_duoc_Quoc_te_Dong_Nam__Duoc_pham_toan_cau_Dong_Nam__XNK_Quoc_te_Dong_Nam__2dec5.pdf</x:v>
      </x:c>
      <x:c r="N28" s="340"/>
      <x:c r="O28" s="340" t="str">
        <x:v>Bulk QĐ97; thu hồi tự nguyện do không còn nhu cầu kinh doanh.</x:v>
      </x:c>
    </x:row>
    <x:row r="29">
      <x:c r="A29" s="340" t="str">
        <x:v>IMP0028</x:v>
      </x:c>
      <x:c r="B29" s="506" t="n">
        <x:v>45273</x:v>
      </x:c>
      <x:c r="C29" s="340" t="str">
        <x:v>219321/23/CBMP-QLD</x:v>
      </x:c>
      <x:c r="D29" s="340" t="str">
        <x:v>Ksurgery Hyaluronic Novacell New Skin Body Cream</x:v>
      </x:c>
      <x:c r="E29" s="340" t="str">
        <x:v>Ksurgery</x:v>
      </x:c>
      <x:c r="F29" s="340" t="str">
        <x:v>Kem body</x:v>
      </x:c>
      <x:c r="G29" s="340" t="str">
        <x:v>Công ty TNHH Y Dược Quốc Tế Đông Nam</x:v>
      </x:c>
      <x:c r="H29" s="340"/>
      <x:c r="I29" s="340"/>
      <x:c r="J29" s="340" t="str">
        <x:v>Đã thu hồi – QĐ 97/QĐ-QLD ngày 06/02/2026</x:v>
      </x:c>
      <x:c r="K29" s="340" t="str">
        <x:v>A+++ – phụ lục chính thức 252 số; block STT 1–56 explicit responsible company</x:v>
      </x:c>
      <x:c r="L29" s="340"/>
      <x:c r="M29" s="340" t="str">
        <x:v>https://doanket.laichau.gov.vn/upload/103883/20260210/Cong_van_ve_viec_Thu_hoi_so_tiep_nhan_Phieu_cong_bo_san_pham_my_pham_03_cong_ty__CT_Y_duoc_Quoc_te_Dong_Nam__Duoc_pham_toan_cau_Dong_Nam__XNK_Quoc_te_Dong_Nam__2dec5.pdf</x:v>
      </x:c>
      <x:c r="N29" s="340"/>
      <x:c r="O29" s="340" t="str">
        <x:v>Bulk QĐ97; thu hồi tự nguyện do không còn nhu cầu kinh doanh.</x:v>
      </x:c>
    </x:row>
    <x:row r="30">
      <x:c r="A30" s="340" t="str">
        <x:v>IMP0029</x:v>
      </x:c>
      <x:c r="B30" s="506" t="n">
        <x:v>45273</x:v>
      </x:c>
      <x:c r="C30" s="340" t="str">
        <x:v>219322/23/CBMP-QLD</x:v>
      </x:c>
      <x:c r="D30" s="340" t="str">
        <x:v>Ksurgery Hyaluronic Oxygen Shield O2 Bubble Power Body Mousse</x:v>
      </x:c>
      <x:c r="E30" s="340" t="str">
        <x:v>Ksurgery</x:v>
      </x:c>
      <x:c r="F30" s="340" t="str">
        <x:v>Kem body</x:v>
      </x:c>
      <x:c r="G30" s="340" t="str">
        <x:v>Công ty TNHH Y Dược Quốc Tế Đông Nam</x:v>
      </x:c>
      <x:c r="H30" s="340"/>
      <x:c r="I30" s="340"/>
      <x:c r="J30" s="340" t="str">
        <x:v>Đã thu hồi – QĐ 97/QĐ-QLD ngày 06/02/2026</x:v>
      </x:c>
      <x:c r="K30" s="340" t="str">
        <x:v>A+++ – phụ lục chính thức 252 số; block STT 1–56 explicit responsible company</x:v>
      </x:c>
      <x:c r="L30" s="340"/>
      <x:c r="M30" s="340" t="str">
        <x:v>https://doanket.laichau.gov.vn/upload/103883/20260210/Cong_van_ve_viec_Thu_hoi_so_tiep_nhan_Phieu_cong_bo_san_pham_my_pham_03_cong_ty__CT_Y_duoc_Quoc_te_Dong_Nam__Duoc_pham_toan_cau_Dong_Nam__XNK_Quoc_te_Dong_Nam__2dec5.pdf</x:v>
      </x:c>
      <x:c r="N30" s="340"/>
      <x:c r="O30" s="340" t="str">
        <x:v>Bulk QĐ97; thu hồi tự nguyện do không còn nhu cầu kinh doanh.</x:v>
      </x:c>
    </x:row>
    <x:row r="31">
      <x:c r="A31" s="340" t="str">
        <x:v>IMP0030</x:v>
      </x:c>
      <x:c r="B31" s="506" t="n">
        <x:v>45273</x:v>
      </x:c>
      <x:c r="C31" s="340" t="str">
        <x:v>219323/23/CBMP-QLD</x:v>
      </x:c>
      <x:c r="D31" s="340" t="str">
        <x:v>Ksurgery Hyaluronic Oxygen Shield Energizing Booster</x:v>
      </x:c>
      <x:c r="E31" s="340" t="str">
        <x:v>Ksurgery</x:v>
      </x:c>
      <x:c r="F31" s="340" t="str">
        <x:v>Serum/Essence da</x:v>
      </x:c>
      <x:c r="G31" s="340" t="str">
        <x:v>Công ty TNHH Y Dược Quốc Tế Đông Nam</x:v>
      </x:c>
      <x:c r="H31" s="340"/>
      <x:c r="I31" s="340"/>
      <x:c r="J31" s="340" t="str">
        <x:v>Đã thu hồi – QĐ 97/QĐ-QLD ngày 06/02/2026</x:v>
      </x:c>
      <x:c r="K31" s="340" t="str">
        <x:v>A+++ – phụ lục chính thức 252 số; block STT 1–56 explicit responsible company</x:v>
      </x:c>
      <x:c r="L31" s="340"/>
      <x:c r="M31" s="340" t="str">
        <x:v>https://doanket.laichau.gov.vn/upload/103883/20260210/Cong_van_ve_viec_Thu_hoi_so_tiep_nhan_Phieu_cong_bo_san_pham_my_pham_03_cong_ty__CT_Y_duoc_Quoc_te_Dong_Nam__Duoc_pham_toan_cau_Dong_Nam__XNK_Quoc_te_Dong_Nam__2dec5.pdf</x:v>
      </x:c>
      <x:c r="N31" s="340"/>
      <x:c r="O31" s="340" t="str">
        <x:v>Bulk QĐ97; thu hồi tự nguyện do không còn nhu cầu kinh doanh.</x:v>
      </x:c>
    </x:row>
    <x:row r="32">
      <x:c r="A32" s="340" t="str">
        <x:v>IMP0031</x:v>
      </x:c>
      <x:c r="B32" s="506" t="n">
        <x:v>45311</x:v>
      </x:c>
      <x:c r="C32" s="340" t="str">
        <x:v>223626/24/CBMP-QLD</x:v>
      </x:c>
      <x:c r="D32" s="340" t="str">
        <x:v>Ksurgery Hyaluronic Toneup Firming Body Cream</x:v>
      </x:c>
      <x:c r="E32" s="340" t="str">
        <x:v>Ksurgery</x:v>
      </x:c>
      <x:c r="F32" s="340" t="str">
        <x:v>Kem body</x:v>
      </x:c>
      <x:c r="G32" s="340" t="str">
        <x:v>Công ty TNHH Y Dược Quốc Tế Đông Nam</x:v>
      </x:c>
      <x:c r="H32" s="340"/>
      <x:c r="I32" s="340"/>
      <x:c r="J32" s="340" t="str">
        <x:v>Đã thu hồi – QĐ 97/QĐ-QLD ngày 06/02/2026</x:v>
      </x:c>
      <x:c r="K32" s="340" t="str">
        <x:v>A+++ – phụ lục chính thức 252 số; block STT 1–56 explicit responsible company</x:v>
      </x:c>
      <x:c r="L32" s="340"/>
      <x:c r="M32" s="340" t="str">
        <x:v>https://doanket.laichau.gov.vn/upload/103883/20260210/Cong_van_ve_viec_Thu_hoi_so_tiep_nhan_Phieu_cong_bo_san_pham_my_pham_03_cong_ty__CT_Y_duoc_Quoc_te_Dong_Nam__Duoc_pham_toan_cau_Dong_Nam__XNK_Quoc_te_Dong_Nam__2dec5.pdf</x:v>
      </x:c>
      <x:c r="N32" s="340"/>
      <x:c r="O32" s="340" t="str">
        <x:v>Bulk QĐ97; thu hồi tự nguyện do không còn nhu cầu kinh doanh.</x:v>
      </x:c>
    </x:row>
    <x:row r="33">
      <x:c r="A33" s="340" t="str">
        <x:v>IMP0032</x:v>
      </x:c>
      <x:c r="B33" s="506" t="n">
        <x:v>45311</x:v>
      </x:c>
      <x:c r="C33" s="340" t="str">
        <x:v>223627/24/CBMP-QLD</x:v>
      </x:c>
      <x:c r="D33" s="340" t="str">
        <x:v>Ksurgery Syn Sun You Nature SPF15 UVA</x:v>
      </x:c>
      <x:c r="E33" s="340" t="str">
        <x:v>Ksurgery</x:v>
      </x:c>
      <x:c r="F33" s="340" t="str">
        <x:v>Kem chống nắng</x:v>
      </x:c>
      <x:c r="G33" s="340" t="str">
        <x:v>Công ty TNHH Y Dược Quốc Tế Đông Nam</x:v>
      </x:c>
      <x:c r="H33" s="340"/>
      <x:c r="I33" s="340"/>
      <x:c r="J33" s="340" t="str">
        <x:v>Đã thu hồi – QĐ 97/QĐ-QLD ngày 06/02/2026</x:v>
      </x:c>
      <x:c r="K33" s="340" t="str">
        <x:v>A+++ – phụ lục chính thức 252 số; block STT 1–56 explicit responsible company</x:v>
      </x:c>
      <x:c r="L33" s="340"/>
      <x:c r="M33" s="340" t="str">
        <x:v>https://doanket.laichau.gov.vn/upload/103883/20260210/Cong_van_ve_viec_Thu_hoi_so_tiep_nhan_Phieu_cong_bo_san_pham_my_pham_03_cong_ty__CT_Y_duoc_Quoc_te_Dong_Nam__Duoc_pham_toan_cau_Dong_Nam__XNK_Quoc_te_Dong_Nam__2dec5.pdf</x:v>
      </x:c>
      <x:c r="N33" s="340"/>
      <x:c r="O33" s="340" t="str">
        <x:v>Bulk QĐ97; thu hồi tự nguyện do không còn nhu cầu kinh doanh.</x:v>
      </x:c>
    </x:row>
    <x:row r="34">
      <x:c r="A34" s="340" t="str">
        <x:v>IMP0033</x:v>
      </x:c>
      <x:c r="B34" s="506" t="n">
        <x:v>45311</x:v>
      </x:c>
      <x:c r="C34" s="340" t="str">
        <x:v>223657/24/CBMP-QLD</x:v>
      </x:c>
      <x:c r="D34" s="340" t="str">
        <x:v>Ksurgery Vitamin C Hyaluronic Overnight Biphasic Peeling</x:v>
      </x:c>
      <x:c r="E34" s="340" t="str">
        <x:v>Ksurgery</x:v>
      </x:c>
      <x:c r="F34" s="340" t="str">
        <x:v>Tẩy tế bào chết/Peel</x:v>
      </x:c>
      <x:c r="G34" s="340" t="str">
        <x:v>Công ty TNHH Y Dược Quốc Tế Đông Nam</x:v>
      </x:c>
      <x:c r="H34" s="340"/>
      <x:c r="I34" s="340"/>
      <x:c r="J34" s="340" t="str">
        <x:v>Đã thu hồi – QĐ 97/QĐ-QLD ngày 06/02/2026</x:v>
      </x:c>
      <x:c r="K34" s="340" t="str">
        <x:v>A+++ – phụ lục chính thức 252 số; block STT 1–56 explicit responsible company</x:v>
      </x:c>
      <x:c r="L34" s="340"/>
      <x:c r="M34" s="340" t="str">
        <x:v>https://doanket.laichau.gov.vn/upload/103883/20260210/Cong_van_ve_viec_Thu_hoi_so_tiep_nhan_Phieu_cong_bo_san_pham_my_pham_03_cong_ty__CT_Y_duoc_Quoc_te_Dong_Nam__Duoc_pham_toan_cau_Dong_Nam__XNK_Quoc_te_Dong_Nam__2dec5.pdf</x:v>
      </x:c>
      <x:c r="N34" s="340"/>
      <x:c r="O34" s="340" t="str">
        <x:v>Bulk QĐ97; thu hồi tự nguyện do không còn nhu cầu kinh doanh.</x:v>
      </x:c>
    </x:row>
    <x:row r="35">
      <x:c r="A35" s="340" t="str">
        <x:v>IMP0034</x:v>
      </x:c>
      <x:c r="B35" s="506" t="n">
        <x:v>45311</x:v>
      </x:c>
      <x:c r="C35" s="340" t="str">
        <x:v>223661/24/CBMP-QLD</x:v>
      </x:c>
      <x:c r="D35" s="340" t="str">
        <x:v>Ksurgery Syn Sun You Nature Doposole Aftersun</x:v>
      </x:c>
      <x:c r="E35" s="340" t="str">
        <x:v>Ksurgery</x:v>
      </x:c>
      <x:c r="F35" s="340" t="str">
        <x:v>Kem chống nắng</x:v>
      </x:c>
      <x:c r="G35" s="340" t="str">
        <x:v>Công ty TNHH Y Dược Quốc Tế Đông Nam</x:v>
      </x:c>
      <x:c r="H35" s="340"/>
      <x:c r="I35" s="340"/>
      <x:c r="J35" s="340" t="str">
        <x:v>Đã thu hồi – QĐ 97/QĐ-QLD ngày 06/02/2026</x:v>
      </x:c>
      <x:c r="K35" s="340" t="str">
        <x:v>A+++ – phụ lục chính thức 252 số; block STT 1–56 explicit responsible company</x:v>
      </x:c>
      <x:c r="L35" s="340"/>
      <x:c r="M35" s="340" t="str">
        <x:v>https://doanket.laichau.gov.vn/upload/103883/20260210/Cong_van_ve_viec_Thu_hoi_so_tiep_nhan_Phieu_cong_bo_san_pham_my_pham_03_cong_ty__CT_Y_duoc_Quoc_te_Dong_Nam__Duoc_pham_toan_cau_Dong_Nam__XNK_Quoc_te_Dong_Nam__2dec5.pdf</x:v>
      </x:c>
      <x:c r="N35" s="340"/>
      <x:c r="O35" s="340" t="str">
        <x:v>Bulk QĐ97; thu hồi tự nguyện do không còn nhu cầu kinh doanh.</x:v>
      </x:c>
    </x:row>
    <x:row r="36">
      <x:c r="A36" s="340" t="str">
        <x:v>IMP0035</x:v>
      </x:c>
      <x:c r="B36" s="506" t="n">
        <x:v>45311</x:v>
      </x:c>
      <x:c r="C36" s="340" t="str">
        <x:v>223669/24/CBMP-QLD</x:v>
      </x:c>
      <x:c r="D36" s="340" t="str">
        <x:v>Ksurgery Hyaluronic Toneup Overnight tone biphasic peeling</x:v>
      </x:c>
      <x:c r="E36" s="340" t="str">
        <x:v>Ksurgery</x:v>
      </x:c>
      <x:c r="F36" s="340" t="str">
        <x:v>Tẩy tế bào chết/Peel</x:v>
      </x:c>
      <x:c r="G36" s="340" t="str">
        <x:v>Công ty TNHH Y Dược Quốc Tế Đông Nam</x:v>
      </x:c>
      <x:c r="H36" s="340"/>
      <x:c r="I36" s="340"/>
      <x:c r="J36" s="340" t="str">
        <x:v>Đã thu hồi – QĐ 97/QĐ-QLD ngày 06/02/2026</x:v>
      </x:c>
      <x:c r="K36" s="340" t="str">
        <x:v>A+++ – phụ lục chính thức 252 số; block STT 1–56 explicit responsible company</x:v>
      </x:c>
      <x:c r="L36" s="340"/>
      <x:c r="M36" s="340" t="str">
        <x:v>https://doanket.laichau.gov.vn/upload/103883/20260210/Cong_van_ve_viec_Thu_hoi_so_tiep_nhan_Phieu_cong_bo_san_pham_my_pham_03_cong_ty__CT_Y_duoc_Quoc_te_Dong_Nam__Duoc_pham_toan_cau_Dong_Nam__XNK_Quoc_te_Dong_Nam__2dec5.pdf</x:v>
      </x:c>
      <x:c r="N36" s="340"/>
      <x:c r="O36" s="340" t="str">
        <x:v>Bulk QĐ97; thu hồi tự nguyện do không còn nhu cầu kinh doanh.</x:v>
      </x:c>
    </x:row>
    <x:row r="37">
      <x:c r="A37" s="340" t="str">
        <x:v>IMP0036</x:v>
      </x:c>
      <x:c r="B37" s="506" t="n">
        <x:v>45311</x:v>
      </x:c>
      <x:c r="C37" s="340" t="str">
        <x:v>223670/24/CBMP-QLD</x:v>
      </x:c>
      <x:c r="D37" s="340" t="str">
        <x:v>Ksurgery Syn Sun You Nature SPF50 UVA</x:v>
      </x:c>
      <x:c r="E37" s="340" t="str">
        <x:v>Ksurgery</x:v>
      </x:c>
      <x:c r="F37" s="340" t="str">
        <x:v>Kem chống nắng</x:v>
      </x:c>
      <x:c r="G37" s="340" t="str">
        <x:v>Công ty TNHH Y Dược Quốc Tế Đông Nam</x:v>
      </x:c>
      <x:c r="H37" s="340"/>
      <x:c r="I37" s="340"/>
      <x:c r="J37" s="340" t="str">
        <x:v>Đã thu hồi – QĐ 97/QĐ-QLD ngày 06/02/2026</x:v>
      </x:c>
      <x:c r="K37" s="340" t="str">
        <x:v>A+++ – phụ lục chính thức 252 số; block STT 1–56 explicit responsible company</x:v>
      </x:c>
      <x:c r="L37" s="340"/>
      <x:c r="M37" s="340" t="str">
        <x:v>https://doanket.laichau.gov.vn/upload/103883/20260210/Cong_van_ve_viec_Thu_hoi_so_tiep_nhan_Phieu_cong_bo_san_pham_my_pham_03_cong_ty__CT_Y_duoc_Quoc_te_Dong_Nam__Duoc_pham_toan_cau_Dong_Nam__XNK_Quoc_te_Dong_Nam__2dec5.pdf</x:v>
      </x:c>
      <x:c r="N37" s="340"/>
      <x:c r="O37" s="340" t="str">
        <x:v>Bulk QĐ97; thu hồi tự nguyện do không còn nhu cầu kinh doanh.</x:v>
      </x:c>
    </x:row>
    <x:row r="38">
      <x:c r="A38" s="340" t="str">
        <x:v>IMP0037</x:v>
      </x:c>
      <x:c r="B38" s="506" t="n">
        <x:v>45311</x:v>
      </x:c>
      <x:c r="C38" s="340" t="str">
        <x:v>223680/24/CBMP-QLD</x:v>
      </x:c>
      <x:c r="D38" s="340" t="str">
        <x:v>Ksurgery Syn Sun You Nature Abbronzante Supertan</x:v>
      </x:c>
      <x:c r="E38" s="340" t="str">
        <x:v>Ksurgery</x:v>
      </x:c>
      <x:c r="F38" s="340" t="str">
        <x:v>Kem chống nắng</x:v>
      </x:c>
      <x:c r="G38" s="340" t="str">
        <x:v>Công ty TNHH Y Dược Quốc Tế Đông Nam</x:v>
      </x:c>
      <x:c r="H38" s="340"/>
      <x:c r="I38" s="340"/>
      <x:c r="J38" s="340" t="str">
        <x:v>Đã thu hồi – QĐ 97/QĐ-QLD ngày 06/02/2026</x:v>
      </x:c>
      <x:c r="K38" s="340" t="str">
        <x:v>A+++ – phụ lục chính thức 252 số; block STT 1–56 explicit responsible company</x:v>
      </x:c>
      <x:c r="L38" s="340"/>
      <x:c r="M38" s="340" t="str">
        <x:v>https://doanket.laichau.gov.vn/upload/103883/20260210/Cong_van_ve_viec_Thu_hoi_so_tiep_nhan_Phieu_cong_bo_san_pham_my_pham_03_cong_ty__CT_Y_duoc_Quoc_te_Dong_Nam__Duoc_pham_toan_cau_Dong_Nam__XNK_Quoc_te_Dong_Nam__2dec5.pdf</x:v>
      </x:c>
      <x:c r="N38" s="340"/>
      <x:c r="O38" s="340" t="str">
        <x:v>Bulk QĐ97; thu hồi tự nguyện do không còn nhu cầu kinh doanh.</x:v>
      </x:c>
    </x:row>
    <x:row r="39">
      <x:c r="A39" s="340" t="str">
        <x:v>IMP0038</x:v>
      </x:c>
      <x:c r="B39" s="506" t="n">
        <x:v>45311</x:v>
      </x:c>
      <x:c r="C39" s="340" t="str">
        <x:v>223691/24/CBMP-QLD</x:v>
      </x:c>
      <x:c r="D39" s="340" t="str">
        <x:v>Ksurgery Time Solution Hyaluronic Plumping Filler Cream</x:v>
      </x:c>
      <x:c r="E39" s="340" t="str">
        <x:v>Ksurgery</x:v>
      </x:c>
      <x:c r="F39" s="340" t="str">
        <x:v>Kem dưỡng da</x:v>
      </x:c>
      <x:c r="G39" s="340" t="str">
        <x:v>Công ty TNHH Y Dược Quốc Tế Đông Nam</x:v>
      </x:c>
      <x:c r="H39" s="340"/>
      <x:c r="I39" s="340"/>
      <x:c r="J39" s="340" t="str">
        <x:v>Đã thu hồi – QĐ 97/QĐ-QLD ngày 06/02/2026</x:v>
      </x:c>
      <x:c r="K39" s="340" t="str">
        <x:v>A+++ – phụ lục chính thức 252 số; block STT 1–56 explicit responsible company</x:v>
      </x:c>
      <x:c r="L39" s="340"/>
      <x:c r="M39" s="340" t="str">
        <x:v>https://doanket.laichau.gov.vn/upload/103883/20260210/Cong_van_ve_viec_Thu_hoi_so_tiep_nhan_Phieu_cong_bo_san_pham_my_pham_03_cong_ty__CT_Y_duoc_Quoc_te_Dong_Nam__Duoc_pham_toan_cau_Dong_Nam__XNK_Quoc_te_Dong_Nam__2dec5.pdf</x:v>
      </x:c>
      <x:c r="N39" s="340"/>
      <x:c r="O39" s="340" t="str">
        <x:v>Bulk QĐ97; thu hồi tự nguyện do không còn nhu cầu kinh doanh.</x:v>
      </x:c>
    </x:row>
    <x:row r="40">
      <x:c r="A40" s="340" t="str">
        <x:v>IMP0039</x:v>
      </x:c>
      <x:c r="B40" s="506" t="n">
        <x:v>45311</x:v>
      </x:c>
      <x:c r="C40" s="340" t="str">
        <x:v>223694/24/CBMP-QLD</x:v>
      </x:c>
      <x:c r="D40" s="340" t="str">
        <x:v>Ksurgery Time Solution Hyaluronic Youth activating face serum</x:v>
      </x:c>
      <x:c r="E40" s="340" t="str">
        <x:v>Ksurgery</x:v>
      </x:c>
      <x:c r="F40" s="340" t="str">
        <x:v>Serum/Essence da</x:v>
      </x:c>
      <x:c r="G40" s="340" t="str">
        <x:v>Công ty TNHH Y Dược Quốc Tế Đông Nam</x:v>
      </x:c>
      <x:c r="H40" s="340"/>
      <x:c r="I40" s="340"/>
      <x:c r="J40" s="340" t="str">
        <x:v>Đã thu hồi – QĐ 97/QĐ-QLD ngày 06/02/2026</x:v>
      </x:c>
      <x:c r="K40" s="340" t="str">
        <x:v>A+++ – phụ lục chính thức 252 số; block STT 1–56 explicit responsible company</x:v>
      </x:c>
      <x:c r="L40" s="340"/>
      <x:c r="M40" s="340" t="str">
        <x:v>https://doanket.laichau.gov.vn/upload/103883/20260210/Cong_van_ve_viec_Thu_hoi_so_tiep_nhan_Phieu_cong_bo_san_pham_my_pham_03_cong_ty__CT_Y_duoc_Quoc_te_Dong_Nam__Duoc_pham_toan_cau_Dong_Nam__XNK_Quoc_te_Dong_Nam__2dec5.pdf</x:v>
      </x:c>
      <x:c r="N40" s="340"/>
      <x:c r="O40" s="340" t="str">
        <x:v>Bulk QĐ97; thu hồi tự nguyện do không còn nhu cầu kinh doanh.</x:v>
      </x:c>
    </x:row>
    <x:row r="41">
      <x:c r="A41" s="340" t="str">
        <x:v>IMP0040</x:v>
      </x:c>
      <x:c r="B41" s="506" t="n">
        <x:v>45311</x:v>
      </x:c>
      <x:c r="C41" s="340" t="str">
        <x:v>223696/24/CBMP-QLD</x:v>
      </x:c>
      <x:c r="D41" s="340" t="str">
        <x:v>Ksurgery Time Solution Hyaluronic Re-Age eye serum</x:v>
      </x:c>
      <x:c r="E41" s="340" t="str">
        <x:v>Ksurgery</x:v>
      </x:c>
      <x:c r="F41" s="340" t="str">
        <x:v>Serum/Essence da</x:v>
      </x:c>
      <x:c r="G41" s="340" t="str">
        <x:v>Công ty TNHH Y Dược Quốc Tế Đông Nam</x:v>
      </x:c>
      <x:c r="H41" s="340"/>
      <x:c r="I41" s="340"/>
      <x:c r="J41" s="340" t="str">
        <x:v>Đã thu hồi – QĐ 97/QĐ-QLD ngày 06/02/2026</x:v>
      </x:c>
      <x:c r="K41" s="340" t="str">
        <x:v>A+++ – phụ lục chính thức 252 số; block STT 1–56 explicit responsible company</x:v>
      </x:c>
      <x:c r="L41" s="340"/>
      <x:c r="M41" s="340" t="str">
        <x:v>https://doanket.laichau.gov.vn/upload/103883/20260210/Cong_van_ve_viec_Thu_hoi_so_tiep_nhan_Phieu_cong_bo_san_pham_my_pham_03_cong_ty__CT_Y_duoc_Quoc_te_Dong_Nam__Duoc_pham_toan_cau_Dong_Nam__XNK_Quoc_te_Dong_Nam__2dec5.pdf</x:v>
      </x:c>
      <x:c r="N41" s="340"/>
      <x:c r="O41" s="340" t="str">
        <x:v>Bulk QĐ97; thu hồi tự nguyện do không còn nhu cầu kinh doanh.</x:v>
      </x:c>
    </x:row>
    <x:row r="42">
      <x:c r="A42" s="340" t="str">
        <x:v>IMP0041</x:v>
      </x:c>
      <x:c r="B42" s="506" t="n">
        <x:v>45311</x:v>
      </x:c>
      <x:c r="C42" s="340" t="str">
        <x:v>223695/24/CBMP-QLD</x:v>
      </x:c>
      <x:c r="D42" s="340" t="str">
        <x:v>Ksurgery Time Solution Hyaluronic Revitalizing Cream</x:v>
      </x:c>
      <x:c r="E42" s="340" t="str">
        <x:v>Ksurgery</x:v>
      </x:c>
      <x:c r="F42" s="340" t="str">
        <x:v>Kem dưỡng da</x:v>
      </x:c>
      <x:c r="G42" s="340" t="str">
        <x:v>Công ty TNHH Y Dược Quốc Tế Đông Nam</x:v>
      </x:c>
      <x:c r="H42" s="340"/>
      <x:c r="I42" s="340"/>
      <x:c r="J42" s="340" t="str">
        <x:v>Đã thu hồi – QĐ 97/QĐ-QLD ngày 06/02/2026</x:v>
      </x:c>
      <x:c r="K42" s="340" t="str">
        <x:v>A+++ – phụ lục chính thức 252 số; block STT 1–56 explicit responsible company</x:v>
      </x:c>
      <x:c r="L42" s="340"/>
      <x:c r="M42" s="340" t="str">
        <x:v>https://doanket.laichau.gov.vn/upload/103883/20260210/Cong_van_ve_viec_Thu_hoi_so_tiep_nhan_Phieu_cong_bo_san_pham_my_pham_03_cong_ty__CT_Y_duoc_Quoc_te_Dong_Nam__Duoc_pham_toan_cau_Dong_Nam__XNK_Quoc_te_Dong_Nam__2dec5.pdf</x:v>
      </x:c>
      <x:c r="N42" s="340"/>
      <x:c r="O42" s="340" t="str">
        <x:v>Bulk QĐ97; thu hồi tự nguyện do không còn nhu cầu kinh doanh.</x:v>
      </x:c>
    </x:row>
    <x:row r="43">
      <x:c r="A43" s="340" t="str">
        <x:v>IMP0042</x:v>
      </x:c>
      <x:c r="B43" s="506" t="n">
        <x:v>45311</x:v>
      </x:c>
      <x:c r="C43" s="340" t="str">
        <x:v>223697/24/CBMP-QLD</x:v>
      </x:c>
      <x:c r="D43" s="340" t="str">
        <x:v>Ksurgery Time Solution Hyaluronic Overnight Biphasic Peeling</x:v>
      </x:c>
      <x:c r="E43" s="340" t="str">
        <x:v>Ksurgery</x:v>
      </x:c>
      <x:c r="F43" s="340" t="str">
        <x:v>Tẩy tế bào chết/Peel</x:v>
      </x:c>
      <x:c r="G43" s="340" t="str">
        <x:v>Công ty TNHH Y Dược Quốc Tế Đông Nam</x:v>
      </x:c>
      <x:c r="H43" s="340"/>
      <x:c r="I43" s="340"/>
      <x:c r="J43" s="340" t="str">
        <x:v>Đã thu hồi – QĐ 97/QĐ-QLD ngày 06/02/2026</x:v>
      </x:c>
      <x:c r="K43" s="340" t="str">
        <x:v>A+++ – phụ lục chính thức 252 số; block STT 1–56 explicit responsible company</x:v>
      </x:c>
      <x:c r="L43" s="340"/>
      <x:c r="M43" s="340" t="str">
        <x:v>https://doanket.laichau.gov.vn/upload/103883/20260210/Cong_van_ve_viec_Thu_hoi_so_tiep_nhan_Phieu_cong_bo_san_pham_my_pham_03_cong_ty__CT_Y_duoc_Quoc_te_Dong_Nam__Duoc_pham_toan_cau_Dong_Nam__XNK_Quoc_te_Dong_Nam__2dec5.pdf</x:v>
      </x:c>
      <x:c r="N43" s="340"/>
      <x:c r="O43" s="340" t="str">
        <x:v>Bulk QĐ97; thu hồi tự nguyện do không còn nhu cầu kinh doanh.</x:v>
      </x:c>
    </x:row>
    <x:row r="44">
      <x:c r="A44" s="340" t="str">
        <x:v>IMP0043</x:v>
      </x:c>
      <x:c r="B44" s="506" t="n">
        <x:v>45311</x:v>
      </x:c>
      <x:c r="C44" s="340" t="str">
        <x:v>223700/24/CBMP-QLD</x:v>
      </x:c>
      <x:c r="D44" s="340" t="str">
        <x:v>Ksurgery Smooth+ Balance Mousse Purifyng Foam Cleanser</x:v>
      </x:c>
      <x:c r="E44" s="340" t="str">
        <x:v>Ksurgery</x:v>
      </x:c>
      <x:c r="F44" s="340" t="str">
        <x:v>Sữa rửa mặt</x:v>
      </x:c>
      <x:c r="G44" s="340" t="str">
        <x:v>Công ty TNHH Y Dược Quốc Tế Đông Nam</x:v>
      </x:c>
      <x:c r="H44" s="340"/>
      <x:c r="I44" s="340"/>
      <x:c r="J44" s="340" t="str">
        <x:v>Đã thu hồi – QĐ 97/QĐ-QLD ngày 06/02/2026</x:v>
      </x:c>
      <x:c r="K44" s="340" t="str">
        <x:v>A+++ – phụ lục chính thức 252 số; block STT 1–56 explicit responsible company</x:v>
      </x:c>
      <x:c r="L44" s="340"/>
      <x:c r="M44" s="340" t="str">
        <x:v>https://doanket.laichau.gov.vn/upload/103883/20260210/Cong_van_ve_viec_Thu_hoi_so_tiep_nhan_Phieu_cong_bo_san_pham_my_pham_03_cong_ty__CT_Y_duoc_Quoc_te_Dong_Nam__Duoc_pham_toan_cau_Dong_Nam__XNK_Quoc_te_Dong_Nam__2dec5.pdf</x:v>
      </x:c>
      <x:c r="N44" s="340"/>
      <x:c r="O44" s="340" t="str">
        <x:v>Bulk QĐ97; thu hồi tự nguyện do không còn nhu cầu kinh doanh.</x:v>
      </x:c>
    </x:row>
    <x:row r="45">
      <x:c r="A45" s="340" t="str">
        <x:v>IMP0044</x:v>
      </x:c>
      <x:c r="B45" s="506" t="n">
        <x:v>45311</x:v>
      </x:c>
      <x:c r="C45" s="340" t="str">
        <x:v>223698/24/CBMP-QLD</x:v>
      </x:c>
      <x:c r="D45" s="340" t="str">
        <x:v>Ksurgery Smooth SOS Stop Spot Purifying Concentrated Serum</x:v>
      </x:c>
      <x:c r="E45" s="340" t="str">
        <x:v>Ksurgery</x:v>
      </x:c>
      <x:c r="F45" s="340" t="str">
        <x:v>Serum/Essence da</x:v>
      </x:c>
      <x:c r="G45" s="340" t="str">
        <x:v>Công ty TNHH Y Dược Quốc Tế Đông Nam</x:v>
      </x:c>
      <x:c r="H45" s="340"/>
      <x:c r="I45" s="340"/>
      <x:c r="J45" s="340" t="str">
        <x:v>Đã thu hồi – QĐ 97/QĐ-QLD ngày 06/02/2026</x:v>
      </x:c>
      <x:c r="K45" s="340" t="str">
        <x:v>A+++ – phụ lục chính thức 252 số; block STT 1–56 explicit responsible company</x:v>
      </x:c>
      <x:c r="L45" s="340"/>
      <x:c r="M45" s="340" t="str">
        <x:v>https://doanket.laichau.gov.vn/upload/103883/20260210/Cong_van_ve_viec_Thu_hoi_so_tiep_nhan_Phieu_cong_bo_san_pham_my_pham_03_cong_ty__CT_Y_duoc_Quoc_te_Dong_Nam__Duoc_pham_toan_cau_Dong_Nam__XNK_Quoc_te_Dong_Nam__2dec5.pdf</x:v>
      </x:c>
      <x:c r="N45" s="340"/>
      <x:c r="O45" s="340" t="str">
        <x:v>Bulk QĐ97; thu hồi tự nguyện do không còn nhu cầu kinh doanh.</x:v>
      </x:c>
    </x:row>
    <x:row r="46">
      <x:c r="A46" s="340" t="str">
        <x:v>IMP0045</x:v>
      </x:c>
      <x:c r="B46" s="506" t="n">
        <x:v>45311</x:v>
      </x:c>
      <x:c r="C46" s="340" t="str">
        <x:v>223699/24/CBMP-QLD</x:v>
      </x:c>
      <x:c r="D46" s="340" t="str">
        <x:v>Ksurgery Time Solution Hyaluronic Face Ampoule</x:v>
      </x:c>
      <x:c r="E46" s="340" t="str">
        <x:v>Ksurgery</x:v>
      </x:c>
      <x:c r="F46" s="340" t="str">
        <x:v>Serum/Essence da</x:v>
      </x:c>
      <x:c r="G46" s="340" t="str">
        <x:v>Công ty TNHH Y Dược Quốc Tế Đông Nam</x:v>
      </x:c>
      <x:c r="H46" s="340"/>
      <x:c r="I46" s="340"/>
      <x:c r="J46" s="340" t="str">
        <x:v>Đã thu hồi – QĐ 97/QĐ-QLD ngày 06/02/2026</x:v>
      </x:c>
      <x:c r="K46" s="340" t="str">
        <x:v>A+++ – phụ lục chính thức 252 số; block STT 1–56 explicit responsible company</x:v>
      </x:c>
      <x:c r="L46" s="340"/>
      <x:c r="M46" s="340" t="str">
        <x:v>https://doanket.laichau.gov.vn/upload/103883/20260210/Cong_van_ve_viec_Thu_hoi_so_tiep_nhan_Phieu_cong_bo_san_pham_my_pham_03_cong_ty__CT_Y_duoc_Quoc_te_Dong_Nam__Duoc_pham_toan_cau_Dong_Nam__XNK_Quoc_te_Dong_Nam__2dec5.pdf</x:v>
      </x:c>
      <x:c r="N46" s="340"/>
      <x:c r="O46" s="340" t="str">
        <x:v>Bulk QĐ97; thu hồi tự nguyện do không còn nhu cầu kinh doanh.</x:v>
      </x:c>
    </x:row>
    <x:row r="47">
      <x:c r="A47" s="340" t="str">
        <x:v>IMP0046</x:v>
      </x:c>
      <x:c r="B47" s="506" t="n">
        <x:v>45311</x:v>
      </x:c>
      <x:c r="C47" s="340" t="str">
        <x:v>223706/24/CBMP-QLD</x:v>
      </x:c>
      <x:c r="D47" s="340" t="str">
        <x:v>Ksurgery OMNIA BTX Pro</x:v>
      </x:c>
      <x:c r="E47" s="340" t="str">
        <x:v>Ksurgery</x:v>
      </x:c>
      <x:c r="F47" s="340" t="str">
        <x:v>Khác</x:v>
      </x:c>
      <x:c r="G47" s="340" t="str">
        <x:v>Công ty TNHH Y Dược Quốc Tế Đông Nam</x:v>
      </x:c>
      <x:c r="H47" s="340"/>
      <x:c r="I47" s="340"/>
      <x:c r="J47" s="340" t="str">
        <x:v>Đã thu hồi – QĐ 97/QĐ-QLD ngày 06/02/2026</x:v>
      </x:c>
      <x:c r="K47" s="340" t="str">
        <x:v>A+++ – phụ lục chính thức 252 số; block STT 1–56 explicit responsible company</x:v>
      </x:c>
      <x:c r="L47" s="340"/>
      <x:c r="M47" s="340" t="str">
        <x:v>https://doanket.laichau.gov.vn/upload/103883/20260210/Cong_van_ve_viec_Thu_hoi_so_tiep_nhan_Phieu_cong_bo_san_pham_my_pham_03_cong_ty__CT_Y_duoc_Quoc_te_Dong_Nam__Duoc_pham_toan_cau_Dong_Nam__XNK_Quoc_te_Dong_Nam__2dec5.pdf</x:v>
      </x:c>
      <x:c r="N47" s="340"/>
      <x:c r="O47" s="340" t="str">
        <x:v>Bulk QĐ97; thu hồi tự nguyện do không còn nhu cầu kinh doanh.</x:v>
      </x:c>
    </x:row>
    <x:row r="48">
      <x:c r="A48" s="340" t="str">
        <x:v>IMP0047</x:v>
      </x:c>
      <x:c r="B48" s="506" t="n">
        <x:v>45311</x:v>
      </x:c>
      <x:c r="C48" s="340" t="str">
        <x:v>223708/24/CBMP-QLD</x:v>
      </x:c>
      <x:c r="D48" s="340" t="str">
        <x:v>Ksurgery Vitamin C Hyaluronic Face Ampoule</x:v>
      </x:c>
      <x:c r="E48" s="340" t="str">
        <x:v>Ksurgery</x:v>
      </x:c>
      <x:c r="F48" s="340" t="str">
        <x:v>Serum/Essence da</x:v>
      </x:c>
      <x:c r="G48" s="340" t="str">
        <x:v>Công ty TNHH Y Dược Quốc Tế Đông Nam</x:v>
      </x:c>
      <x:c r="H48" s="340"/>
      <x:c r="I48" s="340"/>
      <x:c r="J48" s="340" t="str">
        <x:v>Đã thu hồi – QĐ 97/QĐ-QLD ngày 06/02/2026</x:v>
      </x:c>
      <x:c r="K48" s="340" t="str">
        <x:v>A+++ – phụ lục chính thức 252 số; block STT 1–56 explicit responsible company</x:v>
      </x:c>
      <x:c r="L48" s="340"/>
      <x:c r="M48" s="340" t="str">
        <x:v>https://doanket.laichau.gov.vn/upload/103883/20260210/Cong_van_ve_viec_Thu_hoi_so_tiep_nhan_Phieu_cong_bo_san_pham_my_pham_03_cong_ty__CT_Y_duoc_Quoc_te_Dong_Nam__Duoc_pham_toan_cau_Dong_Nam__XNK_Quoc_te_Dong_Nam__2dec5.pdf</x:v>
      </x:c>
      <x:c r="N48" s="340"/>
      <x:c r="O48" s="340" t="str">
        <x:v>Bulk QĐ97; thu hồi tự nguyện do không còn nhu cầu kinh doanh.</x:v>
      </x:c>
    </x:row>
    <x:row r="49">
      <x:c r="A49" s="340" t="str">
        <x:v>IMP0048</x:v>
      </x:c>
      <x:c r="B49" s="506" t="n">
        <x:v>45311</x:v>
      </x:c>
      <x:c r="C49" s="340" t="str">
        <x:v>223709/24/CBMP-QLD</x:v>
      </x:c>
      <x:c r="D49" s="340" t="str">
        <x:v>Ksurgery OMNIA Lift Method</x:v>
      </x:c>
      <x:c r="E49" s="340" t="str">
        <x:v>Ksurgery</x:v>
      </x:c>
      <x:c r="F49" s="340" t="str">
        <x:v>Khác</x:v>
      </x:c>
      <x:c r="G49" s="340" t="str">
        <x:v>Công ty TNHH Y Dược Quốc Tế Đông Nam</x:v>
      </x:c>
      <x:c r="H49" s="340"/>
      <x:c r="I49" s="340"/>
      <x:c r="J49" s="340" t="str">
        <x:v>Đã thu hồi – QĐ 97/QĐ-QLD ngày 06/02/2026</x:v>
      </x:c>
      <x:c r="K49" s="340" t="str">
        <x:v>A+++ – phụ lục chính thức 252 số; block STT 1–56 explicit responsible company</x:v>
      </x:c>
      <x:c r="L49" s="340"/>
      <x:c r="M49" s="340" t="str">
        <x:v>https://doanket.laichau.gov.vn/upload/103883/20260210/Cong_van_ve_viec_Thu_hoi_so_tiep_nhan_Phieu_cong_bo_san_pham_my_pham_03_cong_ty__CT_Y_duoc_Quoc_te_Dong_Nam__Duoc_pham_toan_cau_Dong_Nam__XNK_Quoc_te_Dong_Nam__2dec5.pdf</x:v>
      </x:c>
      <x:c r="N49" s="340"/>
      <x:c r="O49" s="340" t="str">
        <x:v>Bulk QĐ97; thu hồi tự nguyện do không còn nhu cầu kinh doanh.</x:v>
      </x:c>
    </x:row>
    <x:row r="50">
      <x:c r="A50" s="340" t="str">
        <x:v>IMP0049</x:v>
      </x:c>
      <x:c r="B50" s="506" t="n">
        <x:v>45311</x:v>
      </x:c>
      <x:c r="C50" s="340" t="str">
        <x:v>223707/24/CBMP-QLD</x:v>
      </x:c>
      <x:c r="D50" s="340" t="str">
        <x:v>Ksurgery Vitamin C Hyaluronic Oxygenating Cream Gel</x:v>
      </x:c>
      <x:c r="E50" s="340" t="str">
        <x:v>Ksurgery</x:v>
      </x:c>
      <x:c r="F50" s="340" t="str">
        <x:v>Kem dưỡng da</x:v>
      </x:c>
      <x:c r="G50" s="340" t="str">
        <x:v>Công ty TNHH Y Dược Quốc Tế Đông Nam</x:v>
      </x:c>
      <x:c r="H50" s="340"/>
      <x:c r="I50" s="340"/>
      <x:c r="J50" s="340" t="str">
        <x:v>Đã thu hồi – QĐ 97/QĐ-QLD ngày 06/02/2026</x:v>
      </x:c>
      <x:c r="K50" s="340" t="str">
        <x:v>A+++ – phụ lục chính thức 252 số; block STT 1–56 explicit responsible company</x:v>
      </x:c>
      <x:c r="L50" s="340"/>
      <x:c r="M50" s="340" t="str">
        <x:v>https://doanket.laichau.gov.vn/upload/103883/20260210/Cong_van_ve_viec_Thu_hoi_so_tiep_nhan_Phieu_cong_bo_san_pham_my_pham_03_cong_ty__CT_Y_duoc_Quoc_te_Dong_Nam__Duoc_pham_toan_cau_Dong_Nam__XNK_Quoc_te_Dong_Nam__2dec5.pdf</x:v>
      </x:c>
      <x:c r="N50" s="340"/>
      <x:c r="O50" s="340" t="str">
        <x:v>Bulk QĐ97; thu hồi tự nguyện do không còn nhu cầu kinh doanh.</x:v>
      </x:c>
    </x:row>
    <x:row r="51">
      <x:c r="A51" s="340" t="str">
        <x:v>IMP0050</x:v>
      </x:c>
      <x:c r="B51" s="506" t="n">
        <x:v>45311</x:v>
      </x:c>
      <x:c r="C51" s="340" t="str">
        <x:v>223716/24/CBMP-QLD</x:v>
      </x:c>
      <x:c r="D51" s="340" t="str">
        <x:v>Ksurgery OMNIA Mesotech</x:v>
      </x:c>
      <x:c r="E51" s="340" t="str">
        <x:v>Ksurgery</x:v>
      </x:c>
      <x:c r="F51" s="340" t="str">
        <x:v>Khác</x:v>
      </x:c>
      <x:c r="G51" s="340" t="str">
        <x:v>Công ty TNHH Y Dược Quốc Tế Đông Nam</x:v>
      </x:c>
      <x:c r="H51" s="340"/>
      <x:c r="I51" s="340"/>
      <x:c r="J51" s="340" t="str">
        <x:v>Đã thu hồi – QĐ 97/QĐ-QLD ngày 06/02/2026</x:v>
      </x:c>
      <x:c r="K51" s="340" t="str">
        <x:v>A+++ – phụ lục chính thức 252 số; block STT 1–56 explicit responsible company</x:v>
      </x:c>
      <x:c r="L51" s="340"/>
      <x:c r="M51" s="340" t="str">
        <x:v>https://doanket.laichau.gov.vn/upload/103883/20260210/Cong_van_ve_viec_Thu_hoi_so_tiep_nhan_Phieu_cong_bo_san_pham_my_pham_03_cong_ty__CT_Y_duoc_Quoc_te_Dong_Nam__Duoc_pham_toan_cau_Dong_Nam__XNK_Quoc_te_Dong_Nam__2dec5.pdf</x:v>
      </x:c>
      <x:c r="N51" s="340"/>
      <x:c r="O51" s="340" t="str">
        <x:v>Bulk QĐ97; thu hồi tự nguyện do không còn nhu cầu kinh doanh.</x:v>
      </x:c>
    </x:row>
    <x:row r="52">
      <x:c r="A52" s="340" t="str">
        <x:v>IMP0051</x:v>
      </x:c>
      <x:c r="B52" s="506" t="n">
        <x:v>45311</x:v>
      </x:c>
      <x:c r="C52" s="340" t="str">
        <x:v>223721/24/CBMP-QLD</x:v>
      </x:c>
      <x:c r="D52" s="340" t="str">
        <x:v>Ksurgery Hyaluronic Toneup Intensive Formula</x:v>
      </x:c>
      <x:c r="E52" s="340" t="str">
        <x:v>Ksurgery</x:v>
      </x:c>
      <x:c r="F52" s="340" t="str">
        <x:v>Khác</x:v>
      </x:c>
      <x:c r="G52" s="340" t="str">
        <x:v>Công ty TNHH Y Dược Quốc Tế Đông Nam</x:v>
      </x:c>
      <x:c r="H52" s="340"/>
      <x:c r="I52" s="340"/>
      <x:c r="J52" s="340" t="str">
        <x:v>Đã thu hồi – QĐ 97/QĐ-QLD ngày 06/02/2026</x:v>
      </x:c>
      <x:c r="K52" s="340" t="str">
        <x:v>A+++ – phụ lục chính thức 252 số; block STT 1–56 explicit responsible company</x:v>
      </x:c>
      <x:c r="L52" s="340"/>
      <x:c r="M52" s="340" t="str">
        <x:v>https://doanket.laichau.gov.vn/upload/103883/20260210/Cong_van_ve_viec_Thu_hoi_so_tiep_nhan_Phieu_cong_bo_san_pham_my_pham_03_cong_ty__CT_Y_duoc_Quoc_te_Dong_Nam__Duoc_pham_toan_cau_Dong_Nam__XNK_Quoc_te_Dong_Nam__2dec5.pdf</x:v>
      </x:c>
      <x:c r="N52" s="340"/>
      <x:c r="O52" s="340" t="str">
        <x:v>Bulk QĐ97; thu hồi tự nguyện do không còn nhu cầu kinh doanh.</x:v>
      </x:c>
    </x:row>
    <x:row r="53">
      <x:c r="A53" s="340" t="str">
        <x:v>IMP0052</x:v>
      </x:c>
      <x:c r="B53" s="506" t="n">
        <x:v>45311</x:v>
      </x:c>
      <x:c r="C53" s="340" t="str">
        <x:v>223723/24/CBMP-QLD</x:v>
      </x:c>
      <x:c r="D53" s="340" t="str">
        <x:v>Ksurgery Hydrawave Hyaluronic Prejuvination Light Cream</x:v>
      </x:c>
      <x:c r="E53" s="340" t="str">
        <x:v>Ksurgery</x:v>
      </x:c>
      <x:c r="F53" s="340" t="str">
        <x:v>Kem dưỡng da</x:v>
      </x:c>
      <x:c r="G53" s="340" t="str">
        <x:v>Công ty TNHH Y Dược Quốc Tế Đông Nam</x:v>
      </x:c>
      <x:c r="H53" s="340"/>
      <x:c r="I53" s="340"/>
      <x:c r="J53" s="340" t="str">
        <x:v>Đã thu hồi – QĐ 97/QĐ-QLD ngày 06/02/2026</x:v>
      </x:c>
      <x:c r="K53" s="340" t="str">
        <x:v>A+++ – phụ lục chính thức 252 số; block STT 1–56 explicit responsible company</x:v>
      </x:c>
      <x:c r="L53" s="340"/>
      <x:c r="M53" s="340" t="str">
        <x:v>https://doanket.laichau.gov.vn/upload/103883/20260210/Cong_van_ve_viec_Thu_hoi_so_tiep_nhan_Phieu_cong_bo_san_pham_my_pham_03_cong_ty__CT_Y_duoc_Quoc_te_Dong_Nam__Duoc_pham_toan_cau_Dong_Nam__XNK_Quoc_te_Dong_Nam__2dec5.pdf</x:v>
      </x:c>
      <x:c r="N53" s="340"/>
      <x:c r="O53" s="340" t="str">
        <x:v>Bulk QĐ97; thu hồi tự nguyện do không còn nhu cầu kinh doanh.</x:v>
      </x:c>
    </x:row>
    <x:row r="54">
      <x:c r="A54" s="340" t="str">
        <x:v>IMP0053</x:v>
      </x:c>
      <x:c r="B54" s="506" t="n">
        <x:v>45311</x:v>
      </x:c>
      <x:c r="C54" s="340" t="str">
        <x:v>223722/24/CBMP-QLD</x:v>
      </x:c>
      <x:c r="D54" s="340" t="str">
        <x:v>Ksurgery Syn Sun You Nature SPF30 UVA</x:v>
      </x:c>
      <x:c r="E54" s="340" t="str">
        <x:v>Ksurgery</x:v>
      </x:c>
      <x:c r="F54" s="340" t="str">
        <x:v>Kem chống nắng</x:v>
      </x:c>
      <x:c r="G54" s="340" t="str">
        <x:v>Công ty TNHH Y Dược Quốc Tế Đông Nam</x:v>
      </x:c>
      <x:c r="H54" s="340"/>
      <x:c r="I54" s="340"/>
      <x:c r="J54" s="340" t="str">
        <x:v>Đã thu hồi – QĐ 97/QĐ-QLD ngày 06/02/2026</x:v>
      </x:c>
      <x:c r="K54" s="340" t="str">
        <x:v>A+++ – phụ lục chính thức 252 số; block STT 1–56 explicit responsible company</x:v>
      </x:c>
      <x:c r="L54" s="340"/>
      <x:c r="M54" s="340" t="str">
        <x:v>https://doanket.laichau.gov.vn/upload/103883/20260210/Cong_van_ve_viec_Thu_hoi_so_tiep_nhan_Phieu_cong_bo_san_pham_my_pham_03_cong_ty__CT_Y_duoc_Quoc_te_Dong_Nam__Duoc_pham_toan_cau_Dong_Nam__XNK_Quoc_te_Dong_Nam__2dec5.pdf</x:v>
      </x:c>
      <x:c r="N54" s="340"/>
      <x:c r="O54" s="340" t="str">
        <x:v>Bulk QĐ97; thu hồi tự nguyện do không còn nhu cầu kinh doanh.</x:v>
      </x:c>
    </x:row>
    <x:row r="55">
      <x:c r="A55" s="340" t="str">
        <x:v>IMP0054</x:v>
      </x:c>
      <x:c r="B55" s="506" t="n">
        <x:v>45311</x:v>
      </x:c>
      <x:c r="C55" s="340" t="str">
        <x:v>223724/24/CBMP-QLD</x:v>
      </x:c>
      <x:c r="D55" s="340" t="str">
        <x:v>Ksurgery Vitamin C Hyaluronic GlowEffect Cream</x:v>
      </x:c>
      <x:c r="E55" s="340" t="str">
        <x:v>Ksurgery</x:v>
      </x:c>
      <x:c r="F55" s="340" t="str">
        <x:v>Kem dưỡng da</x:v>
      </x:c>
      <x:c r="G55" s="340" t="str">
        <x:v>Công ty TNHH Y Dược Quốc Tế Đông Nam</x:v>
      </x:c>
      <x:c r="H55" s="340"/>
      <x:c r="I55" s="340"/>
      <x:c r="J55" s="340" t="str">
        <x:v>Đã thu hồi – QĐ 97/QĐ-QLD ngày 06/02/2026</x:v>
      </x:c>
      <x:c r="K55" s="340" t="str">
        <x:v>A+++ – phụ lục chính thức 252 số; block STT 1–56 explicit responsible company</x:v>
      </x:c>
      <x:c r="L55" s="340"/>
      <x:c r="M55" s="340" t="str">
        <x:v>https://doanket.laichau.gov.vn/upload/103883/20260210/Cong_van_ve_viec_Thu_hoi_so_tiep_nhan_Phieu_cong_bo_san_pham_my_pham_03_cong_ty__CT_Y_duoc_Quoc_te_Dong_Nam__Duoc_pham_toan_cau_Dong_Nam__XNK_Quoc_te_Dong_Nam__2dec5.pdf</x:v>
      </x:c>
      <x:c r="N55" s="340"/>
      <x:c r="O55" s="340" t="str">
        <x:v>Bulk QĐ97; thu hồi tự nguyện do không còn nhu cầu kinh doanh.</x:v>
      </x:c>
    </x:row>
    <x:row r="56">
      <x:c r="A56" s="340" t="str">
        <x:v>IMP0055</x:v>
      </x:c>
      <x:c r="B56" s="506" t="n">
        <x:v>45311</x:v>
      </x:c>
      <x:c r="C56" s="340" t="str">
        <x:v>223725/24/CBMP-QLD</x:v>
      </x:c>
      <x:c r="D56" s="340" t="str">
        <x:v>Ksurgery OMNIA Total Shape</x:v>
      </x:c>
      <x:c r="E56" s="340" t="str">
        <x:v>Ksurgery</x:v>
      </x:c>
      <x:c r="F56" s="340" t="str">
        <x:v>Khác</x:v>
      </x:c>
      <x:c r="G56" s="340" t="str">
        <x:v>Công ty TNHH Y Dược Quốc Tế Đông Nam</x:v>
      </x:c>
      <x:c r="H56" s="340"/>
      <x:c r="I56" s="340"/>
      <x:c r="J56" s="340" t="str">
        <x:v>Đã thu hồi – QĐ 97/QĐ-QLD ngày 06/02/2026</x:v>
      </x:c>
      <x:c r="K56" s="340" t="str">
        <x:v>A+++ – phụ lục chính thức 252 số; block STT 1–56 explicit responsible company</x:v>
      </x:c>
      <x:c r="L56" s="340"/>
      <x:c r="M56" s="340" t="str">
        <x:v>https://doanket.laichau.gov.vn/upload/103883/20260210/Cong_van_ve_viec_Thu_hoi_so_tiep_nhan_Phieu_cong_bo_san_pham_my_pham_03_cong_ty__CT_Y_duoc_Quoc_te_Dong_Nam__Duoc_pham_toan_cau_Dong_Nam__XNK_Quoc_te_Dong_Nam__2dec5.pdf</x:v>
      </x:c>
      <x:c r="N56" s="340"/>
      <x:c r="O56" s="340" t="str">
        <x:v>Bulk QĐ97; thu hồi tự nguyện do không còn nhu cầu kinh doanh.</x:v>
      </x:c>
    </x:row>
    <x:row r="57">
      <x:c r="A57" s="340" t="str">
        <x:v>IMP0056</x:v>
      </x:c>
      <x:c r="B57" s="506" t="n">
        <x:v>45311</x:v>
      </x:c>
      <x:c r="C57" s="340" t="str">
        <x:v>223733/24/CBMP-QLD</x:v>
      </x:c>
      <x:c r="D57" s="340" t="str">
        <x:v>Ksurgery OMNIA Hyaluchrono</x:v>
      </x:c>
      <x:c r="E57" s="340" t="str">
        <x:v>Ksurgery</x:v>
      </x:c>
      <x:c r="F57" s="340" t="str">
        <x:v>Khác</x:v>
      </x:c>
      <x:c r="G57" s="340" t="str">
        <x:v>Công ty TNHH Y Dược Quốc Tế Đông Nam</x:v>
      </x:c>
      <x:c r="H57" s="340"/>
      <x:c r="I57" s="340"/>
      <x:c r="J57" s="340" t="str">
        <x:v>Đã thu hồi – QĐ 97/QĐ-QLD ngày 06/02/2026</x:v>
      </x:c>
      <x:c r="K57" s="340" t="str">
        <x:v>A+++ – phụ lục chính thức 252 số; block STT 1–56 explicit responsible company</x:v>
      </x:c>
      <x:c r="L57" s="340"/>
      <x:c r="M57" s="340" t="str">
        <x:v>https://doanket.laichau.gov.vn/upload/103883/20260210/Cong_van_ve_viec_Thu_hoi_so_tiep_nhan_Phieu_cong_bo_san_pham_my_pham_03_cong_ty__CT_Y_duoc_Quoc_te_Dong_Nam__Duoc_pham_toan_cau_Dong_Nam__XNK_Quoc_te_Dong_Nam__2dec5.pdf</x:v>
      </x:c>
      <x:c r="N57" s="340"/>
      <x:c r="O57" s="340" t="str">
        <x:v>Bulk QĐ97; thu hồi tự nguyện do không còn nhu cầu kinh doanh.</x:v>
      </x:c>
    </x:row>
    <x:row r="58">
      <x:c r="A58" s="340" t="str">
        <x:v>IMP0057</x:v>
      </x:c>
      <x:c r="B58" s="506" t="n">
        <x:v>45311</x:v>
      </x:c>
      <x:c r="C58" s="340" t="str">
        <x:v>223734/24/CBMP-QLD</x:v>
      </x:c>
      <x:c r="D58" s="340" t="str">
        <x:v>Ksurgery OMNIA DSX Lipo</x:v>
      </x:c>
      <x:c r="E58" s="340" t="str">
        <x:v>Ksurgery</x:v>
      </x:c>
      <x:c r="F58" s="340" t="str">
        <x:v>Khác</x:v>
      </x:c>
      <x:c r="G58" s="340" t="str">
        <x:v>Công ty TNHH Y Dược Quốc Tế Đông Nam</x:v>
      </x:c>
      <x:c r="H58" s="340"/>
      <x:c r="I58" s="340"/>
      <x:c r="J58" s="340" t="str">
        <x:v>Đã thu hồi – QĐ 97/QĐ-QLD ngày 06/02/2026</x:v>
      </x:c>
      <x:c r="K58" s="340" t="str">
        <x:v>A+++ – phụ lục chính thức 252 số; block STT 1–56 explicit responsible company</x:v>
      </x:c>
      <x:c r="L58" s="340"/>
      <x:c r="M58" s="340" t="str">
        <x:v>https://doanket.laichau.gov.vn/upload/103883/20260210/Cong_van_ve_viec_Thu_hoi_so_tiep_nhan_Phieu_cong_bo_san_pham_my_pham_03_cong_ty__CT_Y_duoc_Quoc_te_Dong_Nam__Duoc_pham_toan_cau_Dong_Nam__XNK_Quoc_te_Dong_Nam__2dec5.pdf</x:v>
      </x:c>
      <x:c r="N58" s="340"/>
      <x:c r="O58" s="340" t="str">
        <x:v>Bulk QĐ97; thu hồi tự nguyện do không còn nhu cầu kinh doanh.</x:v>
      </x:c>
    </x:row>
    <x:row r="59">
      <x:c r="A59" s="340" t="str">
        <x:v>IMP0058</x:v>
      </x:c>
      <x:c r="B59" s="506" t="n">
        <x:v>45311</x:v>
      </x:c>
      <x:c r="C59" s="340" t="str">
        <x:v>223740/24/CBMP-QLD</x:v>
      </x:c>
      <x:c r="D59" s="340" t="str">
        <x:v>Ksurgery Hyaluronic Toneup Cool toning gel</x:v>
      </x:c>
      <x:c r="E59" s="340" t="str">
        <x:v>Ksurgery</x:v>
      </x:c>
      <x:c r="F59" s="340" t="str">
        <x:v>Khác</x:v>
      </x:c>
      <x:c r="G59" s="340" t="str">
        <x:v>Công ty TNHH Y Dược Quốc Tế Đông Nam</x:v>
      </x:c>
      <x:c r="H59" s="340"/>
      <x:c r="I59" s="340"/>
      <x:c r="J59" s="340" t="str">
        <x:v>Đã thu hồi – QĐ 97/QĐ-QLD ngày 06/02/2026</x:v>
      </x:c>
      <x:c r="K59" s="340" t="str">
        <x:v>A+++ – phụ lục chính thức 252 số; block STT 1–56 explicit responsible company</x:v>
      </x:c>
      <x:c r="L59" s="340"/>
      <x:c r="M59" s="340" t="str">
        <x:v>https://doanket.laichau.gov.vn/upload/103883/20260210/Cong_van_ve_viec_Thu_hoi_so_tiep_nhan_Phieu_cong_bo_san_pham_my_pham_03_cong_ty__CT_Y_duoc_Quoc_te_Dong_Nam__Duoc_pham_toan_cau_Dong_Nam__XNK_Quoc_te_Dong_Nam__2dec5.pdf</x:v>
      </x:c>
      <x:c r="N59" s="340"/>
      <x:c r="O59" s="340" t="str">
        <x:v>Bulk QĐ97; thu hồi tự nguyện do không còn nhu cầu kinh doanh.</x:v>
      </x:c>
    </x:row>
    <x:row r="60">
      <x:c r="A60" s="340" t="str">
        <x:v>IMP0059</x:v>
      </x:c>
      <x:c r="B60" s="506" t="n">
        <x:v>45366</x:v>
      </x:c>
      <x:c r="C60" s="340" t="str">
        <x:v>229695/24/CBMP-QLD</x:v>
      </x:c>
      <x:c r="D60" s="340" t="str">
        <x:v>Ksurgery OMNIA B4cell</x:v>
      </x:c>
      <x:c r="E60" s="340" t="str">
        <x:v>Ksurgery</x:v>
      </x:c>
      <x:c r="F60" s="340" t="str">
        <x:v>Khác</x:v>
      </x:c>
      <x:c r="G60" s="340" t="str">
        <x:v>Công ty TNHH Y Dược Quốc Tế Đông Nam</x:v>
      </x:c>
      <x:c r="H60" s="340"/>
      <x:c r="I60" s="340"/>
      <x:c r="J60" s="340" t="str">
        <x:v>Đã thu hồi – QĐ 97/QĐ-QLD ngày 06/02/2026</x:v>
      </x:c>
      <x:c r="K60" s="340" t="str">
        <x:v>A+++ – phụ lục chính thức 252 số; block STT 1–56 explicit responsible company</x:v>
      </x:c>
      <x:c r="L60" s="340"/>
      <x:c r="M60" s="340" t="str">
        <x:v>https://doanket.laichau.gov.vn/upload/103883/20260210/Cong_van_ve_viec_Thu_hoi_so_tiep_nhan_Phieu_cong_bo_san_pham_my_pham_03_cong_ty__CT_Y_duoc_Quoc_te_Dong_Nam__Duoc_pham_toan_cau_Dong_Nam__XNK_Quoc_te_Dong_Nam__2dec5.pdf</x:v>
      </x:c>
      <x:c r="N60" s="340"/>
      <x:c r="O60" s="340" t="str">
        <x:v>Bulk QĐ97; thu hồi tự nguyện do không còn nhu cầu kinh doanh.</x:v>
      </x:c>
    </x:row>
    <x:row r="61">
      <x:c r="A61" s="340" t="str">
        <x:v>IMP0060</x:v>
      </x:c>
      <x:c r="B61" s="506" t="n">
        <x:v>45366</x:v>
      </x:c>
      <x:c r="C61" s="340" t="str">
        <x:v>229696/24/CBMP-QLD</x:v>
      </x:c>
      <x:c r="D61" s="340" t="str">
        <x:v>Ksurgery Vitamin C Hyaluronic Antiox Booster</x:v>
      </x:c>
      <x:c r="E61" s="340" t="str">
        <x:v>Ksurgery</x:v>
      </x:c>
      <x:c r="F61" s="340" t="str">
        <x:v>Serum/Essence da</x:v>
      </x:c>
      <x:c r="G61" s="340" t="str">
        <x:v>Công ty TNHH Y Dược Quốc Tế Đông Nam</x:v>
      </x:c>
      <x:c r="H61" s="340"/>
      <x:c r="I61" s="340"/>
      <x:c r="J61" s="340" t="str">
        <x:v>Đã thu hồi – QĐ 97/QĐ-QLD ngày 06/02/2026</x:v>
      </x:c>
      <x:c r="K61" s="340" t="str">
        <x:v>A+++ – phụ lục chính thức 252 số; block STT 1–56 explicit responsible company</x:v>
      </x:c>
      <x:c r="L61" s="340"/>
      <x:c r="M61" s="340" t="str">
        <x:v>https://doanket.laichau.gov.vn/upload/103883/20260210/Cong_van_ve_viec_Thu_hoi_so_tiep_nhan_Phieu_cong_bo_san_pham_my_pham_03_cong_ty__CT_Y_duoc_Quoc_te_Dong_Nam__Duoc_pham_toan_cau_Dong_Nam__XNK_Quoc_te_Dong_Nam__2dec5.pdf</x:v>
      </x:c>
      <x:c r="N61" s="340"/>
      <x:c r="O61" s="340" t="str">
        <x:v>Bulk QĐ97; thu hồi tự nguyện do không còn nhu cầu kinh doanh.</x:v>
      </x:c>
    </x:row>
    <x:row r="62">
      <x:c r="A62" s="340" t="str">
        <x:v>IMP0061</x:v>
      </x:c>
      <x:c r="B62" s="506" t="n">
        <x:v>45503</x:v>
      </x:c>
      <x:c r="C62" s="340" t="str">
        <x:v>245821/24/CBMP-QLD</x:v>
      </x:c>
      <x:c r="D62" s="340" t="str">
        <x:v>Ksurgery Hydrawave Hyaluronic Thermal Water</x:v>
      </x:c>
      <x:c r="E62" s="340" t="str">
        <x:v>Ksurgery</x:v>
      </x:c>
      <x:c r="F62" s="340" t="str">
        <x:v>Khác</x:v>
      </x:c>
      <x:c r="G62" s="340" t="str">
        <x:v>Công ty TNHH Y Dược Quốc Tế Đông Nam</x:v>
      </x:c>
      <x:c r="H62" s="340"/>
      <x:c r="I62" s="340"/>
      <x:c r="J62" s="340" t="str">
        <x:v>Đã thu hồi – QĐ 97/QĐ-QLD ngày 06/02/2026</x:v>
      </x:c>
      <x:c r="K62" s="340" t="str">
        <x:v>A+++ – phụ lục chính thức 252 số; block STT 1–56 explicit responsible company</x:v>
      </x:c>
      <x:c r="L62" s="340"/>
      <x:c r="M62" s="340" t="str">
        <x:v>https://doanket.laichau.gov.vn/upload/103883/20260210/Cong_van_ve_viec_Thu_hoi_so_tiep_nhan_Phieu_cong_bo_san_pham_my_pham_03_cong_ty__CT_Y_duoc_Quoc_te_Dong_Nam__Duoc_pham_toan_cau_Dong_Nam__XNK_Quoc_te_Dong_Nam__2dec5.pdf</x:v>
      </x:c>
      <x:c r="N62" s="340"/>
      <x:c r="O62" s="340" t="str">
        <x:v>Bulk QĐ97; thu hồi tự nguyện do không còn nhu cầu kinh doanh.</x:v>
      </x:c>
    </x:row>
    <x:row r="63">
      <x:c r="A63" s="340" t="str">
        <x:v>IMP0062</x:v>
      </x:c>
      <x:c r="B63" s="506" t="n">
        <x:v>45657</x:v>
      </x:c>
      <x:c r="C63" s="340" t="str">
        <x:v>261417/24/CBMP-QLD</x:v>
      </x:c>
      <x:c r="D63" s="340" t="str">
        <x:v>Ksurgery Hyaluronic Dionis RcO Ultra Restorative Rich Cream</x:v>
      </x:c>
      <x:c r="E63" s="340" t="str">
        <x:v>Ksurgery</x:v>
      </x:c>
      <x:c r="F63" s="340" t="str">
        <x:v>Kem dưỡng da</x:v>
      </x:c>
      <x:c r="G63" s="340" t="str">
        <x:v>Công ty TNHH Y Dược Quốc Tế Đông Nam</x:v>
      </x:c>
      <x:c r="H63" s="340"/>
      <x:c r="I63" s="340"/>
      <x:c r="J63" s="340" t="str">
        <x:v>Đã thu hồi – QĐ 97/QĐ-QLD ngày 06/02/2026</x:v>
      </x:c>
      <x:c r="K63" s="340" t="str">
        <x:v>A+++ – phụ lục chính thức 252 số; block STT 1–56 explicit responsible company</x:v>
      </x:c>
      <x:c r="L63" s="340"/>
      <x:c r="M63" s="340" t="str">
        <x:v>https://doanket.laichau.gov.vn/upload/103883/20260210/Cong_van_ve_viec_Thu_hoi_so_tiep_nhan_Phieu_cong_bo_san_pham_my_pham_03_cong_ty__CT_Y_duoc_Quoc_te_Dong_Nam__Duoc_pham_toan_cau_Dong_Nam__XNK_Quoc_te_Dong_Nam__2dec5.pdf</x:v>
      </x:c>
      <x:c r="N63" s="340"/>
      <x:c r="O63" s="340" t="str">
        <x:v>Bulk QĐ97; thu hồi tự nguyện do không còn nhu cầu kinh doanh.</x:v>
      </x:c>
    </x:row>
    <x:row r="64">
      <x:c r="A64" s="340" t="str">
        <x:v>IMP0063</x:v>
      </x:c>
      <x:c r="B64" s="506" t="n">
        <x:v>45657</x:v>
      </x:c>
      <x:c r="C64" s="340" t="str">
        <x:v>261419/24/CBMP-QLD</x:v>
      </x:c>
      <x:c r="D64" s="340" t="str">
        <x:v>Ksurgery Hyaluronic Dionis RcO Restorative Rich Cream</x:v>
      </x:c>
      <x:c r="E64" s="340" t="str">
        <x:v>Ksurgery</x:v>
      </x:c>
      <x:c r="F64" s="340" t="str">
        <x:v>Kem dưỡng da</x:v>
      </x:c>
      <x:c r="G64" s="340" t="str">
        <x:v>Công ty TNHH Y Dược Quốc Tế Đông Nam</x:v>
      </x:c>
      <x:c r="H64" s="340"/>
      <x:c r="I64" s="340"/>
      <x:c r="J64" s="340" t="str">
        <x:v>Đã thu hồi – QĐ 97/QĐ-QLD ngày 06/02/2026</x:v>
      </x:c>
      <x:c r="K64" s="340" t="str">
        <x:v>A+++ – phụ lục chính thức 252 số; block STT 1–56 explicit responsible company</x:v>
      </x:c>
      <x:c r="L64" s="340"/>
      <x:c r="M64" s="340" t="str">
        <x:v>https://doanket.laichau.gov.vn/upload/103883/20260210/Cong_van_ve_viec_Thu_hoi_so_tiep_nhan_Phieu_cong_bo_san_pham_my_pham_03_cong_ty__CT_Y_duoc_Quoc_te_Dong_Nam__Duoc_pham_toan_cau_Dong_Nam__XNK_Quoc_te_Dong_Nam__2dec5.pdf</x:v>
      </x:c>
      <x:c r="N64" s="340"/>
      <x:c r="O64" s="340" t="str">
        <x:v>Bulk QĐ97; thu hồi tự nguyện do không còn nhu cầu kinh doanh.</x:v>
      </x:c>
    </x:row>
    <x:row r="65">
      <x:c r="A65" s="340" t="str">
        <x:v>IMP0064</x:v>
      </x:c>
      <x:c r="B65" s="506" t="n">
        <x:v>45657</x:v>
      </x:c>
      <x:c r="C65" s="340" t="str">
        <x:v>261420/24/CBMP-QLD</x:v>
      </x:c>
      <x:c r="D65" s="340" t="str">
        <x:v>Ksurgery Hyaluronic Dionis RcO Invigorating Face Serum</x:v>
      </x:c>
      <x:c r="E65" s="340" t="str">
        <x:v>Ksurgery</x:v>
      </x:c>
      <x:c r="F65" s="340" t="str">
        <x:v>Serum/Essence da</x:v>
      </x:c>
      <x:c r="G65" s="340" t="str">
        <x:v>Công ty TNHH Y Dược Quốc Tế Đông Nam</x:v>
      </x:c>
      <x:c r="H65" s="340"/>
      <x:c r="I65" s="340"/>
      <x:c r="J65" s="340" t="str">
        <x:v>Đã thu hồi – QĐ 97/QĐ-QLD ngày 06/02/2026</x:v>
      </x:c>
      <x:c r="K65" s="340" t="str">
        <x:v>A+++ – phụ lục chính thức 252 số; block STT 1–56 explicit responsible company</x:v>
      </x:c>
      <x:c r="L65" s="340"/>
      <x:c r="M65" s="340" t="str">
        <x:v>https://doanket.laichau.gov.vn/upload/103883/20260210/Cong_van_ve_viec_Thu_hoi_so_tiep_nhan_Phieu_cong_bo_san_pham_my_pham_03_cong_ty__CT_Y_duoc_Quoc_te_Dong_Nam__Duoc_pham_toan_cau_Dong_Nam__XNK_Quoc_te_Dong_Nam__2dec5.pdf</x:v>
      </x:c>
      <x:c r="N65" s="340"/>
      <x:c r="O65" s="340" t="str">
        <x:v>Bulk QĐ97; thu hồi tự nguyện do không còn nhu cầu kinh doanh.</x:v>
      </x:c>
    </x:row>
    <x:row r="66">
      <x:c r="A66" s="340" t="str">
        <x:v>IMP0065</x:v>
      </x:c>
      <x:c r="B66" s="506" t="n">
        <x:v>45657</x:v>
      </x:c>
      <x:c r="C66" s="340" t="str">
        <x:v>261418/24/CBMP-QLD</x:v>
      </x:c>
      <x:c r="D66" s="340" t="str">
        <x:v>Ksurgery Hyaluronic Dionis RcO Day &amp; night dockable mask</x:v>
      </x:c>
      <x:c r="E66" s="340" t="str">
        <x:v>Ksurgery</x:v>
      </x:c>
      <x:c r="F66" s="340" t="str">
        <x:v>Mặt nạ</x:v>
      </x:c>
      <x:c r="G66" s="340" t="str">
        <x:v>Công ty TNHH Y Dược Quốc Tế Đông Nam</x:v>
      </x:c>
      <x:c r="H66" s="340"/>
      <x:c r="I66" s="340"/>
      <x:c r="J66" s="340" t="str">
        <x:v>Đã thu hồi – QĐ 97/QĐ-QLD ngày 06/02/2026</x:v>
      </x:c>
      <x:c r="K66" s="340" t="str">
        <x:v>A+++ – phụ lục chính thức 252 số; block STT 1–56 explicit responsible company</x:v>
      </x:c>
      <x:c r="L66" s="340"/>
      <x:c r="M66" s="340" t="str">
        <x:v>https://doanket.laichau.gov.vn/upload/103883/20260210/Cong_van_ve_viec_Thu_hoi_so_tiep_nhan_Phieu_cong_bo_san_pham_my_pham_03_cong_ty__CT_Y_duoc_Quoc_te_Dong_Nam__Duoc_pham_toan_cau_Dong_Nam__XNK_Quoc_te_Dong_Nam__2dec5.pdf</x:v>
      </x:c>
      <x:c r="N66" s="340"/>
      <x:c r="O66" s="340" t="str">
        <x:v>Bulk QĐ97; thu hồi tự nguyện do không còn nhu cầu kinh doanh.</x:v>
      </x:c>
    </x:row>
    <x:row r="67">
      <x:c r="A67" s="340" t="str">
        <x:v>IMP0066</x:v>
      </x:c>
      <x:c r="B67" s="506" t="n">
        <x:v>45657</x:v>
      </x:c>
      <x:c r="C67" s="340" t="str">
        <x:v>261421/24/CBMP-QLD</x:v>
      </x:c>
      <x:c r="D67" s="340" t="str">
        <x:v>Ksurgery Hyaluronic Dionis RcO Youth Intense Eyes And Lips Serum</x:v>
      </x:c>
      <x:c r="E67" s="340" t="str">
        <x:v>Ksurgery</x:v>
      </x:c>
      <x:c r="F67" s="340" t="str">
        <x:v>Serum/Essence da</x:v>
      </x:c>
      <x:c r="G67" s="340" t="str">
        <x:v>Công ty TNHH Y Dược Quốc Tế Đông Nam</x:v>
      </x:c>
      <x:c r="H67" s="340"/>
      <x:c r="I67" s="340"/>
      <x:c r="J67" s="340" t="str">
        <x:v>Đã thu hồi – QĐ 97/QĐ-QLD ngày 06/02/2026</x:v>
      </x:c>
      <x:c r="K67" s="340" t="str">
        <x:v>A+++ – phụ lục chính thức 252 số; block STT 1–56 explicit responsible company</x:v>
      </x:c>
      <x:c r="L67" s="340"/>
      <x:c r="M67" s="340" t="str">
        <x:v>https://doanket.laichau.gov.vn/upload/103883/20260210/Cong_van_ve_viec_Thu_hoi_so_tiep_nhan_Phieu_cong_bo_san_pham_my_pham_03_cong_ty__CT_Y_duoc_Quoc_te_Dong_Nam__Duoc_pham_toan_cau_Dong_Nam__XNK_Quoc_te_Dong_Nam__2dec5.pdf</x:v>
      </x:c>
      <x:c r="N67" s="340"/>
      <x:c r="O67" s="340" t="str">
        <x:v>Bulk QĐ97; thu hồi tự nguyện do không còn nhu cầu kinh doanh.</x:v>
      </x:c>
    </x:row>
    <x:row r="68">
      <x:c r="A68" s="340" t="str">
        <x:v>IMP0067</x:v>
      </x:c>
      <x:c r="B68" s="506" t="n">
        <x:v>45408</x:v>
      </x:c>
      <x:c r="C68" s="340" t="str">
        <x:v>234575/24/CBMP-QLD</x:v>
      </x:c>
      <x:c r="D68" s="340" t="str">
        <x:v>INNOAESTHETICS INNO-TDS CYNARA PLUS+</x:v>
      </x:c>
      <x:c r="E68" s="340" t="str">
        <x:v>INNOAESTHETICS</x:v>
      </x:c>
      <x:c r="F68" s="340" t="str">
        <x:v>Khác</x:v>
      </x:c>
      <x:c r="G68" s="340" t="str">
        <x:v>Công ty TNHH Dược Phẩm Toàn Cầu Đông Nam</x:v>
      </x:c>
      <x:c r="H68" s="340"/>
      <x:c r="I68" s="340"/>
      <x:c r="J68" s="340" t="str">
        <x:v>Đã thu hồi – QĐ 97/QĐ-QLD ngày 06/02/2026</x:v>
      </x:c>
      <x:c r="K68" s="340" t="str">
        <x:v>A+++ – phụ lục chính thức 252 số; responsible company explicit STT 57–182</x:v>
      </x:c>
      <x:c r="L68" s="340"/>
      <x:c r="M68" s="340" t="str">
        <x:v>https://doanket.laichau.gov.vn/upload/103883/20260210/Cong_van_ve_viec_Thu_hoi_so_tiep_nhan_Phieu_cong_bo_san_pham_my_pham_03_cong_ty__CT_Y_duoc_Quoc_te_Dong_Nam__Duoc_pham_toan_cau_Dong_Nam__XNK_Quoc_te_Dong_Nam__2dec5.pdf</x:v>
      </x:c>
      <x:c r="N68" s="340"/>
      <x:c r="O68" s="340" t="str">
        <x:v>Bulk QĐ97; thu hồi tự nguyện do không còn nhu cầu kinh doanh.</x:v>
      </x:c>
    </x:row>
    <x:row r="69">
      <x:c r="A69" s="340" t="str">
        <x:v>IMP0068</x:v>
      </x:c>
      <x:c r="B69" s="506" t="n">
        <x:v>45408</x:v>
      </x:c>
      <x:c r="C69" s="340" t="str">
        <x:v>234599/24/CBMP-QLD</x:v>
      </x:c>
      <x:c r="D69" s="340" t="str">
        <x:v>INNOAESTHETICS INNO-EPIGEN SUBLIME NIGHT CREAM</x:v>
      </x:c>
      <x:c r="E69" s="340" t="str">
        <x:v>INNOAESTHETICS</x:v>
      </x:c>
      <x:c r="F69" s="340" t="str">
        <x:v>Kem dưỡng da</x:v>
      </x:c>
      <x:c r="G69" s="340" t="str">
        <x:v>Công ty TNHH Dược Phẩm Toàn Cầu Đông Nam</x:v>
      </x:c>
      <x:c r="H69" s="340"/>
      <x:c r="I69" s="340"/>
      <x:c r="J69" s="340" t="str">
        <x:v>Đã thu hồi – QĐ 97/QĐ-QLD ngày 06/02/2026</x:v>
      </x:c>
      <x:c r="K69" s="340" t="str">
        <x:v>A+++ – phụ lục chính thức 252 số; responsible company explicit STT 57–182</x:v>
      </x:c>
      <x:c r="L69" s="340"/>
      <x:c r="M69" s="340" t="str">
        <x:v>https://doanket.laichau.gov.vn/upload/103883/20260210/Cong_van_ve_viec_Thu_hoi_so_tiep_nhan_Phieu_cong_bo_san_pham_my_pham_03_cong_ty__CT_Y_duoc_Quoc_te_Dong_Nam__Duoc_pham_toan_cau_Dong_Nam__XNK_Quoc_te_Dong_Nam__2dec5.pdf</x:v>
      </x:c>
      <x:c r="N69" s="340"/>
      <x:c r="O69" s="340" t="str">
        <x:v>Bulk QĐ97; thu hồi tự nguyện do không còn nhu cầu kinh doanh.</x:v>
      </x:c>
    </x:row>
    <x:row r="70">
      <x:c r="A70" t="str">
        <x:v>IMP0069</x:v>
      </x:c>
      <x:c r="B70" s="330" t="n">
        <x:v>45408</x:v>
      </x:c>
      <x:c r="C70" t="str">
        <x:v>234600/24/CBMP-QLD</x:v>
      </x:c>
      <x:c r="D70" t="str">
        <x:v>INNOAESTHETICS INNO-EXFO NEUTRALIZER</x:v>
      </x:c>
      <x:c r="E70" t="str">
        <x:v>INNOAESTHETICS</x:v>
      </x:c>
      <x:c r="F70" t="str">
        <x:v>Khác</x:v>
      </x:c>
      <x:c r="G70" t="str">
        <x:v>Công ty TNHH Dược Phẩm Toàn Cầu Đông Nam</x:v>
      </x:c>
      <x:c r="H70"/>
      <x:c r="I70"/>
      <x:c r="J70" t="str">
        <x:v>Đã thu hồi – QĐ 97/QĐ-QLD ngày 06/02/2026</x:v>
      </x:c>
      <x:c r="K70" t="str">
        <x:v>A+++ – phụ lục chính thức 252 số; responsible company explicit STT 57–182</x:v>
      </x:c>
      <x:c r="L70"/>
      <x:c r="M70" t="str">
        <x:v>https://doanket.laichau.gov.vn/upload/103883/20260210/Cong_van_ve_viec_Thu_hoi_so_tiep_nhan_Phieu_cong_bo_san_pham_my_pham_03_cong_ty__CT_Y_duoc_Quoc_te_Dong_Nam__Duoc_pham_toan_cau_Dong_Nam__XNK_Quoc_te_Dong_Nam__2dec5.pdf</x:v>
      </x:c>
      <x:c r="N70"/>
      <x:c r="O70" t="str">
        <x:v>Bulk QĐ97; thu hồi tự nguyện do không còn nhu cầu kinh doanh.</x:v>
      </x:c>
    </x:row>
    <x:row r="71">
      <x:c r="A71" t="str">
        <x:v>IMP0070</x:v>
      </x:c>
      <x:c r="B71" s="330" t="n">
        <x:v>45408</x:v>
      </x:c>
      <x:c r="C71" t="str">
        <x:v>234601/24/CBMP-QLD</x:v>
      </x:c>
      <x:c r="D71" t="str">
        <x:v>INNOAESTHETICS INNODERMA AKN DAY GEL</x:v>
      </x:c>
      <x:c r="E71" t="str">
        <x:v>INNOAESTHETICS</x:v>
      </x:c>
      <x:c r="F71" t="str">
        <x:v>Kem dưỡng da</x:v>
      </x:c>
      <x:c r="G71" t="str">
        <x:v>Công ty TNHH Dược Phẩm Toàn Cầu Đông Nam</x:v>
      </x:c>
      <x:c r="H71"/>
      <x:c r="I71"/>
      <x:c r="J71" t="str">
        <x:v>Đã thu hồi – QĐ 97/QĐ-QLD ngày 06/02/2026</x:v>
      </x:c>
      <x:c r="K71" t="str">
        <x:v>A+++ – phụ lục chính thức 252 số; responsible company explicit STT 57–182</x:v>
      </x:c>
      <x:c r="L71"/>
      <x:c r="M71" t="str">
        <x:v>https://doanket.laichau.gov.vn/upload/103883/20260210/Cong_van_ve_viec_Thu_hoi_so_tiep_nhan_Phieu_cong_bo_san_pham_my_pham_03_cong_ty__CT_Y_duoc_Quoc_te_Dong_Nam__Duoc_pham_toan_cau_Dong_Nam__XNK_Quoc_te_Dong_Nam__2dec5.pdf</x:v>
      </x:c>
      <x:c r="N71"/>
      <x:c r="O71" t="str">
        <x:v>Bulk QĐ97; thu hồi tự nguyện do không còn nhu cầu kinh doanh.</x:v>
      </x:c>
    </x:row>
    <x:row r="72">
      <x:c r="A72" t="str">
        <x:v>IMP0071</x:v>
      </x:c>
      <x:c r="B72" s="330" t="n">
        <x:v>45408</x:v>
      </x:c>
      <x:c r="C72" t="str">
        <x:v>234648/24/CBMP-QLD</x:v>
      </x:c>
      <x:c r="D72" t="str">
        <x:v>INNOAESTHETICS INNO-EPIGEN PERFECT GLOW</x:v>
      </x:c>
      <x:c r="E72" t="str">
        <x:v>INNOAESTHETICS</x:v>
      </x:c>
      <x:c r="F72" t="str">
        <x:v>Khác</x:v>
      </x:c>
      <x:c r="G72" t="str">
        <x:v>Công ty TNHH Dược Phẩm Toàn Cầu Đông Nam</x:v>
      </x:c>
      <x:c r="H72"/>
      <x:c r="I72"/>
      <x:c r="J72" t="str">
        <x:v>Đã thu hồi – QĐ 97/QĐ-QLD ngày 06/02/2026</x:v>
      </x:c>
      <x:c r="K72" t="str">
        <x:v>A+++ – phụ lục chính thức 252 số; responsible company explicit STT 57–182</x:v>
      </x:c>
      <x:c r="L72"/>
      <x:c r="M72" t="str">
        <x:v>https://doanket.laichau.gov.vn/upload/103883/20260210/Cong_van_ve_viec_Thu_hoi_so_tiep_nhan_Phieu_cong_bo_san_pham_my_pham_03_cong_ty__CT_Y_duoc_Quoc_te_Dong_Nam__Duoc_pham_toan_cau_Dong_Nam__XNK_Quoc_te_Dong_Nam__2dec5.pdf</x:v>
      </x:c>
      <x:c r="N72"/>
      <x:c r="O72" t="str">
        <x:v>Bulk QĐ97; thu hồi tự nguyện do không còn nhu cầu kinh doanh.</x:v>
      </x:c>
    </x:row>
    <x:row r="73">
      <x:c r="A73" t="str">
        <x:v>IMP0072</x:v>
      </x:c>
      <x:c r="B73" s="330" t="n">
        <x:v>45408</x:v>
      </x:c>
      <x:c r="C73" t="str">
        <x:v>234654/24/CBMP-QLD</x:v>
      </x:c>
      <x:c r="D73" t="str">
        <x:v>INNOAESTHETICS INNO-TDS SENSITIVE-ID</x:v>
      </x:c>
      <x:c r="E73" t="str">
        <x:v>INNOAESTHETICS</x:v>
      </x:c>
      <x:c r="F73" t="str">
        <x:v>Khác</x:v>
      </x:c>
      <x:c r="G73" t="str">
        <x:v>Công ty TNHH Dược Phẩm Toàn Cầu Đông Nam</x:v>
      </x:c>
      <x:c r="H73"/>
      <x:c r="I73"/>
      <x:c r="J73" t="str">
        <x:v>Đã thu hồi – QĐ 97/QĐ-QLD ngày 06/02/2026</x:v>
      </x:c>
      <x:c r="K73" t="str">
        <x:v>A+++ – phụ lục chính thức 252 số; responsible company explicit STT 57–182</x:v>
      </x:c>
      <x:c r="L73"/>
      <x:c r="M73" t="str">
        <x:v>https://doanket.laichau.gov.vn/upload/103883/20260210/Cong_van_ve_viec_Thu_hoi_so_tiep_nhan_Phieu_cong_bo_san_pham_my_pham_03_cong_ty__CT_Y_duoc_Quoc_te_Dong_Nam__Duoc_pham_toan_cau_Dong_Nam__XNK_Quoc_te_Dong_Nam__2dec5.pdf</x:v>
      </x:c>
      <x:c r="N73"/>
      <x:c r="O73" t="str">
        <x:v>Bulk QĐ97; thu hồi tự nguyện do không còn nhu cầu kinh doanh.</x:v>
      </x:c>
    </x:row>
    <x:row r="74">
      <x:c r="A74" t="str">
        <x:v>IMP0073</x:v>
      </x:c>
      <x:c r="B74" s="330" t="n">
        <x:v>45408</x:v>
      </x:c>
      <x:c r="C74" t="str">
        <x:v>234655/24/CBMP-QLD</x:v>
      </x:c>
      <x:c r="D74" t="str">
        <x:v>INNOAESTHETICS INNO-TDS HYALURONIDASE</x:v>
      </x:c>
      <x:c r="E74" t="str">
        <x:v>INNOAESTHETICS</x:v>
      </x:c>
      <x:c r="F74" t="str">
        <x:v>Khác</x:v>
      </x:c>
      <x:c r="G74" t="str">
        <x:v>Công ty TNHH Dược Phẩm Toàn Cầu Đông Nam</x:v>
      </x:c>
      <x:c r="H74"/>
      <x:c r="I74"/>
      <x:c r="J74" t="str">
        <x:v>Đã thu hồi – QĐ 97/QĐ-QLD ngày 06/02/2026</x:v>
      </x:c>
      <x:c r="K74" t="str">
        <x:v>A+++ – phụ lục chính thức 252 số; responsible company explicit STT 57–182</x:v>
      </x:c>
      <x:c r="L74"/>
      <x:c r="M74" t="str">
        <x:v>https://doanket.laichau.gov.vn/upload/103883/20260210/Cong_van_ve_viec_Thu_hoi_so_tiep_nhan_Phieu_cong_bo_san_pham_my_pham_03_cong_ty__CT_Y_duoc_Quoc_te_Dong_Nam__Duoc_pham_toan_cau_Dong_Nam__XNK_Quoc_te_Dong_Nam__2dec5.pdf</x:v>
      </x:c>
      <x:c r="N74"/>
      <x:c r="O74" t="str">
        <x:v>Bulk QĐ97; thu hồi tự nguyện do không còn nhu cầu kinh doanh.</x:v>
      </x:c>
    </x:row>
    <x:row r="75">
      <x:c r="A75" t="str">
        <x:v>IMP0074</x:v>
      </x:c>
      <x:c r="B75" s="330" t="n">
        <x:v>45408</x:v>
      </x:c>
      <x:c r="C75" t="str">
        <x:v>234656/24/CBMP-QLD</x:v>
      </x:c>
      <x:c r="D75" t="str">
        <x:v>INNOAESTHETICS INNO-TDS HYALURONIC ACID</x:v>
      </x:c>
      <x:c r="E75" t="str">
        <x:v>INNOAESTHETICS</x:v>
      </x:c>
      <x:c r="F75" t="str">
        <x:v>Khác</x:v>
      </x:c>
      <x:c r="G75" t="str">
        <x:v>Công ty TNHH Dược Phẩm Toàn Cầu Đông Nam</x:v>
      </x:c>
      <x:c r="H75"/>
      <x:c r="I75"/>
      <x:c r="J75" t="str">
        <x:v>Đã thu hồi – QĐ 97/QĐ-QLD ngày 06/02/2026</x:v>
      </x:c>
      <x:c r="K75" t="str">
        <x:v>A+++ – phụ lục chính thức 252 số; responsible company explicit STT 57–182</x:v>
      </x:c>
      <x:c r="L75"/>
      <x:c r="M75" t="str">
        <x:v>https://doanket.laichau.gov.vn/upload/103883/20260210/Cong_van_ve_viec_Thu_hoi_so_tiep_nhan_Phieu_cong_bo_san_pham_my_pham_03_cong_ty__CT_Y_duoc_Quoc_te_Dong_Nam__Duoc_pham_toan_cau_Dong_Nam__XNK_Quoc_te_Dong_Nam__2dec5.pdf</x:v>
      </x:c>
      <x:c r="N75"/>
      <x:c r="O75" t="str">
        <x:v>Bulk QĐ97; thu hồi tự nguyện do không còn nhu cầu kinh doanh.</x:v>
      </x:c>
    </x:row>
    <x:row r="76">
      <x:c r="A76" t="str">
        <x:v>IMP0075</x:v>
      </x:c>
      <x:c r="B76" s="330" t="n">
        <x:v>45417</x:v>
      </x:c>
      <x:c r="C76" t="str">
        <x:v>234945/24/CBMP-QLD</x:v>
      </x:c>
      <x:c r="D76" t="str">
        <x:v>INNOAESTHETICS INNO-EPIGEN AGE PERFECTION SERUM</x:v>
      </x:c>
      <x:c r="E76" t="str">
        <x:v>INNOAESTHETICS</x:v>
      </x:c>
      <x:c r="F76" t="str">
        <x:v>Serum/Essence da</x:v>
      </x:c>
      <x:c r="G76" t="str">
        <x:v>Công ty TNHH Dược Phẩm Toàn Cầu Đông Nam</x:v>
      </x:c>
      <x:c r="H76"/>
      <x:c r="I76"/>
      <x:c r="J76" t="str">
        <x:v>Đã thu hồi – QĐ 97/QĐ-QLD ngày 06/02/2026</x:v>
      </x:c>
      <x:c r="K76" t="str">
        <x:v>A+++ – phụ lục chính thức 252 số; responsible company explicit STT 57–182</x:v>
      </x:c>
      <x:c r="L76"/>
      <x:c r="M76" t="str">
        <x:v>https://doanket.laichau.gov.vn/upload/103883/20260210/Cong_van_ve_viec_Thu_hoi_so_tiep_nhan_Phieu_cong_bo_san_pham_my_pham_03_cong_ty__CT_Y_duoc_Quoc_te_Dong_Nam__Duoc_pham_toan_cau_Dong_Nam__XNK_Quoc_te_Dong_Nam__2dec5.pdf</x:v>
      </x:c>
      <x:c r="N76"/>
      <x:c r="O76" t="str">
        <x:v>Bulk QĐ97; thu hồi tự nguyện do không còn nhu cầu kinh doanh.</x:v>
      </x:c>
    </x:row>
    <x:row r="77">
      <x:c r="A77" t="str">
        <x:v>IMP0076</x:v>
      </x:c>
      <x:c r="B77" s="330" t="n">
        <x:v>45417</x:v>
      </x:c>
      <x:c r="C77" t="str">
        <x:v>234957/24/CBMP-QLD</x:v>
      </x:c>
      <x:c r="D77" t="str">
        <x:v>INNOAESTHETICS INNO-EPIGEN PIGMENT DEFENSE SERUM</x:v>
      </x:c>
      <x:c r="E77" t="str">
        <x:v>INNOAESTHETICS</x:v>
      </x:c>
      <x:c r="F77" t="str">
        <x:v>Serum/Essence da</x:v>
      </x:c>
      <x:c r="G77" t="str">
        <x:v>Công ty TNHH Dược Phẩm Toàn Cầu Đông Nam</x:v>
      </x:c>
      <x:c r="H77"/>
      <x:c r="I77"/>
      <x:c r="J77" t="str">
        <x:v>Đã thu hồi – QĐ 97/QĐ-QLD ngày 06/02/2026</x:v>
      </x:c>
      <x:c r="K77" t="str">
        <x:v>A+++ – phụ lục chính thức 252 số; responsible company explicit STT 57–182</x:v>
      </x:c>
      <x:c r="L77"/>
      <x:c r="M77" t="str">
        <x:v>https://doanket.laichau.gov.vn/upload/103883/20260210/Cong_van_ve_viec_Thu_hoi_so_tiep_nhan_Phieu_cong_bo_san_pham_my_pham_03_cong_ty__CT_Y_duoc_Quoc_te_Dong_Nam__Duoc_pham_toan_cau_Dong_Nam__XNK_Quoc_te_Dong_Nam__2dec5.pdf</x:v>
      </x:c>
      <x:c r="N77"/>
      <x:c r="O77" t="str">
        <x:v>Bulk QĐ97; thu hồi tự nguyện do không còn nhu cầu kinh doanh.</x:v>
      </x:c>
    </x:row>
    <x:row r="78">
      <x:c r="A78" t="str">
        <x:v>IMP0077</x:v>
      </x:c>
      <x:c r="B78" s="330" t="n">
        <x:v>45417</x:v>
      </x:c>
      <x:c r="C78" t="str">
        <x:v>234958/24/CBMP-QLD</x:v>
      </x:c>
      <x:c r="D78" t="str">
        <x:v>INNOAESTHETICS INNO-DERMA KERATODERM</x:v>
      </x:c>
      <x:c r="E78" t="str">
        <x:v>INNOAESTHETICS</x:v>
      </x:c>
      <x:c r="F78" t="str">
        <x:v>Khác</x:v>
      </x:c>
      <x:c r="G78" t="str">
        <x:v>Công ty TNHH Dược Phẩm Toàn Cầu Đông Nam</x:v>
      </x:c>
      <x:c r="H78"/>
      <x:c r="I78"/>
      <x:c r="J78" t="str">
        <x:v>Đã thu hồi – QĐ 97/QĐ-QLD ngày 06/02/2026</x:v>
      </x:c>
      <x:c r="K78" t="str">
        <x:v>A+++ – phụ lục chính thức 252 số; responsible company explicit STT 57–182</x:v>
      </x:c>
      <x:c r="L78"/>
      <x:c r="M78" t="str">
        <x:v>https://doanket.laichau.gov.vn/upload/103883/20260210/Cong_van_ve_viec_Thu_hoi_so_tiep_nhan_Phieu_cong_bo_san_pham_my_pham_03_cong_ty__CT_Y_duoc_Quoc_te_Dong_Nam__Duoc_pham_toan_cau_Dong_Nam__XNK_Quoc_te_Dong_Nam__2dec5.pdf</x:v>
      </x:c>
      <x:c r="N78"/>
      <x:c r="O78" t="str">
        <x:v>Bulk QĐ97; thu hồi tự nguyện do không còn nhu cầu kinh doanh.</x:v>
      </x:c>
    </x:row>
    <x:row r="79">
      <x:c r="A79" t="str">
        <x:v>IMP0078</x:v>
      </x:c>
      <x:c r="B79" s="330" t="n">
        <x:v>45417</x:v>
      </x:c>
      <x:c r="C79" t="str">
        <x:v>234960/24/CBMP-QLD</x:v>
      </x:c>
      <x:c r="D79" t="str">
        <x:v>INNOAESTHETICS INNO-EPIGEN ANTIOX SERUM</x:v>
      </x:c>
      <x:c r="E79" t="str">
        <x:v>INNOAESTHETICS</x:v>
      </x:c>
      <x:c r="F79" t="str">
        <x:v>Serum/Essence da</x:v>
      </x:c>
      <x:c r="G79" t="str">
        <x:v>Công ty TNHH Dược Phẩm Toàn Cầu Đông Nam</x:v>
      </x:c>
      <x:c r="H79"/>
      <x:c r="I79"/>
      <x:c r="J79" t="str">
        <x:v>Đã thu hồi – QĐ 97/QĐ-QLD ngày 06/02/2026</x:v>
      </x:c>
      <x:c r="K79" t="str">
        <x:v>A+++ – phụ lục chính thức 252 số; responsible company explicit STT 57–182</x:v>
      </x:c>
      <x:c r="L79"/>
      <x:c r="M79" t="str">
        <x:v>https://doanket.laichau.gov.vn/upload/103883/20260210/Cong_van_ve_viec_Thu_hoi_so_tiep_nhan_Phieu_cong_bo_san_pham_my_pham_03_cong_ty__CT_Y_duoc_Quoc_te_Dong_Nam__Duoc_pham_toan_cau_Dong_Nam__XNK_Quoc_te_Dong_Nam__2dec5.pdf</x:v>
      </x:c>
      <x:c r="N79"/>
      <x:c r="O79" t="str">
        <x:v>Bulk QĐ97; thu hồi tự nguyện do không còn nhu cầu kinh doanh.</x:v>
      </x:c>
    </x:row>
    <x:row r="80">
      <x:c r="A80" t="str">
        <x:v>IMP0079</x:v>
      </x:c>
      <x:c r="B80" s="330" t="n">
        <x:v>45417</x:v>
      </x:c>
      <x:c r="C80" t="str">
        <x:v>234961/24/CBMP-QLD</x:v>
      </x:c>
      <x:c r="D80" t="str">
        <x:v>INNOAESTHETICS INNO-EPIGEN PURIFYING SERUM</x:v>
      </x:c>
      <x:c r="E80" t="str">
        <x:v>INNOAESTHETICS</x:v>
      </x:c>
      <x:c r="F80" t="str">
        <x:v>Serum/Essence da</x:v>
      </x:c>
      <x:c r="G80" t="str">
        <x:v>Công ty TNHH Dược Phẩm Toàn Cầu Đông Nam</x:v>
      </x:c>
      <x:c r="H80"/>
      <x:c r="I80"/>
      <x:c r="J80" t="str">
        <x:v>Đã thu hồi – QĐ 97/QĐ-QLD ngày 06/02/2026</x:v>
      </x:c>
      <x:c r="K80" t="str">
        <x:v>A+++ – phụ lục chính thức 252 số; responsible company explicit STT 57–182</x:v>
      </x:c>
      <x:c r="L80"/>
      <x:c r="M80" t="str">
        <x:v>https://doanket.laichau.gov.vn/upload/103883/20260210/Cong_van_ve_viec_Thu_hoi_so_tiep_nhan_Phieu_cong_bo_san_pham_my_pham_03_cong_ty__CT_Y_duoc_Quoc_te_Dong_Nam__Duoc_pham_toan_cau_Dong_Nam__XNK_Quoc_te_Dong_Nam__2dec5.pdf</x:v>
      </x:c>
      <x:c r="N80"/>
      <x:c r="O80" t="str">
        <x:v>Bulk QĐ97; thu hồi tự nguyện do không còn nhu cầu kinh doanh.</x:v>
      </x:c>
    </x:row>
    <x:row r="81">
      <x:c r="A81" t="str">
        <x:v>IMP0080</x:v>
      </x:c>
      <x:c r="B81" s="330" t="n">
        <x:v>45417</x:v>
      </x:c>
      <x:c r="C81" t="str">
        <x:v>234965/24/CBMP-QLD</x:v>
      </x:c>
      <x:c r="D81" t="str">
        <x:v>INNOAESTHETICS INNO-DERMA REFRESH MASK</x:v>
      </x:c>
      <x:c r="E81" t="str">
        <x:v>INNOAESTHETICS</x:v>
      </x:c>
      <x:c r="F81" t="str">
        <x:v>Mặt nạ</x:v>
      </x:c>
      <x:c r="G81" t="str">
        <x:v>Công ty TNHH Dược Phẩm Toàn Cầu Đông Nam</x:v>
      </x:c>
      <x:c r="H81"/>
      <x:c r="I81"/>
      <x:c r="J81" t="str">
        <x:v>Đã thu hồi – QĐ 97/QĐ-QLD ngày 06/02/2026</x:v>
      </x:c>
      <x:c r="K81" t="str">
        <x:v>A+++ – phụ lục chính thức 252 số; responsible company explicit STT 57–182</x:v>
      </x:c>
      <x:c r="L81"/>
      <x:c r="M81" t="str">
        <x:v>https://doanket.laichau.gov.vn/upload/103883/20260210/Cong_van_ve_viec_Thu_hoi_so_tiep_nhan_Phieu_cong_bo_san_pham_my_pham_03_cong_ty__CT_Y_duoc_Quoc_te_Dong_Nam__Duoc_pham_toan_cau_Dong_Nam__XNK_Quoc_te_Dong_Nam__2dec5.pdf</x:v>
      </x:c>
      <x:c r="N81"/>
      <x:c r="O81" t="str">
        <x:v>Bulk QĐ97; thu hồi tự nguyện do không còn nhu cầu kinh doanh.</x:v>
      </x:c>
    </x:row>
    <x:row r="82">
      <x:c r="A82" t="str">
        <x:v>IMP0081</x:v>
      </x:c>
      <x:c r="B82" s="330" t="n">
        <x:v>45417</x:v>
      </x:c>
      <x:c r="C82" t="str">
        <x:v>234972/24/CBMP-QLD</x:v>
      </x:c>
      <x:c r="D82" t="str">
        <x:v>INNOAESTHETICS INNO-EPIGEN URBAN DAY CREAM SPF20</x:v>
      </x:c>
      <x:c r="E82" t="str">
        <x:v>INNOAESTHETICS</x:v>
      </x:c>
      <x:c r="F82" t="str">
        <x:v>Kem chống nắng</x:v>
      </x:c>
      <x:c r="G82" t="str">
        <x:v>Công ty TNHH Dược Phẩm Toàn Cầu Đông Nam</x:v>
      </x:c>
      <x:c r="H82"/>
      <x:c r="I82"/>
      <x:c r="J82" t="str">
        <x:v>Đã thu hồi – QĐ 97/QĐ-QLD ngày 06/02/2026</x:v>
      </x:c>
      <x:c r="K82" t="str">
        <x:v>A+++ – phụ lục chính thức 252 số; responsible company explicit STT 57–182</x:v>
      </x:c>
      <x:c r="L82"/>
      <x:c r="M82" t="str">
        <x:v>https://doanket.laichau.gov.vn/upload/103883/20260210/Cong_van_ve_viec_Thu_hoi_so_tiep_nhan_Phieu_cong_bo_san_pham_my_pham_03_cong_ty__CT_Y_duoc_Quoc_te_Dong_Nam__Duoc_pham_toan_cau_Dong_Nam__XNK_Quoc_te_Dong_Nam__2dec5.pdf</x:v>
      </x:c>
      <x:c r="N82"/>
      <x:c r="O82" t="str">
        <x:v>Bulk QĐ97; thu hồi tự nguyện do không còn nhu cầu kinh doanh.</x:v>
      </x:c>
    </x:row>
    <x:row r="83">
      <x:c r="A83" t="str">
        <x:v>IMP0082</x:v>
      </x:c>
      <x:c r="B83" s="330" t="n">
        <x:v>45417</x:v>
      </x:c>
      <x:c r="C83" t="str">
        <x:v>234973/24/CBMP-QLD</x:v>
      </x:c>
      <x:c r="D83" t="str">
        <x:v>INNOAESTHETICS INNO-TDS VITAMIN COMPLEX</x:v>
      </x:c>
      <x:c r="E83" t="str">
        <x:v>INNOAESTHETICS</x:v>
      </x:c>
      <x:c r="F83" t="str">
        <x:v>Khác</x:v>
      </x:c>
      <x:c r="G83" t="str">
        <x:v>Công ty TNHH Dược Phẩm Toàn Cầu Đông Nam</x:v>
      </x:c>
      <x:c r="H83"/>
      <x:c r="I83"/>
      <x:c r="J83" t="str">
        <x:v>Đã thu hồi – QĐ 97/QĐ-QLD ngày 06/02/2026</x:v>
      </x:c>
      <x:c r="K83" t="str">
        <x:v>A+++ – phụ lục chính thức 252 số; responsible company explicit STT 57–182</x:v>
      </x:c>
      <x:c r="L83"/>
      <x:c r="M83" t="str">
        <x:v>https://doanket.laichau.gov.vn/upload/103883/20260210/Cong_van_ve_viec_Thu_hoi_so_tiep_nhan_Phieu_cong_bo_san_pham_my_pham_03_cong_ty__CT_Y_duoc_Quoc_te_Dong_Nam__Duoc_pham_toan_cau_Dong_Nam__XNK_Quoc_te_Dong_Nam__2dec5.pdf</x:v>
      </x:c>
      <x:c r="N83"/>
      <x:c r="O83" t="str">
        <x:v>Bulk QĐ97; thu hồi tự nguyện do không còn nhu cầu kinh doanh.</x:v>
      </x:c>
    </x:row>
    <x:row r="84">
      <x:c r="A84" t="str">
        <x:v>IMP0083</x:v>
      </x:c>
      <x:c r="B84" s="330" t="n">
        <x:v>45417</x:v>
      </x:c>
      <x:c r="C84" t="str">
        <x:v>234974/24/CBMP-QLD</x:v>
      </x:c>
      <x:c r="D84" t="str">
        <x:v>INNOAESTHETICS INNO-TDS DRAINING PPC</x:v>
      </x:c>
      <x:c r="E84" t="str">
        <x:v>INNOAESTHETICS</x:v>
      </x:c>
      <x:c r="F84" t="str">
        <x:v>Khác</x:v>
      </x:c>
      <x:c r="G84" t="str">
        <x:v>Công ty TNHH Dược Phẩm Toàn Cầu Đông Nam</x:v>
      </x:c>
      <x:c r="H84"/>
      <x:c r="I84"/>
      <x:c r="J84" t="str">
        <x:v>Đã thu hồi – QĐ 97/QĐ-QLD ngày 06/02/2026</x:v>
      </x:c>
      <x:c r="K84" t="str">
        <x:v>A+++ – phụ lục chính thức 252 số; responsible company explicit STT 57–182</x:v>
      </x:c>
      <x:c r="L84"/>
      <x:c r="M84" t="str">
        <x:v>https://doanket.laichau.gov.vn/upload/103883/20260210/Cong_van_ve_viec_Thu_hoi_so_tiep_nhan_Phieu_cong_bo_san_pham_my_pham_03_cong_ty__CT_Y_duoc_Quoc_te_Dong_Nam__Duoc_pham_toan_cau_Dong_Nam__XNK_Quoc_te_Dong_Nam__2dec5.pdf</x:v>
      </x:c>
      <x:c r="N84"/>
      <x:c r="O84" t="str">
        <x:v>Bulk QĐ97; thu hồi tự nguyện do không còn nhu cầu kinh doanh.</x:v>
      </x:c>
    </x:row>
    <x:row r="85">
      <x:c r="A85" t="str">
        <x:v>IMP0084</x:v>
      </x:c>
      <x:c r="B85" s="330" t="n">
        <x:v>45417</x:v>
      </x:c>
      <x:c r="C85" t="str">
        <x:v>234984/24/CBMP-QLD</x:v>
      </x:c>
      <x:c r="D85" t="str">
        <x:v>INNOAESTHETICS INNO-TDS TIGF</x:v>
      </x:c>
      <x:c r="E85" t="str">
        <x:v>INNOAESTHETICS</x:v>
      </x:c>
      <x:c r="F85" t="str">
        <x:v>Khác</x:v>
      </x:c>
      <x:c r="G85" t="str">
        <x:v>Công ty TNHH Dược Phẩm Toàn Cầu Đông Nam</x:v>
      </x:c>
      <x:c r="H85"/>
      <x:c r="I85"/>
      <x:c r="J85" t="str">
        <x:v>Đã thu hồi – QĐ 97/QĐ-QLD ngày 06/02/2026</x:v>
      </x:c>
      <x:c r="K85" t="str">
        <x:v>A+++ – phụ lục chính thức 252 số; responsible company explicit STT 57–182</x:v>
      </x:c>
      <x:c r="L85"/>
      <x:c r="M85" t="str">
        <x:v>https://doanket.laichau.gov.vn/upload/103883/20260210/Cong_van_ve_viec_Thu_hoi_so_tiep_nhan_Phieu_cong_bo_san_pham_my_pham_03_cong_ty__CT_Y_duoc_Quoc_te_Dong_Nam__Duoc_pham_toan_cau_Dong_Nam__XNK_Quoc_te_Dong_Nam__2dec5.pdf</x:v>
      </x:c>
      <x:c r="N85"/>
      <x:c r="O85" t="str">
        <x:v>Bulk QĐ97; thu hồi tự nguyện do không còn nhu cầu kinh doanh.</x:v>
      </x:c>
    </x:row>
    <x:row r="86">
      <x:c r="A86" t="str">
        <x:v>IMP0085</x:v>
      </x:c>
      <x:c r="B86" s="330" t="n">
        <x:v>45417</x:v>
      </x:c>
      <x:c r="C86" t="str">
        <x:v>234985/24/CBMP-QLD</x:v>
      </x:c>
      <x:c r="D86" t="str">
        <x:v>INNOAESTHETICS INNO-TDS SLIMMING</x:v>
      </x:c>
      <x:c r="E86" t="str">
        <x:v>INNOAESTHETICS</x:v>
      </x:c>
      <x:c r="F86" t="str">
        <x:v>Khác</x:v>
      </x:c>
      <x:c r="G86" t="str">
        <x:v>Công ty TNHH Dược Phẩm Toàn Cầu Đông Nam</x:v>
      </x:c>
      <x:c r="H86"/>
      <x:c r="I86"/>
      <x:c r="J86" t="str">
        <x:v>Đã thu hồi – QĐ 97/QĐ-QLD ngày 06/02/2026</x:v>
      </x:c>
      <x:c r="K86" t="str">
        <x:v>A+++ – phụ lục chính thức 252 số; responsible company explicit STT 57–182</x:v>
      </x:c>
      <x:c r="L86"/>
      <x:c r="M86" t="str">
        <x:v>https://doanket.laichau.gov.vn/upload/103883/20260210/Cong_van_ve_viec_Thu_hoi_so_tiep_nhan_Phieu_cong_bo_san_pham_my_pham_03_cong_ty__CT_Y_duoc_Quoc_te_Dong_Nam__Duoc_pham_toan_cau_Dong_Nam__XNK_Quoc_te_Dong_Nam__2dec5.pdf</x:v>
      </x:c>
      <x:c r="N86"/>
      <x:c r="O86" t="str">
        <x:v>Bulk QĐ97; thu hồi tự nguyện do không còn nhu cầu kinh doanh.</x:v>
      </x:c>
    </x:row>
    <x:row r="87">
      <x:c r="A87" t="str">
        <x:v>IMP0086</x:v>
      </x:c>
      <x:c r="B87" s="330" t="n">
        <x:v>45417</x:v>
      </x:c>
      <x:c r="C87" t="str">
        <x:v>234993/24/CBMP-QLD</x:v>
      </x:c>
      <x:c r="D87" t="str">
        <x:v>INNOAESTHETICS INNO-EPIGEN COVERAGE LIGHT SPF 50+</x:v>
      </x:c>
      <x:c r="E87" t="str">
        <x:v>INNOAESTHETICS</x:v>
      </x:c>
      <x:c r="F87" t="str">
        <x:v>Kem chống nắng</x:v>
      </x:c>
      <x:c r="G87" t="str">
        <x:v>Công ty TNHH Dược Phẩm Toàn Cầu Đông Nam</x:v>
      </x:c>
      <x:c r="H87"/>
      <x:c r="I87"/>
      <x:c r="J87" t="str">
        <x:v>Đã thu hồi – QĐ 97/QĐ-QLD ngày 06/02/2026</x:v>
      </x:c>
      <x:c r="K87" t="str">
        <x:v>A+++ – phụ lục chính thức 252 số; responsible company explicit STT 57–182</x:v>
      </x:c>
      <x:c r="L87"/>
      <x:c r="M87" t="str">
        <x:v>https://doanket.laichau.gov.vn/upload/103883/20260210/Cong_van_ve_viec_Thu_hoi_so_tiep_nhan_Phieu_cong_bo_san_pham_my_pham_03_cong_ty__CT_Y_duoc_Quoc_te_Dong_Nam__Duoc_pham_toan_cau_Dong_Nam__XNK_Quoc_te_Dong_Nam__2dec5.pdf</x:v>
      </x:c>
      <x:c r="N87"/>
      <x:c r="O87" t="str">
        <x:v>Bulk QĐ97; thu hồi tự nguyện do không còn nhu cầu kinh doanh.</x:v>
      </x:c>
    </x:row>
    <x:row r="88">
      <x:c r="A88" t="str">
        <x:v>IMP0087</x:v>
      </x:c>
      <x:c r="B88" s="330" t="n">
        <x:v>45417</x:v>
      </x:c>
      <x:c r="C88" t="str">
        <x:v>235001/24/CBMP-QLD</x:v>
      </x:c>
      <x:c r="D88" t="str">
        <x:v>INNOAESTHETICS INNO-DERMA AKN PURIFIER NIGHT GEL</x:v>
      </x:c>
      <x:c r="E88" t="str">
        <x:v>INNOAESTHETICS</x:v>
      </x:c>
      <x:c r="F88" t="str">
        <x:v>Kem dưỡng da</x:v>
      </x:c>
      <x:c r="G88" t="str">
        <x:v>Công ty TNHH Dược Phẩm Toàn Cầu Đông Nam</x:v>
      </x:c>
      <x:c r="H88"/>
      <x:c r="I88"/>
      <x:c r="J88" t="str">
        <x:v>Đã thu hồi – QĐ 97/QĐ-QLD ngày 06/02/2026</x:v>
      </x:c>
      <x:c r="K88" t="str">
        <x:v>A+++ – phụ lục chính thức 252 số; responsible company explicit STT 57–182</x:v>
      </x:c>
      <x:c r="L88"/>
      <x:c r="M88" t="str">
        <x:v>https://doanket.laichau.gov.vn/upload/103883/20260210/Cong_van_ve_viec_Thu_hoi_so_tiep_nhan_Phieu_cong_bo_san_pham_my_pham_03_cong_ty__CT_Y_duoc_Quoc_te_Dong_Nam__Duoc_pham_toan_cau_Dong_Nam__XNK_Quoc_te_Dong_Nam__2dec5.pdf</x:v>
      </x:c>
      <x:c r="N88"/>
      <x:c r="O88" t="str">
        <x:v>Bulk QĐ97; thu hồi tự nguyện do không còn nhu cầu kinh doanh.</x:v>
      </x:c>
    </x:row>
    <x:row r="89">
      <x:c r="A89" t="str">
        <x:v>IMP0088</x:v>
      </x:c>
      <x:c r="B89" s="330" t="n">
        <x:v>45417</x:v>
      </x:c>
      <x:c r="C89" t="str">
        <x:v>235004/24/CBMP-QLD</x:v>
      </x:c>
      <x:c r="D89" t="str">
        <x:v>INNOAESTHETICS INNO-TDS FILL UP</x:v>
      </x:c>
      <x:c r="E89" t="str">
        <x:v>INNOAESTHETICS</x:v>
      </x:c>
      <x:c r="F89" t="str">
        <x:v>Khác</x:v>
      </x:c>
      <x:c r="G89" t="str">
        <x:v>Công ty TNHH Dược Phẩm Toàn Cầu Đông Nam</x:v>
      </x:c>
      <x:c r="H89"/>
      <x:c r="I89"/>
      <x:c r="J89" t="str">
        <x:v>Đã thu hồi – QĐ 97/QĐ-QLD ngày 06/02/2026</x:v>
      </x:c>
      <x:c r="K89" t="str">
        <x:v>A+++ – phụ lục chính thức 252 số; responsible company explicit STT 57–182</x:v>
      </x:c>
      <x:c r="L89"/>
      <x:c r="M89" t="str">
        <x:v>https://doanket.laichau.gov.vn/upload/103883/20260210/Cong_van_ve_viec_Thu_hoi_so_tiep_nhan_Phieu_cong_bo_san_pham_my_pham_03_cong_ty__CT_Y_duoc_Quoc_te_Dong_Nam__Duoc_pham_toan_cau_Dong_Nam__XNK_Quoc_te_Dong_Nam__2dec5.pdf</x:v>
      </x:c>
      <x:c r="N89"/>
      <x:c r="O89" t="str">
        <x:v>Bulk QĐ97; thu hồi tự nguyện do không còn nhu cầu kinh doanh.</x:v>
      </x:c>
    </x:row>
    <x:row r="90">
      <x:c r="A90" t="str">
        <x:v>IMP0089</x:v>
      </x:c>
      <x:c r="B90" s="330" t="n">
        <x:v>45417</x:v>
      </x:c>
      <x:c r="C90" t="str">
        <x:v>235005/24/CBMP-QLD</x:v>
      </x:c>
      <x:c r="D90" t="str">
        <x:v>INNOAESTHETICS INNO-TDS FACE NADE</x:v>
      </x:c>
      <x:c r="E90" t="str">
        <x:v>INNOAESTHETICS</x:v>
      </x:c>
      <x:c r="F90" t="str">
        <x:v>Khác</x:v>
      </x:c>
      <x:c r="G90" t="str">
        <x:v>Công ty TNHH Dược Phẩm Toàn Cầu Đông Nam</x:v>
      </x:c>
      <x:c r="H90"/>
      <x:c r="I90"/>
      <x:c r="J90" t="str">
        <x:v>Đã thu hồi – QĐ 97/QĐ-QLD ngày 06/02/2026</x:v>
      </x:c>
      <x:c r="K90" t="str">
        <x:v>A+++ – phụ lục chính thức 252 số; responsible company explicit STT 57–182</x:v>
      </x:c>
      <x:c r="L90"/>
      <x:c r="M90" t="str">
        <x:v>https://doanket.laichau.gov.vn/upload/103883/20260210/Cong_van_ve_viec_Thu_hoi_so_tiep_nhan_Phieu_cong_bo_san_pham_my_pham_03_cong_ty__CT_Y_duoc_Quoc_te_Dong_Nam__Duoc_pham_toan_cau_Dong_Nam__XNK_Quoc_te_Dong_Nam__2dec5.pdf</x:v>
      </x:c>
      <x:c r="N90"/>
      <x:c r="O90" t="str">
        <x:v>Bulk QĐ97; thu hồi tự nguyện do không còn nhu cầu kinh doanh.</x:v>
      </x:c>
    </x:row>
    <x:row r="91">
      <x:c r="A91" t="str">
        <x:v>IMP0090</x:v>
      </x:c>
      <x:c r="B91" s="330" t="n">
        <x:v>45417</x:v>
      </x:c>
      <x:c r="C91" t="str">
        <x:v>235009/24/CBMP-QLD</x:v>
      </x:c>
      <x:c r="D91" t="str">
        <x:v>INNOAESTHETICS INNO-TDS HAIR LOSS CONTROL</x:v>
      </x:c>
      <x:c r="E91" t="str">
        <x:v>INNOAESTHETICS</x:v>
      </x:c>
      <x:c r="F91" t="str">
        <x:v>Chăm sóc tóc</x:v>
      </x:c>
      <x:c r="G91" t="str">
        <x:v>Công ty TNHH Dược Phẩm Toàn Cầu Đông Nam</x:v>
      </x:c>
      <x:c r="H91"/>
      <x:c r="I91"/>
      <x:c r="J91" t="str">
        <x:v>Đã thu hồi – QĐ 97/QĐ-QLD ngày 06/02/2026</x:v>
      </x:c>
      <x:c r="K91" t="str">
        <x:v>A+++ – phụ lục chính thức 252 số; responsible company explicit STT 57–182</x:v>
      </x:c>
      <x:c r="L91"/>
      <x:c r="M91" t="str">
        <x:v>https://doanket.laichau.gov.vn/upload/103883/20260210/Cong_van_ve_viec_Thu_hoi_so_tiep_nhan_Phieu_cong_bo_san_pham_my_pham_03_cong_ty__CT_Y_duoc_Quoc_te_Dong_Nam__Duoc_pham_toan_cau_Dong_Nam__XNK_Quoc_te_Dong_Nam__2dec5.pdf</x:v>
      </x:c>
      <x:c r="N91"/>
      <x:c r="O91" t="str">
        <x:v>Bulk QĐ97; thu hồi tự nguyện do không còn nhu cầu kinh doanh.</x:v>
      </x:c>
    </x:row>
    <x:row r="92">
      <x:c r="A92" t="str">
        <x:v>IMP0091</x:v>
      </x:c>
      <x:c r="B92" s="330" t="n">
        <x:v>45417</x:v>
      </x:c>
      <x:c r="C92" t="str">
        <x:v>235010/24/CBMP-QLD</x:v>
      </x:c>
      <x:c r="D92" t="str">
        <x:v>INNOAESTHETICS INNO-TDS FIRMING</x:v>
      </x:c>
      <x:c r="E92" t="str">
        <x:v>INNOAESTHETICS</x:v>
      </x:c>
      <x:c r="F92" t="str">
        <x:v>Khác</x:v>
      </x:c>
      <x:c r="G92" t="str">
        <x:v>Công ty TNHH Dược Phẩm Toàn Cầu Đông Nam</x:v>
      </x:c>
      <x:c r="H92"/>
      <x:c r="I92"/>
      <x:c r="J92" t="str">
        <x:v>Đã thu hồi – QĐ 97/QĐ-QLD ngày 06/02/2026</x:v>
      </x:c>
      <x:c r="K92" t="str">
        <x:v>A+++ – phụ lục chính thức 252 số; responsible company explicit STT 57–182</x:v>
      </x:c>
      <x:c r="L92"/>
      <x:c r="M92" t="str">
        <x:v>https://doanket.laichau.gov.vn/upload/103883/20260210/Cong_van_ve_viec_Thu_hoi_so_tiep_nhan_Phieu_cong_bo_san_pham_my_pham_03_cong_ty__CT_Y_duoc_Quoc_te_Dong_Nam__Duoc_pham_toan_cau_Dong_Nam__XNK_Quoc_te_Dong_Nam__2dec5.pdf</x:v>
      </x:c>
      <x:c r="N92"/>
      <x:c r="O92" t="str">
        <x:v>Bulk QĐ97; thu hồi tự nguyện do không còn nhu cầu kinh doanh.</x:v>
      </x:c>
    </x:row>
    <x:row r="93">
      <x:c r="A93" t="str">
        <x:v>IMP0092</x:v>
      </x:c>
      <x:c r="B93" s="330" t="n">
        <x:v>45424</x:v>
      </x:c>
      <x:c r="C93" t="str">
        <x:v>235850/24/CBMP-QLD</x:v>
      </x:c>
      <x:c r="D93" t="str">
        <x:v>INNOAESTHETICS INNO-DERMA XEROSKIN DAY CREAM</x:v>
      </x:c>
      <x:c r="E93" t="str">
        <x:v>INNOAESTHETICS</x:v>
      </x:c>
      <x:c r="F93" t="str">
        <x:v>Kem dưỡng da</x:v>
      </x:c>
      <x:c r="G93" t="str">
        <x:v>Công ty TNHH Dược Phẩm Toàn Cầu Đông Nam</x:v>
      </x:c>
      <x:c r="H93"/>
      <x:c r="I93"/>
      <x:c r="J93" t="str">
        <x:v>Đã thu hồi – QĐ 97/QĐ-QLD ngày 06/02/2026</x:v>
      </x:c>
      <x:c r="K93" t="str">
        <x:v>A+++ – phụ lục chính thức 252 số; responsible company explicit STT 57–182</x:v>
      </x:c>
      <x:c r="L93"/>
      <x:c r="M93" t="str">
        <x:v>https://doanket.laichau.gov.vn/upload/103883/20260210/Cong_van_ve_viec_Thu_hoi_so_tiep_nhan_Phieu_cong_bo_san_pham_my_pham_03_cong_ty__CT_Y_duoc_Quoc_te_Dong_Nam__Duoc_pham_toan_cau_Dong_Nam__XNK_Quoc_te_Dong_Nam__2dec5.pdf</x:v>
      </x:c>
      <x:c r="N93"/>
      <x:c r="O93" t="str">
        <x:v>Bulk QĐ97; thu hồi tự nguyện do không còn nhu cầu kinh doanh.</x:v>
      </x:c>
    </x:row>
    <x:row r="94">
      <x:c r="A94" t="str">
        <x:v>IMP0093</x:v>
      </x:c>
      <x:c r="B94" s="330" t="n">
        <x:v>45424</x:v>
      </x:c>
      <x:c r="C94" t="str">
        <x:v>235851/24/CBMP-QLD</x:v>
      </x:c>
      <x:c r="D94" t="str">
        <x:v>INNOAESTHETICS INNO-DERMA SENSITIVE CREAM</x:v>
      </x:c>
      <x:c r="E94" t="str">
        <x:v>INNOAESTHETICS</x:v>
      </x:c>
      <x:c r="F94" t="str">
        <x:v>Kem dưỡng da</x:v>
      </x:c>
      <x:c r="G94" t="str">
        <x:v>Công ty TNHH Dược Phẩm Toàn Cầu Đông Nam</x:v>
      </x:c>
      <x:c r="H94"/>
      <x:c r="I94"/>
      <x:c r="J94" t="str">
        <x:v>Đã thu hồi – QĐ 97/QĐ-QLD ngày 06/02/2026</x:v>
      </x:c>
      <x:c r="K94" t="str">
        <x:v>A+++ – phụ lục chính thức 252 số; responsible company explicit STT 57–182</x:v>
      </x:c>
      <x:c r="L94"/>
      <x:c r="M94" t="str">
        <x:v>https://doanket.laichau.gov.vn/upload/103883/20260210/Cong_van_ve_viec_Thu_hoi_so_tiep_nhan_Phieu_cong_bo_san_pham_my_pham_03_cong_ty__CT_Y_duoc_Quoc_te_Dong_Nam__Duoc_pham_toan_cau_Dong_Nam__XNK_Quoc_te_Dong_Nam__2dec5.pdf</x:v>
      </x:c>
      <x:c r="N94"/>
      <x:c r="O94" t="str">
        <x:v>Bulk QĐ97; thu hồi tự nguyện do không còn nhu cầu kinh doanh.</x:v>
      </x:c>
    </x:row>
    <x:row r="95">
      <x:c r="A95" t="str">
        <x:v>IMP0094</x:v>
      </x:c>
      <x:c r="B95" s="330" t="n">
        <x:v>45426</x:v>
      </x:c>
      <x:c r="C95" t="str">
        <x:v>236035/24/CBMP-QLD</x:v>
      </x:c>
      <x:c r="D95" t="str">
        <x:v>INNOAESTHETICS INNO-DERMA XEROSKIN NIGHT CREAM</x:v>
      </x:c>
      <x:c r="E95" t="str">
        <x:v>INNOAESTHETICS</x:v>
      </x:c>
      <x:c r="F95" t="str">
        <x:v>Kem dưỡng da</x:v>
      </x:c>
      <x:c r="G95" t="str">
        <x:v>Công ty TNHH Dược Phẩm Toàn Cầu Đông Nam</x:v>
      </x:c>
      <x:c r="H95"/>
      <x:c r="I95"/>
      <x:c r="J95" t="str">
        <x:v>Đã thu hồi – QĐ 97/QĐ-QLD ngày 06/02/2026</x:v>
      </x:c>
      <x:c r="K95" t="str">
        <x:v>A+++ – phụ lục chính thức 252 số; responsible company explicit STT 57–182</x:v>
      </x:c>
      <x:c r="L95"/>
      <x:c r="M95" t="str">
        <x:v>https://doanket.laichau.gov.vn/upload/103883/20260210/Cong_van_ve_viec_Thu_hoi_so_tiep_nhan_Phieu_cong_bo_san_pham_my_pham_03_cong_ty__CT_Y_duoc_Quoc_te_Dong_Nam__Duoc_pham_toan_cau_Dong_Nam__XNK_Quoc_te_Dong_Nam__2dec5.pdf</x:v>
      </x:c>
      <x:c r="N95"/>
      <x:c r="O95" t="str">
        <x:v>Bulk QĐ97; thu hồi tự nguyện do không còn nhu cầu kinh doanh.</x:v>
      </x:c>
    </x:row>
    <x:row r="96">
      <x:c r="A96" t="str">
        <x:v>IMP0095</x:v>
      </x:c>
      <x:c r="B96" s="330" t="n">
        <x:v>45428</x:v>
      </x:c>
      <x:c r="C96" t="str">
        <x:v>236140/24/CBMP-QLD</x:v>
      </x:c>
      <x:c r="D96" t="str">
        <x:v>INNOAESTHETICS INNO-DERMA SKIN REPAIR</x:v>
      </x:c>
      <x:c r="E96" t="str">
        <x:v>INNOAESTHETICS</x:v>
      </x:c>
      <x:c r="F96" t="str">
        <x:v>Khác</x:v>
      </x:c>
      <x:c r="G96" t="str">
        <x:v>Công ty TNHH Dược Phẩm Toàn Cầu Đông Nam</x:v>
      </x:c>
      <x:c r="H96"/>
      <x:c r="I96"/>
      <x:c r="J96" t="str">
        <x:v>Đã thu hồi – QĐ 97/QĐ-QLD ngày 06/02/2026</x:v>
      </x:c>
      <x:c r="K96" t="str">
        <x:v>A+++ – phụ lục chính thức 252 số; responsible company explicit STT 57–182</x:v>
      </x:c>
      <x:c r="L96"/>
      <x:c r="M96" t="str">
        <x:v>https://doanket.laichau.gov.vn/upload/103883/20260210/Cong_van_ve_viec_Thu_hoi_so_tiep_nhan_Phieu_cong_bo_san_pham_my_pham_03_cong_ty__CT_Y_duoc_Quoc_te_Dong_Nam__Duoc_pham_toan_cau_Dong_Nam__XNK_Quoc_te_Dong_Nam__2dec5.pdf</x:v>
      </x:c>
      <x:c r="N96"/>
      <x:c r="O96" t="str">
        <x:v>Bulk QĐ97; thu hồi tự nguyện do không còn nhu cầu kinh doanh.</x:v>
      </x:c>
    </x:row>
    <x:row r="97">
      <x:c r="A97" t="str">
        <x:v>IMP0096</x:v>
      </x:c>
      <x:c r="B97" s="330" t="n">
        <x:v>45428</x:v>
      </x:c>
      <x:c r="C97" t="str">
        <x:v>236141/24/CBMP-QLD</x:v>
      </x:c>
      <x:c r="D97" t="str">
        <x:v>INNOAESTHETICS INNO-DERMA NMF TONIC</x:v>
      </x:c>
      <x:c r="E97" t="str">
        <x:v>INNOAESTHETICS</x:v>
      </x:c>
      <x:c r="F97" t="str">
        <x:v>Toner/Lotion</x:v>
      </x:c>
      <x:c r="G97" t="str">
        <x:v>Công ty TNHH Dược Phẩm Toàn Cầu Đông Nam</x:v>
      </x:c>
      <x:c r="H97"/>
      <x:c r="I97"/>
      <x:c r="J97" t="str">
        <x:v>Đã thu hồi – QĐ 97/QĐ-QLD ngày 06/02/2026</x:v>
      </x:c>
      <x:c r="K97" t="str">
        <x:v>A+++ – phụ lục chính thức 252 số; responsible company explicit STT 57–182</x:v>
      </x:c>
      <x:c r="L97"/>
      <x:c r="M97" t="str">
        <x:v>https://doanket.laichau.gov.vn/upload/103883/20260210/Cong_van_ve_viec_Thu_hoi_so_tiep_nhan_Phieu_cong_bo_san_pham_my_pham_03_cong_ty__CT_Y_duoc_Quoc_te_Dong_Nam__Duoc_pham_toan_cau_Dong_Nam__XNK_Quoc_te_Dong_Nam__2dec5.pdf</x:v>
      </x:c>
      <x:c r="N97"/>
      <x:c r="O97" t="str">
        <x:v>Bulk QĐ97; thu hồi tự nguyện do không còn nhu cầu kinh doanh.</x:v>
      </x:c>
    </x:row>
    <x:row r="98">
      <x:c r="A98" t="str">
        <x:v>IMP0097</x:v>
      </x:c>
      <x:c r="B98" s="330" t="n">
        <x:v>45428</x:v>
      </x:c>
      <x:c r="C98" t="str">
        <x:v>236255/24/CBMP-QLD</x:v>
      </x:c>
      <x:c r="D98" t="str">
        <x:v>INNOAESTHETICS INNO-DERMA EYE REVITALIZER</x:v>
      </x:c>
      <x:c r="E98" t="str">
        <x:v>INNOAESTHETICS</x:v>
      </x:c>
      <x:c r="F98" t="str">
        <x:v>Khác</x:v>
      </x:c>
      <x:c r="G98" t="str">
        <x:v>Công ty TNHH Dược Phẩm Toàn Cầu Đông Nam</x:v>
      </x:c>
      <x:c r="H98"/>
      <x:c r="I98"/>
      <x:c r="J98" t="str">
        <x:v>Đã thu hồi – QĐ 97/QĐ-QLD ngày 06/02/2026</x:v>
      </x:c>
      <x:c r="K98" t="str">
        <x:v>A+++ – phụ lục chính thức 252 số; responsible company explicit STT 57–182</x:v>
      </x:c>
      <x:c r="L98"/>
      <x:c r="M98" t="str">
        <x:v>https://doanket.laichau.gov.vn/upload/103883/20260210/Cong_van_ve_viec_Thu_hoi_so_tiep_nhan_Phieu_cong_bo_san_pham_my_pham_03_cong_ty__CT_Y_duoc_Quoc_te_Dong_Nam__Duoc_pham_toan_cau_Dong_Nam__XNK_Quoc_te_Dong_Nam__2dec5.pdf</x:v>
      </x:c>
      <x:c r="N98"/>
      <x:c r="O98" t="str">
        <x:v>Bulk QĐ97; thu hồi tự nguyện do không còn nhu cầu kinh doanh.</x:v>
      </x:c>
    </x:row>
    <x:row r="99">
      <x:c r="A99" t="str">
        <x:v>IMP0098</x:v>
      </x:c>
      <x:c r="B99" s="330" t="n">
        <x:v>45428</x:v>
      </x:c>
      <x:c r="C99" t="str">
        <x:v>236256/24/CBMP-QLD</x:v>
      </x:c>
      <x:c r="D99" t="str">
        <x:v>INNOAESTHETICS INNO-DERMA HAIR LOTION</x:v>
      </x:c>
      <x:c r="E99" t="str">
        <x:v>INNOAESTHETICS</x:v>
      </x:c>
      <x:c r="F99" t="str">
        <x:v>Chăm sóc tóc</x:v>
      </x:c>
      <x:c r="G99" t="str">
        <x:v>Công ty TNHH Dược Phẩm Toàn Cầu Đông Nam</x:v>
      </x:c>
      <x:c r="H99"/>
      <x:c r="I99"/>
      <x:c r="J99" t="str">
        <x:v>Đã thu hồi – QĐ 97/QĐ-QLD ngày 06/02/2026</x:v>
      </x:c>
      <x:c r="K99" t="str">
        <x:v>A+++ – phụ lục chính thức 252 số; responsible company explicit STT 57–182</x:v>
      </x:c>
      <x:c r="L99"/>
      <x:c r="M99" t="str">
        <x:v>https://doanket.laichau.gov.vn/upload/103883/20260210/Cong_van_ve_viec_Thu_hoi_so_tiep_nhan_Phieu_cong_bo_san_pham_my_pham_03_cong_ty__CT_Y_duoc_Quoc_te_Dong_Nam__Duoc_pham_toan_cau_Dong_Nam__XNK_Quoc_te_Dong_Nam__2dec5.pdf</x:v>
      </x:c>
      <x:c r="N99"/>
      <x:c r="O99" t="str">
        <x:v>Bulk QĐ97; thu hồi tự nguyện do không còn nhu cầu kinh doanh.</x:v>
      </x:c>
    </x:row>
    <x:row r="100">
      <x:c r="A100" t="str">
        <x:v>IMP0099</x:v>
      </x:c>
      <x:c r="B100" s="330" t="n">
        <x:v>45428</x:v>
      </x:c>
      <x:c r="C100" t="str">
        <x:v>236257/24/CBMP-QLD</x:v>
      </x:c>
      <x:c r="D100" t="str">
        <x:v>INNOAESTHETICS INNO-DERMA REDNESS CREAM</x:v>
      </x:c>
      <x:c r="E100" t="str">
        <x:v>INNOAESTHETICS</x:v>
      </x:c>
      <x:c r="F100" t="str">
        <x:v>Kem dưỡng da</x:v>
      </x:c>
      <x:c r="G100" t="str">
        <x:v>Công ty TNHH Dược Phẩm Toàn Cầu Đông Nam</x:v>
      </x:c>
      <x:c r="H100"/>
      <x:c r="I100"/>
      <x:c r="J100" t="str">
        <x:v>Đã thu hồi – QĐ 97/QĐ-QLD ngày 06/02/2026</x:v>
      </x:c>
      <x:c r="K100" t="str">
        <x:v>A+++ – phụ lục chính thức 252 số; responsible company explicit STT 57–182</x:v>
      </x:c>
      <x:c r="L100"/>
      <x:c r="M100" t="str">
        <x:v>https://doanket.laichau.gov.vn/upload/103883/20260210/Cong_van_ve_viec_Thu_hoi_so_tiep_nhan_Phieu_cong_bo_san_pham_my_pham_03_cong_ty__CT_Y_duoc_Quoc_te_Dong_Nam__Duoc_pham_toan_cau_Dong_Nam__XNK_Quoc_te_Dong_Nam__2dec5.pdf</x:v>
      </x:c>
      <x:c r="N100"/>
      <x:c r="O100" t="str">
        <x:v>Bulk QĐ97; thu hồi tự nguyện do không còn nhu cầu kinh doanh.</x:v>
      </x:c>
    </x:row>
    <x:row r="101">
      <x:c r="A101" t="str">
        <x:v>IMP0100</x:v>
      </x:c>
      <x:c r="B101" s="330" t="n">
        <x:v>45428</x:v>
      </x:c>
      <x:c r="C101" t="str">
        <x:v>236259/24/CBMP-QLD</x:v>
      </x:c>
      <x:c r="D101" t="str">
        <x:v>INNOAESTHETICS INNO-EXFO REDNESS HRP</x:v>
      </x:c>
      <x:c r="E101" t="str">
        <x:v>INNOAESTHETICS</x:v>
      </x:c>
      <x:c r="F101" t="str">
        <x:v>Khác</x:v>
      </x:c>
      <x:c r="G101" t="str">
        <x:v>Công ty TNHH Dược Phẩm Toàn Cầu Đông Nam</x:v>
      </x:c>
      <x:c r="H101"/>
      <x:c r="I101"/>
      <x:c r="J101" t="str">
        <x:v>Đã thu hồi – QĐ 97/QĐ-QLD ngày 06/02/2026</x:v>
      </x:c>
      <x:c r="K101" t="str">
        <x:v>A+++ – phụ lục chính thức 252 số; responsible company explicit STT 57–182</x:v>
      </x:c>
      <x:c r="L101"/>
      <x:c r="M101" t="str">
        <x:v>https://doanket.laichau.gov.vn/upload/103883/20260210/Cong_van_ve_viec_Thu_hoi_so_tiep_nhan_Phieu_cong_bo_san_pham_my_pham_03_cong_ty__CT_Y_duoc_Quoc_te_Dong_Nam__Duoc_pham_toan_cau_Dong_Nam__XNK_Quoc_te_Dong_Nam__2dec5.pdf</x:v>
      </x:c>
      <x:c r="N101"/>
      <x:c r="O101" t="str">
        <x:v>Bulk QĐ97; thu hồi tự nguyện do không còn nhu cầu kinh doanh.</x:v>
      </x:c>
    </x:row>
    <x:row r="102">
      <x:c r="A102" t="str">
        <x:v>IMP0101</x:v>
      </x:c>
      <x:c r="B102" s="330" t="n">
        <x:v>45428</x:v>
      </x:c>
      <x:c r="C102" t="str">
        <x:v>236261/24/CBMP-QLD</x:v>
      </x:c>
      <x:c r="D102" t="str">
        <x:v>INNOAESTHETICS INNO-EXFO SENSITIVE HRP</x:v>
      </x:c>
      <x:c r="E102" t="str">
        <x:v>INNOAESTHETICS</x:v>
      </x:c>
      <x:c r="F102" t="str">
        <x:v>Khác</x:v>
      </x:c>
      <x:c r="G102" t="str">
        <x:v>Công ty TNHH Dược Phẩm Toàn Cầu Đông Nam</x:v>
      </x:c>
      <x:c r="H102"/>
      <x:c r="I102"/>
      <x:c r="J102" t="str">
        <x:v>Đã thu hồi – QĐ 97/QĐ-QLD ngày 06/02/2026</x:v>
      </x:c>
      <x:c r="K102" t="str">
        <x:v>A+++ – phụ lục chính thức 252 số; responsible company explicit STT 57–182</x:v>
      </x:c>
      <x:c r="L102"/>
      <x:c r="M102" t="str">
        <x:v>https://doanket.laichau.gov.vn/upload/103883/20260210/Cong_van_ve_viec_Thu_hoi_so_tiep_nhan_Phieu_cong_bo_san_pham_my_pham_03_cong_ty__CT_Y_duoc_Quoc_te_Dong_Nam__Duoc_pham_toan_cau_Dong_Nam__XNK_Quoc_te_Dong_Nam__2dec5.pdf</x:v>
      </x:c>
      <x:c r="N102"/>
      <x:c r="O102" t="str">
        <x:v>Bulk QĐ97; thu hồi tự nguyện do không còn nhu cầu kinh doanh.</x:v>
      </x:c>
    </x:row>
    <x:row r="103">
      <x:c r="A103" t="str">
        <x:v>IMP0102</x:v>
      </x:c>
      <x:c r="B103" s="330" t="n">
        <x:v>45428</x:v>
      </x:c>
      <x:c r="C103" t="str">
        <x:v>236266/24/CBMP-QLD</x:v>
      </x:c>
      <x:c r="D103" t="str">
        <x:v>INNOAESTHETICS INNO-EXFO SENSITIVE PEEL</x:v>
      </x:c>
      <x:c r="E103" t="str">
        <x:v>INNOAESTHETICS</x:v>
      </x:c>
      <x:c r="F103" t="str">
        <x:v>Tẩy tế bào chết/Peel</x:v>
      </x:c>
      <x:c r="G103" t="str">
        <x:v>Công ty TNHH Dược Phẩm Toàn Cầu Đông Nam</x:v>
      </x:c>
      <x:c r="H103"/>
      <x:c r="I103"/>
      <x:c r="J103" t="str">
        <x:v>Đã thu hồi – QĐ 97/QĐ-QLD ngày 06/02/2026</x:v>
      </x:c>
      <x:c r="K103" t="str">
        <x:v>A+++ – phụ lục chính thức 252 số; responsible company explicit STT 57–182</x:v>
      </x:c>
      <x:c r="L103"/>
      <x:c r="M103" t="str">
        <x:v>https://doanket.laichau.gov.vn/upload/103883/20260210/Cong_van_ve_viec_Thu_hoi_so_tiep_nhan_Phieu_cong_bo_san_pham_my_pham_03_cong_ty__CT_Y_duoc_Quoc_te_Dong_Nam__Duoc_pham_toan_cau_Dong_Nam__XNK_Quoc_te_Dong_Nam__2dec5.pdf</x:v>
      </x:c>
      <x:c r="N103"/>
      <x:c r="O103" t="str">
        <x:v>Bulk QĐ97; thu hồi tự nguyện do không còn nhu cầu kinh doanh.</x:v>
      </x:c>
    </x:row>
    <x:row r="104">
      <x:c r="A104" t="str">
        <x:v>IMP0103</x:v>
      </x:c>
      <x:c r="B104" s="330" t="n">
        <x:v>45428</x:v>
      </x:c>
      <x:c r="C104" t="str">
        <x:v>236268/24/CBMP-QLD</x:v>
      </x:c>
      <x:c r="D104" t="str">
        <x:v>ME LINE 01 RESTORE</x:v>
      </x:c>
      <x:c r="E104" t="str">
        <x:v>ME LINE</x:v>
      </x:c>
      <x:c r="F104" t="str">
        <x:v>Khác</x:v>
      </x:c>
      <x:c r="G104" t="str">
        <x:v>Công ty TNHH Dược Phẩm Toàn Cầu Đông Nam</x:v>
      </x:c>
      <x:c r="H104"/>
      <x:c r="I104"/>
      <x:c r="J104" t="str">
        <x:v>Đã thu hồi – QĐ 97/QĐ-QLD ngày 06/02/2026</x:v>
      </x:c>
      <x:c r="K104" t="str">
        <x:v>A+++ – phụ lục chính thức 252 số; responsible company explicit STT 57–182</x:v>
      </x:c>
      <x:c r="L104"/>
      <x:c r="M104" t="str">
        <x:v>https://doanket.laichau.gov.vn/upload/103883/20260210/Cong_van_ve_viec_Thu_hoi_so_tiep_nhan_Phieu_cong_bo_san_pham_my_pham_03_cong_ty__CT_Y_duoc_Quoc_te_Dong_Nam__Duoc_pham_toan_cau_Dong_Nam__XNK_Quoc_te_Dong_Nam__2dec5.pdf</x:v>
      </x:c>
      <x:c r="N104"/>
      <x:c r="O104" t="str">
        <x:v>Bulk QĐ97; thu hồi tự nguyện do không còn nhu cầu kinh doanh.</x:v>
      </x:c>
    </x:row>
    <x:row r="105">
      <x:c r="A105" t="str">
        <x:v>IMP0104</x:v>
      </x:c>
      <x:c r="B105" s="330" t="n">
        <x:v>45428</x:v>
      </x:c>
      <x:c r="C105" t="str">
        <x:v>236270/24/CBMP-QLD</x:v>
      </x:c>
      <x:c r="D105" t="str">
        <x:v>ME LINE 01 MOIST</x:v>
      </x:c>
      <x:c r="E105" t="str">
        <x:v>ME LINE</x:v>
      </x:c>
      <x:c r="F105" t="str">
        <x:v>Khác</x:v>
      </x:c>
      <x:c r="G105" t="str">
        <x:v>Công ty TNHH Dược Phẩm Toàn Cầu Đông Nam</x:v>
      </x:c>
      <x:c r="H105"/>
      <x:c r="I105"/>
      <x:c r="J105" t="str">
        <x:v>Đã thu hồi – QĐ 97/QĐ-QLD ngày 06/02/2026</x:v>
      </x:c>
      <x:c r="K105" t="str">
        <x:v>A+++ – phụ lục chính thức 252 số; responsible company explicit STT 57–182</x:v>
      </x:c>
      <x:c r="L105"/>
      <x:c r="M105" t="str">
        <x:v>https://doanket.laichau.gov.vn/upload/103883/20260210/Cong_van_ve_viec_Thu_hoi_so_tiep_nhan_Phieu_cong_bo_san_pham_my_pham_03_cong_ty__CT_Y_duoc_Quoc_te_Dong_Nam__Duoc_pham_toan_cau_Dong_Nam__XNK_Quoc_te_Dong_Nam__2dec5.pdf</x:v>
      </x:c>
      <x:c r="N105"/>
      <x:c r="O105" t="str">
        <x:v>Bulk QĐ97; thu hồi tự nguyện do không còn nhu cầu kinh doanh.</x:v>
      </x:c>
    </x:row>
    <x:row r="106">
      <x:c r="A106" t="str">
        <x:v>IMP0105</x:v>
      </x:c>
      <x:c r="B106" s="330" t="n">
        <x:v>45428</x:v>
      </x:c>
      <x:c r="C106" t="str">
        <x:v>236271/24/CBMP-QLD</x:v>
      </x:c>
      <x:c r="D106" t="str">
        <x:v>ME LINE 01 SPOTS</x:v>
      </x:c>
      <x:c r="E106" t="str">
        <x:v>ME LINE</x:v>
      </x:c>
      <x:c r="F106" t="str">
        <x:v>Khác</x:v>
      </x:c>
      <x:c r="G106" t="str">
        <x:v>Công ty TNHH Dược Phẩm Toàn Cầu Đông Nam</x:v>
      </x:c>
      <x:c r="H106"/>
      <x:c r="I106"/>
      <x:c r="J106" t="str">
        <x:v>Đã thu hồi – QĐ 97/QĐ-QLD ngày 06/02/2026</x:v>
      </x:c>
      <x:c r="K106" t="str">
        <x:v>A+++ – phụ lục chính thức 252 số; responsible company explicit STT 57–182</x:v>
      </x:c>
      <x:c r="L106"/>
      <x:c r="M106" t="str">
        <x:v>https://doanket.laichau.gov.vn/upload/103883/20260210/Cong_van_ve_viec_Thu_hoi_so_tiep_nhan_Phieu_cong_bo_san_pham_my_pham_03_cong_ty__CT_Y_duoc_Quoc_te_Dong_Nam__Duoc_pham_toan_cau_Dong_Nam__XNK_Quoc_te_Dong_Nam__2dec5.pdf</x:v>
      </x:c>
      <x:c r="N106"/>
      <x:c r="O106" t="str">
        <x:v>Bulk QĐ97; thu hồi tự nguyện do không còn nhu cầu kinh doanh.</x:v>
      </x:c>
    </x:row>
    <x:row r="107">
      <x:c r="A107" t="str">
        <x:v>IMP0106</x:v>
      </x:c>
      <x:c r="B107" s="330" t="n">
        <x:v>45428</x:v>
      </x:c>
      <x:c r="C107" t="str">
        <x:v>236273/24/CBMP-QLD</x:v>
      </x:c>
      <x:c r="D107" t="str">
        <x:v>ME LINE 04 B.B. CREAM LIGHT</x:v>
      </x:c>
      <x:c r="E107" t="str">
        <x:v>ME LINE</x:v>
      </x:c>
      <x:c r="F107" t="str">
        <x:v>Kem dưỡng da</x:v>
      </x:c>
      <x:c r="G107" t="str">
        <x:v>Công ty TNHH Dược Phẩm Toàn Cầu Đông Nam</x:v>
      </x:c>
      <x:c r="H107"/>
      <x:c r="I107"/>
      <x:c r="J107" t="str">
        <x:v>Đã thu hồi – QĐ 97/QĐ-QLD ngày 06/02/2026</x:v>
      </x:c>
      <x:c r="K107" t="str">
        <x:v>A+++ – phụ lục chính thức 252 số; responsible company explicit STT 57–182</x:v>
      </x:c>
      <x:c r="L107"/>
      <x:c r="M107" t="str">
        <x:v>https://doanket.laichau.gov.vn/upload/103883/20260210/Cong_van_ve_viec_Thu_hoi_so_tiep_nhan_Phieu_cong_bo_san_pham_my_pham_03_cong_ty__CT_Y_duoc_Quoc_te_Dong_Nam__Duoc_pham_toan_cau_Dong_Nam__XNK_Quoc_te_Dong_Nam__2dec5.pdf</x:v>
      </x:c>
      <x:c r="N107"/>
      <x:c r="O107" t="str">
        <x:v>Bulk QĐ97; thu hồi tự nguyện do không còn nhu cầu kinh doanh.</x:v>
      </x:c>
    </x:row>
    <x:row r="108">
      <x:c r="A108" t="str">
        <x:v>IMP0107</x:v>
      </x:c>
      <x:c r="B108" s="330" t="n">
        <x:v>45428</x:v>
      </x:c>
      <x:c r="C108" t="str">
        <x:v>236274/24/CBMP-QLD</x:v>
      </x:c>
      <x:c r="D108" t="str">
        <x:v>ME LINE 03 RESTORE</x:v>
      </x:c>
      <x:c r="E108" t="str">
        <x:v>ME LINE</x:v>
      </x:c>
      <x:c r="F108" t="str">
        <x:v>Khác</x:v>
      </x:c>
      <x:c r="G108" t="str">
        <x:v>Công ty TNHH Dược Phẩm Toàn Cầu Đông Nam</x:v>
      </x:c>
      <x:c r="H108"/>
      <x:c r="I108"/>
      <x:c r="J108" t="str">
        <x:v>Đã thu hồi – QĐ 97/QĐ-QLD ngày 06/02/2026</x:v>
      </x:c>
      <x:c r="K108" t="str">
        <x:v>A+++ – phụ lục chính thức 252 số; responsible company explicit STT 57–182</x:v>
      </x:c>
      <x:c r="L108"/>
      <x:c r="M108" t="str">
        <x:v>https://doanket.laichau.gov.vn/upload/103883/20260210/Cong_van_ve_viec_Thu_hoi_so_tiep_nhan_Phieu_cong_bo_san_pham_my_pham_03_cong_ty__CT_Y_duoc_Quoc_te_Dong_Nam__Duoc_pham_toan_cau_Dong_Nam__XNK_Quoc_te_Dong_Nam__2dec5.pdf</x:v>
      </x:c>
      <x:c r="N108"/>
      <x:c r="O108" t="str">
        <x:v>Bulk QĐ97; thu hồi tự nguyện do không còn nhu cầu kinh doanh.</x:v>
      </x:c>
    </x:row>
    <x:row r="109">
      <x:c r="A109" t="str">
        <x:v>IMP0108</x:v>
      </x:c>
      <x:c r="B109" s="330" t="n">
        <x:v>45428</x:v>
      </x:c>
      <x:c r="C109" t="str">
        <x:v>236275/24/CBMP-QLD</x:v>
      </x:c>
      <x:c r="D109" t="str">
        <x:v>ME LINE 02 SPOTS</x:v>
      </x:c>
      <x:c r="E109" t="str">
        <x:v>ME LINE</x:v>
      </x:c>
      <x:c r="F109" t="str">
        <x:v>Khác</x:v>
      </x:c>
      <x:c r="G109" t="str">
        <x:v>Công ty TNHH Dược Phẩm Toàn Cầu Đông Nam</x:v>
      </x:c>
      <x:c r="H109"/>
      <x:c r="I109"/>
      <x:c r="J109" t="str">
        <x:v>Đã thu hồi – QĐ 97/QĐ-QLD ngày 06/02/2026</x:v>
      </x:c>
      <x:c r="K109" t="str">
        <x:v>A+++ – phụ lục chính thức 252 số; responsible company explicit STT 57–182</x:v>
      </x:c>
      <x:c r="L109"/>
      <x:c r="M109" t="str">
        <x:v>https://doanket.laichau.gov.vn/upload/103883/20260210/Cong_van_ve_viec_Thu_hoi_so_tiep_nhan_Phieu_cong_bo_san_pham_my_pham_03_cong_ty__CT_Y_duoc_Quoc_te_Dong_Nam__Duoc_pham_toan_cau_Dong_Nam__XNK_Quoc_te_Dong_Nam__2dec5.pdf</x:v>
      </x:c>
      <x:c r="N109"/>
      <x:c r="O109" t="str">
        <x:v>Bulk QĐ97; thu hồi tự nguyện do không còn nhu cầu kinh doanh.</x:v>
      </x:c>
    </x:row>
    <x:row r="110">
      <x:c r="A110" t="str">
        <x:v>IMP0109</x:v>
      </x:c>
      <x:c r="B110" s="330" t="n">
        <x:v>45428</x:v>
      </x:c>
      <x:c r="C110" t="str">
        <x:v>236278/24/CBMP-QLD</x:v>
      </x:c>
      <x:c r="D110" t="str">
        <x:v>ME LINE GENTLE FOAM</x:v>
      </x:c>
      <x:c r="E110" t="str">
        <x:v>ME LINE</x:v>
      </x:c>
      <x:c r="F110" t="str">
        <x:v>Sữa rửa mặt</x:v>
      </x:c>
      <x:c r="G110" t="str">
        <x:v>Công ty TNHH Dược Phẩm Toàn Cầu Đông Nam</x:v>
      </x:c>
      <x:c r="H110"/>
      <x:c r="I110"/>
      <x:c r="J110" t="str">
        <x:v>Đã thu hồi – QĐ 97/QĐ-QLD ngày 06/02/2026</x:v>
      </x:c>
      <x:c r="K110" t="str">
        <x:v>A+++ – phụ lục chính thức 252 số; responsible company explicit STT 57–182</x:v>
      </x:c>
      <x:c r="L110"/>
      <x:c r="M110" t="str">
        <x:v>https://doanket.laichau.gov.vn/upload/103883/20260210/Cong_van_ve_viec_Thu_hoi_so_tiep_nhan_Phieu_cong_bo_san_pham_my_pham_03_cong_ty__CT_Y_duoc_Quoc_te_Dong_Nam__Duoc_pham_toan_cau_Dong_Nam__XNK_Quoc_te_Dong_Nam__2dec5.pdf</x:v>
      </x:c>
      <x:c r="N110"/>
      <x:c r="O110" t="str">
        <x:v>Bulk QĐ97; thu hồi tự nguyện do không còn nhu cầu kinh doanh.</x:v>
      </x:c>
    </x:row>
    <x:row r="111">
      <x:c r="A111" t="str">
        <x:v>IMP0110</x:v>
      </x:c>
      <x:c r="B111" s="330" t="n">
        <x:v>45428</x:v>
      </x:c>
      <x:c r="C111" t="str">
        <x:v>236283/24/CBMP-QLD</x:v>
      </x:c>
      <x:c r="D111" t="str">
        <x:v>INNOAESTHETICS INNO-EXFO AKN HRP</x:v>
      </x:c>
      <x:c r="E111" t="str">
        <x:v>INNOAESTHETICS</x:v>
      </x:c>
      <x:c r="F111" t="str">
        <x:v>Khác</x:v>
      </x:c>
      <x:c r="G111" t="str">
        <x:v>Công ty TNHH Dược Phẩm Toàn Cầu Đông Nam</x:v>
      </x:c>
      <x:c r="H111"/>
      <x:c r="I111"/>
      <x:c r="J111" t="str">
        <x:v>Đã thu hồi – QĐ 97/QĐ-QLD ngày 06/02/2026</x:v>
      </x:c>
      <x:c r="K111" t="str">
        <x:v>A+++ – phụ lục chính thức 252 số; responsible company explicit STT 57–182</x:v>
      </x:c>
      <x:c r="L111"/>
      <x:c r="M111" t="str">
        <x:v>https://doanket.laichau.gov.vn/upload/103883/20260210/Cong_van_ve_viec_Thu_hoi_so_tiep_nhan_Phieu_cong_bo_san_pham_my_pham_03_cong_ty__CT_Y_duoc_Quoc_te_Dong_Nam__Duoc_pham_toan_cau_Dong_Nam__XNK_Quoc_te_Dong_Nam__2dec5.pdf</x:v>
      </x:c>
      <x:c r="N111"/>
      <x:c r="O111" t="str">
        <x:v>Bulk QĐ97; thu hồi tự nguyện do không còn nhu cầu kinh doanh.</x:v>
      </x:c>
    </x:row>
    <x:row r="112">
      <x:c r="A112" t="str">
        <x:v>IMP0111</x:v>
      </x:c>
      <x:c r="B112" s="330" t="n">
        <x:v>45428</x:v>
      </x:c>
      <x:c r="C112" t="str">
        <x:v>236302/24/CBMP-QLD</x:v>
      </x:c>
      <x:c r="D112" t="str">
        <x:v>ME LINE 05 PIGMENT HOME MASK</x:v>
      </x:c>
      <x:c r="E112" t="str">
        <x:v>ME LINE</x:v>
      </x:c>
      <x:c r="F112" t="str">
        <x:v>Mặt nạ</x:v>
      </x:c>
      <x:c r="G112" t="str">
        <x:v>Công ty TNHH Dược Phẩm Toàn Cầu Đông Nam</x:v>
      </x:c>
      <x:c r="H112"/>
      <x:c r="I112"/>
      <x:c r="J112" t="str">
        <x:v>Đã thu hồi – QĐ 97/QĐ-QLD ngày 06/02/2026</x:v>
      </x:c>
      <x:c r="K112" t="str">
        <x:v>A+++ – phụ lục chính thức 252 số; responsible company explicit STT 57–182</x:v>
      </x:c>
      <x:c r="L112"/>
      <x:c r="M112" t="str">
        <x:v>https://doanket.laichau.gov.vn/upload/103883/20260210/Cong_van_ve_viec_Thu_hoi_so_tiep_nhan_Phieu_cong_bo_san_pham_my_pham_03_cong_ty__CT_Y_duoc_Quoc_te_Dong_Nam__Duoc_pham_toan_cau_Dong_Nam__XNK_Quoc_te_Dong_Nam__2dec5.pdf</x:v>
      </x:c>
      <x:c r="N112"/>
      <x:c r="O112" t="str">
        <x:v>Bulk QĐ97; thu hồi tự nguyện do không còn nhu cầu kinh doanh.</x:v>
      </x:c>
    </x:row>
    <x:row r="113">
      <x:c r="A113" t="str">
        <x:v>IMP0112</x:v>
      </x:c>
      <x:c r="B113" s="330" t="n">
        <x:v>45484</x:v>
      </x:c>
      <x:c r="C113" t="str">
        <x:v>243276/24/CBMP-QLD</x:v>
      </x:c>
      <x:c r="D113" t="str">
        <x:v>INNOAESTHETICS INNO-DERMA SUN DEFENSE SPF 50+</x:v>
      </x:c>
      <x:c r="E113" t="str">
        <x:v>INNOAESTHETICS</x:v>
      </x:c>
      <x:c r="F113" t="str">
        <x:v>Kem chống nắng</x:v>
      </x:c>
      <x:c r="G113" t="str">
        <x:v>Công ty TNHH Dược Phẩm Toàn Cầu Đông Nam</x:v>
      </x:c>
      <x:c r="H113"/>
      <x:c r="I113"/>
      <x:c r="J113" t="str">
        <x:v>Đã thu hồi – QĐ 97/QĐ-QLD ngày 06/02/2026</x:v>
      </x:c>
      <x:c r="K113" t="str">
        <x:v>A+++ – phụ lục chính thức 252 số; responsible company explicit STT 57–182</x:v>
      </x:c>
      <x:c r="L113"/>
      <x:c r="M113" t="str">
        <x:v>https://doanket.laichau.gov.vn/upload/103883/20260210/Cong_van_ve_viec_Thu_hoi_so_tiep_nhan_Phieu_cong_bo_san_pham_my_pham_03_cong_ty__CT_Y_duoc_Quoc_te_Dong_Nam__Duoc_pham_toan_cau_Dong_Nam__XNK_Quoc_te_Dong_Nam__2dec5.pdf</x:v>
      </x:c>
      <x:c r="N113"/>
      <x:c r="O113" t="str">
        <x:v>Bulk QĐ97; thu hồi tự nguyện do không còn nhu cầu kinh doanh.</x:v>
      </x:c>
    </x:row>
    <x:row r="114">
      <x:c r="A114" t="str">
        <x:v>IMP0113</x:v>
      </x:c>
      <x:c r="B114" s="330" t="n">
        <x:v>45484</x:v>
      </x:c>
      <x:c r="C114" t="str">
        <x:v>243283/24/CBMP-QLD</x:v>
      </x:c>
      <x:c r="D114" t="str">
        <x:v>INNOAESTHETICS INNO-DERMA SUN DEFENSE OILY SKIN SPF 50+</x:v>
      </x:c>
      <x:c r="E114" t="str">
        <x:v>INNOAESTHETICS</x:v>
      </x:c>
      <x:c r="F114" t="str">
        <x:v>Kem chống nắng</x:v>
      </x:c>
      <x:c r="G114" t="str">
        <x:v>Công ty TNHH Dược Phẩm Toàn Cầu Đông Nam</x:v>
      </x:c>
      <x:c r="H114"/>
      <x:c r="I114"/>
      <x:c r="J114" t="str">
        <x:v>Đã thu hồi – QĐ 97/QĐ-QLD ngày 06/02/2026</x:v>
      </x:c>
      <x:c r="K114" t="str">
        <x:v>A+++ – phụ lục chính thức 252 số; responsible company explicit STT 57–182</x:v>
      </x:c>
      <x:c r="L114"/>
      <x:c r="M114" t="str">
        <x:v>https://doanket.laichau.gov.vn/upload/103883/20260210/Cong_van_ve_viec_Thu_hoi_so_tiep_nhan_Phieu_cong_bo_san_pham_my_pham_03_cong_ty__CT_Y_duoc_Quoc_te_Dong_Nam__Duoc_pham_toan_cau_Dong_Nam__XNK_Quoc_te_Dong_Nam__2dec5.pdf</x:v>
      </x:c>
      <x:c r="N114"/>
      <x:c r="O114" t="str">
        <x:v>Bulk QĐ97; thu hồi tự nguyện do không còn nhu cầu kinh doanh.</x:v>
      </x:c>
    </x:row>
    <x:row r="115">
      <x:c r="A115" t="str">
        <x:v>IMP0114</x:v>
      </x:c>
      <x:c r="B115" s="330" t="n">
        <x:v>45484</x:v>
      </x:c>
      <x:c r="C115" t="str">
        <x:v>243284/24/CBMP-QLD</x:v>
      </x:c>
      <x:c r="D115" t="str">
        <x:v>ME LINE 02 DARK CIRCLES</x:v>
      </x:c>
      <x:c r="E115" t="str">
        <x:v>ME LINE</x:v>
      </x:c>
      <x:c r="F115" t="str">
        <x:v>Khác</x:v>
      </x:c>
      <x:c r="G115" t="str">
        <x:v>Công ty TNHH Dược Phẩm Toàn Cầu Đông Nam</x:v>
      </x:c>
      <x:c r="H115"/>
      <x:c r="I115"/>
      <x:c r="J115" t="str">
        <x:v>Đã thu hồi – QĐ 97/QĐ-QLD ngày 06/02/2026</x:v>
      </x:c>
      <x:c r="K115" t="str">
        <x:v>A+++ – phụ lục chính thức 252 số; responsible company explicit STT 57–182</x:v>
      </x:c>
      <x:c r="L115"/>
      <x:c r="M115" t="str">
        <x:v>https://doanket.laichau.gov.vn/upload/103883/20260210/Cong_van_ve_viec_Thu_hoi_so_tiep_nhan_Phieu_cong_bo_san_pham_my_pham_03_cong_ty__CT_Y_duoc_Quoc_te_Dong_Nam__Duoc_pham_toan_cau_Dong_Nam__XNK_Quoc_te_Dong_Nam__2dec5.pdf</x:v>
      </x:c>
      <x:c r="N115"/>
      <x:c r="O115" t="str">
        <x:v>Bulk QĐ97; thu hồi tự nguyện do không còn nhu cầu kinh doanh.</x:v>
      </x:c>
    </x:row>
    <x:row r="116">
      <x:c r="A116" t="str">
        <x:v>IMP0115</x:v>
      </x:c>
      <x:c r="B116" s="330" t="n">
        <x:v>45484</x:v>
      </x:c>
      <x:c r="C116" t="str">
        <x:v>243287/24/CBMP-QLD</x:v>
      </x:c>
      <x:c r="D116" t="str">
        <x:v>INNOAESTHETICS INNO-EXFO HAIR SCALPEEL HRP</x:v>
      </x:c>
      <x:c r="E116" t="str">
        <x:v>INNOAESTHETICS</x:v>
      </x:c>
      <x:c r="F116" t="str">
        <x:v>Tẩy tế bào chết/Peel</x:v>
      </x:c>
      <x:c r="G116" t="str">
        <x:v>Công ty TNHH Dược Phẩm Toàn Cầu Đông Nam</x:v>
      </x:c>
      <x:c r="H116"/>
      <x:c r="I116"/>
      <x:c r="J116" t="str">
        <x:v>Đã thu hồi – QĐ 97/QĐ-QLD ngày 06/02/2026</x:v>
      </x:c>
      <x:c r="K116" t="str">
        <x:v>A+++ – phụ lục chính thức 252 số; responsible company explicit STT 57–182</x:v>
      </x:c>
      <x:c r="L116"/>
      <x:c r="M116" t="str">
        <x:v>https://doanket.laichau.gov.vn/upload/103883/20260210/Cong_van_ve_viec_Thu_hoi_so_tiep_nhan_Phieu_cong_bo_san_pham_my_pham_03_cong_ty__CT_Y_duoc_Quoc_te_Dong_Nam__Duoc_pham_toan_cau_Dong_Nam__XNK_Quoc_te_Dong_Nam__2dec5.pdf</x:v>
      </x:c>
      <x:c r="N116"/>
      <x:c r="O116" t="str">
        <x:v>Bulk QĐ97; thu hồi tự nguyện do không còn nhu cầu kinh doanh.</x:v>
      </x:c>
    </x:row>
    <x:row r="117">
      <x:c r="A117" t="str">
        <x:v>IMP0116</x:v>
      </x:c>
      <x:c r="B117" s="330" t="n">
        <x:v>45510</x:v>
      </x:c>
      <x:c r="C117" t="str">
        <x:v>246594/24/CBMP-QLD</x:v>
      </x:c>
      <x:c r="D117" t="str">
        <x:v>INNOAESTHETICS INNO-EXFO GLYCO-AGE</x:v>
      </x:c>
      <x:c r="E117" t="str">
        <x:v>INNOAESTHETICS</x:v>
      </x:c>
      <x:c r="F117" t="str">
        <x:v>Khác</x:v>
      </x:c>
      <x:c r="G117" t="str">
        <x:v>Công ty TNHH Dược Phẩm Toàn Cầu Đông Nam</x:v>
      </x:c>
      <x:c r="H117"/>
      <x:c r="I117"/>
      <x:c r="J117" t="str">
        <x:v>Đã thu hồi – QĐ 97/QĐ-QLD ngày 06/02/2026</x:v>
      </x:c>
      <x:c r="K117" t="str">
        <x:v>A+++ – phụ lục chính thức 252 số; responsible company explicit STT 57–182</x:v>
      </x:c>
      <x:c r="L117"/>
      <x:c r="M117" t="str">
        <x:v>https://doanket.laichau.gov.vn/upload/103883/20260210/Cong_van_ve_viec_Thu_hoi_so_tiep_nhan_Phieu_cong_bo_san_pham_my_pham_03_cong_ty__CT_Y_duoc_Quoc_te_Dong_Nam__Duoc_pham_toan_cau_Dong_Nam__XNK_Quoc_te_Dong_Nam__2dec5.pdf</x:v>
      </x:c>
      <x:c r="N117"/>
      <x:c r="O117" t="str">
        <x:v>Bulk QĐ97; thu hồi tự nguyện do không còn nhu cầu kinh doanh.</x:v>
      </x:c>
    </x:row>
    <x:row r="118">
      <x:c r="A118" t="str">
        <x:v>IMP0117</x:v>
      </x:c>
      <x:c r="B118" s="330" t="n">
        <x:v>45510</x:v>
      </x:c>
      <x:c r="C118" t="str">
        <x:v>246595/24/CBMP-QLD</x:v>
      </x:c>
      <x:c r="D118" t="str">
        <x:v>INNOAESTHETICS INNO-DERMA PURIFIER 24H Cream</x:v>
      </x:c>
      <x:c r="E118" t="str">
        <x:v>INNOAESTHETICS</x:v>
      </x:c>
      <x:c r="F118" t="str">
        <x:v>Kem dưỡng da</x:v>
      </x:c>
      <x:c r="G118" t="str">
        <x:v>Công ty TNHH Dược Phẩm Toàn Cầu Đông Nam</x:v>
      </x:c>
      <x:c r="H118"/>
      <x:c r="I118"/>
      <x:c r="J118" t="str">
        <x:v>Đã thu hồi – QĐ 97/QĐ-QLD ngày 06/02/2026</x:v>
      </x:c>
      <x:c r="K118" t="str">
        <x:v>A+++ – phụ lục chính thức 252 số; responsible company explicit STT 57–182</x:v>
      </x:c>
      <x:c r="L118"/>
      <x:c r="M118" t="str">
        <x:v>https://doanket.laichau.gov.vn/upload/103883/20260210/Cong_van_ve_viec_Thu_hoi_so_tiep_nhan_Phieu_cong_bo_san_pham_my_pham_03_cong_ty__CT_Y_duoc_Quoc_te_Dong_Nam__Duoc_pham_toan_cau_Dong_Nam__XNK_Quoc_te_Dong_Nam__2dec5.pdf</x:v>
      </x:c>
      <x:c r="N118"/>
      <x:c r="O118" t="str">
        <x:v>Bulk QĐ97; thu hồi tự nguyện do không còn nhu cầu kinh doanh.</x:v>
      </x:c>
    </x:row>
    <x:row r="119">
      <x:c r="A119" t="str">
        <x:v>IMP0118</x:v>
      </x:c>
      <x:c r="B119" s="330" t="n">
        <x:v>45578</x:v>
      </x:c>
      <x:c r="C119" t="str">
        <x:v>252626/24/CBMP-QLD</x:v>
      </x:c>
      <x:c r="D119" t="str">
        <x:v>INNOAESTHETICS INNO-EPIGEN COVERAGE AGE 3.0 SPF 50+ LIGHT</x:v>
      </x:c>
      <x:c r="E119" t="str">
        <x:v>INNOAESTHETICS</x:v>
      </x:c>
      <x:c r="F119" t="str">
        <x:v>Kem chống nắng</x:v>
      </x:c>
      <x:c r="G119" t="str">
        <x:v>Công ty TNHH Dược Phẩm Toàn Cầu Đông Nam</x:v>
      </x:c>
      <x:c r="H119"/>
      <x:c r="I119"/>
      <x:c r="J119" t="str">
        <x:v>Đã thu hồi – QĐ 97/QĐ-QLD ngày 06/02/2026</x:v>
      </x:c>
      <x:c r="K119" t="str">
        <x:v>A+++ – phụ lục chính thức 252 số; responsible company explicit STT 57–182</x:v>
      </x:c>
      <x:c r="L119"/>
      <x:c r="M119" t="str">
        <x:v>https://doanket.laichau.gov.vn/upload/103883/20260210/Cong_van_ve_viec_Thu_hoi_so_tiep_nhan_Phieu_cong_bo_san_pham_my_pham_03_cong_ty__CT_Y_duoc_Quoc_te_Dong_Nam__Duoc_pham_toan_cau_Dong_Nam__XNK_Quoc_te_Dong_Nam__2dec5.pdf</x:v>
      </x:c>
      <x:c r="N119"/>
      <x:c r="O119" t="str">
        <x:v>Bulk QĐ97; thu hồi tự nguyện do không còn nhu cầu kinh doanh.</x:v>
      </x:c>
    </x:row>
    <x:row r="120">
      <x:c r="A120" t="str">
        <x:v>IMP0119</x:v>
      </x:c>
      <x:c r="B120" s="330" t="n">
        <x:v>45679</x:v>
      </x:c>
      <x:c r="C120" t="str">
        <x:v>264182/25/CBMP-QLD</x:v>
      </x:c>
      <x:c r="D120" t="str">
        <x:v>SKINDERMA HYALURONIC ACID 1%</x:v>
      </x:c>
      <x:c r="E120" t="str">
        <x:v>SKINDERMA</x:v>
      </x:c>
      <x:c r="F120" t="str">
        <x:v>Khác</x:v>
      </x:c>
      <x:c r="G120" t="str">
        <x:v>Công ty TNHH Dược Phẩm Toàn Cầu Đông Nam</x:v>
      </x:c>
      <x:c r="H120"/>
      <x:c r="I120"/>
      <x:c r="J120" t="str">
        <x:v>Đã thu hồi – QĐ 97/QĐ-QLD ngày 06/02/2026</x:v>
      </x:c>
      <x:c r="K120" t="str">
        <x:v>A+++ – phụ lục chính thức 252 số; responsible company explicit STT 57–182</x:v>
      </x:c>
      <x:c r="L120"/>
      <x:c r="M120" t="str">
        <x:v>https://doanket.laichau.gov.vn/upload/103883/20260210/Cong_van_ve_viec_Thu_hoi_so_tiep_nhan_Phieu_cong_bo_san_pham_my_pham_03_cong_ty__CT_Y_duoc_Quoc_te_Dong_Nam__Duoc_pham_toan_cau_Dong_Nam__XNK_Quoc_te_Dong_Nam__2dec5.pdf</x:v>
      </x:c>
      <x:c r="N120"/>
      <x:c r="O120" t="str">
        <x:v>Bulk QĐ97; thu hồi tự nguyện do không còn nhu cầu kinh doanh.</x:v>
      </x:c>
    </x:row>
    <x:row r="121">
      <x:c r="A121" t="str">
        <x:v>IMP0120</x:v>
      </x:c>
      <x:c r="B121" s="330" t="n">
        <x:v>45679</x:v>
      </x:c>
      <x:c r="C121" t="str">
        <x:v>264187/25/CBMP-QLD</x:v>
      </x:c>
      <x:c r="D121" t="str">
        <x:v>SKINDERMA ANTIAGING COMBO</x:v>
      </x:c>
      <x:c r="E121" t="str">
        <x:v>SKINDERMA</x:v>
      </x:c>
      <x:c r="F121" t="str">
        <x:v>Khác</x:v>
      </x:c>
      <x:c r="G121" t="str">
        <x:v>Công ty TNHH Dược Phẩm Toàn Cầu Đông Nam</x:v>
      </x:c>
      <x:c r="H121"/>
      <x:c r="I121"/>
      <x:c r="J121" t="str">
        <x:v>Đã thu hồi – QĐ 97/QĐ-QLD ngày 06/02/2026</x:v>
      </x:c>
      <x:c r="K121" t="str">
        <x:v>A+++ – phụ lục chính thức 252 số; responsible company explicit STT 57–182</x:v>
      </x:c>
      <x:c r="L121"/>
      <x:c r="M121" t="str">
        <x:v>https://doanket.laichau.gov.vn/upload/103883/20260210/Cong_van_ve_viec_Thu_hoi_so_tiep_nhan_Phieu_cong_bo_san_pham_my_pham_03_cong_ty__CT_Y_duoc_Quoc_te_Dong_Nam__Duoc_pham_toan_cau_Dong_Nam__XNK_Quoc_te_Dong_Nam__2dec5.pdf</x:v>
      </x:c>
      <x:c r="N121"/>
      <x:c r="O121" t="str">
        <x:v>Bulk QĐ97; thu hồi tự nguyện do không còn nhu cầu kinh doanh.</x:v>
      </x:c>
    </x:row>
    <x:row r="122">
      <x:c r="A122" t="str">
        <x:v>IMP0121</x:v>
      </x:c>
      <x:c r="B122" s="330" t="n">
        <x:v>45679</x:v>
      </x:c>
      <x:c r="C122" t="str">
        <x:v>264192/25/CBMP-QLD</x:v>
      </x:c>
      <x:c r="D122" t="str">
        <x:v>SKINDERMA REGENERATIVE COLLAGEN</x:v>
      </x:c>
      <x:c r="E122" t="str">
        <x:v>SKINDERMA</x:v>
      </x:c>
      <x:c r="F122" t="str">
        <x:v>Khác</x:v>
      </x:c>
      <x:c r="G122" t="str">
        <x:v>Công ty TNHH Dược Phẩm Toàn Cầu Đông Nam</x:v>
      </x:c>
      <x:c r="H122"/>
      <x:c r="I122"/>
      <x:c r="J122" t="str">
        <x:v>Đã thu hồi – QĐ 97/QĐ-QLD ngày 06/02/2026</x:v>
      </x:c>
      <x:c r="K122" t="str">
        <x:v>A+++ – phụ lục chính thức 252 số; responsible company explicit STT 57–182</x:v>
      </x:c>
      <x:c r="L122"/>
      <x:c r="M122" t="str">
        <x:v>https://doanket.laichau.gov.vn/upload/103883/20260210/Cong_van_ve_viec_Thu_hoi_so_tiep_nhan_Phieu_cong_bo_san_pham_my_pham_03_cong_ty__CT_Y_duoc_Quoc_te_Dong_Nam__Duoc_pham_toan_cau_Dong_Nam__XNK_Quoc_te_Dong_Nam__2dec5.pdf</x:v>
      </x:c>
      <x:c r="N122"/>
      <x:c r="O122" t="str">
        <x:v>Bulk QĐ97; thu hồi tự nguyện do không còn nhu cầu kinh doanh.</x:v>
      </x:c>
    </x:row>
    <x:row r="123">
      <x:c r="A123" t="str">
        <x:v>IMP0122</x:v>
      </x:c>
      <x:c r="B123" s="330" t="n">
        <x:v>45679</x:v>
      </x:c>
      <x:c r="C123" t="str">
        <x:v>264193/25/CBMP-QLD</x:v>
      </x:c>
      <x:c r="D123" t="str">
        <x:v>SKINDERMA LACTIC PEEL</x:v>
      </x:c>
      <x:c r="E123" t="str">
        <x:v>SKINDERMA</x:v>
      </x:c>
      <x:c r="F123" t="str">
        <x:v>Tẩy tế bào chết/Peel</x:v>
      </x:c>
      <x:c r="G123" t="str">
        <x:v>Công ty TNHH Dược Phẩm Toàn Cầu Đông Nam</x:v>
      </x:c>
      <x:c r="H123"/>
      <x:c r="I123"/>
      <x:c r="J123" t="str">
        <x:v>Đã thu hồi – QĐ 97/QĐ-QLD ngày 06/02/2026</x:v>
      </x:c>
      <x:c r="K123" t="str">
        <x:v>A+++ – phụ lục chính thức 252 số; responsible company explicit STT 57–182</x:v>
      </x:c>
      <x:c r="L123"/>
      <x:c r="M123" t="str">
        <x:v>https://doanket.laichau.gov.vn/upload/103883/20260210/Cong_van_ve_viec_Thu_hoi_so_tiep_nhan_Phieu_cong_bo_san_pham_my_pham_03_cong_ty__CT_Y_duoc_Quoc_te_Dong_Nam__Duoc_pham_toan_cau_Dong_Nam__XNK_Quoc_te_Dong_Nam__2dec5.pdf</x:v>
      </x:c>
      <x:c r="N123"/>
      <x:c r="O123" t="str">
        <x:v>Bulk QĐ97; thu hồi tự nguyện do không còn nhu cầu kinh doanh.</x:v>
      </x:c>
    </x:row>
    <x:row r="124">
      <x:c r="A124" t="str">
        <x:v>IMP0123</x:v>
      </x:c>
      <x:c r="B124" s="330" t="n">
        <x:v>45679</x:v>
      </x:c>
      <x:c r="C124" t="str">
        <x:v>264208/25/CBMP-QLD</x:v>
      </x:c>
      <x:c r="D124" t="str">
        <x:v>SKINDERMA SALICYLIC PEEL</x:v>
      </x:c>
      <x:c r="E124" t="str">
        <x:v>SKINDERMA</x:v>
      </x:c>
      <x:c r="F124" t="str">
        <x:v>Tẩy tế bào chết/Peel</x:v>
      </x:c>
      <x:c r="G124" t="str">
        <x:v>Công ty TNHH Dược Phẩm Toàn Cầu Đông Nam</x:v>
      </x:c>
      <x:c r="H124"/>
      <x:c r="I124"/>
      <x:c r="J124" t="str">
        <x:v>Đã thu hồi – QĐ 97/QĐ-QLD ngày 06/02/2026</x:v>
      </x:c>
      <x:c r="K124" t="str">
        <x:v>A+++ – phụ lục chính thức 252 số; responsible company explicit STT 57–182</x:v>
      </x:c>
      <x:c r="L124"/>
      <x:c r="M124" t="str">
        <x:v>https://doanket.laichau.gov.vn/upload/103883/20260210/Cong_van_ve_viec_Thu_hoi_so_tiep_nhan_Phieu_cong_bo_san_pham_my_pham_03_cong_ty__CT_Y_duoc_Quoc_te_Dong_Nam__Duoc_pham_toan_cau_Dong_Nam__XNK_Quoc_te_Dong_Nam__2dec5.pdf</x:v>
      </x:c>
      <x:c r="N124"/>
      <x:c r="O124" t="str">
        <x:v>Bulk QĐ97; thu hồi tự nguyện do không còn nhu cầu kinh doanh.</x:v>
      </x:c>
    </x:row>
    <x:row r="125">
      <x:c r="A125" t="str">
        <x:v>IMP0124</x:v>
      </x:c>
      <x:c r="B125" s="330" t="n">
        <x:v>45679</x:v>
      </x:c>
      <x:c r="C125" t="str">
        <x:v>264218/25/CBMP-QLD</x:v>
      </x:c>
      <x:c r="D125" t="str">
        <x:v>SKINDERMA WHITENING PEEL</x:v>
      </x:c>
      <x:c r="E125" t="str">
        <x:v>SKINDERMA</x:v>
      </x:c>
      <x:c r="F125" t="str">
        <x:v>Tẩy tế bào chết/Peel</x:v>
      </x:c>
      <x:c r="G125" t="str">
        <x:v>Công ty TNHH Dược Phẩm Toàn Cầu Đông Nam</x:v>
      </x:c>
      <x:c r="H125"/>
      <x:c r="I125"/>
      <x:c r="J125" t="str">
        <x:v>Đã thu hồi – QĐ 97/QĐ-QLD ngày 06/02/2026</x:v>
      </x:c>
      <x:c r="K125" t="str">
        <x:v>A+++ – phụ lục chính thức 252 số; responsible company explicit STT 57–182</x:v>
      </x:c>
      <x:c r="L125"/>
      <x:c r="M125" t="str">
        <x:v>https://doanket.laichau.gov.vn/upload/103883/20260210/Cong_van_ve_viec_Thu_hoi_so_tiep_nhan_Phieu_cong_bo_san_pham_my_pham_03_cong_ty__CT_Y_duoc_Quoc_te_Dong_Nam__Duoc_pham_toan_cau_Dong_Nam__XNK_Quoc_te_Dong_Nam__2dec5.pdf</x:v>
      </x:c>
      <x:c r="N125"/>
      <x:c r="O125" t="str">
        <x:v>Bulk QĐ97; thu hồi tự nguyện do không còn nhu cầu kinh doanh.</x:v>
      </x:c>
    </x:row>
    <x:row r="126">
      <x:c r="A126" t="str">
        <x:v>IMP0125</x:v>
      </x:c>
      <x:c r="B126" s="330" t="n">
        <x:v>45679</x:v>
      </x:c>
      <x:c r="C126" t="str">
        <x:v>264219/25/CBMP-QLD</x:v>
      </x:c>
      <x:c r="D126" t="str">
        <x:v>SKINDERMA CLEANSING MILK SOLUTION</x:v>
      </x:c>
      <x:c r="E126" t="str">
        <x:v>SKINDERMA</x:v>
      </x:c>
      <x:c r="F126" t="str">
        <x:v>Sữa rửa mặt</x:v>
      </x:c>
      <x:c r="G126" t="str">
        <x:v>Công ty TNHH Dược Phẩm Toàn Cầu Đông Nam</x:v>
      </x:c>
      <x:c r="H126"/>
      <x:c r="I126"/>
      <x:c r="J126" t="str">
        <x:v>Đã thu hồi – QĐ 97/QĐ-QLD ngày 06/02/2026</x:v>
      </x:c>
      <x:c r="K126" t="str">
        <x:v>A+++ – phụ lục chính thức 252 số; responsible company explicit STT 57–182</x:v>
      </x:c>
      <x:c r="L126"/>
      <x:c r="M126" t="str">
        <x:v>https://doanket.laichau.gov.vn/upload/103883/20260210/Cong_van_ve_viec_Thu_hoi_so_tiep_nhan_Phieu_cong_bo_san_pham_my_pham_03_cong_ty__CT_Y_duoc_Quoc_te_Dong_Nam__Duoc_pham_toan_cau_Dong_Nam__XNK_Quoc_te_Dong_Nam__2dec5.pdf</x:v>
      </x:c>
      <x:c r="N126"/>
      <x:c r="O126" t="str">
        <x:v>Bulk QĐ97; thu hồi tự nguyện do không còn nhu cầu kinh doanh.</x:v>
      </x:c>
    </x:row>
    <x:row r="127">
      <x:c r="A127" t="str">
        <x:v>IMP0126</x:v>
      </x:c>
      <x:c r="B127" s="330" t="n">
        <x:v>45679</x:v>
      </x:c>
      <x:c r="C127" t="str">
        <x:v>264220/25/CBMP-QLD</x:v>
      </x:c>
      <x:c r="D127" t="str">
        <x:v>SKINDERMA ALOE VERA GEL</x:v>
      </x:c>
      <x:c r="E127" t="str">
        <x:v>SKINDERMA</x:v>
      </x:c>
      <x:c r="F127" t="str">
        <x:v>Kem dưỡng da</x:v>
      </x:c>
      <x:c r="G127" t="str">
        <x:v>Công ty TNHH Dược Phẩm Toàn Cầu Đông Nam</x:v>
      </x:c>
      <x:c r="H127"/>
      <x:c r="I127"/>
      <x:c r="J127" t="str">
        <x:v>Đã thu hồi – QĐ 97/QĐ-QLD ngày 06/02/2026</x:v>
      </x:c>
      <x:c r="K127" t="str">
        <x:v>A+++ – phụ lục chính thức 252 số; responsible company explicit STT 57–182</x:v>
      </x:c>
      <x:c r="L127"/>
      <x:c r="M127" t="str">
        <x:v>https://doanket.laichau.gov.vn/upload/103883/20260210/Cong_van_ve_viec_Thu_hoi_so_tiep_nhan_Phieu_cong_bo_san_pham_my_pham_03_cong_ty__CT_Y_duoc_Quoc_te_Dong_Nam__Duoc_pham_toan_cau_Dong_Nam__XNK_Quoc_te_Dong_Nam__2dec5.pdf</x:v>
      </x:c>
      <x:c r="N127"/>
      <x:c r="O127" t="str">
        <x:v>Bulk QĐ97; thu hồi tự nguyện do không còn nhu cầu kinh doanh.</x:v>
      </x:c>
    </x:row>
    <x:row r="128">
      <x:c r="A128" t="str">
        <x:v>IMP0127</x:v>
      </x:c>
      <x:c r="B128" s="330" t="n">
        <x:v>45691</x:v>
      </x:c>
      <x:c r="C128" t="str">
        <x:v>264950/25/CBMP-QLD</x:v>
      </x:c>
      <x:c r="D128" t="str">
        <x:v>SKINDERMA ARGIRELINE MASK</x:v>
      </x:c>
      <x:c r="E128" t="str">
        <x:v>SKINDERMA</x:v>
      </x:c>
      <x:c r="F128" t="str">
        <x:v>Mặt nạ</x:v>
      </x:c>
      <x:c r="G128" t="str">
        <x:v>Công ty TNHH Dược Phẩm Toàn Cầu Đông Nam</x:v>
      </x:c>
      <x:c r="H128"/>
      <x:c r="I128"/>
      <x:c r="J128" t="str">
        <x:v>Đã thu hồi – QĐ 97/QĐ-QLD ngày 06/02/2026</x:v>
      </x:c>
      <x:c r="K128" t="str">
        <x:v>A+++ – phụ lục chính thức 252 số; responsible company explicit STT 57–182</x:v>
      </x:c>
      <x:c r="L128"/>
      <x:c r="M128" t="str">
        <x:v>https://doanket.laichau.gov.vn/upload/103883/20260210/Cong_van_ve_viec_Thu_hoi_so_tiep_nhan_Phieu_cong_bo_san_pham_my_pham_03_cong_ty__CT_Y_duoc_Quoc_te_Dong_Nam__Duoc_pham_toan_cau_Dong_Nam__XNK_Quoc_te_Dong_Nam__2dec5.pdf</x:v>
      </x:c>
      <x:c r="N128"/>
      <x:c r="O128" t="str">
        <x:v>Bulk QĐ97; thu hồi tự nguyện do không còn nhu cầu kinh doanh.</x:v>
      </x:c>
    </x:row>
    <x:row r="129">
      <x:c r="A129" t="str">
        <x:v>IMP0128</x:v>
      </x:c>
      <x:c r="B129" s="330" t="n">
        <x:v>45691</x:v>
      </x:c>
      <x:c r="C129" t="str">
        <x:v>264952/25/CBMP-QLD</x:v>
      </x:c>
      <x:c r="D129" t="str">
        <x:v>SKINDERMA ALOE VERA MASK</x:v>
      </x:c>
      <x:c r="E129" t="str">
        <x:v>SKINDERMA</x:v>
      </x:c>
      <x:c r="F129" t="str">
        <x:v>Mặt nạ</x:v>
      </x:c>
      <x:c r="G129" t="str">
        <x:v>Công ty TNHH Dược Phẩm Toàn Cầu Đông Nam</x:v>
      </x:c>
      <x:c r="H129"/>
      <x:c r="I129"/>
      <x:c r="J129" t="str">
        <x:v>Đã thu hồi – QĐ 97/QĐ-QLD ngày 06/02/2026</x:v>
      </x:c>
      <x:c r="K129" t="str">
        <x:v>A+++ – phụ lục chính thức 252 số; responsible company explicit STT 57–182</x:v>
      </x:c>
      <x:c r="L129"/>
      <x:c r="M129" t="str">
        <x:v>https://doanket.laichau.gov.vn/upload/103883/20260210/Cong_van_ve_viec_Thu_hoi_so_tiep_nhan_Phieu_cong_bo_san_pham_my_pham_03_cong_ty__CT_Y_duoc_Quoc_te_Dong_Nam__Duoc_pham_toan_cau_Dong_Nam__XNK_Quoc_te_Dong_Nam__2dec5.pdf</x:v>
      </x:c>
      <x:c r="N129"/>
      <x:c r="O129" t="str">
        <x:v>Bulk QĐ97; thu hồi tự nguyện do không còn nhu cầu kinh doanh.</x:v>
      </x:c>
    </x:row>
    <x:row r="130">
      <x:c r="A130" t="str">
        <x:v>IMP0129</x:v>
      </x:c>
      <x:c r="B130" s="330" t="n">
        <x:v>45691</x:v>
      </x:c>
      <x:c r="C130" t="str">
        <x:v>264953/25/CBMP-QLD</x:v>
      </x:c>
      <x:c r="D130" t="str">
        <x:v>SKINDERMA MOISTURIZING MASK</x:v>
      </x:c>
      <x:c r="E130" t="str">
        <x:v>SKINDERMA</x:v>
      </x:c>
      <x:c r="F130" t="str">
        <x:v>Mặt nạ</x:v>
      </x:c>
      <x:c r="G130" t="str">
        <x:v>Công ty TNHH Dược Phẩm Toàn Cầu Đông Nam</x:v>
      </x:c>
      <x:c r="H130"/>
      <x:c r="I130"/>
      <x:c r="J130" t="str">
        <x:v>Đã thu hồi – QĐ 97/QĐ-QLD ngày 06/02/2026</x:v>
      </x:c>
      <x:c r="K130" t="str">
        <x:v>A+++ – phụ lục chính thức 252 số; responsible company explicit STT 57–182</x:v>
      </x:c>
      <x:c r="L130"/>
      <x:c r="M130" t="str">
        <x:v>https://doanket.laichau.gov.vn/upload/103883/20260210/Cong_van_ve_viec_Thu_hoi_so_tiep_nhan_Phieu_cong_bo_san_pham_my_pham_03_cong_ty__CT_Y_duoc_Quoc_te_Dong_Nam__Duoc_pham_toan_cau_Dong_Nam__XNK_Quoc_te_Dong_Nam__2dec5.pdf</x:v>
      </x:c>
      <x:c r="N130"/>
      <x:c r="O130" t="str">
        <x:v>Bulk QĐ97; thu hồi tự nguyện do không còn nhu cầu kinh doanh.</x:v>
      </x:c>
    </x:row>
    <x:row r="131">
      <x:c r="A131" t="str">
        <x:v>IMP0130</x:v>
      </x:c>
      <x:c r="B131" s="330" t="n">
        <x:v>45691</x:v>
      </x:c>
      <x:c r="C131" t="str">
        <x:v>264954/25/CBMP-QLD</x:v>
      </x:c>
      <x:c r="D131" t="str">
        <x:v>SKINDERMA VITAMIN C MASK</x:v>
      </x:c>
      <x:c r="E131" t="str">
        <x:v>SKINDERMA</x:v>
      </x:c>
      <x:c r="F131" t="str">
        <x:v>Mặt nạ</x:v>
      </x:c>
      <x:c r="G131" t="str">
        <x:v>Công ty TNHH Dược Phẩm Toàn Cầu Đông Nam</x:v>
      </x:c>
      <x:c r="H131"/>
      <x:c r="I131"/>
      <x:c r="J131" t="str">
        <x:v>Đã thu hồi – QĐ 97/QĐ-QLD ngày 06/02/2026</x:v>
      </x:c>
      <x:c r="K131" t="str">
        <x:v>A+++ – phụ lục chính thức 252 số; responsible company explicit STT 57–182</x:v>
      </x:c>
      <x:c r="L131"/>
      <x:c r="M131" t="str">
        <x:v>https://doanket.laichau.gov.vn/upload/103883/20260210/Cong_van_ve_viec_Thu_hoi_so_tiep_nhan_Phieu_cong_bo_san_pham_my_pham_03_cong_ty__CT_Y_duoc_Quoc_te_Dong_Nam__Duoc_pham_toan_cau_Dong_Nam__XNK_Quoc_te_Dong_Nam__2dec5.pdf</x:v>
      </x:c>
      <x:c r="N131"/>
      <x:c r="O131" t="str">
        <x:v>Bulk QĐ97; thu hồi tự nguyện do không còn nhu cầu kinh doanh.</x:v>
      </x:c>
    </x:row>
    <x:row r="132">
      <x:c r="A132" t="str">
        <x:v>IMP0131</x:v>
      </x:c>
      <x:c r="B132" s="330" t="n">
        <x:v>45692</x:v>
      </x:c>
      <x:c r="C132" t="str">
        <x:v>264966/25/CBMP-QLD</x:v>
      </x:c>
      <x:c r="D132" t="str">
        <x:v>SKINDERMA LUMIN C CREAM</x:v>
      </x:c>
      <x:c r="E132" t="str">
        <x:v>SKINDERMA</x:v>
      </x:c>
      <x:c r="F132" t="str">
        <x:v>Kem dưỡng da</x:v>
      </x:c>
      <x:c r="G132" t="str">
        <x:v>Công ty TNHH Dược Phẩm Toàn Cầu Đông Nam</x:v>
      </x:c>
      <x:c r="H132"/>
      <x:c r="I132"/>
      <x:c r="J132" t="str">
        <x:v>Đã thu hồi – QĐ 97/QĐ-QLD ngày 06/02/2026</x:v>
      </x:c>
      <x:c r="K132" t="str">
        <x:v>A+++ – phụ lục chính thức 252 số; responsible company explicit STT 57–182</x:v>
      </x:c>
      <x:c r="L132"/>
      <x:c r="M132" t="str">
        <x:v>https://doanket.laichau.gov.vn/upload/103883/20260210/Cong_van_ve_viec_Thu_hoi_so_tiep_nhan_Phieu_cong_bo_san_pham_my_pham_03_cong_ty__CT_Y_duoc_Quoc_te_Dong_Nam__Duoc_pham_toan_cau_Dong_Nam__XNK_Quoc_te_Dong_Nam__2dec5.pdf</x:v>
      </x:c>
      <x:c r="N132"/>
      <x:c r="O132" t="str">
        <x:v>Bulk QĐ97; thu hồi tự nguyện do không còn nhu cầu kinh doanh.</x:v>
      </x:c>
    </x:row>
    <x:row r="133">
      <x:c r="A133" t="str">
        <x:v>IMP0132</x:v>
      </x:c>
      <x:c r="B133" s="330" t="n">
        <x:v>45692</x:v>
      </x:c>
      <x:c r="C133" t="str">
        <x:v>264970/25/CBMP-QLD</x:v>
      </x:c>
      <x:c r="D133" t="str">
        <x:v>SKINDERMA EYE CREAM</x:v>
      </x:c>
      <x:c r="E133" t="str">
        <x:v>SKINDERMA</x:v>
      </x:c>
      <x:c r="F133" t="str">
        <x:v>Kem dưỡng da</x:v>
      </x:c>
      <x:c r="G133" t="str">
        <x:v>Công ty TNHH Dược Phẩm Toàn Cầu Đông Nam</x:v>
      </x:c>
      <x:c r="H133"/>
      <x:c r="I133"/>
      <x:c r="J133" t="str">
        <x:v>Đã thu hồi – QĐ 97/QĐ-QLD ngày 06/02/2026</x:v>
      </x:c>
      <x:c r="K133" t="str">
        <x:v>A+++ – phụ lục chính thức 252 số; responsible company explicit STT 57–182</x:v>
      </x:c>
      <x:c r="L133"/>
      <x:c r="M133" t="str">
        <x:v>https://doanket.laichau.gov.vn/upload/103883/20260210/Cong_van_ve_viec_Thu_hoi_so_tiep_nhan_Phieu_cong_bo_san_pham_my_pham_03_cong_ty__CT_Y_duoc_Quoc_te_Dong_Nam__Duoc_pham_toan_cau_Dong_Nam__XNK_Quoc_te_Dong_Nam__2dec5.pdf</x:v>
      </x:c>
      <x:c r="N133"/>
      <x:c r="O133" t="str">
        <x:v>Bulk QĐ97; thu hồi tự nguyện do không còn nhu cầu kinh doanh.</x:v>
      </x:c>
    </x:row>
    <x:row r="134">
      <x:c r="A134" t="str">
        <x:v>IMP0133</x:v>
      </x:c>
      <x:c r="B134" s="330" t="n">
        <x:v>45692</x:v>
      </x:c>
      <x:c r="C134" t="str">
        <x:v>264972/25/CBMP-QLD</x:v>
      </x:c>
      <x:c r="D134" t="str">
        <x:v>SKINDERMA MOISTURIZING CREAM</x:v>
      </x:c>
      <x:c r="E134" t="str">
        <x:v>SKINDERMA</x:v>
      </x:c>
      <x:c r="F134" t="str">
        <x:v>Kem dưỡng da</x:v>
      </x:c>
      <x:c r="G134" t="str">
        <x:v>Công ty TNHH Dược Phẩm Toàn Cầu Đông Nam</x:v>
      </x:c>
      <x:c r="H134"/>
      <x:c r="I134"/>
      <x:c r="J134" t="str">
        <x:v>Đã thu hồi – QĐ 97/QĐ-QLD ngày 06/02/2026</x:v>
      </x:c>
      <x:c r="K134" t="str">
        <x:v>A+++ – phụ lục chính thức 252 số; responsible company explicit STT 57–182</x:v>
      </x:c>
      <x:c r="L134"/>
      <x:c r="M134" t="str">
        <x:v>https://doanket.laichau.gov.vn/upload/103883/20260210/Cong_van_ve_viec_Thu_hoi_so_tiep_nhan_Phieu_cong_bo_san_pham_my_pham_03_cong_ty__CT_Y_duoc_Quoc_te_Dong_Nam__Duoc_pham_toan_cau_Dong_Nam__XNK_Quoc_te_Dong_Nam__2dec5.pdf</x:v>
      </x:c>
      <x:c r="N134"/>
      <x:c r="O134" t="str">
        <x:v>Bulk QĐ97; thu hồi tự nguyện do không còn nhu cầu kinh doanh.</x:v>
      </x:c>
    </x:row>
    <x:row r="135">
      <x:c r="A135" t="str">
        <x:v>IMP0134</x:v>
      </x:c>
      <x:c r="B135" s="330" t="n">
        <x:v>45692</x:v>
      </x:c>
      <x:c r="C135" t="str">
        <x:v>264974/25/CBMP-QLD</x:v>
      </x:c>
      <x:c r="D135" t="str">
        <x:v>SKINDERMA REGENERATIVE CREAM</x:v>
      </x:c>
      <x:c r="E135" t="str">
        <x:v>SKINDERMA</x:v>
      </x:c>
      <x:c r="F135" t="str">
        <x:v>Kem dưỡng da</x:v>
      </x:c>
      <x:c r="G135" t="str">
        <x:v>Công ty TNHH Dược Phẩm Toàn Cầu Đông Nam</x:v>
      </x:c>
      <x:c r="H135"/>
      <x:c r="I135"/>
      <x:c r="J135" t="str">
        <x:v>Đã thu hồi – QĐ 97/QĐ-QLD ngày 06/02/2026</x:v>
      </x:c>
      <x:c r="K135" t="str">
        <x:v>A+++ – phụ lục chính thức 252 số; responsible company explicit STT 57–182</x:v>
      </x:c>
      <x:c r="L135"/>
      <x:c r="M135" t="str">
        <x:v>https://doanket.laichau.gov.vn/upload/103883/20260210/Cong_van_ve_viec_Thu_hoi_so_tiep_nhan_Phieu_cong_bo_san_pham_my_pham_03_cong_ty__CT_Y_duoc_Quoc_te_Dong_Nam__Duoc_pham_toan_cau_Dong_Nam__XNK_Quoc_te_Dong_Nam__2dec5.pdf</x:v>
      </x:c>
      <x:c r="N135"/>
      <x:c r="O135" t="str">
        <x:v>Bulk QĐ97; thu hồi tự nguyện do không còn nhu cầu kinh doanh.</x:v>
      </x:c>
    </x:row>
    <x:row r="136">
      <x:c r="A136" t="str">
        <x:v>IMP0135</x:v>
      </x:c>
      <x:c r="B136" s="330" t="n">
        <x:v>45692</x:v>
      </x:c>
      <x:c r="C136" t="str">
        <x:v>264976/25/CBMP-QLD</x:v>
      </x:c>
      <x:c r="D136" t="str">
        <x:v>SKINDERMA MELANO AWAY CREAM</x:v>
      </x:c>
      <x:c r="E136" t="str">
        <x:v>SKINDERMA</x:v>
      </x:c>
      <x:c r="F136" t="str">
        <x:v>Kem dưỡng da</x:v>
      </x:c>
      <x:c r="G136" t="str">
        <x:v>Công ty TNHH Dược Phẩm Toàn Cầu Đông Nam</x:v>
      </x:c>
      <x:c r="H136"/>
      <x:c r="I136"/>
      <x:c r="J136" t="str">
        <x:v>Đã thu hồi – QĐ 97/QĐ-QLD ngày 06/02/2026</x:v>
      </x:c>
      <x:c r="K136" t="str">
        <x:v>A+++ – phụ lục chính thức 252 số; responsible company explicit STT 57–182</x:v>
      </x:c>
      <x:c r="L136"/>
      <x:c r="M136" t="str">
        <x:v>https://doanket.laichau.gov.vn/upload/103883/20260210/Cong_van_ve_viec_Thu_hoi_so_tiep_nhan_Phieu_cong_bo_san_pham_my_pham_03_cong_ty__CT_Y_duoc_Quoc_te_Dong_Nam__Duoc_pham_toan_cau_Dong_Nam__XNK_Quoc_te_Dong_Nam__2dec5.pdf</x:v>
      </x:c>
      <x:c r="N136"/>
      <x:c r="O136" t="str">
        <x:v>Bulk QĐ97; thu hồi tự nguyện do không còn nhu cầu kinh doanh.</x:v>
      </x:c>
    </x:row>
    <x:row r="137">
      <x:c r="A137" t="str">
        <x:v>IMP0136</x:v>
      </x:c>
      <x:c r="B137" s="330" t="n">
        <x:v>45692</x:v>
      </x:c>
      <x:c r="C137" t="str">
        <x:v>264977/25/CBMP-QLD</x:v>
      </x:c>
      <x:c r="D137" t="str">
        <x:v>SKINDERMA ARBUTIN CREAM</x:v>
      </x:c>
      <x:c r="E137" t="str">
        <x:v>SKINDERMA</x:v>
      </x:c>
      <x:c r="F137" t="str">
        <x:v>Kem dưỡng da</x:v>
      </x:c>
      <x:c r="G137" t="str">
        <x:v>Công ty TNHH Dược Phẩm Toàn Cầu Đông Nam</x:v>
      </x:c>
      <x:c r="H137"/>
      <x:c r="I137"/>
      <x:c r="J137" t="str">
        <x:v>Đã thu hồi – QĐ 97/QĐ-QLD ngày 06/02/2026</x:v>
      </x:c>
      <x:c r="K137" t="str">
        <x:v>A+++ – phụ lục chính thức 252 số; responsible company explicit STT 57–182</x:v>
      </x:c>
      <x:c r="L137"/>
      <x:c r="M137" t="str">
        <x:v>https://doanket.laichau.gov.vn/upload/103883/20260210/Cong_van_ve_viec_Thu_hoi_so_tiep_nhan_Phieu_cong_bo_san_pham_my_pham_03_cong_ty__CT_Y_duoc_Quoc_te_Dong_Nam__Duoc_pham_toan_cau_Dong_Nam__XNK_Quoc_te_Dong_Nam__2dec5.pdf</x:v>
      </x:c>
      <x:c r="N137"/>
      <x:c r="O137" t="str">
        <x:v>Bulk QĐ97; thu hồi tự nguyện do không còn nhu cầu kinh doanh.</x:v>
      </x:c>
    </x:row>
    <x:row r="138">
      <x:c r="A138" t="str">
        <x:v>IMP0137</x:v>
      </x:c>
      <x:c r="B138" s="330" t="n">
        <x:v>45692</x:v>
      </x:c>
      <x:c r="C138" t="str">
        <x:v>264979/25/CBMP-QLD</x:v>
      </x:c>
      <x:c r="D138" t="str">
        <x:v>SKINDERMA GOLDEN CREAM</x:v>
      </x:c>
      <x:c r="E138" t="str">
        <x:v>SKINDERMA</x:v>
      </x:c>
      <x:c r="F138" t="str">
        <x:v>Kem dưỡng da</x:v>
      </x:c>
      <x:c r="G138" t="str">
        <x:v>Công ty TNHH Dược Phẩm Toàn Cầu Đông Nam</x:v>
      </x:c>
      <x:c r="H138"/>
      <x:c r="I138"/>
      <x:c r="J138" t="str">
        <x:v>Đã thu hồi – QĐ 97/QĐ-QLD ngày 06/02/2026</x:v>
      </x:c>
      <x:c r="K138" t="str">
        <x:v>A+++ – phụ lục chính thức 252 số; responsible company explicit STT 57–182</x:v>
      </x:c>
      <x:c r="L138"/>
      <x:c r="M138" t="str">
        <x:v>https://doanket.laichau.gov.vn/upload/103883/20260210/Cong_van_ve_viec_Thu_hoi_so_tiep_nhan_Phieu_cong_bo_san_pham_my_pham_03_cong_ty__CT_Y_duoc_Quoc_te_Dong_Nam__Duoc_pham_toan_cau_Dong_Nam__XNK_Quoc_te_Dong_Nam__2dec5.pdf</x:v>
      </x:c>
      <x:c r="N138"/>
      <x:c r="O138" t="str">
        <x:v>Bulk QĐ97; thu hồi tự nguyện do không còn nhu cầu kinh doanh.</x:v>
      </x:c>
    </x:row>
    <x:row r="139">
      <x:c r="A139" t="str">
        <x:v>IMP0138</x:v>
      </x:c>
      <x:c r="B139" s="330" t="n">
        <x:v>45692</x:v>
      </x:c>
      <x:c r="C139" t="str">
        <x:v>264985/25/CBMP-QLD</x:v>
      </x:c>
      <x:c r="D139" t="str">
        <x:v>SKINDERMA ANTIAGING CREAM</x:v>
      </x:c>
      <x:c r="E139" t="str">
        <x:v>SKINDERMA</x:v>
      </x:c>
      <x:c r="F139" t="str">
        <x:v>Kem dưỡng da</x:v>
      </x:c>
      <x:c r="G139" t="str">
        <x:v>Công ty TNHH Dược Phẩm Toàn Cầu Đông Nam</x:v>
      </x:c>
      <x:c r="H139"/>
      <x:c r="I139"/>
      <x:c r="J139" t="str">
        <x:v>Đã thu hồi – QĐ 97/QĐ-QLD ngày 06/02/2026</x:v>
      </x:c>
      <x:c r="K139" t="str">
        <x:v>A+++ – phụ lục chính thức 252 số; responsible company explicit STT 57–182</x:v>
      </x:c>
      <x:c r="L139"/>
      <x:c r="M139" t="str">
        <x:v>https://doanket.laichau.gov.vn/upload/103883/20260210/Cong_van_ve_viec_Thu_hoi_so_tiep_nhan_Phieu_cong_bo_san_pham_my_pham_03_cong_ty__CT_Y_duoc_Quoc_te_Dong_Nam__Duoc_pham_toan_cau_Dong_Nam__XNK_Quoc_te_Dong_Nam__2dec5.pdf</x:v>
      </x:c>
      <x:c r="N139"/>
      <x:c r="O139" t="str">
        <x:v>Bulk QĐ97; thu hồi tự nguyện do không còn nhu cầu kinh doanh.</x:v>
      </x:c>
    </x:row>
    <x:row r="140">
      <x:c r="A140" t="str">
        <x:v>IMP0139</x:v>
      </x:c>
      <x:c r="B140" s="330" t="n">
        <x:v>45692</x:v>
      </x:c>
      <x:c r="C140" t="str">
        <x:v>264986/25/CBMP-QLD</x:v>
      </x:c>
      <x:c r="D140" t="str">
        <x:v>SKINDERMA GLUTATHIONE CREAM</x:v>
      </x:c>
      <x:c r="E140" t="str">
        <x:v>SKINDERMA</x:v>
      </x:c>
      <x:c r="F140" t="str">
        <x:v>Kem dưỡng da</x:v>
      </x:c>
      <x:c r="G140" t="str">
        <x:v>Công ty TNHH Dược Phẩm Toàn Cầu Đông Nam</x:v>
      </x:c>
      <x:c r="H140"/>
      <x:c r="I140"/>
      <x:c r="J140" t="str">
        <x:v>Đã thu hồi – QĐ 97/QĐ-QLD ngày 06/02/2026</x:v>
      </x:c>
      <x:c r="K140" t="str">
        <x:v>A+++ – phụ lục chính thức 252 số; responsible company explicit STT 57–182</x:v>
      </x:c>
      <x:c r="L140"/>
      <x:c r="M140" t="str">
        <x:v>https://doanket.laichau.gov.vn/upload/103883/20260210/Cong_van_ve_viec_Thu_hoi_so_tiep_nhan_Phieu_cong_bo_san_pham_my_pham_03_cong_ty__CT_Y_duoc_Quoc_te_Dong_Nam__Duoc_pham_toan_cau_Dong_Nam__XNK_Quoc_te_Dong_Nam__2dec5.pdf</x:v>
      </x:c>
      <x:c r="N140"/>
      <x:c r="O140" t="str">
        <x:v>Bulk QĐ97; thu hồi tự nguyện do không còn nhu cầu kinh doanh.</x:v>
      </x:c>
    </x:row>
    <x:row r="141">
      <x:c r="A141" t="str">
        <x:v>IMP0140</x:v>
      </x:c>
      <x:c r="B141" s="330" t="n">
        <x:v>45692</x:v>
      </x:c>
      <x:c r="C141" t="str">
        <x:v>264987/25/CBMP-QLD</x:v>
      </x:c>
      <x:c r="D141" t="str">
        <x:v>SKINDERMA HYAL-4 CREAM</x:v>
      </x:c>
      <x:c r="E141" t="str">
        <x:v>SKINDERMA</x:v>
      </x:c>
      <x:c r="F141" t="str">
        <x:v>Kem dưỡng da</x:v>
      </x:c>
      <x:c r="G141" t="str">
        <x:v>Công ty TNHH Dược Phẩm Toàn Cầu Đông Nam</x:v>
      </x:c>
      <x:c r="H141"/>
      <x:c r="I141"/>
      <x:c r="J141" t="str">
        <x:v>Đã thu hồi – QĐ 97/QĐ-QLD ngày 06/02/2026</x:v>
      </x:c>
      <x:c r="K141" t="str">
        <x:v>A+++ – phụ lục chính thức 252 số; responsible company explicit STT 57–182</x:v>
      </x:c>
      <x:c r="L141"/>
      <x:c r="M141" t="str">
        <x:v>https://doanket.laichau.gov.vn/upload/103883/20260210/Cong_van_ve_viec_Thu_hoi_so_tiep_nhan_Phieu_cong_bo_san_pham_my_pham_03_cong_ty__CT_Y_duoc_Quoc_te_Dong_Nam__Duoc_pham_toan_cau_Dong_Nam__XNK_Quoc_te_Dong_Nam__2dec5.pdf</x:v>
      </x:c>
      <x:c r="N141"/>
      <x:c r="O141" t="str">
        <x:v>Bulk QĐ97; thu hồi tự nguyện do không còn nhu cầu kinh doanh.</x:v>
      </x:c>
    </x:row>
    <x:row r="142">
      <x:c r="A142" t="str">
        <x:v>IMP0141</x:v>
      </x:c>
      <x:c r="B142" s="330" t="n">
        <x:v>45692</x:v>
      </x:c>
      <x:c r="C142" t="str">
        <x:v>264996/25/CBMP-QLD</x:v>
      </x:c>
      <x:c r="D142" t="str">
        <x:v>SKINDERMA JESSNER PEEL</x:v>
      </x:c>
      <x:c r="E142" t="str">
        <x:v>SKINDERMA</x:v>
      </x:c>
      <x:c r="F142" t="str">
        <x:v>Tẩy tế bào chết/Peel</x:v>
      </x:c>
      <x:c r="G142" t="str">
        <x:v>Công ty TNHH Dược Phẩm Toàn Cầu Đông Nam</x:v>
      </x:c>
      <x:c r="H142"/>
      <x:c r="I142"/>
      <x:c r="J142" t="str">
        <x:v>Đã thu hồi – QĐ 97/QĐ-QLD ngày 06/02/2026</x:v>
      </x:c>
      <x:c r="K142" t="str">
        <x:v>A+++ – phụ lục chính thức 252 số; responsible company explicit STT 57–182</x:v>
      </x:c>
      <x:c r="L142"/>
      <x:c r="M142" t="str">
        <x:v>https://doanket.laichau.gov.vn/upload/103883/20260210/Cong_van_ve_viec_Thu_hoi_so_tiep_nhan_Phieu_cong_bo_san_pham_my_pham_03_cong_ty__CT_Y_duoc_Quoc_te_Dong_Nam__Duoc_pham_toan_cau_Dong_Nam__XNK_Quoc_te_Dong_Nam__2dec5.pdf</x:v>
      </x:c>
      <x:c r="N142"/>
      <x:c r="O142" t="str">
        <x:v>Bulk QĐ97; thu hồi tự nguyện do không còn nhu cầu kinh doanh.</x:v>
      </x:c>
    </x:row>
    <x:row r="143">
      <x:c r="A143" t="str">
        <x:v>IMP0142</x:v>
      </x:c>
      <x:c r="B143" s="330" t="n">
        <x:v>45692</x:v>
      </x:c>
      <x:c r="C143" t="str">
        <x:v>264998/25/CBMP-QLD</x:v>
      </x:c>
      <x:c r="D143" t="str">
        <x:v>SKINDERMA SUCCINIC PEEL</x:v>
      </x:c>
      <x:c r="E143" t="str">
        <x:v>SKINDERMA</x:v>
      </x:c>
      <x:c r="F143" t="str">
        <x:v>Tẩy tế bào chết/Peel</x:v>
      </x:c>
      <x:c r="G143" t="str">
        <x:v>Công ty TNHH Dược Phẩm Toàn Cầu Đông Nam</x:v>
      </x:c>
      <x:c r="H143"/>
      <x:c r="I143"/>
      <x:c r="J143" t="str">
        <x:v>Đã thu hồi – QĐ 97/QĐ-QLD ngày 06/02/2026</x:v>
      </x:c>
      <x:c r="K143" t="str">
        <x:v>A+++ – phụ lục chính thức 252 số; responsible company explicit STT 57–182</x:v>
      </x:c>
      <x:c r="L143"/>
      <x:c r="M143" t="str">
        <x:v>https://doanket.laichau.gov.vn/upload/103883/20260210/Cong_van_ve_viec_Thu_hoi_so_tiep_nhan_Phieu_cong_bo_san_pham_my_pham_03_cong_ty__CT_Y_duoc_Quoc_te_Dong_Nam__Duoc_pham_toan_cau_Dong_Nam__XNK_Quoc_te_Dong_Nam__2dec5.pdf</x:v>
      </x:c>
      <x:c r="N143"/>
      <x:c r="O143" t="str">
        <x:v>Bulk QĐ97; thu hồi tự nguyện do không còn nhu cầu kinh doanh.</x:v>
      </x:c>
    </x:row>
    <x:row r="144">
      <x:c r="A144" t="str">
        <x:v>IMP0143</x:v>
      </x:c>
      <x:c r="B144" s="330" t="n">
        <x:v>45692</x:v>
      </x:c>
      <x:c r="C144" t="str">
        <x:v>264999/25/CBMP-QLD</x:v>
      </x:c>
      <x:c r="D144" t="str">
        <x:v>SKINDERMA ANTIAGING PEEL</x:v>
      </x:c>
      <x:c r="E144" t="str">
        <x:v>SKINDERMA</x:v>
      </x:c>
      <x:c r="F144" t="str">
        <x:v>Tẩy tế bào chết/Peel</x:v>
      </x:c>
      <x:c r="G144" t="str">
        <x:v>Công ty TNHH Dược Phẩm Toàn Cầu Đông Nam</x:v>
      </x:c>
      <x:c r="H144"/>
      <x:c r="I144"/>
      <x:c r="J144" t="str">
        <x:v>Đã thu hồi – QĐ 97/QĐ-QLD ngày 06/02/2026</x:v>
      </x:c>
      <x:c r="K144" t="str">
        <x:v>A+++ – phụ lục chính thức 252 số; responsible company explicit STT 57–182</x:v>
      </x:c>
      <x:c r="L144"/>
      <x:c r="M144" t="str">
        <x:v>https://doanket.laichau.gov.vn/upload/103883/20260210/Cong_van_ve_viec_Thu_hoi_so_tiep_nhan_Phieu_cong_bo_san_pham_my_pham_03_cong_ty__CT_Y_duoc_Quoc_te_Dong_Nam__Duoc_pham_toan_cau_Dong_Nam__XNK_Quoc_te_Dong_Nam__2dec5.pdf</x:v>
      </x:c>
      <x:c r="N144"/>
      <x:c r="O144" t="str">
        <x:v>Bulk QĐ97; thu hồi tự nguyện do không còn nhu cầu kinh doanh.</x:v>
      </x:c>
    </x:row>
    <x:row r="145">
      <x:c r="A145" t="str">
        <x:v>IMP0144</x:v>
      </x:c>
      <x:c r="B145" s="330" t="n">
        <x:v>45692</x:v>
      </x:c>
      <x:c r="C145" t="str">
        <x:v>265002/25/CBMP-QLD</x:v>
      </x:c>
      <x:c r="D145" t="str">
        <x:v>SKINDERMA GLYCOLIC PEEL</x:v>
      </x:c>
      <x:c r="E145" t="str">
        <x:v>SKINDERMA</x:v>
      </x:c>
      <x:c r="F145" t="str">
        <x:v>Tẩy tế bào chết/Peel</x:v>
      </x:c>
      <x:c r="G145" t="str">
        <x:v>Công ty TNHH Dược Phẩm Toàn Cầu Đông Nam</x:v>
      </x:c>
      <x:c r="H145"/>
      <x:c r="I145"/>
      <x:c r="J145" t="str">
        <x:v>Đã thu hồi – QĐ 97/QĐ-QLD ngày 06/02/2026</x:v>
      </x:c>
      <x:c r="K145" t="str">
        <x:v>A+++ – phụ lục chính thức 252 số; responsible company explicit STT 57–182</x:v>
      </x:c>
      <x:c r="L145"/>
      <x:c r="M145" t="str">
        <x:v>https://doanket.laichau.gov.vn/upload/103883/20260210/Cong_van_ve_viec_Thu_hoi_so_tiep_nhan_Phieu_cong_bo_san_pham_my_pham_03_cong_ty__CT_Y_duoc_Quoc_te_Dong_Nam__Duoc_pham_toan_cau_Dong_Nam__XNK_Quoc_te_Dong_Nam__2dec5.pdf</x:v>
      </x:c>
      <x:c r="N145"/>
      <x:c r="O145" t="str">
        <x:v>Bulk QĐ97; thu hồi tự nguyện do không còn nhu cầu kinh doanh.</x:v>
      </x:c>
    </x:row>
    <x:row r="146">
      <x:c r="A146" t="str">
        <x:v>IMP0145</x:v>
      </x:c>
      <x:c r="B146" s="330" t="n">
        <x:v>45692</x:v>
      </x:c>
      <x:c r="C146" t="str">
        <x:v>265004/25/CBMP-QLD</x:v>
      </x:c>
      <x:c r="D146" t="str">
        <x:v>SKINDERMA TRANEXAMIC PEEL</x:v>
      </x:c>
      <x:c r="E146" t="str">
        <x:v>SKINDERMA</x:v>
      </x:c>
      <x:c r="F146" t="str">
        <x:v>Tẩy tế bào chết/Peel</x:v>
      </x:c>
      <x:c r="G146" t="str">
        <x:v>Công ty TNHH Dược Phẩm Toàn Cầu Đông Nam</x:v>
      </x:c>
      <x:c r="H146"/>
      <x:c r="I146"/>
      <x:c r="J146" t="str">
        <x:v>Đã thu hồi – QĐ 97/QĐ-QLD ngày 06/02/2026</x:v>
      </x:c>
      <x:c r="K146" t="str">
        <x:v>A+++ – phụ lục chính thức 252 số; responsible company explicit STT 57–182</x:v>
      </x:c>
      <x:c r="L146"/>
      <x:c r="M146" t="str">
        <x:v>https://doanket.laichau.gov.vn/upload/103883/20260210/Cong_van_ve_viec_Thu_hoi_so_tiep_nhan_Phieu_cong_bo_san_pham_my_pham_03_cong_ty__CT_Y_duoc_Quoc_te_Dong_Nam__Duoc_pham_toan_cau_Dong_Nam__XNK_Quoc_te_Dong_Nam__2dec5.pdf</x:v>
      </x:c>
      <x:c r="N146"/>
      <x:c r="O146" t="str">
        <x:v>Bulk QĐ97; thu hồi tự nguyện do không còn nhu cầu kinh doanh.</x:v>
      </x:c>
    </x:row>
    <x:row r="147">
      <x:c r="A147" t="str">
        <x:v>IMP0146</x:v>
      </x:c>
      <x:c r="B147" s="330" t="n">
        <x:v>45692</x:v>
      </x:c>
      <x:c r="C147" t="str">
        <x:v>265006/25/CBMP-QLD</x:v>
      </x:c>
      <x:c r="D147" t="str">
        <x:v>SKINDERMA TONIC LOTION SOLUTION</x:v>
      </x:c>
      <x:c r="E147" t="str">
        <x:v>SKINDERMA</x:v>
      </x:c>
      <x:c r="F147" t="str">
        <x:v>Toner/Lotion</x:v>
      </x:c>
      <x:c r="G147" t="str">
        <x:v>Công ty TNHH Dược Phẩm Toàn Cầu Đông Nam</x:v>
      </x:c>
      <x:c r="H147"/>
      <x:c r="I147"/>
      <x:c r="J147" t="str">
        <x:v>Đã thu hồi – QĐ 97/QĐ-QLD ngày 06/02/2026</x:v>
      </x:c>
      <x:c r="K147" t="str">
        <x:v>A+++ – phụ lục chính thức 252 số; responsible company explicit STT 57–182</x:v>
      </x:c>
      <x:c r="L147"/>
      <x:c r="M147" t="str">
        <x:v>https://doanket.laichau.gov.vn/upload/103883/20260210/Cong_van_ve_viec_Thu_hoi_so_tiep_nhan_Phieu_cong_bo_san_pham_my_pham_03_cong_ty__CT_Y_duoc_Quoc_te_Dong_Nam__Duoc_pham_toan_cau_Dong_Nam__XNK_Quoc_te_Dong_Nam__2dec5.pdf</x:v>
      </x:c>
      <x:c r="N147"/>
      <x:c r="O147" t="str">
        <x:v>Bulk QĐ97; thu hồi tự nguyện do không còn nhu cầu kinh doanh.</x:v>
      </x:c>
    </x:row>
    <x:row r="148">
      <x:c r="A148" t="str">
        <x:v>IMP0147</x:v>
      </x:c>
      <x:c r="B148" s="330" t="n">
        <x:v>45692</x:v>
      </x:c>
      <x:c r="C148" t="str">
        <x:v>265011/25/CBMP-QLD</x:v>
      </x:c>
      <x:c r="D148" t="str">
        <x:v>SKINDERMA FACIAL TONIC EXFOLIATOR</x:v>
      </x:c>
      <x:c r="E148" t="str">
        <x:v>SKINDERMA</x:v>
      </x:c>
      <x:c r="F148" t="str">
        <x:v>Tẩy tế bào chết/Peel</x:v>
      </x:c>
      <x:c r="G148" t="str">
        <x:v>Công ty TNHH Dược Phẩm Toàn Cầu Đông Nam</x:v>
      </x:c>
      <x:c r="H148"/>
      <x:c r="I148"/>
      <x:c r="J148" t="str">
        <x:v>Đã thu hồi – QĐ 97/QĐ-QLD ngày 06/02/2026</x:v>
      </x:c>
      <x:c r="K148" t="str">
        <x:v>A+++ – phụ lục chính thức 252 số; responsible company explicit STT 57–182</x:v>
      </x:c>
      <x:c r="L148"/>
      <x:c r="M148" t="str">
        <x:v>https://doanket.laichau.gov.vn/upload/103883/20260210/Cong_van_ve_viec_Thu_hoi_so_tiep_nhan_Phieu_cong_bo_san_pham_my_pham_03_cong_ty__CT_Y_duoc_Quoc_te_Dong_Nam__Duoc_pham_toan_cau_Dong_Nam__XNK_Quoc_te_Dong_Nam__2dec5.pdf</x:v>
      </x:c>
      <x:c r="N148"/>
      <x:c r="O148" t="str">
        <x:v>Bulk QĐ97; thu hồi tự nguyện do không còn nhu cầu kinh doanh.</x:v>
      </x:c>
    </x:row>
    <x:row r="149">
      <x:c r="A149" t="str">
        <x:v>IMP0148</x:v>
      </x:c>
      <x:c r="B149" s="330" t="n">
        <x:v>45692</x:v>
      </x:c>
      <x:c r="C149" t="str">
        <x:v>265016/25/CBMP-QLD</x:v>
      </x:c>
      <x:c r="D149" t="str">
        <x:v>SKINDERMA SPF PROTECTOR 50+</x:v>
      </x:c>
      <x:c r="E149" t="str">
        <x:v>SKINDERMA</x:v>
      </x:c>
      <x:c r="F149" t="str">
        <x:v>Kem chống nắng</x:v>
      </x:c>
      <x:c r="G149" t="str">
        <x:v>Công ty TNHH Dược Phẩm Toàn Cầu Đông Nam</x:v>
      </x:c>
      <x:c r="H149"/>
      <x:c r="I149"/>
      <x:c r="J149" t="str">
        <x:v>Đã thu hồi – QĐ 97/QĐ-QLD ngày 06/02/2026</x:v>
      </x:c>
      <x:c r="K149" t="str">
        <x:v>A+++ – phụ lục chính thức 252 số; responsible company explicit STT 57–182</x:v>
      </x:c>
      <x:c r="L149"/>
      <x:c r="M149" t="str">
        <x:v>https://doanket.laichau.gov.vn/upload/103883/20260210/Cong_van_ve_viec_Thu_hoi_so_tiep_nhan_Phieu_cong_bo_san_pham_my_pham_03_cong_ty__CT_Y_duoc_Quoc_te_Dong_Nam__Duoc_pham_toan_cau_Dong_Nam__XNK_Quoc_te_Dong_Nam__2dec5.pdf</x:v>
      </x:c>
      <x:c r="N149"/>
      <x:c r="O149" t="str">
        <x:v>Bulk QĐ97; thu hồi tự nguyện do không còn nhu cầu kinh doanh.</x:v>
      </x:c>
    </x:row>
    <x:row r="150">
      <x:c r="A150" t="str">
        <x:v>IMP0149</x:v>
      </x:c>
      <x:c r="B150" s="330" t="n">
        <x:v>45692</x:v>
      </x:c>
      <x:c r="C150" t="str">
        <x:v>265020/25/CBMP-QLD</x:v>
      </x:c>
      <x:c r="D150" t="str">
        <x:v>SKINDERMA SPF PROTECTOR 50+ OIL FREE</x:v>
      </x:c>
      <x:c r="E150" t="str">
        <x:v>SKINDERMA</x:v>
      </x:c>
      <x:c r="F150" t="str">
        <x:v>Kem chống nắng</x:v>
      </x:c>
      <x:c r="G150" t="str">
        <x:v>Công ty TNHH Dược Phẩm Toàn Cầu Đông Nam</x:v>
      </x:c>
      <x:c r="H150"/>
      <x:c r="I150"/>
      <x:c r="J150" t="str">
        <x:v>Đã thu hồi – QĐ 97/QĐ-QLD ngày 06/02/2026</x:v>
      </x:c>
      <x:c r="K150" t="str">
        <x:v>A+++ – phụ lục chính thức 252 số; responsible company explicit STT 57–182</x:v>
      </x:c>
      <x:c r="L150"/>
      <x:c r="M150" t="str">
        <x:v>https://doanket.laichau.gov.vn/upload/103883/20260210/Cong_van_ve_viec_Thu_hoi_so_tiep_nhan_Phieu_cong_bo_san_pham_my_pham_03_cong_ty__CT_Y_duoc_Quoc_te_Dong_Nam__Duoc_pham_toan_cau_Dong_Nam__XNK_Quoc_te_Dong_Nam__2dec5.pdf</x:v>
      </x:c>
      <x:c r="N150"/>
      <x:c r="O150" t="str">
        <x:v>Bulk QĐ97; thu hồi tự nguyện do không còn nhu cầu kinh doanh.</x:v>
      </x:c>
    </x:row>
    <x:row r="151">
      <x:c r="A151" t="str">
        <x:v>IMP0150</x:v>
      </x:c>
      <x:c r="B151" s="330" t="n">
        <x:v>45692</x:v>
      </x:c>
      <x:c r="C151" t="str">
        <x:v>265032/25/CBMP-QLD</x:v>
      </x:c>
      <x:c r="D151" t="str">
        <x:v>SKINDERMA SPF PROTECTOR 50+ COLOR</x:v>
      </x:c>
      <x:c r="E151" t="str">
        <x:v>SKINDERMA</x:v>
      </x:c>
      <x:c r="F151" t="str">
        <x:v>Kem chống nắng</x:v>
      </x:c>
      <x:c r="G151" t="str">
        <x:v>Công ty TNHH Dược Phẩm Toàn Cầu Đông Nam</x:v>
      </x:c>
      <x:c r="H151"/>
      <x:c r="I151"/>
      <x:c r="J151" t="str">
        <x:v>Đã thu hồi – QĐ 97/QĐ-QLD ngày 06/02/2026</x:v>
      </x:c>
      <x:c r="K151" t="str">
        <x:v>A+++ – phụ lục chính thức 252 số; responsible company explicit STT 57–182</x:v>
      </x:c>
      <x:c r="L151"/>
      <x:c r="M151" t="str">
        <x:v>https://doanket.laichau.gov.vn/upload/103883/20260210/Cong_van_ve_viec_Thu_hoi_so_tiep_nhan_Phieu_cong_bo_san_pham_my_pham_03_cong_ty__CT_Y_duoc_Quoc_te_Dong_Nam__Duoc_pham_toan_cau_Dong_Nam__XNK_Quoc_te_Dong_Nam__2dec5.pdf</x:v>
      </x:c>
      <x:c r="N151"/>
      <x:c r="O151" t="str">
        <x:v>Bulk QĐ97; thu hồi tự nguyện do không còn nhu cầu kinh doanh.</x:v>
      </x:c>
    </x:row>
    <x:row r="152">
      <x:c r="A152" t="str">
        <x:v>IMP0151</x:v>
      </x:c>
      <x:c r="B152" s="330" t="n">
        <x:v>45692</x:v>
      </x:c>
      <x:c r="C152" t="str">
        <x:v>265037/25/CBMP-QLD</x:v>
      </x:c>
      <x:c r="D152" t="str">
        <x:v>SKINDERMA EYESSENCE BOOSTER SERUM</x:v>
      </x:c>
      <x:c r="E152" t="str">
        <x:v>SKINDERMA</x:v>
      </x:c>
      <x:c r="F152" t="str">
        <x:v>Serum/Essence da</x:v>
      </x:c>
      <x:c r="G152" t="str">
        <x:v>Công ty TNHH Dược Phẩm Toàn Cầu Đông Nam</x:v>
      </x:c>
      <x:c r="H152"/>
      <x:c r="I152"/>
      <x:c r="J152" t="str">
        <x:v>Đã thu hồi – QĐ 97/QĐ-QLD ngày 06/02/2026</x:v>
      </x:c>
      <x:c r="K152" t="str">
        <x:v>A+++ – phụ lục chính thức 252 số; responsible company explicit STT 57–182</x:v>
      </x:c>
      <x:c r="L152"/>
      <x:c r="M152" t="str">
        <x:v>https://doanket.laichau.gov.vn/upload/103883/20260210/Cong_van_ve_viec_Thu_hoi_so_tiep_nhan_Phieu_cong_bo_san_pham_my_pham_03_cong_ty__CT_Y_duoc_Quoc_te_Dong_Nam__Duoc_pham_toan_cau_Dong_Nam__XNK_Quoc_te_Dong_Nam__2dec5.pdf</x:v>
      </x:c>
      <x:c r="N152"/>
      <x:c r="O152" t="str">
        <x:v>Bulk QĐ97; thu hồi tự nguyện do không còn nhu cầu kinh doanh.</x:v>
      </x:c>
    </x:row>
    <x:row r="153">
      <x:c r="A153" t="str">
        <x:v>IMP0152</x:v>
      </x:c>
      <x:c r="B153" s="330" t="n">
        <x:v>45692</x:v>
      </x:c>
      <x:c r="C153" t="str">
        <x:v>265039/25/CBMP-QLD</x:v>
      </x:c>
      <x:c r="D153" t="str">
        <x:v>SKINDERMA VISIBLE DIFFERENCE SERUM</x:v>
      </x:c>
      <x:c r="E153" t="str">
        <x:v>SKINDERMA</x:v>
      </x:c>
      <x:c r="F153" t="str">
        <x:v>Serum/Essence da</x:v>
      </x:c>
      <x:c r="G153" t="str">
        <x:v>Công ty TNHH Dược Phẩm Toàn Cầu Đông Nam</x:v>
      </x:c>
      <x:c r="H153"/>
      <x:c r="I153"/>
      <x:c r="J153" t="str">
        <x:v>Đã thu hồi – QĐ 97/QĐ-QLD ngày 06/02/2026</x:v>
      </x:c>
      <x:c r="K153" t="str">
        <x:v>A+++ – phụ lục chính thức 252 số; responsible company explicit STT 57–182</x:v>
      </x:c>
      <x:c r="L153"/>
      <x:c r="M153" t="str">
        <x:v>https://doanket.laichau.gov.vn/upload/103883/20260210/Cong_van_ve_viec_Thu_hoi_so_tiep_nhan_Phieu_cong_bo_san_pham_my_pham_03_cong_ty__CT_Y_duoc_Quoc_te_Dong_Nam__Duoc_pham_toan_cau_Dong_Nam__XNK_Quoc_te_Dong_Nam__2dec5.pdf</x:v>
      </x:c>
      <x:c r="N153"/>
      <x:c r="O153" t="str">
        <x:v>Bulk QĐ97; thu hồi tự nguyện do không còn nhu cầu kinh doanh.</x:v>
      </x:c>
    </x:row>
    <x:row r="154">
      <x:c r="A154" t="str">
        <x:v>IMP0153</x:v>
      </x:c>
      <x:c r="B154" s="330" t="n">
        <x:v>45692</x:v>
      </x:c>
      <x:c r="C154" t="str">
        <x:v>265042/25/CBMP-QLD</x:v>
      </x:c>
      <x:c r="D154" t="str">
        <x:v>SKINDERMA PEPTIDE BOOSTER SERUM</x:v>
      </x:c>
      <x:c r="E154" t="str">
        <x:v>SKINDERMA</x:v>
      </x:c>
      <x:c r="F154" t="str">
        <x:v>Serum/Essence da</x:v>
      </x:c>
      <x:c r="G154" t="str">
        <x:v>Công ty TNHH Dược Phẩm Toàn Cầu Đông Nam</x:v>
      </x:c>
      <x:c r="H154"/>
      <x:c r="I154"/>
      <x:c r="J154" t="str">
        <x:v>Đã thu hồi – QĐ 97/QĐ-QLD ngày 06/02/2026</x:v>
      </x:c>
      <x:c r="K154" t="str">
        <x:v>A+++ – phụ lục chính thức 252 số; responsible company explicit STT 57–182</x:v>
      </x:c>
      <x:c r="L154"/>
      <x:c r="M154" t="str">
        <x:v>https://doanket.laichau.gov.vn/upload/103883/20260210/Cong_van_ve_viec_Thu_hoi_so_tiep_nhan_Phieu_cong_bo_san_pham_my_pham_03_cong_ty__CT_Y_duoc_Quoc_te_Dong_Nam__Duoc_pham_toan_cau_Dong_Nam__XNK_Quoc_te_Dong_Nam__2dec5.pdf</x:v>
      </x:c>
      <x:c r="N154"/>
      <x:c r="O154" t="str">
        <x:v>Bulk QĐ97; thu hồi tự nguyện do không còn nhu cầu kinh doanh.</x:v>
      </x:c>
    </x:row>
    <x:row r="155">
      <x:c r="A155" t="str">
        <x:v>IMP0154</x:v>
      </x:c>
      <x:c r="B155" s="330" t="n">
        <x:v>45692</x:v>
      </x:c>
      <x:c r="C155" t="str">
        <x:v>265044/25/CBMP-QLD</x:v>
      </x:c>
      <x:c r="D155" t="str">
        <x:v>SKINDERMA HYAL-4 SERUM</x:v>
      </x:c>
      <x:c r="E155" t="str">
        <x:v>SKINDERMA</x:v>
      </x:c>
      <x:c r="F155" t="str">
        <x:v>Serum/Essence da</x:v>
      </x:c>
      <x:c r="G155" t="str">
        <x:v>Công ty TNHH Dược Phẩm Toàn Cầu Đông Nam</x:v>
      </x:c>
      <x:c r="H155"/>
      <x:c r="I155"/>
      <x:c r="J155" t="str">
        <x:v>Đã thu hồi – QĐ 97/QĐ-QLD ngày 06/02/2026</x:v>
      </x:c>
      <x:c r="K155" t="str">
        <x:v>A+++ – phụ lục chính thức 252 số; responsible company explicit STT 57–182</x:v>
      </x:c>
      <x:c r="L155"/>
      <x:c r="M155" t="str">
        <x:v>https://doanket.laichau.gov.vn/upload/103883/20260210/Cong_van_ve_viec_Thu_hoi_so_tiep_nhan_Phieu_cong_bo_san_pham_my_pham_03_cong_ty__CT_Y_duoc_Quoc_te_Dong_Nam__Duoc_pham_toan_cau_Dong_Nam__XNK_Quoc_te_Dong_Nam__2dec5.pdf</x:v>
      </x:c>
      <x:c r="N155"/>
      <x:c r="O155" t="str">
        <x:v>Bulk QĐ97; thu hồi tự nguyện do không còn nhu cầu kinh doanh.</x:v>
      </x:c>
    </x:row>
    <x:row r="156">
      <x:c r="A156" t="str">
        <x:v>IMP0155</x:v>
      </x:c>
      <x:c r="B156" s="330" t="n">
        <x:v>45692</x:v>
      </x:c>
      <x:c r="C156" t="str">
        <x:v>265045/25/CBMP-QLD</x:v>
      </x:c>
      <x:c r="D156" t="str">
        <x:v>SKINDERMA ADVANCED REPAIR SERUM</x:v>
      </x:c>
      <x:c r="E156" t="str">
        <x:v>SKINDERMA</x:v>
      </x:c>
      <x:c r="F156" t="str">
        <x:v>Serum/Essence da</x:v>
      </x:c>
      <x:c r="G156" t="str">
        <x:v>Công ty TNHH Dược Phẩm Toàn Cầu Đông Nam</x:v>
      </x:c>
      <x:c r="H156"/>
      <x:c r="I156"/>
      <x:c r="J156" t="str">
        <x:v>Đã thu hồi – QĐ 97/QĐ-QLD ngày 06/02/2026</x:v>
      </x:c>
      <x:c r="K156" t="str">
        <x:v>A+++ – phụ lục chính thức 252 số; responsible company explicit STT 57–182</x:v>
      </x:c>
      <x:c r="L156"/>
      <x:c r="M156" t="str">
        <x:v>https://doanket.laichau.gov.vn/upload/103883/20260210/Cong_van_ve_viec_Thu_hoi_so_tiep_nhan_Phieu_cong_bo_san_pham_my_pham_03_cong_ty__CT_Y_duoc_Quoc_te_Dong_Nam__Duoc_pham_toan_cau_Dong_Nam__XNK_Quoc_te_Dong_Nam__2dec5.pdf</x:v>
      </x:c>
      <x:c r="N156"/>
      <x:c r="O156" t="str">
        <x:v>Bulk QĐ97; thu hồi tự nguyện do không còn nhu cầu kinh doanh.</x:v>
      </x:c>
    </x:row>
    <x:row r="157">
      <x:c r="A157" t="str">
        <x:v>IMP0156</x:v>
      </x:c>
      <x:c r="B157" s="330" t="n">
        <x:v>45694</x:v>
      </x:c>
      <x:c r="C157" t="str">
        <x:v>265530/25/CBMP-QLD</x:v>
      </x:c>
      <x:c r="D157" t="str">
        <x:v>SKINDERMA WHITENING COMBO</x:v>
      </x:c>
      <x:c r="E157" t="str">
        <x:v>SKINDERMA</x:v>
      </x:c>
      <x:c r="F157" t="str">
        <x:v>Khác</x:v>
      </x:c>
      <x:c r="G157" t="str">
        <x:v>Công ty TNHH Dược Phẩm Toàn Cầu Đông Nam</x:v>
      </x:c>
      <x:c r="H157"/>
      <x:c r="I157"/>
      <x:c r="J157" t="str">
        <x:v>Đã thu hồi – QĐ 97/QĐ-QLD ngày 06/02/2026</x:v>
      </x:c>
      <x:c r="K157" t="str">
        <x:v>A+++ – phụ lục chính thức 252 số; responsible company explicit STT 57–182</x:v>
      </x:c>
      <x:c r="L157"/>
      <x:c r="M157" t="str">
        <x:v>https://doanket.laichau.gov.vn/upload/103883/20260210/Cong_van_ve_viec_Thu_hoi_so_tiep_nhan_Phieu_cong_bo_san_pham_my_pham_03_cong_ty__CT_Y_duoc_Quoc_te_Dong_Nam__Duoc_pham_toan_cau_Dong_Nam__XNK_Quoc_te_Dong_Nam__2dec5.pdf</x:v>
      </x:c>
      <x:c r="N157"/>
      <x:c r="O157" t="str">
        <x:v>Bulk QĐ97; thu hồi tự nguyện do không còn nhu cầu kinh doanh.</x:v>
      </x:c>
    </x:row>
    <x:row r="158">
      <x:c r="A158" t="str">
        <x:v>IMP0157</x:v>
      </x:c>
      <x:c r="B158" s="330" t="n">
        <x:v>45694</x:v>
      </x:c>
      <x:c r="C158" t="str">
        <x:v>265531/25/CBMP-QLD</x:v>
      </x:c>
      <x:c r="D158" t="str">
        <x:v>SKINDERMA MELANO AWAY COMBO</x:v>
      </x:c>
      <x:c r="E158" t="str">
        <x:v>SKINDERMA</x:v>
      </x:c>
      <x:c r="F158" t="str">
        <x:v>Khác</x:v>
      </x:c>
      <x:c r="G158" t="str">
        <x:v>Công ty TNHH Dược Phẩm Toàn Cầu Đông Nam</x:v>
      </x:c>
      <x:c r="H158"/>
      <x:c r="I158"/>
      <x:c r="J158" t="str">
        <x:v>Đã thu hồi – QĐ 97/QĐ-QLD ngày 06/02/2026</x:v>
      </x:c>
      <x:c r="K158" t="str">
        <x:v>A+++ – phụ lục chính thức 252 số; responsible company explicit STT 57–182</x:v>
      </x:c>
      <x:c r="L158"/>
      <x:c r="M158" t="str">
        <x:v>https://doanket.laichau.gov.vn/upload/103883/20260210/Cong_van_ve_viec_Thu_hoi_so_tiep_nhan_Phieu_cong_bo_san_pham_my_pham_03_cong_ty__CT_Y_duoc_Quoc_te_Dong_Nam__Duoc_pham_toan_cau_Dong_Nam__XNK_Quoc_te_Dong_Nam__2dec5.pdf</x:v>
      </x:c>
      <x:c r="N158"/>
      <x:c r="O158" t="str">
        <x:v>Bulk QĐ97; thu hồi tự nguyện do không còn nhu cầu kinh doanh.</x:v>
      </x:c>
    </x:row>
    <x:row r="159">
      <x:c r="A159" t="str">
        <x:v>IMP0158</x:v>
      </x:c>
      <x:c r="B159" s="330" t="n">
        <x:v>45694</x:v>
      </x:c>
      <x:c r="C159" t="str">
        <x:v>265532/25/CBMP-QLD</x:v>
      </x:c>
      <x:c r="D159" t="str">
        <x:v>SKINDERMA MULTI VITAMINS COMBO</x:v>
      </x:c>
      <x:c r="E159" t="str">
        <x:v>SKINDERMA</x:v>
      </x:c>
      <x:c r="F159" t="str">
        <x:v>Khác</x:v>
      </x:c>
      <x:c r="G159" t="str">
        <x:v>Công ty TNHH Dược Phẩm Toàn Cầu Đông Nam</x:v>
      </x:c>
      <x:c r="H159"/>
      <x:c r="I159"/>
      <x:c r="J159" t="str">
        <x:v>Đã thu hồi – QĐ 97/QĐ-QLD ngày 06/02/2026</x:v>
      </x:c>
      <x:c r="K159" t="str">
        <x:v>A+++ – phụ lục chính thức 252 số; responsible company explicit STT 57–182</x:v>
      </x:c>
      <x:c r="L159"/>
      <x:c r="M159" t="str">
        <x:v>https://doanket.laichau.gov.vn/upload/103883/20260210/Cong_van_ve_viec_Thu_hoi_so_tiep_nhan_Phieu_cong_bo_san_pham_my_pham_03_cong_ty__CT_Y_duoc_Quoc_te_Dong_Nam__Duoc_pham_toan_cau_Dong_Nam__XNK_Quoc_te_Dong_Nam__2dec5.pdf</x:v>
      </x:c>
      <x:c r="N159"/>
      <x:c r="O159" t="str">
        <x:v>Bulk QĐ97; thu hồi tự nguyện do không còn nhu cầu kinh doanh.</x:v>
      </x:c>
    </x:row>
    <x:row r="160">
      <x:c r="A160" t="str">
        <x:v>IMP0159</x:v>
      </x:c>
      <x:c r="B160" s="330" t="n">
        <x:v>45694</x:v>
      </x:c>
      <x:c r="C160" t="str">
        <x:v>265550/25/CBMP-QLD</x:v>
      </x:c>
      <x:c r="D160" t="str">
        <x:v>SKINDERMA HA &amp; DMAE COMBO</x:v>
      </x:c>
      <x:c r="E160" t="str">
        <x:v>SKINDERMA</x:v>
      </x:c>
      <x:c r="F160" t="str">
        <x:v>Khác</x:v>
      </x:c>
      <x:c r="G160" t="str">
        <x:v>Công ty TNHH Dược Phẩm Toàn Cầu Đông Nam</x:v>
      </x:c>
      <x:c r="H160"/>
      <x:c r="I160"/>
      <x:c r="J160" t="str">
        <x:v>Đã thu hồi – QĐ 97/QĐ-QLD ngày 06/02/2026</x:v>
      </x:c>
      <x:c r="K160" t="str">
        <x:v>A+++ – phụ lục chính thức 252 số; responsible company explicit STT 57–182</x:v>
      </x:c>
      <x:c r="L160"/>
      <x:c r="M160" t="str">
        <x:v>https://doanket.laichau.gov.vn/upload/103883/20260210/Cong_van_ve_viec_Thu_hoi_so_tiep_nhan_Phieu_cong_bo_san_pham_my_pham_03_cong_ty__CT_Y_duoc_Quoc_te_Dong_Nam__Duoc_pham_toan_cau_Dong_Nam__XNK_Quoc_te_Dong_Nam__2dec5.pdf</x:v>
      </x:c>
      <x:c r="N160"/>
      <x:c r="O160" t="str">
        <x:v>Bulk QĐ97; thu hồi tự nguyện do không còn nhu cầu kinh doanh.</x:v>
      </x:c>
    </x:row>
    <x:row r="161">
      <x:c r="A161" t="str">
        <x:v>IMP0160</x:v>
      </x:c>
      <x:c r="B161" s="330" t="n">
        <x:v>45694</x:v>
      </x:c>
      <x:c r="C161" t="str">
        <x:v>265577/25/CBMP-QLD</x:v>
      </x:c>
      <x:c r="D161" t="str">
        <x:v>SKINDERMA OLIGOELEMENTS</x:v>
      </x:c>
      <x:c r="E161" t="str">
        <x:v>SKINDERMA</x:v>
      </x:c>
      <x:c r="F161" t="str">
        <x:v>Khác</x:v>
      </x:c>
      <x:c r="G161" t="str">
        <x:v>Công ty TNHH Dược Phẩm Toàn Cầu Đông Nam</x:v>
      </x:c>
      <x:c r="H161"/>
      <x:c r="I161"/>
      <x:c r="J161" t="str">
        <x:v>Đã thu hồi – QĐ 97/QĐ-QLD ngày 06/02/2026</x:v>
      </x:c>
      <x:c r="K161" t="str">
        <x:v>A+++ – phụ lục chính thức 252 số; responsible company explicit STT 57–182</x:v>
      </x:c>
      <x:c r="L161"/>
      <x:c r="M161" t="str">
        <x:v>https://doanket.laichau.gov.vn/upload/103883/20260210/Cong_van_ve_viec_Thu_hoi_so_tiep_nhan_Phieu_cong_bo_san_pham_my_pham_03_cong_ty__CT_Y_duoc_Quoc_te_Dong_Nam__Duoc_pham_toan_cau_Dong_Nam__XNK_Quoc_te_Dong_Nam__2dec5.pdf</x:v>
      </x:c>
      <x:c r="N161"/>
      <x:c r="O161" t="str">
        <x:v>Bulk QĐ97; thu hồi tự nguyện do không còn nhu cầu kinh doanh.</x:v>
      </x:c>
    </x:row>
    <x:row r="162">
      <x:c r="A162" t="str">
        <x:v>IMP0161</x:v>
      </x:c>
      <x:c r="B162" s="330" t="n">
        <x:v>45694</x:v>
      </x:c>
      <x:c r="C162" t="str">
        <x:v>265580/25/CBMP-QLD</x:v>
      </x:c>
      <x:c r="D162" t="str">
        <x:v>SKINDERMA EXO-AGELESS SERUM</x:v>
      </x:c>
      <x:c r="E162" t="str">
        <x:v>SKINDERMA</x:v>
      </x:c>
      <x:c r="F162" t="str">
        <x:v>Serum/Essence da</x:v>
      </x:c>
      <x:c r="G162" t="str">
        <x:v>Công ty TNHH Dược Phẩm Toàn Cầu Đông Nam</x:v>
      </x:c>
      <x:c r="H162"/>
      <x:c r="I162"/>
      <x:c r="J162" t="str">
        <x:v>Đã thu hồi – QĐ 97/QĐ-QLD ngày 06/02/2026</x:v>
      </x:c>
      <x:c r="K162" t="str">
        <x:v>A+++ – phụ lục chính thức 252 số; responsible company explicit STT 57–182</x:v>
      </x:c>
      <x:c r="L162"/>
      <x:c r="M162" t="str">
        <x:v>https://doanket.laichau.gov.vn/upload/103883/20260210/Cong_van_ve_viec_Thu_hoi_so_tiep_nhan_Phieu_cong_bo_san_pham_my_pham_03_cong_ty__CT_Y_duoc_Quoc_te_Dong_Nam__Duoc_pham_toan_cau_Dong_Nam__XNK_Quoc_te_Dong_Nam__2dec5.pdf</x:v>
      </x:c>
      <x:c r="N162"/>
      <x:c r="O162" t="str">
        <x:v>Bulk QĐ97; thu hồi tự nguyện do không còn nhu cầu kinh doanh.</x:v>
      </x:c>
    </x:row>
    <x:row r="163">
      <x:c r="A163" t="str">
        <x:v>IMP0162</x:v>
      </x:c>
      <x:c r="B163" s="330" t="n">
        <x:v>45694</x:v>
      </x:c>
      <x:c r="C163" t="str">
        <x:v>265581/25/CBMP-QLD</x:v>
      </x:c>
      <x:c r="D163" t="str">
        <x:v>SKINDERMA EXOWHITENING SERUM</x:v>
      </x:c>
      <x:c r="E163" t="str">
        <x:v>SKINDERMA</x:v>
      </x:c>
      <x:c r="F163" t="str">
        <x:v>Serum/Essence da</x:v>
      </x:c>
      <x:c r="G163" t="str">
        <x:v>Công ty TNHH Dược Phẩm Toàn Cầu Đông Nam</x:v>
      </x:c>
      <x:c r="H163"/>
      <x:c r="I163"/>
      <x:c r="J163" t="str">
        <x:v>Đã thu hồi – QĐ 97/QĐ-QLD ngày 06/02/2026</x:v>
      </x:c>
      <x:c r="K163" t="str">
        <x:v>A+++ – phụ lục chính thức 252 số; responsible company explicit STT 57–182</x:v>
      </x:c>
      <x:c r="L163"/>
      <x:c r="M163" t="str">
        <x:v>https://doanket.laichau.gov.vn/upload/103883/20260210/Cong_van_ve_viec_Thu_hoi_so_tiep_nhan_Phieu_cong_bo_san_pham_my_pham_03_cong_ty__CT_Y_duoc_Quoc_te_Dong_Nam__Duoc_pham_toan_cau_Dong_Nam__XNK_Quoc_te_Dong_Nam__2dec5.pdf</x:v>
      </x:c>
      <x:c r="N163"/>
      <x:c r="O163" t="str">
        <x:v>Bulk QĐ97; thu hồi tự nguyện do không còn nhu cầu kinh doanh.</x:v>
      </x:c>
    </x:row>
    <x:row r="164">
      <x:c r="A164" t="str">
        <x:v>IMP0163</x:v>
      </x:c>
      <x:c r="B164" s="330" t="n">
        <x:v>45694</x:v>
      </x:c>
      <x:c r="C164" t="str">
        <x:v>265582/25/CBMP-QLD</x:v>
      </x:c>
      <x:c r="D164" t="str">
        <x:v>SKINDERMA EXO-HAIR SERUM</x:v>
      </x:c>
      <x:c r="E164" t="str">
        <x:v>SKINDERMA</x:v>
      </x:c>
      <x:c r="F164" t="str">
        <x:v>Chăm sóc tóc</x:v>
      </x:c>
      <x:c r="G164" t="str">
        <x:v>Công ty TNHH Dược Phẩm Toàn Cầu Đông Nam</x:v>
      </x:c>
      <x:c r="H164"/>
      <x:c r="I164"/>
      <x:c r="J164" t="str">
        <x:v>Đã thu hồi – QĐ 97/QĐ-QLD ngày 06/02/2026</x:v>
      </x:c>
      <x:c r="K164" t="str">
        <x:v>A+++ – phụ lục chính thức 252 số; responsible company explicit STT 57–182</x:v>
      </x:c>
      <x:c r="L164"/>
      <x:c r="M164" t="str">
        <x:v>https://doanket.laichau.gov.vn/upload/103883/20260210/Cong_van_ve_viec_Thu_hoi_so_tiep_nhan_Phieu_cong_bo_san_pham_my_pham_03_cong_ty__CT_Y_duoc_Quoc_te_Dong_Nam__Duoc_pham_toan_cau_Dong_Nam__XNK_Quoc_te_Dong_Nam__2dec5.pdf</x:v>
      </x:c>
      <x:c r="N164"/>
      <x:c r="O164" t="str">
        <x:v>Bulk QĐ97; thu hồi tự nguyện do không còn nhu cầu kinh doanh.</x:v>
      </x:c>
    </x:row>
    <x:row r="165">
      <x:c r="A165" t="str">
        <x:v>IMP0164</x:v>
      </x:c>
      <x:c r="B165" s="330" t="n">
        <x:v>45694</x:v>
      </x:c>
      <x:c r="C165" t="str">
        <x:v>265583/25/CBMP-QLD</x:v>
      </x:c>
      <x:c r="D165" t="str">
        <x:v>SKINDERMA EXOWHITENING EXOSOME</x:v>
      </x:c>
      <x:c r="E165" t="str">
        <x:v>SKINDERMA</x:v>
      </x:c>
      <x:c r="F165" t="str">
        <x:v>Khác</x:v>
      </x:c>
      <x:c r="G165" t="str">
        <x:v>Công ty TNHH Dược Phẩm Toàn Cầu Đông Nam</x:v>
      </x:c>
      <x:c r="H165"/>
      <x:c r="I165"/>
      <x:c r="J165" t="str">
        <x:v>Đã thu hồi – QĐ 97/QĐ-QLD ngày 06/02/2026</x:v>
      </x:c>
      <x:c r="K165" t="str">
        <x:v>A+++ – phụ lục chính thức 252 số; responsible company explicit STT 57–182</x:v>
      </x:c>
      <x:c r="L165"/>
      <x:c r="M165" t="str">
        <x:v>https://doanket.laichau.gov.vn/upload/103883/20260210/Cong_van_ve_viec_Thu_hoi_so_tiep_nhan_Phieu_cong_bo_san_pham_my_pham_03_cong_ty__CT_Y_duoc_Quoc_te_Dong_Nam__Duoc_pham_toan_cau_Dong_Nam__XNK_Quoc_te_Dong_Nam__2dec5.pdf</x:v>
      </x:c>
      <x:c r="N165"/>
      <x:c r="O165" t="str">
        <x:v>Bulk QĐ97; thu hồi tự nguyện do không còn nhu cầu kinh doanh.</x:v>
      </x:c>
    </x:row>
    <x:row r="166">
      <x:c r="A166" t="str">
        <x:v>IMP0165</x:v>
      </x:c>
      <x:c r="B166" s="330" t="n">
        <x:v>45694</x:v>
      </x:c>
      <x:c r="C166" t="str">
        <x:v>265584/25/CBMP-QLD</x:v>
      </x:c>
      <x:c r="D166" t="str">
        <x:v>SKINDERMA EXO-HAIR EXOSOME</x:v>
      </x:c>
      <x:c r="E166" t="str">
        <x:v>SKINDERMA</x:v>
      </x:c>
      <x:c r="F166" t="str">
        <x:v>Chăm sóc tóc</x:v>
      </x:c>
      <x:c r="G166" t="str">
        <x:v>Công ty TNHH Dược Phẩm Toàn Cầu Đông Nam</x:v>
      </x:c>
      <x:c r="H166"/>
      <x:c r="I166"/>
      <x:c r="J166" t="str">
        <x:v>Đã thu hồi – QĐ 97/QĐ-QLD ngày 06/02/2026</x:v>
      </x:c>
      <x:c r="K166" t="str">
        <x:v>A+++ – phụ lục chính thức 252 số; responsible company explicit STT 57–182</x:v>
      </x:c>
      <x:c r="L166"/>
      <x:c r="M166" t="str">
        <x:v>https://doanket.laichau.gov.vn/upload/103883/20260210/Cong_van_ve_viec_Thu_hoi_so_tiep_nhan_Phieu_cong_bo_san_pham_my_pham_03_cong_ty__CT_Y_duoc_Quoc_te_Dong_Nam__Duoc_pham_toan_cau_Dong_Nam__XNK_Quoc_te_Dong_Nam__2dec5.pdf</x:v>
      </x:c>
      <x:c r="N166"/>
      <x:c r="O166" t="str">
        <x:v>Bulk QĐ97; thu hồi tự nguyện do không còn nhu cầu kinh doanh.</x:v>
      </x:c>
    </x:row>
    <x:row r="167">
      <x:c r="A167" t="str">
        <x:v>IMP0166</x:v>
      </x:c>
      <x:c r="B167" s="330" t="n">
        <x:v>45694</x:v>
      </x:c>
      <x:c r="C167" t="str">
        <x:v>265585/25/CBMP-QLD</x:v>
      </x:c>
      <x:c r="D167" t="str">
        <x:v>SKINDERMA EXO-AGELESS EXOSOME</x:v>
      </x:c>
      <x:c r="E167" t="str">
        <x:v>SKINDERMA</x:v>
      </x:c>
      <x:c r="F167" t="str">
        <x:v>Kem dưỡng da</x:v>
      </x:c>
      <x:c r="G167" t="str">
        <x:v>Công ty TNHH Dược Phẩm Toàn Cầu Đông Nam</x:v>
      </x:c>
      <x:c r="H167"/>
      <x:c r="I167"/>
      <x:c r="J167" t="str">
        <x:v>Đã thu hồi – QĐ 97/QĐ-QLD ngày 06/02/2026</x:v>
      </x:c>
      <x:c r="K167" t="str">
        <x:v>A+++ – phụ lục chính thức 252 số; responsible company explicit STT 57–182</x:v>
      </x:c>
      <x:c r="L167"/>
      <x:c r="M167" t="str">
        <x:v>https://doanket.laichau.gov.vn/upload/103883/20260210/Cong_van_ve_viec_Thu_hoi_so_tiep_nhan_Phieu_cong_bo_san_pham_my_pham_03_cong_ty__CT_Y_duoc_Quoc_te_Dong_Nam__Duoc_pham_toan_cau_Dong_Nam__XNK_Quoc_te_Dong_Nam__2dec5.pdf</x:v>
      </x:c>
      <x:c r="N167"/>
      <x:c r="O167" t="str">
        <x:v>Bulk QĐ97; thu hồi tự nguyện do không còn nhu cầu kinh doanh.</x:v>
      </x:c>
    </x:row>
    <x:row r="168">
      <x:c r="A168" t="str">
        <x:v>IMP0167</x:v>
      </x:c>
      <x:c r="B168" s="330" t="n">
        <x:v>45694</x:v>
      </x:c>
      <x:c r="C168" t="str">
        <x:v>265587/25/CBMP-QLD</x:v>
      </x:c>
      <x:c r="D168" t="str">
        <x:v>SKINDERMA PEPTIDE BOOSTER MASK</x:v>
      </x:c>
      <x:c r="E168" t="str">
        <x:v>SKINDERMA</x:v>
      </x:c>
      <x:c r="F168" t="str">
        <x:v>Serum/Essence da</x:v>
      </x:c>
      <x:c r="G168" t="str">
        <x:v>Công ty TNHH Dược Phẩm Toàn Cầu Đông Nam</x:v>
      </x:c>
      <x:c r="H168"/>
      <x:c r="I168"/>
      <x:c r="J168" t="str">
        <x:v>Đã thu hồi – QĐ 97/QĐ-QLD ngày 06/02/2026</x:v>
      </x:c>
      <x:c r="K168" t="str">
        <x:v>A+++ – phụ lục chính thức 252 số; responsible company explicit STT 57–182</x:v>
      </x:c>
      <x:c r="L168"/>
      <x:c r="M168" t="str">
        <x:v>https://doanket.laichau.gov.vn/upload/103883/20260210/Cong_van_ve_viec_Thu_hoi_so_tiep_nhan_Phieu_cong_bo_san_pham_my_pham_03_cong_ty__CT_Y_duoc_Quoc_te_Dong_Nam__Duoc_pham_toan_cau_Dong_Nam__XNK_Quoc_te_Dong_Nam__2dec5.pdf</x:v>
      </x:c>
      <x:c r="N168"/>
      <x:c r="O168" t="str">
        <x:v>Bulk QĐ97; thu hồi tự nguyện do không còn nhu cầu kinh doanh.</x:v>
      </x:c>
    </x:row>
    <x:row r="169">
      <x:c r="A169" t="str">
        <x:v>IMP0168</x:v>
      </x:c>
      <x:c r="B169" s="330" t="n">
        <x:v>45694</x:v>
      </x:c>
      <x:c r="C169" t="str">
        <x:v>265589/25/CBMP-QLD</x:v>
      </x:c>
      <x:c r="D169" t="str">
        <x:v>SKINDERMA ASIAN CENTELLA</x:v>
      </x:c>
      <x:c r="E169" t="str">
        <x:v>SKINDERMA</x:v>
      </x:c>
      <x:c r="F169" t="str">
        <x:v>Khác</x:v>
      </x:c>
      <x:c r="G169" t="str">
        <x:v>Công ty TNHH Dược Phẩm Toàn Cầu Đông Nam</x:v>
      </x:c>
      <x:c r="H169"/>
      <x:c r="I169"/>
      <x:c r="J169" t="str">
        <x:v>Đã thu hồi – QĐ 97/QĐ-QLD ngày 06/02/2026</x:v>
      </x:c>
      <x:c r="K169" t="str">
        <x:v>A+++ – phụ lục chính thức 252 số; responsible company explicit STT 57–182</x:v>
      </x:c>
      <x:c r="L169"/>
      <x:c r="M169" t="str">
        <x:v>https://doanket.laichau.gov.vn/upload/103883/20260210/Cong_van_ve_viec_Thu_hoi_so_tiep_nhan_Phieu_cong_bo_san_pham_my_pham_03_cong_ty__CT_Y_duoc_Quoc_te_Dong_Nam__Duoc_pham_toan_cau_Dong_Nam__XNK_Quoc_te_Dong_Nam__2dec5.pdf</x:v>
      </x:c>
      <x:c r="N169"/>
      <x:c r="O169" t="str">
        <x:v>Bulk QĐ97; thu hồi tự nguyện do không còn nhu cầu kinh doanh.</x:v>
      </x:c>
    </x:row>
    <x:row r="170">
      <x:c r="A170" t="str">
        <x:v>IMP0169</x:v>
      </x:c>
      <x:c r="B170" s="330" t="n">
        <x:v>45694</x:v>
      </x:c>
      <x:c r="C170" t="str">
        <x:v>265591/25/CBMP-QLD</x:v>
      </x:c>
      <x:c r="D170" t="str">
        <x:v>SKINDERMA TRANEXAMIC</x:v>
      </x:c>
      <x:c r="E170" t="str">
        <x:v>SKINDERMA</x:v>
      </x:c>
      <x:c r="F170" t="str">
        <x:v>Khác</x:v>
      </x:c>
      <x:c r="G170" t="str">
        <x:v>Công ty TNHH Dược Phẩm Toàn Cầu Đông Nam</x:v>
      </x:c>
      <x:c r="H170"/>
      <x:c r="I170"/>
      <x:c r="J170" t="str">
        <x:v>Đã thu hồi – QĐ 97/QĐ-QLD ngày 06/02/2026</x:v>
      </x:c>
      <x:c r="K170" t="str">
        <x:v>A+++ – phụ lục chính thức 252 số; responsible company explicit STT 57–182</x:v>
      </x:c>
      <x:c r="L170"/>
      <x:c r="M170" t="str">
        <x:v>https://doanket.laichau.gov.vn/upload/103883/20260210/Cong_van_ve_viec_Thu_hoi_so_tiep_nhan_Phieu_cong_bo_san_pham_my_pham_03_cong_ty__CT_Y_duoc_Quoc_te_Dong_Nam__Duoc_pham_toan_cau_Dong_Nam__XNK_Quoc_te_Dong_Nam__2dec5.pdf</x:v>
      </x:c>
      <x:c r="N170"/>
      <x:c r="O170" t="str">
        <x:v>Bulk QĐ97; thu hồi tự nguyện do không còn nhu cầu kinh doanh.</x:v>
      </x:c>
    </x:row>
    <x:row r="171">
      <x:c r="A171" t="str">
        <x:v>IMP0170</x:v>
      </x:c>
      <x:c r="B171" s="330" t="n">
        <x:v>45694</x:v>
      </x:c>
      <x:c r="C171" t="str">
        <x:v>265593/25/CBMP-QLD</x:v>
      </x:c>
      <x:c r="D171" t="str">
        <x:v>SKINDERMA GLUTATHIONE</x:v>
      </x:c>
      <x:c r="E171" t="str">
        <x:v>SKINDERMA</x:v>
      </x:c>
      <x:c r="F171" t="str">
        <x:v>Khác</x:v>
      </x:c>
      <x:c r="G171" t="str">
        <x:v>Công ty TNHH Dược Phẩm Toàn Cầu Đông Nam</x:v>
      </x:c>
      <x:c r="H171"/>
      <x:c r="I171"/>
      <x:c r="J171" t="str">
        <x:v>Đã thu hồi – QĐ 97/QĐ-QLD ngày 06/02/2026</x:v>
      </x:c>
      <x:c r="K171" t="str">
        <x:v>A+++ – phụ lục chính thức 252 số; responsible company explicit STT 57–182</x:v>
      </x:c>
      <x:c r="L171"/>
      <x:c r="M171" t="str">
        <x:v>https://doanket.laichau.gov.vn/upload/103883/20260210/Cong_van_ve_viec_Thu_hoi_so_tiep_nhan_Phieu_cong_bo_san_pham_my_pham_03_cong_ty__CT_Y_duoc_Quoc_te_Dong_Nam__Duoc_pham_toan_cau_Dong_Nam__XNK_Quoc_te_Dong_Nam__2dec5.pdf</x:v>
      </x:c>
      <x:c r="N171"/>
      <x:c r="O171" t="str">
        <x:v>Bulk QĐ97; thu hồi tự nguyện do không còn nhu cầu kinh doanh.</x:v>
      </x:c>
    </x:row>
    <x:row r="172">
      <x:c r="A172" t="str">
        <x:v>IMP0171</x:v>
      </x:c>
      <x:c r="B172" s="330" t="n">
        <x:v>45694</x:v>
      </x:c>
      <x:c r="C172" t="str">
        <x:v>265596/25/CBMP-QLD</x:v>
      </x:c>
      <x:c r="D172" t="str">
        <x:v>SKINDERMA HYALURONIC ACID 3.5%</x:v>
      </x:c>
      <x:c r="E172" t="str">
        <x:v>SKINDERMA</x:v>
      </x:c>
      <x:c r="F172" t="str">
        <x:v>Khác</x:v>
      </x:c>
      <x:c r="G172" t="str">
        <x:v>Công ty TNHH Dược Phẩm Toàn Cầu Đông Nam</x:v>
      </x:c>
      <x:c r="H172"/>
      <x:c r="I172"/>
      <x:c r="J172" t="str">
        <x:v>Đã thu hồi – QĐ 97/QĐ-QLD ngày 06/02/2026</x:v>
      </x:c>
      <x:c r="K172" t="str">
        <x:v>A+++ – phụ lục chính thức 252 số; responsible company explicit STT 57–182</x:v>
      </x:c>
      <x:c r="L172"/>
      <x:c r="M172" t="str">
        <x:v>https://doanket.laichau.gov.vn/upload/103883/20260210/Cong_van_ve_viec_Thu_hoi_so_tiep_nhan_Phieu_cong_bo_san_pham_my_pham_03_cong_ty__CT_Y_duoc_Quoc_te_Dong_Nam__Duoc_pham_toan_cau_Dong_Nam__XNK_Quoc_te_Dong_Nam__2dec5.pdf</x:v>
      </x:c>
      <x:c r="N172"/>
      <x:c r="O172" t="str">
        <x:v>Bulk QĐ97; thu hồi tự nguyện do không còn nhu cầu kinh doanh.</x:v>
      </x:c>
    </x:row>
    <x:row r="173">
      <x:c r="A173" t="str">
        <x:v>IMP0172</x:v>
      </x:c>
      <x:c r="B173" s="330" t="n">
        <x:v>45694</x:v>
      </x:c>
      <x:c r="C173" t="str">
        <x:v>265597/25/CBMP-QLD</x:v>
      </x:c>
      <x:c r="D173" t="str">
        <x:v>SKINDERMA HYALURONIC ACID 2%</x:v>
      </x:c>
      <x:c r="E173" t="str">
        <x:v>SKINDERMA</x:v>
      </x:c>
      <x:c r="F173" t="str">
        <x:v>Khác</x:v>
      </x:c>
      <x:c r="G173" t="str">
        <x:v>Công ty TNHH Dược Phẩm Toàn Cầu Đông Nam</x:v>
      </x:c>
      <x:c r="H173"/>
      <x:c r="I173"/>
      <x:c r="J173" t="str">
        <x:v>Đã thu hồi – QĐ 97/QĐ-QLD ngày 06/02/2026</x:v>
      </x:c>
      <x:c r="K173" t="str">
        <x:v>A+++ – phụ lục chính thức 252 số; responsible company explicit STT 57–182</x:v>
      </x:c>
      <x:c r="L173"/>
      <x:c r="M173" t="str">
        <x:v>https://doanket.laichau.gov.vn/upload/103883/20260210/Cong_van_ve_viec_Thu_hoi_so_tiep_nhan_Phieu_cong_bo_san_pham_my_pham_03_cong_ty__CT_Y_duoc_Quoc_te_Dong_Nam__Duoc_pham_toan_cau_Dong_Nam__XNK_Quoc_te_Dong_Nam__2dec5.pdf</x:v>
      </x:c>
      <x:c r="N173"/>
      <x:c r="O173" t="str">
        <x:v>Bulk QĐ97; thu hồi tự nguyện do không còn nhu cầu kinh doanh.</x:v>
      </x:c>
    </x:row>
    <x:row r="174">
      <x:c r="A174" t="str">
        <x:v>IMP0173</x:v>
      </x:c>
      <x:c r="B174" s="330" t="n">
        <x:v>45694</x:v>
      </x:c>
      <x:c r="C174" t="str">
        <x:v>265600/25/CBMP-QLD</x:v>
      </x:c>
      <x:c r="D174" t="str">
        <x:v>SKINDERMA DMAE</x:v>
      </x:c>
      <x:c r="E174" t="str">
        <x:v>SKINDERMA</x:v>
      </x:c>
      <x:c r="F174" t="str">
        <x:v>Khác</x:v>
      </x:c>
      <x:c r="G174" t="str">
        <x:v>Công ty TNHH Dược Phẩm Toàn Cầu Đông Nam</x:v>
      </x:c>
      <x:c r="H174"/>
      <x:c r="I174"/>
      <x:c r="J174" t="str">
        <x:v>Đã thu hồi – QĐ 97/QĐ-QLD ngày 06/02/2026</x:v>
      </x:c>
      <x:c r="K174" t="str">
        <x:v>A+++ – phụ lục chính thức 252 số; responsible company explicit STT 57–182</x:v>
      </x:c>
      <x:c r="L174"/>
      <x:c r="M174" t="str">
        <x:v>https://doanket.laichau.gov.vn/upload/103883/20260210/Cong_van_ve_viec_Thu_hoi_so_tiep_nhan_Phieu_cong_bo_san_pham_my_pham_03_cong_ty__CT_Y_duoc_Quoc_te_Dong_Nam__Duoc_pham_toan_cau_Dong_Nam__XNK_Quoc_te_Dong_Nam__2dec5.pdf</x:v>
      </x:c>
      <x:c r="N174"/>
      <x:c r="O174" t="str">
        <x:v>Bulk QĐ97; thu hồi tự nguyện do không còn nhu cầu kinh doanh.</x:v>
      </x:c>
    </x:row>
    <x:row r="175">
      <x:c r="A175" t="str">
        <x:v>IMP0174</x:v>
      </x:c>
      <x:c r="B175" s="330" t="n">
        <x:v>45694</x:v>
      </x:c>
      <x:c r="C175" t="str">
        <x:v>265601/25/CBMP-QLD</x:v>
      </x:c>
      <x:c r="D175" t="str">
        <x:v>SKINDERMA VITAMIN K</x:v>
      </x:c>
      <x:c r="E175" t="str">
        <x:v>SKINDERMA</x:v>
      </x:c>
      <x:c r="F175" t="str">
        <x:v>Khác</x:v>
      </x:c>
      <x:c r="G175" t="str">
        <x:v>Công ty TNHH Dược Phẩm Toàn Cầu Đông Nam</x:v>
      </x:c>
      <x:c r="H175"/>
      <x:c r="I175"/>
      <x:c r="J175" t="str">
        <x:v>Đã thu hồi – QĐ 97/QĐ-QLD ngày 06/02/2026</x:v>
      </x:c>
      <x:c r="K175" t="str">
        <x:v>A+++ – phụ lục chính thức 252 số; responsible company explicit STT 57–182</x:v>
      </x:c>
      <x:c r="L175"/>
      <x:c r="M175" t="str">
        <x:v>https://doanket.laichau.gov.vn/upload/103883/20260210/Cong_van_ve_viec_Thu_hoi_so_tiep_nhan_Phieu_cong_bo_san_pham_my_pham_03_cong_ty__CT_Y_duoc_Quoc_te_Dong_Nam__Duoc_pham_toan_cau_Dong_Nam__XNK_Quoc_te_Dong_Nam__2dec5.pdf</x:v>
      </x:c>
      <x:c r="N175"/>
      <x:c r="O175" t="str">
        <x:v>Bulk QĐ97; thu hồi tự nguyện do không còn nhu cầu kinh doanh.</x:v>
      </x:c>
    </x:row>
    <x:row r="176">
      <x:c r="A176" t="str">
        <x:v>IMP0175</x:v>
      </x:c>
      <x:c r="B176" s="330" t="n">
        <x:v>45694</x:v>
      </x:c>
      <x:c r="C176" t="str">
        <x:v>265602/25/CBMP-QLD</x:v>
      </x:c>
      <x:c r="D176" t="str">
        <x:v>SKINDERMA H-AURA 0.55 COMBO</x:v>
      </x:c>
      <x:c r="E176" t="str">
        <x:v>SKINDERMA</x:v>
      </x:c>
      <x:c r="F176" t="str">
        <x:v>Khác</x:v>
      </x:c>
      <x:c r="G176" t="str">
        <x:v>Công ty TNHH Dược Phẩm Toàn Cầu Đông Nam</x:v>
      </x:c>
      <x:c r="H176"/>
      <x:c r="I176"/>
      <x:c r="J176" t="str">
        <x:v>Đã thu hồi – QĐ 97/QĐ-QLD ngày 06/02/2026</x:v>
      </x:c>
      <x:c r="K176" t="str">
        <x:v>A+++ – phụ lục chính thức 252 số; responsible company explicit STT 57–182</x:v>
      </x:c>
      <x:c r="L176"/>
      <x:c r="M176" t="str">
        <x:v>https://doanket.laichau.gov.vn/upload/103883/20260210/Cong_van_ve_viec_Thu_hoi_so_tiep_nhan_Phieu_cong_bo_san_pham_my_pham_03_cong_ty__CT_Y_duoc_Quoc_te_Dong_Nam__Duoc_pham_toan_cau_Dong_Nam__XNK_Quoc_te_Dong_Nam__2dec5.pdf</x:v>
      </x:c>
      <x:c r="N176"/>
      <x:c r="O176" t="str">
        <x:v>Bulk QĐ97; thu hồi tự nguyện do không còn nhu cầu kinh doanh.</x:v>
      </x:c>
    </x:row>
    <x:row r="177">
      <x:c r="A177" t="str">
        <x:v>IMP0176</x:v>
      </x:c>
      <x:c r="B177" s="330" t="n">
        <x:v>45694</x:v>
      </x:c>
      <x:c r="C177" t="str">
        <x:v>265603/25/CBMP-QLD</x:v>
      </x:c>
      <x:c r="D177" t="str">
        <x:v>SKINDERMA N-ZYMES III</x:v>
      </x:c>
      <x:c r="E177" t="str">
        <x:v>SKINDERMA</x:v>
      </x:c>
      <x:c r="F177" t="str">
        <x:v>Khác</x:v>
      </x:c>
      <x:c r="G177" t="str">
        <x:v>Công ty TNHH Dược Phẩm Toàn Cầu Đông Nam</x:v>
      </x:c>
      <x:c r="H177"/>
      <x:c r="I177"/>
      <x:c r="J177" t="str">
        <x:v>Đã thu hồi – QĐ 97/QĐ-QLD ngày 06/02/2026</x:v>
      </x:c>
      <x:c r="K177" t="str">
        <x:v>A+++ – phụ lục chính thức 252 số; responsible company explicit STT 57–182</x:v>
      </x:c>
      <x:c r="L177"/>
      <x:c r="M177" t="str">
        <x:v>https://doanket.laichau.gov.vn/upload/103883/20260210/Cong_van_ve_viec_Thu_hoi_so_tiep_nhan_Phieu_cong_bo_san_pham_my_pham_03_cong_ty__CT_Y_duoc_Quoc_te_Dong_Nam__Duoc_pham_toan_cau_Dong_Nam__XNK_Quoc_te_Dong_Nam__2dec5.pdf</x:v>
      </x:c>
      <x:c r="N177"/>
      <x:c r="O177" t="str">
        <x:v>Bulk QĐ97; thu hồi tự nguyện do không còn nhu cầu kinh doanh.</x:v>
      </x:c>
    </x:row>
    <x:row r="178">
      <x:c r="A178" t="str">
        <x:v>IMP0177</x:v>
      </x:c>
      <x:c r="B178" s="330" t="n">
        <x:v>45694</x:v>
      </x:c>
      <x:c r="C178" t="str">
        <x:v>265611/25/CBMP-QLD</x:v>
      </x:c>
      <x:c r="D178" t="str">
        <x:v>SKINDERMA GINKGO BILOBA</x:v>
      </x:c>
      <x:c r="E178" t="str">
        <x:v>SKINDERMA</x:v>
      </x:c>
      <x:c r="F178" t="str">
        <x:v>Khác</x:v>
      </x:c>
      <x:c r="G178" t="str">
        <x:v>Công ty TNHH Dược Phẩm Toàn Cầu Đông Nam</x:v>
      </x:c>
      <x:c r="H178"/>
      <x:c r="I178"/>
      <x:c r="J178" t="str">
        <x:v>Đã thu hồi – QĐ 97/QĐ-QLD ngày 06/02/2026</x:v>
      </x:c>
      <x:c r="K178" t="str">
        <x:v>A+++ – phụ lục chính thức 252 số; responsible company explicit STT 57–182</x:v>
      </x:c>
      <x:c r="L178"/>
      <x:c r="M178" t="str">
        <x:v>https://doanket.laichau.gov.vn/upload/103883/20260210/Cong_van_ve_viec_Thu_hoi_so_tiep_nhan_Phieu_cong_bo_san_pham_my_pham_03_cong_ty__CT_Y_duoc_Quoc_te_Dong_Nam__Duoc_pham_toan_cau_Dong_Nam__XNK_Quoc_te_Dong_Nam__2dec5.pdf</x:v>
      </x:c>
      <x:c r="N178"/>
      <x:c r="O178" t="str">
        <x:v>Bulk QĐ97; thu hồi tự nguyện do không còn nhu cầu kinh doanh.</x:v>
      </x:c>
    </x:row>
    <x:row r="179">
      <x:c r="A179" t="str">
        <x:v>IMP0178</x:v>
      </x:c>
      <x:c r="B179" s="330" t="n">
        <x:v>45694</x:v>
      </x:c>
      <x:c r="C179" t="str">
        <x:v>265613/25/CBMP-QLD</x:v>
      </x:c>
      <x:c r="D179" t="str">
        <x:v>SKINDERMA VITAMIN C</x:v>
      </x:c>
      <x:c r="E179" t="str">
        <x:v>SKINDERMA</x:v>
      </x:c>
      <x:c r="F179" t="str">
        <x:v>Khác</x:v>
      </x:c>
      <x:c r="G179" t="str">
        <x:v>Công ty TNHH Dược Phẩm Toàn Cầu Đông Nam</x:v>
      </x:c>
      <x:c r="H179"/>
      <x:c r="I179"/>
      <x:c r="J179" t="str">
        <x:v>Đã thu hồi – QĐ 97/QĐ-QLD ngày 06/02/2026</x:v>
      </x:c>
      <x:c r="K179" t="str">
        <x:v>A+++ – phụ lục chính thức 252 số; responsible company explicit STT 57–182</x:v>
      </x:c>
      <x:c r="L179"/>
      <x:c r="M179" t="str">
        <x:v>https://doanket.laichau.gov.vn/upload/103883/20260210/Cong_van_ve_viec_Thu_hoi_so_tiep_nhan_Phieu_cong_bo_san_pham_my_pham_03_cong_ty__CT_Y_duoc_Quoc_te_Dong_Nam__Duoc_pham_toan_cau_Dong_Nam__XNK_Quoc_te_Dong_Nam__2dec5.pdf</x:v>
      </x:c>
      <x:c r="N179"/>
      <x:c r="O179" t="str">
        <x:v>Bulk QĐ97; thu hồi tự nguyện do không còn nhu cầu kinh doanh.</x:v>
      </x:c>
    </x:row>
    <x:row r="180">
      <x:c r="A180" t="str">
        <x:v>IMP0179</x:v>
      </x:c>
      <x:c r="B180" s="330" t="n">
        <x:v>45694</x:v>
      </x:c>
      <x:c r="C180" t="str">
        <x:v>265614/25/CBMP-QLD</x:v>
      </x:c>
      <x:c r="D180" t="str">
        <x:v>SKINDERMA ARGIRELINE</x:v>
      </x:c>
      <x:c r="E180" t="str">
        <x:v>SKINDERMA</x:v>
      </x:c>
      <x:c r="F180" t="str">
        <x:v>Khác</x:v>
      </x:c>
      <x:c r="G180" t="str">
        <x:v>Công ty TNHH Dược Phẩm Toàn Cầu Đông Nam</x:v>
      </x:c>
      <x:c r="H180"/>
      <x:c r="I180"/>
      <x:c r="J180" t="str">
        <x:v>Đã thu hồi – QĐ 97/QĐ-QLD ngày 06/02/2026</x:v>
      </x:c>
      <x:c r="K180" t="str">
        <x:v>A+++ – phụ lục chính thức 252 số; responsible company explicit STT 57–182</x:v>
      </x:c>
      <x:c r="L180"/>
      <x:c r="M180" t="str">
        <x:v>https://doanket.laichau.gov.vn/upload/103883/20260210/Cong_van_ve_viec_Thu_hoi_so_tiep_nhan_Phieu_cong_bo_san_pham_my_pham_03_cong_ty__CT_Y_duoc_Quoc_te_Dong_Nam__Duoc_pham_toan_cau_Dong_Nam__XNK_Quoc_te_Dong_Nam__2dec5.pdf</x:v>
      </x:c>
      <x:c r="N180"/>
      <x:c r="O180" t="str">
        <x:v>Bulk QĐ97; thu hồi tự nguyện do không còn nhu cầu kinh doanh.</x:v>
      </x:c>
    </x:row>
    <x:row r="181">
      <x:c r="A181" t="str">
        <x:v>IMP0180</x:v>
      </x:c>
      <x:c r="B181" s="330" t="n">
        <x:v>45694</x:v>
      </x:c>
      <x:c r="C181" t="str">
        <x:v>265621/25/CBMP-QLD</x:v>
      </x:c>
      <x:c r="D181" t="str">
        <x:v>SKINDERMA VITAMIN A</x:v>
      </x:c>
      <x:c r="E181" t="str">
        <x:v>SKINDERMA</x:v>
      </x:c>
      <x:c r="F181" t="str">
        <x:v>Khác</x:v>
      </x:c>
      <x:c r="G181" t="str">
        <x:v>Công ty TNHH Dược Phẩm Toàn Cầu Đông Nam</x:v>
      </x:c>
      <x:c r="H181"/>
      <x:c r="I181"/>
      <x:c r="J181" t="str">
        <x:v>Đã thu hồi – QĐ 97/QĐ-QLD ngày 06/02/2026</x:v>
      </x:c>
      <x:c r="K181" t="str">
        <x:v>A+++ – phụ lục chính thức 252 số; responsible company explicit STT 57–182</x:v>
      </x:c>
      <x:c r="L181"/>
      <x:c r="M181" t="str">
        <x:v>https://doanket.laichau.gov.vn/upload/103883/20260210/Cong_van_ve_viec_Thu_hoi_so_tiep_nhan_Phieu_cong_bo_san_pham_my_pham_03_cong_ty__CT_Y_duoc_Quoc_te_Dong_Nam__Duoc_pham_toan_cau_Dong_Nam__XNK_Quoc_te_Dong_Nam__2dec5.pdf</x:v>
      </x:c>
      <x:c r="N181"/>
      <x:c r="O181" t="str">
        <x:v>Bulk QĐ97; thu hồi tự nguyện do không còn nhu cầu kinh doanh.</x:v>
      </x:c>
    </x:row>
    <x:row r="182">
      <x:c r="A182" t="str">
        <x:v>IMP0181</x:v>
      </x:c>
      <x:c r="B182" s="330" t="n">
        <x:v>45694</x:v>
      </x:c>
      <x:c r="C182" t="str">
        <x:v>265622/25/CBMP-QLD</x:v>
      </x:c>
      <x:c r="D182" t="str">
        <x:v>SKINDERMA SPRAY NEUTRALIZER</x:v>
      </x:c>
      <x:c r="E182" t="str">
        <x:v>SKINDERMA</x:v>
      </x:c>
      <x:c r="F182" t="str">
        <x:v>Khác</x:v>
      </x:c>
      <x:c r="G182" t="str">
        <x:v>Công ty TNHH Dược Phẩm Toàn Cầu Đông Nam</x:v>
      </x:c>
      <x:c r="H182"/>
      <x:c r="I182"/>
      <x:c r="J182" t="str">
        <x:v>Đã thu hồi – QĐ 97/QĐ-QLD ngày 06/02/2026</x:v>
      </x:c>
      <x:c r="K182" t="str">
        <x:v>A+++ – phụ lục chính thức 252 số; responsible company explicit STT 57–182</x:v>
      </x:c>
      <x:c r="L182"/>
      <x:c r="M182" t="str">
        <x:v>https://doanket.laichau.gov.vn/upload/103883/20260210/Cong_van_ve_viec_Thu_hoi_so_tiep_nhan_Phieu_cong_bo_san_pham_my_pham_03_cong_ty__CT_Y_duoc_Quoc_te_Dong_Nam__Duoc_pham_toan_cau_Dong_Nam__XNK_Quoc_te_Dong_Nam__2dec5.pdf</x:v>
      </x:c>
      <x:c r="N182"/>
      <x:c r="O182" t="str">
        <x:v>Bulk QĐ97; thu hồi tự nguyện do không còn nhu cầu kinh doanh.</x:v>
      </x:c>
    </x:row>
    <x:row r="183">
      <x:c r="A183" t="str">
        <x:v>IMP0182</x:v>
      </x:c>
      <x:c r="B183" s="330" t="n">
        <x:v>45694</x:v>
      </x:c>
      <x:c r="C183" t="str">
        <x:v>265623/25/CBMP-QLD</x:v>
      </x:c>
      <x:c r="D183" t="str">
        <x:v>SKINDERMA T35 PRX</x:v>
      </x:c>
      <x:c r="E183" t="str">
        <x:v>SKINDERMA</x:v>
      </x:c>
      <x:c r="F183" t="str">
        <x:v>Khác</x:v>
      </x:c>
      <x:c r="G183" t="str">
        <x:v>Công ty TNHH Dược Phẩm Toàn Cầu Đông Nam</x:v>
      </x:c>
      <x:c r="H183"/>
      <x:c r="I183"/>
      <x:c r="J183" t="str">
        <x:v>Đã thu hồi – QĐ 97/QĐ-QLD ngày 06/02/2026</x:v>
      </x:c>
      <x:c r="K183" t="str">
        <x:v>A+++ – phụ lục chính thức 252 số; responsible company explicit STT 57–182</x:v>
      </x:c>
      <x:c r="L183"/>
      <x:c r="M183" t="str">
        <x:v>https://doanket.laichau.gov.vn/upload/103883/20260210/Cong_van_ve_viec_Thu_hoi_so_tiep_nhan_Phieu_cong_bo_san_pham_my_pham_03_cong_ty__CT_Y_duoc_Quoc_te_Dong_Nam__Duoc_pham_toan_cau_Dong_Nam__XNK_Quoc_te_Dong_Nam__2dec5.pdf</x:v>
      </x:c>
      <x:c r="N183"/>
      <x:c r="O183" t="str">
        <x:v>Bulk QĐ97; thu hồi tự nguyện do không còn nhu cầu kinh doanh.</x:v>
      </x:c>
    </x:row>
    <x:row r="184">
      <x:c r="A184" t="str">
        <x:v>IMP0183</x:v>
      </x:c>
      <x:c r="B184" s="330" t="n">
        <x:v>45694</x:v>
      </x:c>
      <x:c r="C184" t="str">
        <x:v>265625/25/CBMP-QLD</x:v>
      </x:c>
      <x:c r="D184" t="str">
        <x:v>SKINDERMA PROTEOGLYCANS</x:v>
      </x:c>
      <x:c r="E184" t="str">
        <x:v>SKINDERMA</x:v>
      </x:c>
      <x:c r="F184" t="str">
        <x:v>Khác</x:v>
      </x:c>
      <x:c r="G184" t="str">
        <x:v>Công ty TNHH Dược Phẩm Toàn Cầu Đông Nam</x:v>
      </x:c>
      <x:c r="H184"/>
      <x:c r="I184"/>
      <x:c r="J184" t="str">
        <x:v>Đã thu hồi – QĐ 97/QĐ-QLD ngày 06/02/2026</x:v>
      </x:c>
      <x:c r="K184" t="str">
        <x:v>A+++ – phụ lục chính thức 252 số; responsible company explicit STT 57–182</x:v>
      </x:c>
      <x:c r="L184"/>
      <x:c r="M184" t="str">
        <x:v>https://doanket.laichau.gov.vn/upload/103883/20260210/Cong_van_ve_viec_Thu_hoi_so_tiep_nhan_Phieu_cong_bo_san_pham_my_pham_03_cong_ty__CT_Y_duoc_Quoc_te_Dong_Nam__Duoc_pham_toan_cau_Dong_Nam__XNK_Quoc_te_Dong_Nam__2dec5.pdf</x:v>
      </x:c>
      <x:c r="N184"/>
      <x:c r="O184" t="str">
        <x:v>Bulk QĐ97; thu hồi tự nguyện do không còn nhu cầu kinh doanh.</x:v>
      </x:c>
    </x:row>
    <x:row r="185">
      <x:c r="A185" t="str">
        <x:v>IMP0184</x:v>
      </x:c>
      <x:c r="B185" s="330" t="n">
        <x:v>45694</x:v>
      </x:c>
      <x:c r="C185" t="str">
        <x:v>265627/25/CBMP-QLD</x:v>
      </x:c>
      <x:c r="D185" t="str">
        <x:v>SKINDERMA MELANO AWAY MASK</x:v>
      </x:c>
      <x:c r="E185" t="str">
        <x:v>SKINDERMA</x:v>
      </x:c>
      <x:c r="F185" t="str">
        <x:v>Mặt nạ</x:v>
      </x:c>
      <x:c r="G185" t="str">
        <x:v>Công ty TNHH Dược Phẩm Toàn Cầu Đông Nam</x:v>
      </x:c>
      <x:c r="H185"/>
      <x:c r="I185"/>
      <x:c r="J185" t="str">
        <x:v>Đã thu hồi – QĐ 97/QĐ-QLD ngày 06/02/2026</x:v>
      </x:c>
      <x:c r="K185" t="str">
        <x:v>A+++ – phụ lục chính thức 252 số; responsible company explicit STT 57–182</x:v>
      </x:c>
      <x:c r="L185"/>
      <x:c r="M185" t="str">
        <x:v>https://doanket.laichau.gov.vn/upload/103883/20260210/Cong_van_ve_viec_Thu_hoi_so_tiep_nhan_Phieu_cong_bo_san_pham_my_pham_03_cong_ty__CT_Y_duoc_Quoc_te_Dong_Nam__Duoc_pham_toan_cau_Dong_Nam__XNK_Quoc_te_Dong_Nam__2dec5.pdf</x:v>
      </x:c>
      <x:c r="N185"/>
      <x:c r="O185" t="str">
        <x:v>Bulk QĐ97; thu hồi tự nguyện do không còn nhu cầu kinh doanh.</x:v>
      </x:c>
    </x:row>
    <x:row r="186">
      <x:c r="A186" t="str">
        <x:v>IMP0185</x:v>
      </x:c>
      <x:c r="B186" s="330" t="n">
        <x:v>45694</x:v>
      </x:c>
      <x:c r="C186" t="str">
        <x:v>265628/25/CBMP-QLD</x:v>
      </x:c>
      <x:c r="D186" t="str">
        <x:v>SKINDERMA PANTHENOL</x:v>
      </x:c>
      <x:c r="E186" t="str">
        <x:v>SKINDERMA</x:v>
      </x:c>
      <x:c r="F186" t="str">
        <x:v>Khác</x:v>
      </x:c>
      <x:c r="G186" t="str">
        <x:v>Công ty TNHH Dược Phẩm Toàn Cầu Đông Nam</x:v>
      </x:c>
      <x:c r="H186"/>
      <x:c r="I186"/>
      <x:c r="J186" t="str">
        <x:v>Đã thu hồi – QĐ 97/QĐ-QLD ngày 06/02/2026</x:v>
      </x:c>
      <x:c r="K186" t="str">
        <x:v>A+++ – phụ lục chính thức 252 số; responsible company explicit STT 57–182</x:v>
      </x:c>
      <x:c r="L186"/>
      <x:c r="M186" t="str">
        <x:v>https://doanket.laichau.gov.vn/upload/103883/20260210/Cong_van_ve_viec_Thu_hoi_so_tiep_nhan_Phieu_cong_bo_san_pham_my_pham_03_cong_ty__CT_Y_duoc_Quoc_te_Dong_Nam__Duoc_pham_toan_cau_Dong_Nam__XNK_Quoc_te_Dong_Nam__2dec5.pdf</x:v>
      </x:c>
      <x:c r="N186"/>
      <x:c r="O186" t="str">
        <x:v>Bulk QĐ97; thu hồi tự nguyện do không còn nhu cầu kinh doanh.</x:v>
      </x:c>
    </x:row>
    <x:row r="187">
      <x:c r="A187" t="str">
        <x:v>IMP0186</x:v>
      </x:c>
      <x:c r="B187" s="330" t="n">
        <x:v>45694</x:v>
      </x:c>
      <x:c r="C187" t="str">
        <x:v>265629/25/CBMP-QLD</x:v>
      </x:c>
      <x:c r="D187" t="str">
        <x:v>SKINDERMA SODIUM DNA GEL</x:v>
      </x:c>
      <x:c r="E187" t="str">
        <x:v>SKINDERMA</x:v>
      </x:c>
      <x:c r="F187" t="str">
        <x:v>Kem dưỡng da</x:v>
      </x:c>
      <x:c r="G187" t="str">
        <x:v>Công ty TNHH Dược Phẩm Toàn Cầu Đông Nam</x:v>
      </x:c>
      <x:c r="H187"/>
      <x:c r="I187"/>
      <x:c r="J187" t="str">
        <x:v>Đã thu hồi – QĐ 97/QĐ-QLD ngày 06/02/2026</x:v>
      </x:c>
      <x:c r="K187" t="str">
        <x:v>A+++ – phụ lục chính thức 252 số; responsible company explicit STT 57–182</x:v>
      </x:c>
      <x:c r="L187"/>
      <x:c r="M187" t="str">
        <x:v>https://doanket.laichau.gov.vn/upload/103883/20260210/Cong_van_ve_viec_Thu_hoi_so_tiep_nhan_Phieu_cong_bo_san_pham_my_pham_03_cong_ty__CT_Y_duoc_Quoc_te_Dong_Nam__Duoc_pham_toan_cau_Dong_Nam__XNK_Quoc_te_Dong_Nam__2dec5.pdf</x:v>
      </x:c>
      <x:c r="N187"/>
      <x:c r="O187" t="str">
        <x:v>Bulk QĐ97; thu hồi tự nguyện do không còn nhu cầu kinh doanh.</x:v>
      </x:c>
    </x:row>
    <x:row r="188">
      <x:c r="A188" t="str">
        <x:v>IMP0187</x:v>
      </x:c>
      <x:c r="B188" s="330" t="n">
        <x:v>45694</x:v>
      </x:c>
      <x:c r="C188" t="str">
        <x:v>265631/25/CBMP-QLD</x:v>
      </x:c>
      <x:c r="D188" t="str">
        <x:v>SKINDERMA SALICYLIC EXFOLIATOR</x:v>
      </x:c>
      <x:c r="E188" t="str">
        <x:v>SKINDERMA</x:v>
      </x:c>
      <x:c r="F188" t="str">
        <x:v>Tẩy tế bào chết/Peel</x:v>
      </x:c>
      <x:c r="G188" t="str">
        <x:v>Công ty TNHH Dược Phẩm Toàn Cầu Đông Nam</x:v>
      </x:c>
      <x:c r="H188"/>
      <x:c r="I188"/>
      <x:c r="J188" t="str">
        <x:v>Đã thu hồi – QĐ 97/QĐ-QLD ngày 06/02/2026</x:v>
      </x:c>
      <x:c r="K188" t="str">
        <x:v>A+++ – phụ lục chính thức 252 số; responsible company explicit STT 57–182</x:v>
      </x:c>
      <x:c r="L188"/>
      <x:c r="M188" t="str">
        <x:v>https://doanket.laichau.gov.vn/upload/103883/20260210/Cong_van_ve_viec_Thu_hoi_so_tiep_nhan_Phieu_cong_bo_san_pham_my_pham_03_cong_ty__CT_Y_duoc_Quoc_te_Dong_Nam__Duoc_pham_toan_cau_Dong_Nam__XNK_Quoc_te_Dong_Nam__2dec5.pdf</x:v>
      </x:c>
      <x:c r="N188"/>
      <x:c r="O188" t="str">
        <x:v>Bulk QĐ97; thu hồi tự nguyện do không còn nhu cầu kinh doanh.</x:v>
      </x:c>
    </x:row>
    <x:row r="189">
      <x:c r="A189" t="str">
        <x:v>IMP0188</x:v>
      </x:c>
      <x:c r="B189" s="330" t="n">
        <x:v>45694</x:v>
      </x:c>
      <x:c r="C189" t="str">
        <x:v>265632/25/CBMP-QLD</x:v>
      </x:c>
      <x:c r="D189" t="str">
        <x:v>SKINDERMA GLYCOLIC &amp; VITA E+F</x:v>
      </x:c>
      <x:c r="E189" t="str">
        <x:v>SKINDERMA</x:v>
      </x:c>
      <x:c r="F189" t="str">
        <x:v>Khác</x:v>
      </x:c>
      <x:c r="G189" t="str">
        <x:v>Công ty TNHH Dược Phẩm Toàn Cầu Đông Nam</x:v>
      </x:c>
      <x:c r="H189"/>
      <x:c r="I189"/>
      <x:c r="J189" t="str">
        <x:v>Đã thu hồi – QĐ 97/QĐ-QLD ngày 06/02/2026</x:v>
      </x:c>
      <x:c r="K189" t="str">
        <x:v>A+++ – phụ lục chính thức 252 số; responsible company explicit STT 57–182</x:v>
      </x:c>
      <x:c r="L189"/>
      <x:c r="M189" t="str">
        <x:v>https://doanket.laichau.gov.vn/upload/103883/20260210/Cong_van_ve_viec_Thu_hoi_so_tiep_nhan_Phieu_cong_bo_san_pham_my_pham_03_cong_ty__CT_Y_duoc_Quoc_te_Dong_Nam__Duoc_pham_toan_cau_Dong_Nam__XNK_Quoc_te_Dong_Nam__2dec5.pdf</x:v>
      </x:c>
      <x:c r="N189"/>
      <x:c r="O189" t="str">
        <x:v>Bulk QĐ97; thu hồi tự nguyện do không còn nhu cầu kinh doanh.</x:v>
      </x:c>
    </x:row>
    <x:row r="190">
      <x:c r="A190" t="str">
        <x:v>IMP0189</x:v>
      </x:c>
      <x:c r="B190" s="330" t="n">
        <x:v>45694</x:v>
      </x:c>
      <x:c r="C190" t="str">
        <x:v>265633/25/CBMP-QLD</x:v>
      </x:c>
      <x:c r="D190" t="str">
        <x:v>SKINDERMA BIPHASIC PRO</x:v>
      </x:c>
      <x:c r="E190" t="str">
        <x:v>SKINDERMA</x:v>
      </x:c>
      <x:c r="F190" t="str">
        <x:v>Khác</x:v>
      </x:c>
      <x:c r="G190" t="str">
        <x:v>Công ty TNHH Dược Phẩm Toàn Cầu Đông Nam</x:v>
      </x:c>
      <x:c r="H190"/>
      <x:c r="I190"/>
      <x:c r="J190" t="str">
        <x:v>Đã thu hồi – QĐ 97/QĐ-QLD ngày 06/02/2026</x:v>
      </x:c>
      <x:c r="K190" t="str">
        <x:v>A+++ – phụ lục chính thức 252 số; responsible company explicit STT 57–182</x:v>
      </x:c>
      <x:c r="L190"/>
      <x:c r="M190" t="str">
        <x:v>https://doanket.laichau.gov.vn/upload/103883/20260210/Cong_van_ve_viec_Thu_hoi_so_tiep_nhan_Phieu_cong_bo_san_pham_my_pham_03_cong_ty__CT_Y_duoc_Quoc_te_Dong_Nam__Duoc_pham_toan_cau_Dong_Nam__XNK_Quoc_te_Dong_Nam__2dec5.pdf</x:v>
      </x:c>
      <x:c r="N190"/>
      <x:c r="O190" t="str">
        <x:v>Bulk QĐ97; thu hồi tự nguyện do không còn nhu cầu kinh doanh.</x:v>
      </x:c>
    </x:row>
    <x:row r="191">
      <x:c r="A191" t="str">
        <x:v>IMP0190</x:v>
      </x:c>
      <x:c r="B191" s="330" t="n">
        <x:v>45694</x:v>
      </x:c>
      <x:c r="C191" t="str">
        <x:v>265639/25/CBMP-QLD</x:v>
      </x:c>
      <x:c r="D191" t="str">
        <x:v>SKINDERMA ANTIAGING FLASH</x:v>
      </x:c>
      <x:c r="E191" t="str">
        <x:v>SKINDERMA</x:v>
      </x:c>
      <x:c r="F191" t="str">
        <x:v>Khác</x:v>
      </x:c>
      <x:c r="G191" t="str">
        <x:v>Công ty TNHH Dược Phẩm Toàn Cầu Đông Nam</x:v>
      </x:c>
      <x:c r="H191"/>
      <x:c r="I191"/>
      <x:c r="J191" t="str">
        <x:v>Đã thu hồi – QĐ 97/QĐ-QLD ngày 06/02/2026</x:v>
      </x:c>
      <x:c r="K191" t="str">
        <x:v>A+++ – phụ lục chính thức 252 số; responsible company explicit STT 57–182</x:v>
      </x:c>
      <x:c r="L191"/>
      <x:c r="M191" t="str">
        <x:v>https://doanket.laichau.gov.vn/upload/103883/20260210/Cong_van_ve_viec_Thu_hoi_so_tiep_nhan_Phieu_cong_bo_san_pham_my_pham_03_cong_ty__CT_Y_duoc_Quoc_te_Dong_Nam__Duoc_pham_toan_cau_Dong_Nam__XNK_Quoc_te_Dong_Nam__2dec5.pdf</x:v>
      </x:c>
      <x:c r="N191"/>
      <x:c r="O191" t="str">
        <x:v>Bulk QĐ97; thu hồi tự nguyện do không còn nhu cầu kinh doanh.</x:v>
      </x:c>
    </x:row>
    <x:row r="192">
      <x:c r="A192" t="str">
        <x:v>IMP0191</x:v>
      </x:c>
      <x:c r="B192" s="330" t="n">
        <x:v>45694</x:v>
      </x:c>
      <x:c r="C192" t="str">
        <x:v>265641/25/CBMP-QLD</x:v>
      </x:c>
      <x:c r="D192" t="str">
        <x:v>SKINDERMA SODIUM DNA</x:v>
      </x:c>
      <x:c r="E192" t="str">
        <x:v>SKINDERMA</x:v>
      </x:c>
      <x:c r="F192" t="str">
        <x:v>Khác</x:v>
      </x:c>
      <x:c r="G192" t="str">
        <x:v>Công ty TNHH Dược Phẩm Toàn Cầu Đông Nam</x:v>
      </x:c>
      <x:c r="H192"/>
      <x:c r="I192"/>
      <x:c r="J192" t="str">
        <x:v>Đã thu hồi – QĐ 97/QĐ-QLD ngày 06/02/2026</x:v>
      </x:c>
      <x:c r="K192" t="str">
        <x:v>A+++ – phụ lục chính thức 252 số; responsible company explicit STT 57–182</x:v>
      </x:c>
      <x:c r="L192"/>
      <x:c r="M192" t="str">
        <x:v>https://doanket.laichau.gov.vn/upload/103883/20260210/Cong_van_ve_viec_Thu_hoi_so_tiep_nhan_Phieu_cong_bo_san_pham_my_pham_03_cong_ty__CT_Y_duoc_Quoc_te_Dong_Nam__Duoc_pham_toan_cau_Dong_Nam__XNK_Quoc_te_Dong_Nam__2dec5.pdf</x:v>
      </x:c>
      <x:c r="N192"/>
      <x:c r="O192" t="str">
        <x:v>Bulk QĐ97; thu hồi tự nguyện do không còn nhu cầu kinh doanh.</x:v>
      </x:c>
    </x:row>
    <x:row r="193">
      <x:c r="A193" t="str">
        <x:v>IMP0192</x:v>
      </x:c>
      <x:c r="B193" s="330" t="n">
        <x:v>45714</x:v>
      </x:c>
      <x:c r="C193" t="str">
        <x:v>267743/25/CBMP-QLD</x:v>
      </x:c>
      <x:c r="D193" t="str">
        <x:v>SKINDERMA PROBIOTIC CREAM</x:v>
      </x:c>
      <x:c r="E193" t="str">
        <x:v>SKINDERMA</x:v>
      </x:c>
      <x:c r="F193" t="str">
        <x:v>Kem dưỡng da</x:v>
      </x:c>
      <x:c r="G193" t="str">
        <x:v>Công ty TNHH Dược Phẩm Toàn Cầu Đông Nam</x:v>
      </x:c>
      <x:c r="H193"/>
      <x:c r="I193"/>
      <x:c r="J193" t="str">
        <x:v>Đã thu hồi – QĐ 97/QĐ-QLD ngày 06/02/2026</x:v>
      </x:c>
      <x:c r="K193" t="str">
        <x:v>A+++ – phụ lục chính thức 252 số; responsible company explicit STT 57–182</x:v>
      </x:c>
      <x:c r="L193"/>
      <x:c r="M193" t="str">
        <x:v>https://doanket.laichau.gov.vn/upload/103883/20260210/Cong_van_ve_viec_Thu_hoi_so_tiep_nhan_Phieu_cong_bo_san_pham_my_pham_03_cong_ty__CT_Y_duoc_Quoc_te_Dong_Nam__Duoc_pham_toan_cau_Dong_Nam__XNK_Quoc_te_Dong_Nam__2dec5.pdf</x:v>
      </x:c>
      <x:c r="N193"/>
      <x:c r="O193" t="str">
        <x:v>Bulk QĐ97; thu hồi tự nguyện do không còn nhu cầu kinh doanh.</x:v>
      </x:c>
    </x:row>
    <x:row r="194">
      <x:c r="A194" t="str">
        <x:v>IMP0193</x:v>
      </x:c>
      <x:c r="B194" s="330" t="n">
        <x:v>44613</x:v>
      </x:c>
      <x:c r="C194" t="str">
        <x:v>166113/22/CBMP-QLD</x:v>
      </x:c>
      <x:c r="D194" t="str">
        <x:v>ME LINE DARK CIRCLES</x:v>
      </x:c>
      <x:c r="E194" t="str">
        <x:v>ME LINE 01</x:v>
      </x:c>
      <x:c r="F194" t="str">
        <x:v>Khác</x:v>
      </x:c>
      <x:c r="G194" t="str">
        <x:v>Công ty TNHH xuất nhập khẩu Quốc tế Đông Nam</x:v>
      </x:c>
      <x:c r="H194"/>
      <x:c r="I194"/>
      <x:c r="J194" t="str">
        <x:v>Đã thu hồi – QĐ 97/QĐ-QLD ngày 06/02/2026</x:v>
      </x:c>
      <x:c r="K194" t="str">
        <x:v>A+++ – phụ lục chính thức 252 số; responsible company explicit STT 183–252; chỉ nạp 2022+</x:v>
      </x:c>
      <x:c r="L194"/>
      <x:c r="M194" t="str">
        <x:v>https://doanket.laichau.gov.vn/upload/103883/20260210/Cong_van_ve_viec_Thu_hoi_so_tiep_nhan_Phieu_cong_bo_san_pham_my_pham_03_cong_ty__CT_Y_duoc_Quoc_te_Dong_Nam__Duoc_pham_toan_cau_Dong_Nam__XNK_Quoc_te_Dong_Nam__2dec5.pdf</x:v>
      </x:c>
      <x:c r="N194"/>
      <x:c r="O194" t="str">
        <x:v>Bulk QĐ97; STT 183–212 năm 2021 loại khỏi scope; nạp STT 213–252.</x:v>
      </x:c>
    </x:row>
    <x:row r="195">
      <x:c r="A195" t="str">
        <x:v>IMP0194</x:v>
      </x:c>
      <x:c r="B195" s="330" t="n">
        <x:v>44818</x:v>
      </x:c>
      <x:c r="C195" t="str">
        <x:v>181671/22/CBMP-QLD</x:v>
      </x:c>
      <x:c r="D195" t="str">
        <x:v>PURLÉS 67 A-Peel 45%</x:v>
      </x:c>
      <x:c r="E195" t="str">
        <x:v>PURLÉS</x:v>
      </x:c>
      <x:c r="F195" t="str">
        <x:v>Tẩy tế bào chết/Peel</x:v>
      </x:c>
      <x:c r="G195" t="str">
        <x:v>Công ty TNHH xuất nhập khẩu Quốc tế Đông Nam</x:v>
      </x:c>
      <x:c r="H195"/>
      <x:c r="I195"/>
      <x:c r="J195" t="str">
        <x:v>Đã thu hồi – QĐ 97/QĐ-QLD ngày 06/02/2026</x:v>
      </x:c>
      <x:c r="K195" t="str">
        <x:v>A+++ – phụ lục chính thức 252 số; responsible company explicit STT 183–252; chỉ nạp 2022+</x:v>
      </x:c>
      <x:c r="L195"/>
      <x:c r="M195" t="str">
        <x:v>https://doanket.laichau.gov.vn/upload/103883/20260210/Cong_van_ve_viec_Thu_hoi_so_tiep_nhan_Phieu_cong_bo_san_pham_my_pham_03_cong_ty__CT_Y_duoc_Quoc_te_Dong_Nam__Duoc_pham_toan_cau_Dong_Nam__XNK_Quoc_te_Dong_Nam__2dec5.pdf</x:v>
      </x:c>
      <x:c r="N195"/>
      <x:c r="O195" t="str">
        <x:v>Bulk QĐ97; STT 183–212 năm 2021 loại khỏi scope; nạp STT 213–252.</x:v>
      </x:c>
    </x:row>
    <x:row r="196">
      <x:c r="A196" t="str">
        <x:v>IMP0195</x:v>
      </x:c>
      <x:c r="B196" s="330" t="n">
        <x:v>44818</x:v>
      </x:c>
      <x:c r="C196" t="str">
        <x:v>181672/22/CBMP-QLD</x:v>
      </x:c>
      <x:c r="D196" t="str">
        <x:v>Purlés 31 Soothing Cream</x:v>
      </x:c>
      <x:c r="E196" t="str">
        <x:v>Purlés</x:v>
      </x:c>
      <x:c r="F196" t="str">
        <x:v>Kem dưỡng da</x:v>
      </x:c>
      <x:c r="G196" t="str">
        <x:v>Công ty TNHH xuất nhập khẩu Quốc tế Đông Nam</x:v>
      </x:c>
      <x:c r="H196"/>
      <x:c r="I196"/>
      <x:c r="J196" t="str">
        <x:v>Đã thu hồi – QĐ 97/QĐ-QLD ngày 06/02/2026</x:v>
      </x:c>
      <x:c r="K196" t="str">
        <x:v>A+++ – phụ lục chính thức 252 số; responsible company explicit STT 183–252; chỉ nạp 2022+</x:v>
      </x:c>
      <x:c r="L196"/>
      <x:c r="M196" t="str">
        <x:v>https://doanket.laichau.gov.vn/upload/103883/20260210/Cong_van_ve_viec_Thu_hoi_so_tiep_nhan_Phieu_cong_bo_san_pham_my_pham_03_cong_ty__CT_Y_duoc_Quoc_te_Dong_Nam__Duoc_pham_toan_cau_Dong_Nam__XNK_Quoc_te_Dong_Nam__2dec5.pdf</x:v>
      </x:c>
      <x:c r="N196"/>
      <x:c r="O196" t="str">
        <x:v>Bulk QĐ97; STT 183–212 năm 2021 loại khỏi scope; nạp STT 213–252.</x:v>
      </x:c>
    </x:row>
    <x:row r="197">
      <x:c r="A197" t="str">
        <x:v>IMP0196</x:v>
      </x:c>
      <x:c r="B197" s="330" t="n">
        <x:v>44818</x:v>
      </x:c>
      <x:c r="C197" t="str">
        <x:v>181673/22/CBMP-QLD</x:v>
      </x:c>
      <x:c r="D197" t="str">
        <x:v>Purlés 39 SOS CALM MASK</x:v>
      </x:c>
      <x:c r="E197" t="str">
        <x:v>Purlés</x:v>
      </x:c>
      <x:c r="F197" t="str">
        <x:v>Mặt nạ</x:v>
      </x:c>
      <x:c r="G197" t="str">
        <x:v>Công ty TNHH xuất nhập khẩu Quốc tế Đông Nam</x:v>
      </x:c>
      <x:c r="H197"/>
      <x:c r="I197"/>
      <x:c r="J197" t="str">
        <x:v>Đã thu hồi – QĐ 97/QĐ-QLD ngày 06/02/2026</x:v>
      </x:c>
      <x:c r="K197" t="str">
        <x:v>A+++ – phụ lục chính thức 252 số; responsible company explicit STT 183–252; chỉ nạp 2022+</x:v>
      </x:c>
      <x:c r="L197"/>
      <x:c r="M197" t="str">
        <x:v>https://doanket.laichau.gov.vn/upload/103883/20260210/Cong_van_ve_viec_Thu_hoi_so_tiep_nhan_Phieu_cong_bo_san_pham_my_pham_03_cong_ty__CT_Y_duoc_Quoc_te_Dong_Nam__Duoc_pham_toan_cau_Dong_Nam__XNK_Quoc_te_Dong_Nam__2dec5.pdf</x:v>
      </x:c>
      <x:c r="N197"/>
      <x:c r="O197" t="str">
        <x:v>Bulk QĐ97; STT 183–212 năm 2021 loại khỏi scope; nạp STT 213–252.</x:v>
      </x:c>
    </x:row>
    <x:row r="198">
      <x:c r="A198" t="str">
        <x:v>IMP0197</x:v>
      </x:c>
      <x:c r="B198" s="330" t="n">
        <x:v>44818</x:v>
      </x:c>
      <x:c r="C198" t="str">
        <x:v>181674/22/CBMP-QLD</x:v>
      </x:c>
      <x:c r="D198" t="str">
        <x:v>Purlés 53 L-PEEL 30%</x:v>
      </x:c>
      <x:c r="E198" t="str">
        <x:v>Purlés</x:v>
      </x:c>
      <x:c r="F198" t="str">
        <x:v>Tẩy tế bào chết/Peel</x:v>
      </x:c>
      <x:c r="G198" t="str">
        <x:v>Công ty TNHH xuất nhập khẩu Quốc tế Đông Nam</x:v>
      </x:c>
      <x:c r="H198"/>
      <x:c r="I198"/>
      <x:c r="J198" t="str">
        <x:v>Đã thu hồi – QĐ 97/QĐ-QLD ngày 06/02/2026</x:v>
      </x:c>
      <x:c r="K198" t="str">
        <x:v>A+++ – phụ lục chính thức 252 số; responsible company explicit STT 183–252; chỉ nạp 2022+</x:v>
      </x:c>
      <x:c r="L198"/>
      <x:c r="M198" t="str">
        <x:v>https://doanket.laichau.gov.vn/upload/103883/20260210/Cong_van_ve_viec_Thu_hoi_so_tiep_nhan_Phieu_cong_bo_san_pham_my_pham_03_cong_ty__CT_Y_duoc_Quoc_te_Dong_Nam__Duoc_pham_toan_cau_Dong_Nam__XNK_Quoc_te_Dong_Nam__2dec5.pdf</x:v>
      </x:c>
      <x:c r="N198"/>
      <x:c r="O198" t="str">
        <x:v>Bulk QĐ97; STT 183–212 năm 2021 loại khỏi scope; nạp STT 213–252.</x:v>
      </x:c>
    </x:row>
    <x:row r="199">
      <x:c r="A199" t="str">
        <x:v>IMP0198</x:v>
      </x:c>
      <x:c r="B199" s="330" t="n">
        <x:v>44818</x:v>
      </x:c>
      <x:c r="C199" t="str">
        <x:v>181675/22/CBMP-QLD</x:v>
      </x:c>
      <x:c r="D199" t="str">
        <x:v>ME LINE PIGMENT HOME MASK</x:v>
      </x:c>
      <x:c r="E199" t="str">
        <x:v>ME LINE 05</x:v>
      </x:c>
      <x:c r="F199" t="str">
        <x:v>Mặt nạ</x:v>
      </x:c>
      <x:c r="G199" t="str">
        <x:v>Công ty TNHH xuất nhập khẩu Quốc tế Đông Nam</x:v>
      </x:c>
      <x:c r="H199"/>
      <x:c r="I199"/>
      <x:c r="J199" t="str">
        <x:v>Đã thu hồi – QĐ 97/QĐ-QLD ngày 06/02/2026</x:v>
      </x:c>
      <x:c r="K199" t="str">
        <x:v>A+++ – phụ lục chính thức 252 số; responsible company explicit STT 183–252; chỉ nạp 2022+</x:v>
      </x:c>
      <x:c r="L199"/>
      <x:c r="M199" t="str">
        <x:v>https://doanket.laichau.gov.vn/upload/103883/20260210/Cong_van_ve_viec_Thu_hoi_so_tiep_nhan_Phieu_cong_bo_san_pham_my_pham_03_cong_ty__CT_Y_duoc_Quoc_te_Dong_Nam__Duoc_pham_toan_cau_Dong_Nam__XNK_Quoc_te_Dong_Nam__2dec5.pdf</x:v>
      </x:c>
      <x:c r="N199"/>
      <x:c r="O199" t="str">
        <x:v>Bulk QĐ97; STT 183–212 năm 2021 loại khỏi scope; nạp STT 213–252.</x:v>
      </x:c>
    </x:row>
    <x:row r="200">
      <x:c r="A200" t="str">
        <x:v>IMP0199</x:v>
      </x:c>
      <x:c r="B200" s="330" t="n">
        <x:v>44818</x:v>
      </x:c>
      <x:c r="C200" t="str">
        <x:v>181676/22/CBMP-QLD</x:v>
      </x:c>
      <x:c r="D200" t="str">
        <x:v>INNO-TDS SENSITIVE-ID</x:v>
      </x:c>
      <x:c r="E200" t="str">
        <x:v>INNOAESTHETICS</x:v>
      </x:c>
      <x:c r="F200" t="str">
        <x:v>Khác</x:v>
      </x:c>
      <x:c r="G200" t="str">
        <x:v>Công ty TNHH xuất nhập khẩu Quốc tế Đông Nam</x:v>
      </x:c>
      <x:c r="H200"/>
      <x:c r="I200"/>
      <x:c r="J200" t="str">
        <x:v>Đã thu hồi – QĐ 97/QĐ-QLD ngày 06/02/2026</x:v>
      </x:c>
      <x:c r="K200" t="str">
        <x:v>A+++ – phụ lục chính thức 252 số; responsible company explicit STT 183–252; chỉ nạp 2022+</x:v>
      </x:c>
      <x:c r="L200"/>
      <x:c r="M200" t="str">
        <x:v>https://doanket.laichau.gov.vn/upload/103883/20260210/Cong_van_ve_viec_Thu_hoi_so_tiep_nhan_Phieu_cong_bo_san_pham_my_pham_03_cong_ty__CT_Y_duoc_Quoc_te_Dong_Nam__Duoc_pham_toan_cau_Dong_Nam__XNK_Quoc_te_Dong_Nam__2dec5.pdf</x:v>
      </x:c>
      <x:c r="N200"/>
      <x:c r="O200" t="str">
        <x:v>Bulk QĐ97; STT 183–212 năm 2021 loại khỏi scope; nạp STT 213–252.</x:v>
      </x:c>
    </x:row>
    <x:row r="201">
      <x:c r="A201" t="str">
        <x:v>IMP0200</x:v>
      </x:c>
      <x:c r="B201" s="330" t="n">
        <x:v>44818</x:v>
      </x:c>
      <x:c r="C201" t="str">
        <x:v>181677/22/CBMP-QLD</x:v>
      </x:c>
      <x:c r="D201" t="str">
        <x:v>INNO-TDS XEROSKIN-ID</x:v>
      </x:c>
      <x:c r="E201" t="str">
        <x:v>INNOAESTHETICS</x:v>
      </x:c>
      <x:c r="F201" t="str">
        <x:v>Khác</x:v>
      </x:c>
      <x:c r="G201" t="str">
        <x:v>Công ty TNHH xuất nhập khẩu Quốc tế Đông Nam</x:v>
      </x:c>
      <x:c r="H201"/>
      <x:c r="I201"/>
      <x:c r="J201" t="str">
        <x:v>Đã thu hồi – QĐ 97/QĐ-QLD ngày 06/02/2026</x:v>
      </x:c>
      <x:c r="K201" t="str">
        <x:v>A+++ – phụ lục chính thức 252 số; responsible company explicit STT 183–252; chỉ nạp 2022+</x:v>
      </x:c>
      <x:c r="L201"/>
      <x:c r="M201" t="str">
        <x:v>https://doanket.laichau.gov.vn/upload/103883/20260210/Cong_van_ve_viec_Thu_hoi_so_tiep_nhan_Phieu_cong_bo_san_pham_my_pham_03_cong_ty__CT_Y_duoc_Quoc_te_Dong_Nam__Duoc_pham_toan_cau_Dong_Nam__XNK_Quoc_te_Dong_Nam__2dec5.pdf</x:v>
      </x:c>
      <x:c r="N201"/>
      <x:c r="O201" t="str">
        <x:v>Bulk QĐ97; STT 183–212 năm 2021 loại khỏi scope; nạp STT 213–252.</x:v>
      </x:c>
    </x:row>
    <x:row r="202">
      <x:c r="A202" t="str">
        <x:v>IMP0201</x:v>
      </x:c>
      <x:c r="B202" s="330" t="n">
        <x:v>44818</x:v>
      </x:c>
      <x:c r="C202" t="str">
        <x:v>181678/22/CBMP-QLD</x:v>
      </x:c>
      <x:c r="D202" t="str">
        <x:v>Purlés 15 Goddess' Elixir</x:v>
      </x:c>
      <x:c r="E202" t="str">
        <x:v>Purlés</x:v>
      </x:c>
      <x:c r="F202" t="str">
        <x:v>Serum/Essence da</x:v>
      </x:c>
      <x:c r="G202" t="str">
        <x:v>Công ty TNHH xuất nhập khẩu Quốc tế Đông Nam</x:v>
      </x:c>
      <x:c r="H202"/>
      <x:c r="I202"/>
      <x:c r="J202" t="str">
        <x:v>Đã thu hồi – QĐ 97/QĐ-QLD ngày 06/02/2026</x:v>
      </x:c>
      <x:c r="K202" t="str">
        <x:v>A+++ – phụ lục chính thức 252 số; responsible company explicit STT 183–252; chỉ nạp 2022+</x:v>
      </x:c>
      <x:c r="L202"/>
      <x:c r="M202" t="str">
        <x:v>https://doanket.laichau.gov.vn/upload/103883/20260210/Cong_van_ve_viec_Thu_hoi_so_tiep_nhan_Phieu_cong_bo_san_pham_my_pham_03_cong_ty__CT_Y_duoc_Quoc_te_Dong_Nam__Duoc_pham_toan_cau_Dong_Nam__XNK_Quoc_te_Dong_Nam__2dec5.pdf</x:v>
      </x:c>
      <x:c r="N202"/>
      <x:c r="O202" t="str">
        <x:v>Bulk QĐ97; STT 183–212 năm 2021 loại khỏi scope; nạp STT 213–252.</x:v>
      </x:c>
    </x:row>
    <x:row r="203">
      <x:c r="A203" t="str">
        <x:v>IMP0202</x:v>
      </x:c>
      <x:c r="B203" s="330" t="n">
        <x:v>44818</x:v>
      </x:c>
      <x:c r="C203" t="str">
        <x:v>181679/22/CBMP-QLD</x:v>
      </x:c>
      <x:c r="D203" t="str">
        <x:v>Purlés 5 Rice Elixir</x:v>
      </x:c>
      <x:c r="E203" t="str">
        <x:v>Purlés</x:v>
      </x:c>
      <x:c r="F203" t="str">
        <x:v>Serum/Essence da</x:v>
      </x:c>
      <x:c r="G203" t="str">
        <x:v>Công ty TNHH xuất nhập khẩu Quốc tế Đông Nam</x:v>
      </x:c>
      <x:c r="H203"/>
      <x:c r="I203"/>
      <x:c r="J203" t="str">
        <x:v>Đã thu hồi – QĐ 97/QĐ-QLD ngày 06/02/2026</x:v>
      </x:c>
      <x:c r="K203" t="str">
        <x:v>A+++ – phụ lục chính thức 252 số; responsible company explicit STT 183–252; chỉ nạp 2022+</x:v>
      </x:c>
      <x:c r="L203"/>
      <x:c r="M203" t="str">
        <x:v>https://doanket.laichau.gov.vn/upload/103883/20260210/Cong_van_ve_viec_Thu_hoi_so_tiep_nhan_Phieu_cong_bo_san_pham_my_pham_03_cong_ty__CT_Y_duoc_Quoc_te_Dong_Nam__Duoc_pham_toan_cau_Dong_Nam__XNK_Quoc_te_Dong_Nam__2dec5.pdf</x:v>
      </x:c>
      <x:c r="N203"/>
      <x:c r="O203" t="str">
        <x:v>Bulk QĐ97; STT 183–212 năm 2021 loại khỏi scope; nạp STT 213–252.</x:v>
      </x:c>
    </x:row>
    <x:row r="204">
      <x:c r="A204" t="str">
        <x:v>IMP0203</x:v>
      </x:c>
      <x:c r="B204" s="330" t="n">
        <x:v>44818</x:v>
      </x:c>
      <x:c r="C204" t="str">
        <x:v>181680/22/CBMP-QLD</x:v>
      </x:c>
      <x:c r="D204" t="str">
        <x:v>Purlés 160 HYDRA SPRAY TONER</x:v>
      </x:c>
      <x:c r="E204" t="str">
        <x:v>Purlés</x:v>
      </x:c>
      <x:c r="F204" t="str">
        <x:v>Toner/Lotion</x:v>
      </x:c>
      <x:c r="G204" t="str">
        <x:v>Công ty TNHH xuất nhập khẩu Quốc tế Đông Nam</x:v>
      </x:c>
      <x:c r="H204"/>
      <x:c r="I204"/>
      <x:c r="J204" t="str">
        <x:v>Đã thu hồi – QĐ 97/QĐ-QLD ngày 06/02/2026</x:v>
      </x:c>
      <x:c r="K204" t="str">
        <x:v>A+++ – phụ lục chính thức 252 số; responsible company explicit STT 183–252; chỉ nạp 2022+</x:v>
      </x:c>
      <x:c r="L204"/>
      <x:c r="M204" t="str">
        <x:v>https://doanket.laichau.gov.vn/upload/103883/20260210/Cong_van_ve_viec_Thu_hoi_so_tiep_nhan_Phieu_cong_bo_san_pham_my_pham_03_cong_ty__CT_Y_duoc_Quoc_te_Dong_Nam__Duoc_pham_toan_cau_Dong_Nam__XNK_Quoc_te_Dong_Nam__2dec5.pdf</x:v>
      </x:c>
      <x:c r="N204"/>
      <x:c r="O204" t="str">
        <x:v>Bulk QĐ97; STT 183–212 năm 2021 loại khỏi scope; nạp STT 213–252.</x:v>
      </x:c>
    </x:row>
    <x:row r="205">
      <x:c r="A205" t="str">
        <x:v>IMP0204</x:v>
      </x:c>
      <x:c r="B205" s="330" t="n">
        <x:v>44818</x:v>
      </x:c>
      <x:c r="C205" t="str">
        <x:v>181681/22/CBMP-QLD</x:v>
      </x:c>
      <x:c r="D205" t="str">
        <x:v>PURLÉS 149 PEPTIDE HYDROGEL EYE PATCHES</x:v>
      </x:c>
      <x:c r="E205" t="str">
        <x:v>PURLÉS</x:v>
      </x:c>
      <x:c r="F205" t="str">
        <x:v>Mặt nạ</x:v>
      </x:c>
      <x:c r="G205" t="str">
        <x:v>Công ty TNHH xuất nhập khẩu Quốc tế Đông Nam</x:v>
      </x:c>
      <x:c r="H205"/>
      <x:c r="I205"/>
      <x:c r="J205" t="str">
        <x:v>Đã thu hồi – QĐ 97/QĐ-QLD ngày 06/02/2026</x:v>
      </x:c>
      <x:c r="K205" t="str">
        <x:v>A+++ – phụ lục chính thức 252 số; responsible company explicit STT 183–252; chỉ nạp 2022+</x:v>
      </x:c>
      <x:c r="L205"/>
      <x:c r="M205" t="str">
        <x:v>https://doanket.laichau.gov.vn/upload/103883/20260210/Cong_van_ve_viec_Thu_hoi_so_tiep_nhan_Phieu_cong_bo_san_pham_my_pham_03_cong_ty__CT_Y_duoc_Quoc_te_Dong_Nam__Duoc_pham_toan_cau_Dong_Nam__XNK_Quoc_te_Dong_Nam__2dec5.pdf</x:v>
      </x:c>
      <x:c r="N205"/>
      <x:c r="O205" t="str">
        <x:v>Bulk QĐ97; STT 183–212 năm 2021 loại khỏi scope; nạp STT 213–252.</x:v>
      </x:c>
    </x:row>
    <x:row r="206">
      <x:c r="A206" t="str">
        <x:v>IMP0205</x:v>
      </x:c>
      <x:c r="B206" s="330" t="n">
        <x:v>44818</x:v>
      </x:c>
      <x:c r="C206" t="str">
        <x:v>181682/22/CBMP-QLD</x:v>
      </x:c>
      <x:c r="D206" t="str">
        <x:v>Purlés 54 AZ-PEEL 16%</x:v>
      </x:c>
      <x:c r="E206" t="str">
        <x:v>Purlés</x:v>
      </x:c>
      <x:c r="F206" t="str">
        <x:v>Tẩy tế bào chết/Peel</x:v>
      </x:c>
      <x:c r="G206" t="str">
        <x:v>Công ty TNHH xuất nhập khẩu Quốc tế Đông Nam</x:v>
      </x:c>
      <x:c r="H206"/>
      <x:c r="I206"/>
      <x:c r="J206" t="str">
        <x:v>Đã thu hồi – QĐ 97/QĐ-QLD ngày 06/02/2026</x:v>
      </x:c>
      <x:c r="K206" t="str">
        <x:v>A+++ – phụ lục chính thức 252 số; responsible company explicit STT 183–252; chỉ nạp 2022+</x:v>
      </x:c>
      <x:c r="L206"/>
      <x:c r="M206" t="str">
        <x:v>https://doanket.laichau.gov.vn/upload/103883/20260210/Cong_van_ve_viec_Thu_hoi_so_tiep_nhan_Phieu_cong_bo_san_pham_my_pham_03_cong_ty__CT_Y_duoc_Quoc_te_Dong_Nam__Duoc_pham_toan_cau_Dong_Nam__XNK_Quoc_te_Dong_Nam__2dec5.pdf</x:v>
      </x:c>
      <x:c r="N206"/>
      <x:c r="O206" t="str">
        <x:v>Bulk QĐ97; STT 183–212 năm 2021 loại khỏi scope; nạp STT 213–252.</x:v>
      </x:c>
    </x:row>
    <x:row r="207">
      <x:c r="A207" t="str">
        <x:v>IMP0206</x:v>
      </x:c>
      <x:c r="B207" s="330" t="n">
        <x:v>44818</x:v>
      </x:c>
      <x:c r="C207" t="str">
        <x:v>181683/22/CBMP-QLD</x:v>
      </x:c>
      <x:c r="D207" t="str">
        <x:v>INNO-EXFO MANDELAGE</x:v>
      </x:c>
      <x:c r="E207" t="str">
        <x:v>INNOAESTHETICS</x:v>
      </x:c>
      <x:c r="F207" t="str">
        <x:v>Khác</x:v>
      </x:c>
      <x:c r="G207" t="str">
        <x:v>Công ty TNHH xuất nhập khẩu Quốc tế Đông Nam</x:v>
      </x:c>
      <x:c r="H207"/>
      <x:c r="I207"/>
      <x:c r="J207" t="str">
        <x:v>Đã thu hồi – QĐ 97/QĐ-QLD ngày 06/02/2026</x:v>
      </x:c>
      <x:c r="K207" t="str">
        <x:v>A+++ – phụ lục chính thức 252 số; responsible company explicit STT 183–252; chỉ nạp 2022+</x:v>
      </x:c>
      <x:c r="L207"/>
      <x:c r="M207" t="str">
        <x:v>https://doanket.laichau.gov.vn/upload/103883/20260210/Cong_van_ve_viec_Thu_hoi_so_tiep_nhan_Phieu_cong_bo_san_pham_my_pham_03_cong_ty__CT_Y_duoc_Quoc_te_Dong_Nam__Duoc_pham_toan_cau_Dong_Nam__XNK_Quoc_te_Dong_Nam__2dec5.pdf</x:v>
      </x:c>
      <x:c r="N207"/>
      <x:c r="O207" t="str">
        <x:v>Bulk QĐ97; STT 183–212 năm 2021 loại khỏi scope; nạp STT 213–252.</x:v>
      </x:c>
    </x:row>
    <x:row r="208">
      <x:c r="A208" t="str">
        <x:v>IMP0207</x:v>
      </x:c>
      <x:c r="B208" s="330" t="n">
        <x:v>44818</x:v>
      </x:c>
      <x:c r="C208" t="str">
        <x:v>181684/22/CBMP-QLD</x:v>
      </x:c>
      <x:c r="D208" t="str">
        <x:v>INNO-DERMA REVITALIZE MASK 3D BIOTECHNOLOGY</x:v>
      </x:c>
      <x:c r="E208" t="str">
        <x:v>INNOAESTHETICS</x:v>
      </x:c>
      <x:c r="F208" t="str">
        <x:v>Mặt nạ</x:v>
      </x:c>
      <x:c r="G208" t="str">
        <x:v>Công ty TNHH xuất nhập khẩu Quốc tế Đông Nam</x:v>
      </x:c>
      <x:c r="H208"/>
      <x:c r="I208"/>
      <x:c r="J208" t="str">
        <x:v>Đã thu hồi – QĐ 97/QĐ-QLD ngày 06/02/2026</x:v>
      </x:c>
      <x:c r="K208" t="str">
        <x:v>A+++ – phụ lục chính thức 252 số; responsible company explicit STT 183–252; chỉ nạp 2022+</x:v>
      </x:c>
      <x:c r="L208"/>
      <x:c r="M208" t="str">
        <x:v>https://doanket.laichau.gov.vn/upload/103883/20260210/Cong_van_ve_viec_Thu_hoi_so_tiep_nhan_Phieu_cong_bo_san_pham_my_pham_03_cong_ty__CT_Y_duoc_Quoc_te_Dong_Nam__Duoc_pham_toan_cau_Dong_Nam__XNK_Quoc_te_Dong_Nam__2dec5.pdf</x:v>
      </x:c>
      <x:c r="N208"/>
      <x:c r="O208" t="str">
        <x:v>Bulk QĐ97; STT 183–212 năm 2021 loại khỏi scope; nạp STT 213–252.</x:v>
      </x:c>
    </x:row>
    <x:row r="209">
      <x:c r="A209" t="str">
        <x:v>IMP0208</x:v>
      </x:c>
      <x:c r="B209" s="330" t="n">
        <x:v>44818</x:v>
      </x:c>
      <x:c r="C209" t="str">
        <x:v>181685/22/CBMP-QLD</x:v>
      </x:c>
      <x:c r="D209" t="str">
        <x:v>INNO-DERMA AKN DAY GEL</x:v>
      </x:c>
      <x:c r="E209" t="str">
        <x:v>INNOAESTHETICS</x:v>
      </x:c>
      <x:c r="F209" t="str">
        <x:v>Kem dưỡng da</x:v>
      </x:c>
      <x:c r="G209" t="str">
        <x:v>Công ty TNHH xuất nhập khẩu Quốc tế Đông Nam</x:v>
      </x:c>
      <x:c r="H209"/>
      <x:c r="I209"/>
      <x:c r="J209" t="str">
        <x:v>Đã thu hồi – QĐ 97/QĐ-QLD ngày 06/02/2026</x:v>
      </x:c>
      <x:c r="K209" t="str">
        <x:v>A+++ – phụ lục chính thức 252 số; responsible company explicit STT 183–252; chỉ nạp 2022+</x:v>
      </x:c>
      <x:c r="L209"/>
      <x:c r="M209" t="str">
        <x:v>https://doanket.laichau.gov.vn/upload/103883/20260210/Cong_van_ve_viec_Thu_hoi_so_tiep_nhan_Phieu_cong_bo_san_pham_my_pham_03_cong_ty__CT_Y_duoc_Quoc_te_Dong_Nam__Duoc_pham_toan_cau_Dong_Nam__XNK_Quoc_te_Dong_Nam__2dec5.pdf</x:v>
      </x:c>
      <x:c r="N209"/>
      <x:c r="O209" t="str">
        <x:v>Bulk QĐ97; STT 183–212 năm 2021 loại khỏi scope; nạp STT 213–252.</x:v>
      </x:c>
    </x:row>
    <x:row r="210">
      <x:c r="A210" t="str">
        <x:v>IMP0209</x:v>
      </x:c>
      <x:c r="B210" s="330" t="n">
        <x:v>44818</x:v>
      </x:c>
      <x:c r="C210" t="str">
        <x:v>181686/22/CBMP-QLD</x:v>
      </x:c>
      <x:c r="D210" t="str">
        <x:v>INNO-DERMA SUN DEFENSE SPF 50+</x:v>
      </x:c>
      <x:c r="E210" t="str">
        <x:v>INNOAESTHETICS</x:v>
      </x:c>
      <x:c r="F210" t="str">
        <x:v>Kem chống nắng</x:v>
      </x:c>
      <x:c r="G210" t="str">
        <x:v>Công ty TNHH xuất nhập khẩu Quốc tế Đông Nam</x:v>
      </x:c>
      <x:c r="H210"/>
      <x:c r="I210"/>
      <x:c r="J210" t="str">
        <x:v>Đã thu hồi – QĐ 97/QĐ-QLD ngày 06/02/2026</x:v>
      </x:c>
      <x:c r="K210" t="str">
        <x:v>A+++ – phụ lục chính thức 252 số; responsible company explicit STT 183–252; chỉ nạp 2022+</x:v>
      </x:c>
      <x:c r="L210"/>
      <x:c r="M210" t="str">
        <x:v>https://doanket.laichau.gov.vn/upload/103883/20260210/Cong_van_ve_viec_Thu_hoi_so_tiep_nhan_Phieu_cong_bo_san_pham_my_pham_03_cong_ty__CT_Y_duoc_Quoc_te_Dong_Nam__Duoc_pham_toan_cau_Dong_Nam__XNK_Quoc_te_Dong_Nam__2dec5.pdf</x:v>
      </x:c>
      <x:c r="N210"/>
      <x:c r="O210" t="str">
        <x:v>Bulk QĐ97; STT 183–212 năm 2021 loại khỏi scope; nạp STT 213–252.</x:v>
      </x:c>
    </x:row>
    <x:row r="211">
      <x:c r="A211" t="str">
        <x:v>IMP0210</x:v>
      </x:c>
      <x:c r="B211" s="330" t="n">
        <x:v>44818</x:v>
      </x:c>
      <x:c r="C211" t="str">
        <x:v>181687/22/CBMP-QLD</x:v>
      </x:c>
      <x:c r="D211" t="str">
        <x:v>INNO-EPIGEN COVERAGE LIGHT UVP 50+</x:v>
      </x:c>
      <x:c r="E211" t="str">
        <x:v>INNOAESTHETICS</x:v>
      </x:c>
      <x:c r="F211" t="str">
        <x:v>Kem chống nắng</x:v>
      </x:c>
      <x:c r="G211" t="str">
        <x:v>Công ty TNHH xuất nhập khẩu Quốc tế Đông Nam</x:v>
      </x:c>
      <x:c r="H211"/>
      <x:c r="I211"/>
      <x:c r="J211" t="str">
        <x:v>Đã thu hồi – QĐ 97/QĐ-QLD ngày 06/02/2026</x:v>
      </x:c>
      <x:c r="K211" t="str">
        <x:v>A+++ – phụ lục chính thức 252 số; responsible company explicit STT 183–252; chỉ nạp 2022+</x:v>
      </x:c>
      <x:c r="L211"/>
      <x:c r="M211" t="str">
        <x:v>https://doanket.laichau.gov.vn/upload/103883/20260210/Cong_van_ve_viec_Thu_hoi_so_tiep_nhan_Phieu_cong_bo_san_pham_my_pham_03_cong_ty__CT_Y_duoc_Quoc_te_Dong_Nam__Duoc_pham_toan_cau_Dong_Nam__XNK_Quoc_te_Dong_Nam__2dec5.pdf</x:v>
      </x:c>
      <x:c r="N211"/>
      <x:c r="O211" t="str">
        <x:v>Bulk QĐ97; STT 183–212 năm 2021 loại khỏi scope; nạp STT 213–252.</x:v>
      </x:c>
    </x:row>
    <x:row r="212">
      <x:c r="A212" t="str">
        <x:v>IMP0211</x:v>
      </x:c>
      <x:c r="B212" s="330" t="n">
        <x:v>44818</x:v>
      </x:c>
      <x:c r="C212" t="str">
        <x:v>181688/22/CBMP-QLD</x:v>
      </x:c>
      <x:c r="D212" t="str">
        <x:v>INNO-EPIGEN PURIFYING SERUM</x:v>
      </x:c>
      <x:c r="E212" t="str">
        <x:v>INNOAESTHETICS</x:v>
      </x:c>
      <x:c r="F212" t="str">
        <x:v>Serum/Essence da</x:v>
      </x:c>
      <x:c r="G212" t="str">
        <x:v>Công ty TNHH xuất nhập khẩu Quốc tế Đông Nam</x:v>
      </x:c>
      <x:c r="H212"/>
      <x:c r="I212"/>
      <x:c r="J212" t="str">
        <x:v>Đã thu hồi – QĐ 97/QĐ-QLD ngày 06/02/2026</x:v>
      </x:c>
      <x:c r="K212" t="str">
        <x:v>A+++ – phụ lục chính thức 252 số; responsible company explicit STT 183–252; chỉ nạp 2022+</x:v>
      </x:c>
      <x:c r="L212"/>
      <x:c r="M212" t="str">
        <x:v>https://doanket.laichau.gov.vn/upload/103883/20260210/Cong_van_ve_viec_Thu_hoi_so_tiep_nhan_Phieu_cong_bo_san_pham_my_pham_03_cong_ty__CT_Y_duoc_Quoc_te_Dong_Nam__Duoc_pham_toan_cau_Dong_Nam__XNK_Quoc_te_Dong_Nam__2dec5.pdf</x:v>
      </x:c>
      <x:c r="N212"/>
      <x:c r="O212" t="str">
        <x:v>Bulk QĐ97; STT 183–212 năm 2021 loại khỏi scope; nạp STT 213–252.</x:v>
      </x:c>
    </x:row>
    <x:row r="213">
      <x:c r="A213" t="str">
        <x:v>IMP0212</x:v>
      </x:c>
      <x:c r="B213" s="330" t="n">
        <x:v>44818</x:v>
      </x:c>
      <x:c r="C213" t="str">
        <x:v>181689/22/CBMP-QLD</x:v>
      </x:c>
      <x:c r="D213" t="str">
        <x:v>PURLÉS 64 Neutralizing Lotion</x:v>
      </x:c>
      <x:c r="E213" t="str">
        <x:v>PURLÉS</x:v>
      </x:c>
      <x:c r="F213" t="str">
        <x:v>Toner/Lotion</x:v>
      </x:c>
      <x:c r="G213" t="str">
        <x:v>Công ty TNHH xuất nhập khẩu Quốc tế Đông Nam</x:v>
      </x:c>
      <x:c r="H213"/>
      <x:c r="I213"/>
      <x:c r="J213" t="str">
        <x:v>Đã thu hồi – QĐ 97/QĐ-QLD ngày 06/02/2026</x:v>
      </x:c>
      <x:c r="K213" t="str">
        <x:v>A+++ – phụ lục chính thức 252 số; responsible company explicit STT 183–252; chỉ nạp 2022+</x:v>
      </x:c>
      <x:c r="L213"/>
      <x:c r="M213" t="str">
        <x:v>https://doanket.laichau.gov.vn/upload/103883/20260210/Cong_van_ve_viec_Thu_hoi_so_tiep_nhan_Phieu_cong_bo_san_pham_my_pham_03_cong_ty__CT_Y_duoc_Quoc_te_Dong_Nam__Duoc_pham_toan_cau_Dong_Nam__XNK_Quoc_te_Dong_Nam__2dec5.pdf</x:v>
      </x:c>
      <x:c r="N213"/>
      <x:c r="O213" t="str">
        <x:v>Bulk QĐ97; STT 183–212 năm 2021 loại khỏi scope; nạp STT 213–252.</x:v>
      </x:c>
    </x:row>
    <x:row r="214">
      <x:c r="A214" t="str">
        <x:v>IMP0213</x:v>
      </x:c>
      <x:c r="B214" s="330" t="n">
        <x:v>44818</x:v>
      </x:c>
      <x:c r="C214" t="str">
        <x:v>181690/22/CBMP-QLD</x:v>
      </x:c>
      <x:c r="D214" t="str">
        <x:v>PURLÉS 66 R-Peel 4%</x:v>
      </x:c>
      <x:c r="E214" t="str">
        <x:v>PURLÉS</x:v>
      </x:c>
      <x:c r="F214" t="str">
        <x:v>Tẩy tế bào chết/Peel</x:v>
      </x:c>
      <x:c r="G214" t="str">
        <x:v>Công ty TNHH xuất nhập khẩu Quốc tế Đông Nam</x:v>
      </x:c>
      <x:c r="H214"/>
      <x:c r="I214"/>
      <x:c r="J214" t="str">
        <x:v>Đã thu hồi – QĐ 97/QĐ-QLD ngày 06/02/2026</x:v>
      </x:c>
      <x:c r="K214" t="str">
        <x:v>A+++ – phụ lục chính thức 252 số; responsible company explicit STT 183–252; chỉ nạp 2022+</x:v>
      </x:c>
      <x:c r="L214"/>
      <x:c r="M214" t="str">
        <x:v>https://doanket.laichau.gov.vn/upload/103883/20260210/Cong_van_ve_viec_Thu_hoi_so_tiep_nhan_Phieu_cong_bo_san_pham_my_pham_03_cong_ty__CT_Y_duoc_Quoc_te_Dong_Nam__Duoc_pham_toan_cau_Dong_Nam__XNK_Quoc_te_Dong_Nam__2dec5.pdf</x:v>
      </x:c>
      <x:c r="N214"/>
      <x:c r="O214" t="str">
        <x:v>Bulk QĐ97; STT 183–212 năm 2021 loại khỏi scope; nạp STT 213–252.</x:v>
      </x:c>
    </x:row>
    <x:row r="215">
      <x:c r="A215" t="str">
        <x:v>IMP0214</x:v>
      </x:c>
      <x:c r="B215" s="330" t="n">
        <x:v>44818</x:v>
      </x:c>
      <x:c r="C215" t="str">
        <x:v>181692/22/CBMP-QLD</x:v>
      </x:c>
      <x:c r="D215" t="str">
        <x:v>Purlés 59 Degreasing Solution</x:v>
      </x:c>
      <x:c r="E215" t="str">
        <x:v>Purlés</x:v>
      </x:c>
      <x:c r="F215" t="str">
        <x:v>Khác</x:v>
      </x:c>
      <x:c r="G215" t="str">
        <x:v>Công ty TNHH xuất nhập khẩu Quốc tế Đông Nam</x:v>
      </x:c>
      <x:c r="H215"/>
      <x:c r="I215"/>
      <x:c r="J215" t="str">
        <x:v>Đã thu hồi – QĐ 97/QĐ-QLD ngày 06/02/2026</x:v>
      </x:c>
      <x:c r="K215" t="str">
        <x:v>A+++ – phụ lục chính thức 252 số; responsible company explicit STT 183–252; chỉ nạp 2022+</x:v>
      </x:c>
      <x:c r="L215"/>
      <x:c r="M215" t="str">
        <x:v>https://doanket.laichau.gov.vn/upload/103883/20260210/Cong_van_ve_viec_Thu_hoi_so_tiep_nhan_Phieu_cong_bo_san_pham_my_pham_03_cong_ty__CT_Y_duoc_Quoc_te_Dong_Nam__Duoc_pham_toan_cau_Dong_Nam__XNK_Quoc_te_Dong_Nam__2dec5.pdf</x:v>
      </x:c>
      <x:c r="N215"/>
      <x:c r="O215" t="str">
        <x:v>Bulk QĐ97; STT 183–212 năm 2021 loại khỏi scope; nạp STT 213–252.</x:v>
      </x:c>
    </x:row>
    <x:row r="216">
      <x:c r="A216" t="str">
        <x:v>IMP0215</x:v>
      </x:c>
      <x:c r="B216" s="330" t="n">
        <x:v>44818</x:v>
      </x:c>
      <x:c r="C216" t="str">
        <x:v>181693/22/CBMP-QLD</x:v>
      </x:c>
      <x:c r="D216" t="str">
        <x:v>Purlés 62 S-PEEL 20%</x:v>
      </x:c>
      <x:c r="E216" t="str">
        <x:v>Purlés</x:v>
      </x:c>
      <x:c r="F216" t="str">
        <x:v>Tẩy tế bào chết/Peel</x:v>
      </x:c>
      <x:c r="G216" t="str">
        <x:v>Công ty TNHH xuất nhập khẩu Quốc tế Đông Nam</x:v>
      </x:c>
      <x:c r="H216"/>
      <x:c r="I216"/>
      <x:c r="J216" t="str">
        <x:v>Đã thu hồi – QĐ 97/QĐ-QLD ngày 06/02/2026</x:v>
      </x:c>
      <x:c r="K216" t="str">
        <x:v>A+++ – phụ lục chính thức 252 số; responsible company explicit STT 183–252; chỉ nạp 2022+</x:v>
      </x:c>
      <x:c r="L216"/>
      <x:c r="M216" t="str">
        <x:v>https://doanket.laichau.gov.vn/upload/103883/20260210/Cong_van_ve_viec_Thu_hoi_so_tiep_nhan_Phieu_cong_bo_san_pham_my_pham_03_cong_ty__CT_Y_duoc_Quoc_te_Dong_Nam__Duoc_pham_toan_cau_Dong_Nam__XNK_Quoc_te_Dong_Nam__2dec5.pdf</x:v>
      </x:c>
      <x:c r="N216"/>
      <x:c r="O216" t="str">
        <x:v>Bulk QĐ97; STT 183–212 năm 2021 loại khỏi scope; nạp STT 213–252.</x:v>
      </x:c>
    </x:row>
    <x:row r="217">
      <x:c r="A217" t="str">
        <x:v>IMP0216</x:v>
      </x:c>
      <x:c r="B217" s="330" t="n">
        <x:v>44818</x:v>
      </x:c>
      <x:c r="C217" t="str">
        <x:v>181694/22/CBMP-QLD</x:v>
      </x:c>
      <x:c r="D217" t="str">
        <x:v>PURLÉS 69 X-Peel 63%</x:v>
      </x:c>
      <x:c r="E217" t="str">
        <x:v>PURLÉS</x:v>
      </x:c>
      <x:c r="F217" t="str">
        <x:v>Tẩy tế bào chết/Peel</x:v>
      </x:c>
      <x:c r="G217" t="str">
        <x:v>Công ty TNHH xuất nhập khẩu Quốc tế Đông Nam</x:v>
      </x:c>
      <x:c r="H217"/>
      <x:c r="I217"/>
      <x:c r="J217" t="str">
        <x:v>Đã thu hồi – QĐ 97/QĐ-QLD ngày 06/02/2026</x:v>
      </x:c>
      <x:c r="K217" t="str">
        <x:v>A+++ – phụ lục chính thức 252 số; responsible company explicit STT 183–252; chỉ nạp 2022+</x:v>
      </x:c>
      <x:c r="L217"/>
      <x:c r="M217" t="str">
        <x:v>https://doanket.laichau.gov.vn/upload/103883/20260210/Cong_van_ve_viec_Thu_hoi_so_tiep_nhan_Phieu_cong_bo_san_pham_my_pham_03_cong_ty__CT_Y_duoc_Quoc_te_Dong_Nam__Duoc_pham_toan_cau_Dong_Nam__XNK_Quoc_te_Dong_Nam__2dec5.pdf</x:v>
      </x:c>
      <x:c r="N217"/>
      <x:c r="O217" t="str">
        <x:v>Bulk QĐ97; STT 183–212 năm 2021 loại khỏi scope; nạp STT 213–252.</x:v>
      </x:c>
    </x:row>
    <x:row r="218">
      <x:c r="A218" t="str">
        <x:v>IMP0217</x:v>
      </x:c>
      <x:c r="B218" s="330" t="n">
        <x:v>44818</x:v>
      </x:c>
      <x:c r="C218" t="str">
        <x:v>181695/22/CBMP-QLD</x:v>
      </x:c>
      <x:c r="D218" t="str">
        <x:v>Purlés 94 Smart Balance Cream</x:v>
      </x:c>
      <x:c r="E218" t="str">
        <x:v>Purlés</x:v>
      </x:c>
      <x:c r="F218" t="str">
        <x:v>Kem dưỡng da</x:v>
      </x:c>
      <x:c r="G218" t="str">
        <x:v>Công ty TNHH xuất nhập khẩu Quốc tế Đông Nam</x:v>
      </x:c>
      <x:c r="H218"/>
      <x:c r="I218"/>
      <x:c r="J218" t="str">
        <x:v>Đã thu hồi – QĐ 97/QĐ-QLD ngày 06/02/2026</x:v>
      </x:c>
      <x:c r="K218" t="str">
        <x:v>A+++ – phụ lục chính thức 252 số; responsible company explicit STT 183–252; chỉ nạp 2022+</x:v>
      </x:c>
      <x:c r="L218"/>
      <x:c r="M218" t="str">
        <x:v>https://doanket.laichau.gov.vn/upload/103883/20260210/Cong_van_ve_viec_Thu_hoi_so_tiep_nhan_Phieu_cong_bo_san_pham_my_pham_03_cong_ty__CT_Y_duoc_Quoc_te_Dong_Nam__Duoc_pham_toan_cau_Dong_Nam__XNK_Quoc_te_Dong_Nam__2dec5.pdf</x:v>
      </x:c>
      <x:c r="N218"/>
      <x:c r="O218" t="str">
        <x:v>Bulk QĐ97; STT 183–212 năm 2021 loại khỏi scope; nạp STT 213–252.</x:v>
      </x:c>
    </x:row>
    <x:row r="219">
      <x:c r="A219" t="str">
        <x:v>IMP0218</x:v>
      </x:c>
      <x:c r="B219" s="330" t="n">
        <x:v>44818</x:v>
      </x:c>
      <x:c r="C219" t="str">
        <x:v>181696/22/CBMP-QLD</x:v>
      </x:c>
      <x:c r="D219" t="str">
        <x:v>Purlés 8 Advanced Rice Cream</x:v>
      </x:c>
      <x:c r="E219" t="str">
        <x:v>Purlés</x:v>
      </x:c>
      <x:c r="F219" t="str">
        <x:v>Kem dưỡng da</x:v>
      </x:c>
      <x:c r="G219" t="str">
        <x:v>Công ty TNHH xuất nhập khẩu Quốc tế Đông Nam</x:v>
      </x:c>
      <x:c r="H219"/>
      <x:c r="I219"/>
      <x:c r="J219" t="str">
        <x:v>Đã thu hồi – QĐ 97/QĐ-QLD ngày 06/02/2026</x:v>
      </x:c>
      <x:c r="K219" t="str">
        <x:v>A+++ – phụ lục chính thức 252 số; responsible company explicit STT 183–252; chỉ nạp 2022+</x:v>
      </x:c>
      <x:c r="L219"/>
      <x:c r="M219" t="str">
        <x:v>https://doanket.laichau.gov.vn/upload/103883/20260210/Cong_van_ve_viec_Thu_hoi_so_tiep_nhan_Phieu_cong_bo_san_pham_my_pham_03_cong_ty__CT_Y_duoc_Quoc_te_Dong_Nam__Duoc_pham_toan_cau_Dong_Nam__XNK_Quoc_te_Dong_Nam__2dec5.pdf</x:v>
      </x:c>
      <x:c r="N219"/>
      <x:c r="O219" t="str">
        <x:v>Bulk QĐ97; STT 183–212 năm 2021 loại khỏi scope; nạp STT 213–252.</x:v>
      </x:c>
    </x:row>
    <x:row r="220">
      <x:c r="A220" t="str">
        <x:v>IMP0219</x:v>
      </x:c>
      <x:c r="B220" s="330" t="n">
        <x:v>44818</x:v>
      </x:c>
      <x:c r="C220" t="str">
        <x:v>181697/22/CBMP-QLD</x:v>
      </x:c>
      <x:c r="D220" t="str">
        <x:v>Purlés 19 Goddess' Cream</x:v>
      </x:c>
      <x:c r="E220" t="str">
        <x:v>Purlés</x:v>
      </x:c>
      <x:c r="F220" t="str">
        <x:v>Kem dưỡng da</x:v>
      </x:c>
      <x:c r="G220" t="str">
        <x:v>Công ty TNHH xuất nhập khẩu Quốc tế Đông Nam</x:v>
      </x:c>
      <x:c r="H220"/>
      <x:c r="I220"/>
      <x:c r="J220" t="str">
        <x:v>Đã thu hồi – QĐ 97/QĐ-QLD ngày 06/02/2026</x:v>
      </x:c>
      <x:c r="K220" t="str">
        <x:v>A+++ – phụ lục chính thức 252 số; responsible company explicit STT 183–252; chỉ nạp 2022+</x:v>
      </x:c>
      <x:c r="L220"/>
      <x:c r="M220" t="str">
        <x:v>https://doanket.laichau.gov.vn/upload/103883/20260210/Cong_van_ve_viec_Thu_hoi_so_tiep_nhan_Phieu_cong_bo_san_pham_my_pham_03_cong_ty__CT_Y_duoc_Quoc_te_Dong_Nam__Duoc_pham_toan_cau_Dong_Nam__XNK_Quoc_te_Dong_Nam__2dec5.pdf</x:v>
      </x:c>
      <x:c r="N220"/>
      <x:c r="O220" t="str">
        <x:v>Bulk QĐ97; STT 183–212 năm 2021 loại khỏi scope; nạp STT 213–252.</x:v>
      </x:c>
    </x:row>
    <x:row r="221">
      <x:c r="A221" t="str">
        <x:v>IMP0220</x:v>
      </x:c>
      <x:c r="B221" s="330" t="n">
        <x:v>44818</x:v>
      </x:c>
      <x:c r="C221" t="str">
        <x:v>181698/22/CBMP-QLD</x:v>
      </x:c>
      <x:c r="D221" t="str">
        <x:v>Purlés 33 Age Control Eye Cream</x:v>
      </x:c>
      <x:c r="E221" t="str">
        <x:v>Purlés</x:v>
      </x:c>
      <x:c r="F221" t="str">
        <x:v>Kem dưỡng da</x:v>
      </x:c>
      <x:c r="G221" t="str">
        <x:v>Công ty TNHH xuất nhập khẩu Quốc tế Đông Nam</x:v>
      </x:c>
      <x:c r="H221"/>
      <x:c r="I221"/>
      <x:c r="J221" t="str">
        <x:v>Đã thu hồi – QĐ 97/QĐ-QLD ngày 06/02/2026</x:v>
      </x:c>
      <x:c r="K221" t="str">
        <x:v>A+++ – phụ lục chính thức 252 số; responsible company explicit STT 183–252; chỉ nạp 2022+</x:v>
      </x:c>
      <x:c r="L221"/>
      <x:c r="M221" t="str">
        <x:v>https://doanket.laichau.gov.vn/upload/103883/20260210/Cong_van_ve_viec_Thu_hoi_so_tiep_nhan_Phieu_cong_bo_san_pham_my_pham_03_cong_ty__CT_Y_duoc_Quoc_te_Dong_Nam__Duoc_pham_toan_cau_Dong_Nam__XNK_Quoc_te_Dong_Nam__2dec5.pdf</x:v>
      </x:c>
      <x:c r="N221"/>
      <x:c r="O221" t="str">
        <x:v>Bulk QĐ97; STT 183–212 năm 2021 loại khỏi scope; nạp STT 213–252.</x:v>
      </x:c>
    </x:row>
    <x:row r="222">
      <x:c r="A222" t="str">
        <x:v>IMP0221</x:v>
      </x:c>
      <x:c r="B222" s="330" t="n">
        <x:v>44818</x:v>
      </x:c>
      <x:c r="C222" t="str">
        <x:v>181699/22/CBMP-QLD</x:v>
      </x:c>
      <x:c r="D222" t="str">
        <x:v>Purlés 20 Youth Revolution Set</x:v>
      </x:c>
      <x:c r="E222" t="str">
        <x:v>Purlés</x:v>
      </x:c>
      <x:c r="F222" t="str">
        <x:v>Khác</x:v>
      </x:c>
      <x:c r="G222" t="str">
        <x:v>Công ty TNHH xuất nhập khẩu Quốc tế Đông Nam</x:v>
      </x:c>
      <x:c r="H222"/>
      <x:c r="I222"/>
      <x:c r="J222" t="str">
        <x:v>Đã thu hồi – QĐ 97/QĐ-QLD ngày 06/02/2026</x:v>
      </x:c>
      <x:c r="K222" t="str">
        <x:v>A+++ – phụ lục chính thức 252 số; responsible company explicit STT 183–252; chỉ nạp 2022+</x:v>
      </x:c>
      <x:c r="L222"/>
      <x:c r="M222" t="str">
        <x:v>https://doanket.laichau.gov.vn/upload/103883/20260210/Cong_van_ve_viec_Thu_hoi_so_tiep_nhan_Phieu_cong_bo_san_pham_my_pham_03_cong_ty__CT_Y_duoc_Quoc_te_Dong_Nam__Duoc_pham_toan_cau_Dong_Nam__XNK_Quoc_te_Dong_Nam__2dec5.pdf</x:v>
      </x:c>
      <x:c r="N222"/>
      <x:c r="O222" t="str">
        <x:v>Bulk QĐ97; STT 183–212 năm 2021 loại khỏi scope; nạp STT 213–252.</x:v>
      </x:c>
    </x:row>
    <x:row r="223">
      <x:c r="A223" t="str">
        <x:v>IMP0222</x:v>
      </x:c>
      <x:c r="B223" s="330" t="n">
        <x:v>44818</x:v>
      </x:c>
      <x:c r="C223" t="str">
        <x:v>181700/22/CBMP-QLD</x:v>
      </x:c>
      <x:c r="D223" t="str">
        <x:v>Purlés 156 SOS CALM MASK</x:v>
      </x:c>
      <x:c r="E223" t="str">
        <x:v>Purlés</x:v>
      </x:c>
      <x:c r="F223" t="str">
        <x:v>Mặt nạ</x:v>
      </x:c>
      <x:c r="G223" t="str">
        <x:v>Công ty TNHH xuất nhập khẩu Quốc tế Đông Nam</x:v>
      </x:c>
      <x:c r="H223"/>
      <x:c r="I223"/>
      <x:c r="J223" t="str">
        <x:v>Đã thu hồi – QĐ 97/QĐ-QLD ngày 06/02/2026</x:v>
      </x:c>
      <x:c r="K223" t="str">
        <x:v>A+++ – phụ lục chính thức 252 số; responsible company explicit STT 183–252; chỉ nạp 2022+</x:v>
      </x:c>
      <x:c r="L223"/>
      <x:c r="M223" t="str">
        <x:v>https://doanket.laichau.gov.vn/upload/103883/20260210/Cong_van_ve_viec_Thu_hoi_so_tiep_nhan_Phieu_cong_bo_san_pham_my_pham_03_cong_ty__CT_Y_duoc_Quoc_te_Dong_Nam__Duoc_pham_toan_cau_Dong_Nam__XNK_Quoc_te_Dong_Nam__2dec5.pdf</x:v>
      </x:c>
      <x:c r="N223"/>
      <x:c r="O223" t="str">
        <x:v>Bulk QĐ97; STT 183–212 năm 2021 loại khỏi scope; nạp STT 213–252.</x:v>
      </x:c>
    </x:row>
    <x:row r="224">
      <x:c r="A224" t="str">
        <x:v>IMP0223</x:v>
      </x:c>
      <x:c r="B224" s="330" t="n">
        <x:v>44891</x:v>
      </x:c>
      <x:c r="C224" t="str">
        <x:v>189734/22/CBMP-QLD</x:v>
      </x:c>
      <x:c r="D224" t="str">
        <x:v>INNO-DERMA SUN DEFENSE OILY SKIN SPF 50+</x:v>
      </x:c>
      <x:c r="E224" t="str">
        <x:v>INNOAESTHETICS</x:v>
      </x:c>
      <x:c r="F224" t="str">
        <x:v>Kem chống nắng</x:v>
      </x:c>
      <x:c r="G224" t="str">
        <x:v>Công ty TNHH xuất nhập khẩu Quốc tế Đông Nam</x:v>
      </x:c>
      <x:c r="H224"/>
      <x:c r="I224"/>
      <x:c r="J224" t="str">
        <x:v>Đã thu hồi – QĐ 97/QĐ-QLD ngày 06/02/2026</x:v>
      </x:c>
      <x:c r="K224" t="str">
        <x:v>A+++ – phụ lục chính thức 252 số; responsible company explicit STT 183–252; chỉ nạp 2022+</x:v>
      </x:c>
      <x:c r="L224"/>
      <x:c r="M224" t="str">
        <x:v>https://doanket.laichau.gov.vn/upload/103883/20260210/Cong_van_ve_viec_Thu_hoi_so_tiep_nhan_Phieu_cong_bo_san_pham_my_pham_03_cong_ty__CT_Y_duoc_Quoc_te_Dong_Nam__Duoc_pham_toan_cau_Dong_Nam__XNK_Quoc_te_Dong_Nam__2dec5.pdf</x:v>
      </x:c>
      <x:c r="N224"/>
      <x:c r="O224" t="str">
        <x:v>Bulk QĐ97; STT 183–212 năm 2021 loại khỏi scope; nạp STT 213–252.</x:v>
      </x:c>
    </x:row>
    <x:row r="225">
      <x:c r="A225" t="str">
        <x:v>IMP0224</x:v>
      </x:c>
      <x:c r="B225" s="330" t="n">
        <x:v>44891</x:v>
      </x:c>
      <x:c r="C225" t="str">
        <x:v>189735/22/CBMP-QLD</x:v>
      </x:c>
      <x:c r="D225" t="str">
        <x:v>PURLÉS 46 PEPTIDE HYDROGEL EYE PATCHES</x:v>
      </x:c>
      <x:c r="E225" t="str">
        <x:v>PURLÉS</x:v>
      </x:c>
      <x:c r="F225" t="str">
        <x:v>Mặt nạ</x:v>
      </x:c>
      <x:c r="G225" t="str">
        <x:v>Công ty TNHH xuất nhập khẩu Quốc tế Đông Nam</x:v>
      </x:c>
      <x:c r="H225"/>
      <x:c r="I225"/>
      <x:c r="J225" t="str">
        <x:v>Đã thu hồi – QĐ 97/QĐ-QLD ngày 06/02/2026</x:v>
      </x:c>
      <x:c r="K225" t="str">
        <x:v>A+++ – phụ lục chính thức 252 số; responsible company explicit STT 183–252; chỉ nạp 2022+</x:v>
      </x:c>
      <x:c r="L225"/>
      <x:c r="M225" t="str">
        <x:v>https://doanket.laichau.gov.vn/upload/103883/20260210/Cong_van_ve_viec_Thu_hoi_so_tiep_nhan_Phieu_cong_bo_san_pham_my_pham_03_cong_ty__CT_Y_duoc_Quoc_te_Dong_Nam__Duoc_pham_toan_cau_Dong_Nam__XNK_Quoc_te_Dong_Nam__2dec5.pdf</x:v>
      </x:c>
      <x:c r="N225"/>
      <x:c r="O225" t="str">
        <x:v>Bulk QĐ97; STT 183–212 năm 2021 loại khỏi scope; nạp STT 213–252.</x:v>
      </x:c>
    </x:row>
    <x:row r="226">
      <x:c r="A226" t="str">
        <x:v>IMP0225</x:v>
      </x:c>
      <x:c r="B226" s="330" t="n">
        <x:v>44891</x:v>
      </x:c>
      <x:c r="C226" t="str">
        <x:v>189736/22/CBMP-QLD</x:v>
      </x:c>
      <x:c r="D226" t="str">
        <x:v>Purlés 100 HydraCalm CreamGel</x:v>
      </x:c>
      <x:c r="E226" t="str">
        <x:v>Purlés</x:v>
      </x:c>
      <x:c r="F226" t="str">
        <x:v>Kem dưỡng da</x:v>
      </x:c>
      <x:c r="G226" t="str">
        <x:v>Công ty TNHH xuất nhập khẩu Quốc tế Đông Nam</x:v>
      </x:c>
      <x:c r="H226"/>
      <x:c r="I226"/>
      <x:c r="J226" t="str">
        <x:v>Đã thu hồi – QĐ 97/QĐ-QLD ngày 06/02/2026</x:v>
      </x:c>
      <x:c r="K226" t="str">
        <x:v>A+++ – phụ lục chính thức 252 số; responsible company explicit STT 183–252; chỉ nạp 2022+</x:v>
      </x:c>
      <x:c r="L226"/>
      <x:c r="M226" t="str">
        <x:v>https://doanket.laichau.gov.vn/upload/103883/20260210/Cong_van_ve_viec_Thu_hoi_so_tiep_nhan_Phieu_cong_bo_san_pham_my_pham_03_cong_ty__CT_Y_duoc_Quoc_te_Dong_Nam__Duoc_pham_toan_cau_Dong_Nam__XNK_Quoc_te_Dong_Nam__2dec5.pdf</x:v>
      </x:c>
      <x:c r="N226"/>
      <x:c r="O226" t="str">
        <x:v>Bulk QĐ97; STT 183–212 năm 2021 loại khỏi scope; nạp STT 213–252.</x:v>
      </x:c>
    </x:row>
    <x:row r="227">
      <x:c r="A227" t="str">
        <x:v>IMP0226</x:v>
      </x:c>
      <x:c r="B227" s="330" t="n">
        <x:v>44891</x:v>
      </x:c>
      <x:c r="C227" t="str">
        <x:v>189737/22/CBMP-QLD</x:v>
      </x:c>
      <x:c r="D227" t="str">
        <x:v>Purlés 107 Goddess' Elixir</x:v>
      </x:c>
      <x:c r="E227" t="str">
        <x:v>Purlés</x:v>
      </x:c>
      <x:c r="F227" t="str">
        <x:v>Serum/Essence da</x:v>
      </x:c>
      <x:c r="G227" t="str">
        <x:v>Công ty TNHH xuất nhập khẩu Quốc tế Đông Nam</x:v>
      </x:c>
      <x:c r="H227"/>
      <x:c r="I227"/>
      <x:c r="J227" t="str">
        <x:v>Đã thu hồi – QĐ 97/QĐ-QLD ngày 06/02/2026</x:v>
      </x:c>
      <x:c r="K227" t="str">
        <x:v>A+++ – phụ lục chính thức 252 số; responsible company explicit STT 183–252; chỉ nạp 2022+</x:v>
      </x:c>
      <x:c r="L227"/>
      <x:c r="M227" t="str">
        <x:v>https://doanket.laichau.gov.vn/upload/103883/20260210/Cong_van_ve_viec_Thu_hoi_so_tiep_nhan_Phieu_cong_bo_san_pham_my_pham_03_cong_ty__CT_Y_duoc_Quoc_te_Dong_Nam__Duoc_pham_toan_cau_Dong_Nam__XNK_Quoc_te_Dong_Nam__2dec5.pdf</x:v>
      </x:c>
      <x:c r="N227"/>
      <x:c r="O227" t="str">
        <x:v>Bulk QĐ97; STT 183–212 năm 2021 loại khỏi scope; nạp STT 213–252.</x:v>
      </x:c>
    </x:row>
    <x:row r="228">
      <x:c r="A228" t="str">
        <x:v>IMP0227</x:v>
      </x:c>
      <x:c r="B228" s="330" t="n">
        <x:v>44891</x:v>
      </x:c>
      <x:c r="C228" t="str">
        <x:v>189738/22/CBMP-QLD</x:v>
      </x:c>
      <x:c r="D228" t="str">
        <x:v>PURLÉS 63 F-Peel 20%</x:v>
      </x:c>
      <x:c r="E228" t="str">
        <x:v>PURLÉS</x:v>
      </x:c>
      <x:c r="F228" t="str">
        <x:v>Tẩy tế bào chết/Peel</x:v>
      </x:c>
      <x:c r="G228" t="str">
        <x:v>Công ty TNHH xuất nhập khẩu Quốc tế Đông Nam</x:v>
      </x:c>
      <x:c r="H228"/>
      <x:c r="I228"/>
      <x:c r="J228" t="str">
        <x:v>Đã thu hồi – QĐ 97/QĐ-QLD ngày 06/02/2026</x:v>
      </x:c>
      <x:c r="K228" t="str">
        <x:v>A+++ – phụ lục chính thức 252 số; responsible company explicit STT 183–252; chỉ nạp 2022+</x:v>
      </x:c>
      <x:c r="L228"/>
      <x:c r="M228" t="str">
        <x:v>https://doanket.laichau.gov.vn/upload/103883/20260210/Cong_van_ve_viec_Thu_hoi_so_tiep_nhan_Phieu_cong_bo_san_pham_my_pham_03_cong_ty__CT_Y_duoc_Quoc_te_Dong_Nam__Duoc_pham_toan_cau_Dong_Nam__XNK_Quoc_te_Dong_Nam__2dec5.pdf</x:v>
      </x:c>
      <x:c r="N228"/>
      <x:c r="O228" t="str">
        <x:v>Bulk QĐ97; STT 183–212 năm 2021 loại khỏi scope; nạp STT 213–252.</x:v>
      </x:c>
    </x:row>
    <x:row r="229">
      <x:c r="A229" t="str">
        <x:v>IMP0228</x:v>
      </x:c>
      <x:c r="B229" s="330" t="n">
        <x:v>44998</x:v>
      </x:c>
      <x:c r="C229" t="str">
        <x:v>196995/23/CBMP-QLD</x:v>
      </x:c>
      <x:c r="D229" t="str">
        <x:v>PURLÉS 145 Eye Cream Perfector</x:v>
      </x:c>
      <x:c r="E229" t="str">
        <x:v>PURLÉS</x:v>
      </x:c>
      <x:c r="F229" t="str">
        <x:v>Kem dưỡng da</x:v>
      </x:c>
      <x:c r="G229" t="str">
        <x:v>Công ty TNHH xuất nhập khẩu Quốc tế Đông Nam</x:v>
      </x:c>
      <x:c r="H229"/>
      <x:c r="I229"/>
      <x:c r="J229" t="str">
        <x:v>Đã thu hồi – QĐ 97/QĐ-QLD ngày 06/02/2026</x:v>
      </x:c>
      <x:c r="K229" t="str">
        <x:v>A+++ – phụ lục chính thức 252 số; responsible company explicit STT 183–252; chỉ nạp 2022+</x:v>
      </x:c>
      <x:c r="L229"/>
      <x:c r="M229" t="str">
        <x:v>https://doanket.laichau.gov.vn/upload/103883/20260210/Cong_van_ve_viec_Thu_hoi_so_tiep_nhan_Phieu_cong_bo_san_pham_my_pham_03_cong_ty__CT_Y_duoc_Quoc_te_Dong_Nam__Duoc_pham_toan_cau_Dong_Nam__XNK_Quoc_te_Dong_Nam__2dec5.pdf</x:v>
      </x:c>
      <x:c r="N229"/>
      <x:c r="O229" t="str">
        <x:v>Bulk QĐ97; STT 183–212 năm 2021 loại khỏi scope; nạp STT 213–252.</x:v>
      </x:c>
    </x:row>
    <x:row r="230">
      <x:c r="A230" t="str">
        <x:v>IMP0229</x:v>
      </x:c>
      <x:c r="B230" s="330" t="n">
        <x:v>44998</x:v>
      </x:c>
      <x:c r="C230" t="str">
        <x:v>196996/23/CBMP-QLD</x:v>
      </x:c>
      <x:c r="D230" t="str">
        <x:v>PURLÉS 116 Exotic Smoothie</x:v>
      </x:c>
      <x:c r="E230" t="str">
        <x:v>PURLÉS</x:v>
      </x:c>
      <x:c r="F230" t="str">
        <x:v>Khác</x:v>
      </x:c>
      <x:c r="G230" t="str">
        <x:v>Công ty TNHH xuất nhập khẩu Quốc tế Đông Nam</x:v>
      </x:c>
      <x:c r="H230"/>
      <x:c r="I230"/>
      <x:c r="J230" t="str">
        <x:v>Đã thu hồi – QĐ 97/QĐ-QLD ngày 06/02/2026</x:v>
      </x:c>
      <x:c r="K230" t="str">
        <x:v>A+++ – phụ lục chính thức 252 số; responsible company explicit STT 183–252; chỉ nạp 2022+</x:v>
      </x:c>
      <x:c r="L230"/>
      <x:c r="M230" t="str">
        <x:v>https://doanket.laichau.gov.vn/upload/103883/20260210/Cong_van_ve_viec_Thu_hoi_so_tiep_nhan_Phieu_cong_bo_san_pham_my_pham_03_cong_ty__CT_Y_duoc_Quoc_te_Dong_Nam__Duoc_pham_toan_cau_Dong_Nam__XNK_Quoc_te_Dong_Nam__2dec5.pdf</x:v>
      </x:c>
      <x:c r="N230"/>
      <x:c r="O230" t="str">
        <x:v>Bulk QĐ97; STT 183–212 năm 2021 loại khỏi scope; nạp STT 213–252.</x:v>
      </x:c>
    </x:row>
    <x:row r="231">
      <x:c r="A231" t="str">
        <x:v>IMP0230</x:v>
      </x:c>
      <x:c r="B231" s="330" t="n">
        <x:v>44998</x:v>
      </x:c>
      <x:c r="C231" t="str">
        <x:v>196997/23/CBMP-QLD</x:v>
      </x:c>
      <x:c r="D231" t="str">
        <x:v>PURLÉS 9 HYDRA BOOST SERUM</x:v>
      </x:c>
      <x:c r="E231" t="str">
        <x:v>PURLÉS</x:v>
      </x:c>
      <x:c r="F231" t="str">
        <x:v>Serum/Essence da</x:v>
      </x:c>
      <x:c r="G231" t="str">
        <x:v>Công ty TNHH xuất nhập khẩu Quốc tế Đông Nam</x:v>
      </x:c>
      <x:c r="H231"/>
      <x:c r="I231"/>
      <x:c r="J231" t="str">
        <x:v>Đã thu hồi – QĐ 97/QĐ-QLD ngày 06/02/2026</x:v>
      </x:c>
      <x:c r="K231" t="str">
        <x:v>A+++ – phụ lục chính thức 252 số; responsible company explicit STT 183–252; chỉ nạp 2022+</x:v>
      </x:c>
      <x:c r="L231"/>
      <x:c r="M231" t="str">
        <x:v>https://doanket.laichau.gov.vn/upload/103883/20260210/Cong_van_ve_viec_Thu_hoi_so_tiep_nhan_Phieu_cong_bo_san_pham_my_pham_03_cong_ty__CT_Y_duoc_Quoc_te_Dong_Nam__Duoc_pham_toan_cau_Dong_Nam__XNK_Quoc_te_Dong_Nam__2dec5.pdf</x:v>
      </x:c>
      <x:c r="N231"/>
      <x:c r="O231" t="str">
        <x:v>Bulk QĐ97; STT 183–212 năm 2021 loại khỏi scope; nạp STT 213–252.</x:v>
      </x:c>
    </x:row>
    <x:row r="232">
      <x:c r="A232" t="str">
        <x:v>IMP0231</x:v>
      </x:c>
      <x:c r="B232" s="330" t="n">
        <x:v>44998</x:v>
      </x:c>
      <x:c r="C232" t="str">
        <x:v>196998/23/CBMP-QLD</x:v>
      </x:c>
      <x:c r="D232" t="str">
        <x:v>INNO-DERMA REVITALIZE MASK 3D BIOTECHNOLOGY</x:v>
      </x:c>
      <x:c r="E232" t="str">
        <x:v>INNOAESTHETICS</x:v>
      </x:c>
      <x:c r="F232" t="str">
        <x:v>Mặt nạ</x:v>
      </x:c>
      <x:c r="G232" t="str">
        <x:v>Công ty TNHH xuất nhập khẩu Quốc tế Đông Nam</x:v>
      </x:c>
      <x:c r="H232"/>
      <x:c r="I232"/>
      <x:c r="J232" t="str">
        <x:v>Đã thu hồi – QĐ 97/QĐ-QLD ngày 06/02/2026</x:v>
      </x:c>
      <x:c r="K232" t="str">
        <x:v>A+++ – phụ lục chính thức 252 số; responsible company explicit STT 183–252; chỉ nạp 2022+</x:v>
      </x:c>
      <x:c r="L232"/>
      <x:c r="M232" t="str">
        <x:v>https://doanket.laichau.gov.vn/upload/103883/20260210/Cong_van_ve_viec_Thu_hoi_so_tiep_nhan_Phieu_cong_bo_san_pham_my_pham_03_cong_ty__CT_Y_duoc_Quoc_te_Dong_Nam__Duoc_pham_toan_cau_Dong_Nam__XNK_Quoc_te_Dong_Nam__2dec5.pdf</x:v>
      </x:c>
      <x:c r="N232"/>
      <x:c r="O232" t="str">
        <x:v>Bulk QĐ97; STT 183–212 năm 2021 loại khỏi scope; nạp STT 213–252.</x:v>
      </x:c>
    </x:row>
    <x:row r="233">
      <x:c r="A233" t="str">
        <x:v>IMP0232</x:v>
      </x:c>
      <x:c r="B233" s="330" t="n">
        <x:v>45120</x:v>
      </x:c>
      <x:c r="C233" t="str">
        <x:v>205902/23/CBMP-QLD</x:v>
      </x:c>
      <x:c r="D233" t="str">
        <x:v>INNO-EXFO GLYCO-AGE</x:v>
      </x:c>
      <x:c r="E233" t="str">
        <x:v>INNOAESTHETICS</x:v>
      </x:c>
      <x:c r="F233" t="str">
        <x:v>Khác</x:v>
      </x:c>
      <x:c r="G233" t="str">
        <x:v>Công ty TNHH xuất nhập khẩu Quốc tế Đông Nam</x:v>
      </x:c>
      <x:c r="H233"/>
      <x:c r="I233"/>
      <x:c r="J233" t="str">
        <x:v>Đã thu hồi – QĐ 97/QĐ-QLD ngày 06/02/2026</x:v>
      </x:c>
      <x:c r="K233" t="str">
        <x:v>A+++ – phụ lục chính thức 252 số; responsible company explicit STT 183–252; chỉ nạp 2022+</x:v>
      </x:c>
      <x:c r="L233"/>
      <x:c r="M233" t="str">
        <x:v>https://doanket.laichau.gov.vn/upload/103883/20260210/Cong_van_ve_viec_Thu_hoi_so_tiep_nhan_Phieu_cong_bo_san_pham_my_pham_03_cong_ty__CT_Y_duoc_Quoc_te_Dong_Nam__Duoc_pham_toan_cau_Dong_Nam__XNK_Quoc_te_Dong_Nam__2dec5.pdf</x:v>
      </x:c>
      <x:c r="N233"/>
      <x:c r="O233" t="str">
        <x:v>Bulk QĐ97; STT 183–212 năm 2021 loại khỏi scope; nạp STT 213–252.</x:v>
      </x:c>
    </x:row>
    <x:row r="234">
      <x:c r="A234" t="str">
        <x:v>IMP0233</x:v>
      </x:c>
      <x:c r="B234" t="n">
        <x:v>44630</x:v>
      </x:c>
      <x:c r="C234" t="str">
        <x:v>167673/22/CBMP-QLD</x:v>
      </x:c>
      <x:c r="D234" t="str">
        <x:v>Epoch Blemish Treatment</x:v>
      </x:c>
      <x:c r="E234" t="str">
        <x:v>Nu Skin</x:v>
      </x:c>
      <x:c r="F234" t="str">
        <x:v>Khác</x:v>
      </x:c>
      <x:c r="G234" t="str">
        <x:v>Công ty TNHH NU SKIN ENTERPRISES Việt Nam</x:v>
      </x:c>
      <x:c r="H234"/>
      <x:c r="I234"/>
      <x:c r="J234" t="str">
        <x:v>Đã thu hồi số tiếp nhận</x:v>
      </x:c>
      <x:c r="K234" t="str">
        <x:v>A++ – QĐ 217/QĐ-QLD; phụ lục 148 số; mirror Sở Y tế Lai Châu</x:v>
      </x:c>
      <x:c r="L234"/>
      <x:c r="M234" t="str">
        <x:v>https://doanket.laichau.gov.vn/upload/103883/20260420/Cong_van_ve_viec_Thu_hoi_so_tiep_nhan_Phieu_cong_bo_san_pham_my_pham_41983.pdf</x:v>
      </x:c>
      <x:c r="N234"/>
      <x:c r="O234" t="str">
        <x:v>STT 24; trang PDF 3; thu hồi tự nguyện; clean gate đủ; PIF ngoài phạm vi.</x:v>
      </x:c>
    </x:row>
    <x:row r="235">
      <x:c r="A235" t="str">
        <x:v>IMP0234</x:v>
      </x:c>
      <x:c r="B235" t="n">
        <x:v>44733</x:v>
      </x:c>
      <x:c r="C235" t="str">
        <x:v>172823/22/CBMP-QLD</x:v>
      </x:c>
      <x:c r="D235" t="str">
        <x:v>Nutricentials Spa Day Creamy Hydrating Masque</x:v>
      </x:c>
      <x:c r="E235" t="str">
        <x:v>Nu Skin</x:v>
      </x:c>
      <x:c r="F235" t="str">
        <x:v>Mặt nạ</x:v>
      </x:c>
      <x:c r="G235" t="str">
        <x:v>Công ty TNHH NU SKIN ENTERPRISES Việt Nam</x:v>
      </x:c>
      <x:c r="H235"/>
      <x:c r="I235"/>
      <x:c r="J235" t="str">
        <x:v>Đã thu hồi số tiếp nhận</x:v>
      </x:c>
      <x:c r="K235" t="str">
        <x:v>A++ – QĐ 217/QĐ-QLD; phụ lục 148 số; mirror Sở Y tế Lai Châu</x:v>
      </x:c>
      <x:c r="L235"/>
      <x:c r="M235" t="str">
        <x:v>https://doanket.laichau.gov.vn/upload/103883/20260420/Cong_van_ve_viec_Thu_hoi_so_tiep_nhan_Phieu_cong_bo_san_pham_my_pham_41983.pdf</x:v>
      </x:c>
      <x:c r="N235"/>
      <x:c r="O235" t="str">
        <x:v>STT 25; trang PDF 3; thu hồi tự nguyện; clean gate đủ; PIF ngoài phạm vi.</x:v>
      </x:c>
    </x:row>
    <x:row r="236">
      <x:c r="A236" t="str">
        <x:v>IMP0235</x:v>
      </x:c>
      <x:c r="B236" t="n">
        <x:v>44733</x:v>
      </x:c>
      <x:c r="C236" t="str">
        <x:v>172824/22/CBMP-QLD</x:v>
      </x:c>
      <x:c r="D236" t="str">
        <x:v>ageLOC LumiSpa Activating Cleanser for Normal Combo Skin</x:v>
      </x:c>
      <x:c r="E236" t="str">
        <x:v>Nu Skin</x:v>
      </x:c>
      <x:c r="F236" t="str">
        <x:v>Sữa rửa mặt/Tẩy trang</x:v>
      </x:c>
      <x:c r="G236" t="str">
        <x:v>Công ty TNHH NU SKIN ENTERPRISES Việt Nam</x:v>
      </x:c>
      <x:c r="H236"/>
      <x:c r="I236"/>
      <x:c r="J236" t="str">
        <x:v>Đã thu hồi số tiếp nhận</x:v>
      </x:c>
      <x:c r="K236" t="str">
        <x:v>A++ – QĐ 217/QĐ-QLD; phụ lục 148 số; mirror Sở Y tế Lai Châu</x:v>
      </x:c>
      <x:c r="L236"/>
      <x:c r="M236" t="str">
        <x:v>https://doanket.laichau.gov.vn/upload/103883/20260420/Cong_van_ve_viec_Thu_hoi_so_tiep_nhan_Phieu_cong_bo_san_pham_my_pham_41983.pdf</x:v>
      </x:c>
      <x:c r="N236"/>
      <x:c r="O236" t="str">
        <x:v>STT 26; trang PDF 3; thu hồi tự nguyện; clean gate đủ; PIF ngoài phạm vi.</x:v>
      </x:c>
    </x:row>
    <x:row r="237">
      <x:c r="A237" t="str">
        <x:v>IMP0236</x:v>
      </x:c>
      <x:c r="B237" t="n">
        <x:v>44756</x:v>
      </x:c>
      <x:c r="C237" t="str">
        <x:v>174731/22/CBMP-QLD</x:v>
      </x:c>
      <x:c r="D237" t="str">
        <x:v>ageLOC Body Shaping Gel</x:v>
      </x:c>
      <x:c r="E237" t="str">
        <x:v>Nu Skin</x:v>
      </x:c>
      <x:c r="F237" t="str">
        <x:v>Sữa tắm/Gel tắm</x:v>
      </x:c>
      <x:c r="G237" t="str">
        <x:v>Công ty TNHH NU SKIN ENTERPRISES Việt Nam</x:v>
      </x:c>
      <x:c r="H237"/>
      <x:c r="I237"/>
      <x:c r="J237" t="str">
        <x:v>Đã thu hồi số tiếp nhận</x:v>
      </x:c>
      <x:c r="K237" t="str">
        <x:v>A++ – QĐ 217/QĐ-QLD; phụ lục 148 số; mirror Sở Y tế Lai Châu</x:v>
      </x:c>
      <x:c r="L237"/>
      <x:c r="M237" t="str">
        <x:v>https://doanket.laichau.gov.vn/upload/103883/20260420/Cong_van_ve_viec_Thu_hoi_so_tiep_nhan_Phieu_cong_bo_san_pham_my_pham_41983.pdf</x:v>
      </x:c>
      <x:c r="N237"/>
      <x:c r="O237" t="str">
        <x:v>STT 27; trang PDF 3; thu hồi tự nguyện; clean gate đủ; PIF ngoài phạm vi.</x:v>
      </x:c>
    </x:row>
    <x:row r="238">
      <x:c r="A238" t="str">
        <x:v>IMP0237</x:v>
      </x:c>
      <x:c r="B238" t="n">
        <x:v>44762</x:v>
      </x:c>
      <x:c r="C238" t="str">
        <x:v>175390/22/CBMP-QLD</x:v>
      </x:c>
      <x:c r="D238" t="str">
        <x:v>Epoch Blemish Treatment</x:v>
      </x:c>
      <x:c r="E238" t="str">
        <x:v>Nu Skin</x:v>
      </x:c>
      <x:c r="F238" t="str">
        <x:v>Khác</x:v>
      </x:c>
      <x:c r="G238" t="str">
        <x:v>Công ty TNHH NU SKIN ENTERPRISES Việt Nam</x:v>
      </x:c>
      <x:c r="H238"/>
      <x:c r="I238"/>
      <x:c r="J238" t="str">
        <x:v>Đã thu hồi số tiếp nhận</x:v>
      </x:c>
      <x:c r="K238" t="str">
        <x:v>A++ – QĐ 217/QĐ-QLD; phụ lục 148 số; mirror Sở Y tế Lai Châu</x:v>
      </x:c>
      <x:c r="L238"/>
      <x:c r="M238" t="str">
        <x:v>https://doanket.laichau.gov.vn/upload/103883/20260420/Cong_van_ve_viec_Thu_hoi_so_tiep_nhan_Phieu_cong_bo_san_pham_my_pham_41983.pdf</x:v>
      </x:c>
      <x:c r="N238"/>
      <x:c r="O238" t="str">
        <x:v>STT 28; trang PDF 3; thu hồi tự nguyện; clean gate đủ; PIF ngoài phạm vi.</x:v>
      </x:c>
    </x:row>
    <x:row r="239">
      <x:c r="A239" t="str">
        <x:v>IMP0238</x:v>
      </x:c>
      <x:c r="B239" t="n">
        <x:v>44762</x:v>
      </x:c>
      <x:c r="C239" t="str">
        <x:v>175391/22/CBMP-QLD</x:v>
      </x:c>
      <x:c r="D239" t="str">
        <x:v>ageLOC LumiSpa Activating Cleanser for Normal/Combo Skin</x:v>
      </x:c>
      <x:c r="E239" t="str">
        <x:v>Nu Skin</x:v>
      </x:c>
      <x:c r="F239" t="str">
        <x:v>Sữa rửa mặt/Tẩy trang</x:v>
      </x:c>
      <x:c r="G239" t="str">
        <x:v>Công ty TNHH NU SKIN ENTERPRISES Việt Nam</x:v>
      </x:c>
      <x:c r="H239"/>
      <x:c r="I239"/>
      <x:c r="J239" t="str">
        <x:v>Đã thu hồi số tiếp nhận</x:v>
      </x:c>
      <x:c r="K239" t="str">
        <x:v>A++ – QĐ 217/QĐ-QLD; phụ lục 148 số; mirror Sở Y tế Lai Châu</x:v>
      </x:c>
      <x:c r="L239"/>
      <x:c r="M239" t="str">
        <x:v>https://doanket.laichau.gov.vn/upload/103883/20260420/Cong_van_ve_viec_Thu_hoi_so_tiep_nhan_Phieu_cong_bo_san_pham_my_pham_41983.pdf</x:v>
      </x:c>
      <x:c r="N239"/>
      <x:c r="O239" t="str">
        <x:v>STT 29; trang PDF 3; thu hồi tự nguyện; clean gate đủ; PIF ngoài phạm vi.</x:v>
      </x:c>
    </x:row>
    <x:row r="240">
      <x:c r="A240" t="str">
        <x:v>IMP0239</x:v>
      </x:c>
      <x:c r="B240" t="n">
        <x:v>44762</x:v>
      </x:c>
      <x:c r="C240" t="str">
        <x:v>175392/22/CBMP-QLD</x:v>
      </x:c>
      <x:c r="D240" t="str">
        <x:v>Liquid Body Bar Moisturizing Cleanser</x:v>
      </x:c>
      <x:c r="E240" t="str">
        <x:v>Nu Skin</x:v>
      </x:c>
      <x:c r="F240" t="str">
        <x:v>Sữa tắm/Gel tắm</x:v>
      </x:c>
      <x:c r="G240" t="str">
        <x:v>Công ty TNHH NU SKIN ENTERPRISES Việt Nam</x:v>
      </x:c>
      <x:c r="H240"/>
      <x:c r="I240"/>
      <x:c r="J240" t="str">
        <x:v>Đã thu hồi số tiếp nhận</x:v>
      </x:c>
      <x:c r="K240" t="str">
        <x:v>A++ – QĐ 217/QĐ-QLD; phụ lục 148 số; mirror Sở Y tế Lai Châu</x:v>
      </x:c>
      <x:c r="L240"/>
      <x:c r="M240" t="str">
        <x:v>https://doanket.laichau.gov.vn/upload/103883/20260420/Cong_van_ve_viec_Thu_hoi_so_tiep_nhan_Phieu_cong_bo_san_pham_my_pham_41983.pdf</x:v>
      </x:c>
      <x:c r="N240"/>
      <x:c r="O240" t="str">
        <x:v>STT 30; trang PDF 3; thu hồi tự nguyện; clean gate đủ; PIF ngoài phạm vi.</x:v>
      </x:c>
    </x:row>
    <x:row r="241">
      <x:c r="A241" t="str">
        <x:v>IMP0240</x:v>
      </x:c>
      <x:c r="B241" t="n">
        <x:v>44762</x:v>
      </x:c>
      <x:c r="C241" t="str">
        <x:v>175394/22/CBMP-QLD</x:v>
      </x:c>
      <x:c r="D241" t="str">
        <x:v>Nutricentials Day Dream Protective Lotion Lightweight Day Moisturizer SPF 35</x:v>
      </x:c>
      <x:c r="E241" t="str">
        <x:v>Nu Skin</x:v>
      </x:c>
      <x:c r="F241" t="str">
        <x:v>Kem chống nắng</x:v>
      </x:c>
      <x:c r="G241" t="str">
        <x:v>Công ty TNHH NU SKIN ENTERPRISES Việt Nam</x:v>
      </x:c>
      <x:c r="H241"/>
      <x:c r="I241"/>
      <x:c r="J241" t="str">
        <x:v>Đã thu hồi số tiếp nhận</x:v>
      </x:c>
      <x:c r="K241" t="str">
        <x:v>A++ – QĐ 217/QĐ-QLD; phụ lục 148 số; mirror Sở Y tế Lai Châu</x:v>
      </x:c>
      <x:c r="L241"/>
      <x:c r="M241" t="str">
        <x:v>https://doanket.laichau.gov.vn/upload/103883/20260420/Cong_van_ve_viec_Thu_hoi_so_tiep_nhan_Phieu_cong_bo_san_pham_my_pham_41983.pdf</x:v>
      </x:c>
      <x:c r="N241"/>
      <x:c r="O241" t="str">
        <x:v>STT 31; trang PDF 3; thu hồi tự nguyện; clean gate đủ; PIF ngoài phạm vi.</x:v>
      </x:c>
    </x:row>
    <x:row r="242">
      <x:c r="A242" t="str">
        <x:v>IMP0241</x:v>
      </x:c>
      <x:c r="B242" t="n">
        <x:v>44778</x:v>
      </x:c>
      <x:c r="C242" t="str">
        <x:v>176656/22/CBMP-QLD</x:v>
      </x:c>
      <x:c r="D242" t="str">
        <x:v>180o Face Wash</x:v>
      </x:c>
      <x:c r="E242" t="str">
        <x:v>Nu Skin</x:v>
      </x:c>
      <x:c r="F242" t="str">
        <x:v>Sữa rửa mặt/Tẩy trang</x:v>
      </x:c>
      <x:c r="G242" t="str">
        <x:v>Công ty TNHH NU SKIN ENTERPRISES Việt Nam</x:v>
      </x:c>
      <x:c r="H242"/>
      <x:c r="I242"/>
      <x:c r="J242" t="str">
        <x:v>Đã thu hồi số tiếp nhận</x:v>
      </x:c>
      <x:c r="K242" t="str">
        <x:v>A++ – QĐ 217/QĐ-QLD; phụ lục 148 số; mirror Sở Y tế Lai Châu</x:v>
      </x:c>
      <x:c r="L242"/>
      <x:c r="M242" t="str">
        <x:v>https://doanket.laichau.gov.vn/upload/103883/20260420/Cong_van_ve_viec_Thu_hoi_so_tiep_nhan_Phieu_cong_bo_san_pham_my_pham_41983.pdf</x:v>
      </x:c>
      <x:c r="N242"/>
      <x:c r="O242" t="str">
        <x:v>STT 32; trang PDF 4; thu hồi tự nguyện; clean gate đủ; PIF ngoài phạm vi.</x:v>
      </x:c>
    </x:row>
    <x:row r="243">
      <x:c r="A243" t="str">
        <x:v>IMP0242</x:v>
      </x:c>
      <x:c r="B243" t="n">
        <x:v>44778</x:v>
      </x:c>
      <x:c r="C243" t="str">
        <x:v>176670/22/CBMP-QLD</x:v>
      </x:c>
      <x:c r="D243" t="str">
        <x:v>Nutricentials Dew All Day Moisture Restore Cream</x:v>
      </x:c>
      <x:c r="E243" t="str">
        <x:v>Nu Skin</x:v>
      </x:c>
      <x:c r="F243" t="str">
        <x:v>Kem dưỡng da</x:v>
      </x:c>
      <x:c r="G243" t="str">
        <x:v>Công ty TNHH NU SKIN ENTERPRISES Việt Nam</x:v>
      </x:c>
      <x:c r="H243"/>
      <x:c r="I243"/>
      <x:c r="J243" t="str">
        <x:v>Đã thu hồi số tiếp nhận</x:v>
      </x:c>
      <x:c r="K243" t="str">
        <x:v>A++ – QĐ 217/QĐ-QLD; phụ lục 148 số; mirror Sở Y tế Lai Châu</x:v>
      </x:c>
      <x:c r="L243"/>
      <x:c r="M243" t="str">
        <x:v>https://doanket.laichau.gov.vn/upload/103883/20260420/Cong_van_ve_viec_Thu_hoi_so_tiep_nhan_Phieu_cong_bo_san_pham_my_pham_41983.pdf</x:v>
      </x:c>
      <x:c r="N243"/>
      <x:c r="O243" t="str">
        <x:v>STT 33; trang PDF 4; thu hồi tự nguyện; clean gate đủ; PIF ngoài phạm vi.</x:v>
      </x:c>
    </x:row>
    <x:row r="244">
      <x:c r="A244" t="str">
        <x:v>IMP0243</x:v>
      </x:c>
      <x:c r="B244" t="n">
        <x:v>44778</x:v>
      </x:c>
      <x:c r="C244" t="str">
        <x:v>176671/22/CBMP-QLD</x:v>
      </x:c>
      <x:c r="D244" t="str">
        <x:v>Nutricentials Here You Glow Exfoliating Toner</x:v>
      </x:c>
      <x:c r="E244" t="str">
        <x:v>Nu Skin</x:v>
      </x:c>
      <x:c r="F244" t="str">
        <x:v>Sữa rửa mặt/Tẩy trang</x:v>
      </x:c>
      <x:c r="G244" t="str">
        <x:v>Công ty TNHH NU SKIN ENTERPRISES Việt Nam</x:v>
      </x:c>
      <x:c r="H244"/>
      <x:c r="I244"/>
      <x:c r="J244" t="str">
        <x:v>Đã thu hồi số tiếp nhận</x:v>
      </x:c>
      <x:c r="K244" t="str">
        <x:v>A++ – QĐ 217/QĐ-QLD; phụ lục 148 số; mirror Sở Y tế Lai Châu</x:v>
      </x:c>
      <x:c r="L244"/>
      <x:c r="M244" t="str">
        <x:v>https://doanket.laichau.gov.vn/upload/103883/20260420/Cong_van_ve_viec_Thu_hoi_so_tiep_nhan_Phieu_cong_bo_san_pham_my_pham_41983.pdf</x:v>
      </x:c>
      <x:c r="N244"/>
      <x:c r="O244" t="str">
        <x:v>STT 34; trang PDF 4; thu hồi tự nguyện; clean gate đủ; PIF ngoài phạm vi.</x:v>
      </x:c>
    </x:row>
    <x:row r="245">
      <x:c r="A245" t="str">
        <x:v>IMP0244</x:v>
      </x:c>
      <x:c r="B245" t="n">
        <x:v>44778</x:v>
      </x:c>
      <x:c r="C245" t="str">
        <x:v>176672/22/CBMP-QLD</x:v>
      </x:c>
      <x:c r="D245" t="str">
        <x:v>ageLOC Nutriol Scalp &amp; Hair Conditioner</x:v>
      </x:c>
      <x:c r="E245" t="str">
        <x:v>Nu Skin</x:v>
      </x:c>
      <x:c r="F245" t="str">
        <x:v>Dầu xả</x:v>
      </x:c>
      <x:c r="G245" t="str">
        <x:v>Công ty TNHH NU SKIN ENTERPRISES Việt Nam</x:v>
      </x:c>
      <x:c r="H245"/>
      <x:c r="I245"/>
      <x:c r="J245" t="str">
        <x:v>Đã thu hồi số tiếp nhận</x:v>
      </x:c>
      <x:c r="K245" t="str">
        <x:v>A++ – QĐ 217/QĐ-QLD; phụ lục 148 số; mirror Sở Y tế Lai Châu</x:v>
      </x:c>
      <x:c r="L245"/>
      <x:c r="M245" t="str">
        <x:v>https://doanket.laichau.gov.vn/upload/103883/20260420/Cong_van_ve_viec_Thu_hoi_so_tiep_nhan_Phieu_cong_bo_san_pham_my_pham_41983.pdf</x:v>
      </x:c>
      <x:c r="N245"/>
      <x:c r="O245" t="str">
        <x:v>STT 35; trang PDF 4; thu hồi tự nguyện; clean gate đủ; PIF ngoài phạm vi.</x:v>
      </x:c>
    </x:row>
    <x:row r="246">
      <x:c r="A246" t="str">
        <x:v>IMP0245</x:v>
      </x:c>
      <x:c r="B246" t="n">
        <x:v>44778</x:v>
      </x:c>
      <x:c r="C246" t="str">
        <x:v>176674/22/CBMP-QLD</x:v>
      </x:c>
      <x:c r="D246" t="str">
        <x:v>ageLOC Transforming Night</x:v>
      </x:c>
      <x:c r="E246" t="str">
        <x:v>Nu Skin</x:v>
      </x:c>
      <x:c r="F246" t="str">
        <x:v>Khác</x:v>
      </x:c>
      <x:c r="G246" t="str">
        <x:v>Công ty TNHH NU SKIN ENTERPRISES Việt Nam</x:v>
      </x:c>
      <x:c r="H246"/>
      <x:c r="I246"/>
      <x:c r="J246" t="str">
        <x:v>Đã thu hồi số tiếp nhận</x:v>
      </x:c>
      <x:c r="K246" t="str">
        <x:v>A++ – QĐ 217/QĐ-QLD; phụ lục 148 số; mirror Sở Y tế Lai Châu</x:v>
      </x:c>
      <x:c r="L246"/>
      <x:c r="M246" t="str">
        <x:v>https://doanket.laichau.gov.vn/upload/103883/20260420/Cong_van_ve_viec_Thu_hoi_so_tiep_nhan_Phieu_cong_bo_san_pham_my_pham_41983.pdf</x:v>
      </x:c>
      <x:c r="N246"/>
      <x:c r="O246" t="str">
        <x:v>STT 36; trang PDF 4; thu hồi tự nguyện; clean gate đủ; PIF ngoài phạm vi.</x:v>
      </x:c>
    </x:row>
    <x:row r="247">
      <x:c r="A247" t="str">
        <x:v>IMP0246</x:v>
      </x:c>
      <x:c r="B247" t="n">
        <x:v>44778</x:v>
      </x:c>
      <x:c r="C247" t="str">
        <x:v>176675/22/CBMP-QLD</x:v>
      </x:c>
      <x:c r="D247" t="str">
        <x:v>Nutricentials Spa Day Creamy Hydrating Masque</x:v>
      </x:c>
      <x:c r="E247" t="str">
        <x:v>Nu Skin</x:v>
      </x:c>
      <x:c r="F247" t="str">
        <x:v>Mặt nạ</x:v>
      </x:c>
      <x:c r="G247" t="str">
        <x:v>Công ty TNHH NU SKIN ENTERPRISES Việt Nam</x:v>
      </x:c>
      <x:c r="H247"/>
      <x:c r="I247"/>
      <x:c r="J247" t="str">
        <x:v>Đã thu hồi số tiếp nhận</x:v>
      </x:c>
      <x:c r="K247" t="str">
        <x:v>A++ – QĐ 217/QĐ-QLD; phụ lục 148 số; mirror Sở Y tế Lai Châu</x:v>
      </x:c>
      <x:c r="L247"/>
      <x:c r="M247" t="str">
        <x:v>https://doanket.laichau.gov.vn/upload/103883/20260420/Cong_van_ve_viec_Thu_hoi_so_tiep_nhan_Phieu_cong_bo_san_pham_my_pham_41983.pdf</x:v>
      </x:c>
      <x:c r="N247"/>
      <x:c r="O247" t="str">
        <x:v>STT 37; trang PDF 4; thu hồi tự nguyện; clean gate đủ; PIF ngoài phạm vi.</x:v>
      </x:c>
    </x:row>
    <x:row r="248">
      <x:c r="A248" t="str">
        <x:v>IMP0247</x:v>
      </x:c>
      <x:c r="B248" t="n">
        <x:v>44790</x:v>
      </x:c>
      <x:c r="C248" t="str">
        <x:v>178246/22/CBMP-QLD</x:v>
      </x:c>
      <x:c r="D248" t="str">
        <x:v>ReNu Hair Mask</x:v>
      </x:c>
      <x:c r="E248" t="str">
        <x:v>Nu Skin</x:v>
      </x:c>
      <x:c r="F248" t="str">
        <x:v>Mặt nạ</x:v>
      </x:c>
      <x:c r="G248" t="str">
        <x:v>Công ty TNHH NU SKIN ENTERPRISES Việt Nam</x:v>
      </x:c>
      <x:c r="H248"/>
      <x:c r="I248"/>
      <x:c r="J248" t="str">
        <x:v>Đã thu hồi số tiếp nhận</x:v>
      </x:c>
      <x:c r="K248" t="str">
        <x:v>A++ – QĐ 217/QĐ-QLD; phụ lục 148 số; mirror Sở Y tế Lai Châu</x:v>
      </x:c>
      <x:c r="L248"/>
      <x:c r="M248" t="str">
        <x:v>https://doanket.laichau.gov.vn/upload/103883/20260420/Cong_van_ve_viec_Thu_hoi_so_tiep_nhan_Phieu_cong_bo_san_pham_my_pham_41983.pdf</x:v>
      </x:c>
      <x:c r="N248"/>
      <x:c r="O248" t="str">
        <x:v>STT 38; trang PDF 4; thu hồi tự nguyện; clean gate đủ; PIF ngoài phạm vi.</x:v>
      </x:c>
    </x:row>
    <x:row r="249">
      <x:c r="A249" t="str">
        <x:v>IMP0248</x:v>
      </x:c>
      <x:c r="B249" t="n">
        <x:v>45148</x:v>
      </x:c>
      <x:c r="C249" t="str">
        <x:v>208176/23/CBMP-QLD</x:v>
      </x:c>
      <x:c r="D249" t="str">
        <x:v>ageLOC Lumispa Activating Cleanser Rose</x:v>
      </x:c>
      <x:c r="E249" t="str">
        <x:v>Nu Skin</x:v>
      </x:c>
      <x:c r="F249" t="str">
        <x:v>Sữa rửa mặt/Tẩy trang</x:v>
      </x:c>
      <x:c r="G249" t="str">
        <x:v>Công ty TNHH NU SKIN ENTERPRISES Việt Nam</x:v>
      </x:c>
      <x:c r="H249"/>
      <x:c r="I249"/>
      <x:c r="J249" t="str">
        <x:v>Đã thu hồi số tiếp nhận</x:v>
      </x:c>
      <x:c r="K249" t="str">
        <x:v>A++ – QĐ 217/QĐ-QLD; phụ lục 148 số; mirror Sở Y tế Lai Châu</x:v>
      </x:c>
      <x:c r="L249"/>
      <x:c r="M249" t="str">
        <x:v>https://doanket.laichau.gov.vn/upload/103883/20260420/Cong_van_ve_viec_Thu_hoi_so_tiep_nhan_Phieu_cong_bo_san_pham_my_pham_41983.pdf</x:v>
      </x:c>
      <x:c r="N249"/>
      <x:c r="O249" t="str">
        <x:v>STT 39; trang PDF 4; thu hồi tự nguyện; clean gate đủ; PIF ngoài phạm vi.</x:v>
      </x:c>
    </x:row>
    <x:row r="250">
      <x:c r="A250" t="str">
        <x:v>IMP0249</x:v>
      </x:c>
      <x:c r="B250" t="n">
        <x:v>45219</x:v>
      </x:c>
      <x:c r="C250" t="str">
        <x:v>214786/23/CBMP-QLD</x:v>
      </x:c>
      <x:c r="D250" t="str">
        <x:v>ageLOC LumiSpa IdealEyes Activating Eye Cream</x:v>
      </x:c>
      <x:c r="E250" t="str">
        <x:v>Nu Skin</x:v>
      </x:c>
      <x:c r="F250" t="str">
        <x:v>Kem dưỡng da</x:v>
      </x:c>
      <x:c r="G250" t="str">
        <x:v>Công ty TNHH NU SKIN ENTERPRISES Việt Nam</x:v>
      </x:c>
      <x:c r="H250"/>
      <x:c r="I250"/>
      <x:c r="J250" t="str">
        <x:v>Đã thu hồi số tiếp nhận</x:v>
      </x:c>
      <x:c r="K250" t="str">
        <x:v>A++ – QĐ 217/QĐ-QLD; phụ lục 148 số; mirror Sở Y tế Lai Châu</x:v>
      </x:c>
      <x:c r="L250"/>
      <x:c r="M250" t="str">
        <x:v>https://doanket.laichau.gov.vn/upload/103883/20260420/Cong_van_ve_viec_Thu_hoi_so_tiep_nhan_Phieu_cong_bo_san_pham_my_pham_41983.pdf</x:v>
      </x:c>
      <x:c r="N250"/>
      <x:c r="O250" t="str">
        <x:v>STT 40; trang PDF 4; thu hồi tự nguyện; clean gate đủ; PIF ngoài phạm vi.</x:v>
      </x:c>
    </x:row>
    <x:row r="251">
      <x:c r="A251" t="str">
        <x:v>IMP0250</x:v>
      </x:c>
      <x:c r="B251" t="n">
        <x:v>45281</x:v>
      </x:c>
      <x:c r="C251" t="str">
        <x:v>219509/23/CBMP-QLD</x:v>
      </x:c>
      <x:c r="D251" t="str">
        <x:v>Nutricentials Dew All Day Moisture Restore Cream</x:v>
      </x:c>
      <x:c r="E251" t="str">
        <x:v>Nu Skin</x:v>
      </x:c>
      <x:c r="F251" t="str">
        <x:v>Kem dưỡng da</x:v>
      </x:c>
      <x:c r="G251" t="str">
        <x:v>Công ty TNHH NU SKIN ENTERPRISES Việt Nam</x:v>
      </x:c>
      <x:c r="H251"/>
      <x:c r="I251"/>
      <x:c r="J251" t="str">
        <x:v>Đã thu hồi số tiếp nhận</x:v>
      </x:c>
      <x:c r="K251" t="str">
        <x:v>A++ – QĐ 217/QĐ-QLD; phụ lục 148 số; mirror Sở Y tế Lai Châu</x:v>
      </x:c>
      <x:c r="L251"/>
      <x:c r="M251" t="str">
        <x:v>https://doanket.laichau.gov.vn/upload/103883/20260420/Cong_van_ve_viec_Thu_hoi_so_tiep_nhan_Phieu_cong_bo_san_pham_my_pham_41983.pdf</x:v>
      </x:c>
      <x:c r="N251"/>
      <x:c r="O251" t="str">
        <x:v>STT 41; trang PDF 4; thu hồi tự nguyện; clean gate đủ; PIF ngoài phạm vi.</x:v>
      </x:c>
    </x:row>
    <x:row r="252">
      <x:c r="A252" t="str">
        <x:v>IMP0251</x:v>
      </x:c>
      <x:c r="B252" t="n">
        <x:v>45335</x:v>
      </x:c>
      <x:c r="C252" t="str">
        <x:v>225969/24/CBMP-QLD</x:v>
      </x:c>
      <x:c r="D252" t="str">
        <x:v>Nutricentials Spa Day Creamy Hydrating Masque</x:v>
      </x:c>
      <x:c r="E252" t="str">
        <x:v>Nu Skin</x:v>
      </x:c>
      <x:c r="F252" t="str">
        <x:v>Mặt nạ</x:v>
      </x:c>
      <x:c r="G252" t="str">
        <x:v>Công ty TNHH NU SKIN ENTERPRISES Việt Nam</x:v>
      </x:c>
      <x:c r="H252"/>
      <x:c r="I252"/>
      <x:c r="J252" t="str">
        <x:v>Đã thu hồi số tiếp nhận</x:v>
      </x:c>
      <x:c r="K252" t="str">
        <x:v>A++ – QĐ 217/QĐ-QLD; phụ lục 148 số; mirror Sở Y tế Lai Châu</x:v>
      </x:c>
      <x:c r="L252"/>
      <x:c r="M252" t="str">
        <x:v>https://doanket.laichau.gov.vn/upload/103883/20260420/Cong_van_ve_viec_Thu_hoi_so_tiep_nhan_Phieu_cong_bo_san_pham_my_pham_41983.pdf</x:v>
      </x:c>
      <x:c r="N252"/>
      <x:c r="O252" t="str">
        <x:v>STT 42; trang PDF 4; thu hồi tự nguyện; clean gate đủ; PIF ngoài phạm vi.</x:v>
      </x:c>
    </x:row>
    <x:row r="253">
      <x:c r="A253" t="str">
        <x:v>IMP0252</x:v>
      </x:c>
      <x:c r="B253" t="n">
        <x:v>45582</x:v>
      </x:c>
      <x:c r="C253" t="str">
        <x:v>253118/24/CBMP-QLD</x:v>
      </x:c>
      <x:c r="D253" t="str">
        <x:v>Tru Face Sandy Flor Essence Lotion</x:v>
      </x:c>
      <x:c r="E253" t="str">
        <x:v>Nu Skin</x:v>
      </x:c>
      <x:c r="F253" t="str">
        <x:v>Serum/Essence da</x:v>
      </x:c>
      <x:c r="G253" t="str">
        <x:v>Công ty TNHH NU SKIN ENTERPRISES Việt Nam</x:v>
      </x:c>
      <x:c r="H253"/>
      <x:c r="I253"/>
      <x:c r="J253" t="str">
        <x:v>Đã thu hồi số tiếp nhận</x:v>
      </x:c>
      <x:c r="K253" t="str">
        <x:v>A++ – QĐ 217/QĐ-QLD; phụ lục 148 số; mirror Sở Y tế Lai Châu</x:v>
      </x:c>
      <x:c r="L253"/>
      <x:c r="M253" t="str">
        <x:v>https://doanket.laichau.gov.vn/upload/103883/20260420/Cong_van_ve_viec_Thu_hoi_so_tiep_nhan_Phieu_cong_bo_san_pham_my_pham_41983.pdf</x:v>
      </x:c>
      <x:c r="N253"/>
      <x:c r="O253" t="str">
        <x:v>STT 43; trang PDF 4; thu hồi tự nguyện; clean gate đủ; PIF ngoài phạm vi.</x:v>
      </x:c>
    </x:row>
    <x:row r="254">
      <x:c r="A254" t="str">
        <x:v>IMP0253</x:v>
      </x:c>
      <x:c r="B254" t="n">
        <x:v>44728</x:v>
      </x:c>
      <x:c r="C254" t="str">
        <x:v>172582/22/CBMP-QLD</x:v>
      </x:c>
      <x:c r="D254" t="str">
        <x:v>Arganmidas Moroccan Argan Oil Clear Hydrating Shampoo</x:v>
      </x:c>
      <x:c r="E254" t="str">
        <x:v>Arganmidas</x:v>
      </x:c>
      <x:c r="F254" t="str">
        <x:v>Dầu gội</x:v>
      </x:c>
      <x:c r="G254" t="str">
        <x:v>Công ty TNHH mỹ phẩm L.A.M</x:v>
      </x:c>
      <x:c r="H254"/>
      <x:c r="I254"/>
      <x:c r="J254" t="str">
        <x:v>Đã thu hồi số tiếp nhận</x:v>
      </x:c>
      <x:c r="K254" t="str">
        <x:v>A++ – QĐ 217/QĐ-QLD; phụ lục 148 số; mirror Sở Y tế Lai Châu</x:v>
      </x:c>
      <x:c r="L254"/>
      <x:c r="M254" t="str">
        <x:v>https://doanket.laichau.gov.vn/upload/103883/20260420/Cong_van_ve_viec_Thu_hoi_so_tiep_nhan_Phieu_cong_bo_san_pham_my_pham_41983.pdf</x:v>
      </x:c>
      <x:c r="N254"/>
      <x:c r="O254" t="str">
        <x:v>STT 56; trang PDF 5; thu hồi tự nguyện; clean gate đủ; PIF ngoài phạm vi.</x:v>
      </x:c>
    </x:row>
    <x:row r="255">
      <x:c r="A255" t="str">
        <x:v>IMP0254</x:v>
      </x:c>
      <x:c r="B255" t="n">
        <x:v>44728</x:v>
      </x:c>
      <x:c r="C255" t="str">
        <x:v>172584/22/CBMP-QLD</x:v>
      </x:c>
      <x:c r="D255" t="str">
        <x:v>Arganmidas Triple Moisturising Body Wash</x:v>
      </x:c>
      <x:c r="E255" t="str">
        <x:v>Arganmidas</x:v>
      </x:c>
      <x:c r="F255" t="str">
        <x:v>Sữa tắm/Gel tắm</x:v>
      </x:c>
      <x:c r="G255" t="str">
        <x:v>Công ty TNHH mỹ phẩm L.A.M</x:v>
      </x:c>
      <x:c r="H255"/>
      <x:c r="I255"/>
      <x:c r="J255" t="str">
        <x:v>Đã thu hồi số tiếp nhận</x:v>
      </x:c>
      <x:c r="K255" t="str">
        <x:v>A++ – QĐ 217/QĐ-QLD; phụ lục 148 số; mirror Sở Y tế Lai Châu</x:v>
      </x:c>
      <x:c r="L255"/>
      <x:c r="M255" t="str">
        <x:v>https://doanket.laichau.gov.vn/upload/103883/20260420/Cong_van_ve_viec_Thu_hoi_so_tiep_nhan_Phieu_cong_bo_san_pham_my_pham_41983.pdf</x:v>
      </x:c>
      <x:c r="N255"/>
      <x:c r="O255" t="str">
        <x:v>STT 57; trang PDF 5; thu hồi tự nguyện; clean gate đủ; PIF ngoài phạm vi.</x:v>
      </x:c>
    </x:row>
    <x:row r="256">
      <x:c r="A256" t="str">
        <x:v>IMP0255</x:v>
      </x:c>
      <x:c r="B256" t="n">
        <x:v>44728</x:v>
      </x:c>
      <x:c r="C256" t="str">
        <x:v>172585/22/CBMP-QLD</x:v>
      </x:c>
      <x:c r="D256" t="str">
        <x:v>Arganmidas Travel Kit</x:v>
      </x:c>
      <x:c r="E256" t="str">
        <x:v>Arganmidas</x:v>
      </x:c>
      <x:c r="F256" t="str">
        <x:v>Khác</x:v>
      </x:c>
      <x:c r="G256" t="str">
        <x:v>Công ty TNHH mỹ phẩm L.A.M</x:v>
      </x:c>
      <x:c r="H256"/>
      <x:c r="I256"/>
      <x:c r="J256" t="str">
        <x:v>Đã thu hồi số tiếp nhận</x:v>
      </x:c>
      <x:c r="K256" t="str">
        <x:v>A++ – QĐ 217/QĐ-QLD; phụ lục 148 số; mirror Sở Y tế Lai Châu</x:v>
      </x:c>
      <x:c r="L256"/>
      <x:c r="M256" t="str">
        <x:v>https://doanket.laichau.gov.vn/upload/103883/20260420/Cong_van_ve_viec_Thu_hoi_so_tiep_nhan_Phieu_cong_bo_san_pham_my_pham_41983.pdf</x:v>
      </x:c>
      <x:c r="N256"/>
      <x:c r="O256" t="str">
        <x:v>STT 58; trang PDF 5; thu hồi tự nguyện; clean gate đủ; PIF ngoài phạm vi.</x:v>
      </x:c>
    </x:row>
    <x:row r="257">
      <x:c r="A257" t="str">
        <x:v>IMP0256</x:v>
      </x:c>
      <x:c r="B257" t="n">
        <x:v>44728</x:v>
      </x:c>
      <x:c r="C257" t="str">
        <x:v>172586/22/CBMP-QLD</x:v>
      </x:c>
      <x:c r="D257" t="str">
        <x:v>Arganmidas Moroccan Argan Oil Instant Repairing Mask</x:v>
      </x:c>
      <x:c r="E257" t="str">
        <x:v>Arganmidas</x:v>
      </x:c>
      <x:c r="F257" t="str">
        <x:v>Mặt nạ</x:v>
      </x:c>
      <x:c r="G257" t="str">
        <x:v>Công ty TNHH mỹ phẩm L.A.M</x:v>
      </x:c>
      <x:c r="H257"/>
      <x:c r="I257"/>
      <x:c r="J257" t="str">
        <x:v>Đã thu hồi số tiếp nhận</x:v>
      </x:c>
      <x:c r="K257" t="str">
        <x:v>A++ – QĐ 217/QĐ-QLD; phụ lục 148 số; mirror Sở Y tế Lai Châu</x:v>
      </x:c>
      <x:c r="L257"/>
      <x:c r="M257" t="str">
        <x:v>https://doanket.laichau.gov.vn/upload/103883/20260420/Cong_van_ve_viec_Thu_hoi_so_tiep_nhan_Phieu_cong_bo_san_pham_my_pham_41983.pdf</x:v>
      </x:c>
      <x:c r="N257"/>
      <x:c r="O257" t="str">
        <x:v>STT 59; trang PDF 5; thu hồi tự nguyện; clean gate đủ; PIF ngoài phạm vi.</x:v>
      </x:c>
    </x:row>
    <x:row r="258">
      <x:c r="A258" t="str">
        <x:v>IMP0257</x:v>
      </x:c>
      <x:c r="B258" t="n">
        <x:v>44728</x:v>
      </x:c>
      <x:c r="C258" t="str">
        <x:v>172587/22/CBMP-QLD</x:v>
      </x:c>
      <x:c r="D258" t="str">
        <x:v>Arganmidas Qplex Kit</x:v>
      </x:c>
      <x:c r="E258" t="str">
        <x:v>Arganmidas</x:v>
      </x:c>
      <x:c r="F258" t="str">
        <x:v>Khác</x:v>
      </x:c>
      <x:c r="G258" t="str">
        <x:v>Công ty TNHH mỹ phẩm L.A.M</x:v>
      </x:c>
      <x:c r="H258"/>
      <x:c r="I258"/>
      <x:c r="J258" t="str">
        <x:v>Đã thu hồi số tiếp nhận</x:v>
      </x:c>
      <x:c r="K258" t="str">
        <x:v>A++ – QĐ 217/QĐ-QLD; phụ lục 148 số; mirror Sở Y tế Lai Châu</x:v>
      </x:c>
      <x:c r="L258"/>
      <x:c r="M258" t="str">
        <x:v>https://doanket.laichau.gov.vn/upload/103883/20260420/Cong_van_ve_viec_Thu_hoi_so_tiep_nhan_Phieu_cong_bo_san_pham_my_pham_41983.pdf</x:v>
      </x:c>
      <x:c r="N258"/>
      <x:c r="O258" t="str">
        <x:v>STT 60; trang PDF 5; thu hồi tự nguyện; clean gate đủ; PIF ngoài phạm vi.</x:v>
      </x:c>
    </x:row>
    <x:row r="259">
      <x:c r="A259" t="str">
        <x:v>IMP0258</x:v>
      </x:c>
      <x:c r="B259" t="n">
        <x:v>44728</x:v>
      </x:c>
      <x:c r="C259" t="str">
        <x:v>172588/22/CBMP-QLD</x:v>
      </x:c>
      <x:c r="D259" t="str">
        <x:v>Arganmidas Ginger Ultra-Moist Shampoo</x:v>
      </x:c>
      <x:c r="E259" t="str">
        <x:v>Arganmidas</x:v>
      </x:c>
      <x:c r="F259" t="str">
        <x:v>Dầu gội</x:v>
      </x:c>
      <x:c r="G259" t="str">
        <x:v>Công ty TNHH mỹ phẩm L.A.M</x:v>
      </x:c>
      <x:c r="H259"/>
      <x:c r="I259"/>
      <x:c r="J259" t="str">
        <x:v>Đã thu hồi số tiếp nhận</x:v>
      </x:c>
      <x:c r="K259" t="str">
        <x:v>A++ – QĐ 217/QĐ-QLD; phụ lục 148 số; mirror Sở Y tế Lai Châu</x:v>
      </x:c>
      <x:c r="L259"/>
      <x:c r="M259" t="str">
        <x:v>https://doanket.laichau.gov.vn/upload/103883/20260420/Cong_van_ve_viec_Thu_hoi_so_tiep_nhan_Phieu_cong_bo_san_pham_my_pham_41983.pdf</x:v>
      </x:c>
      <x:c r="N259"/>
      <x:c r="O259" t="str">
        <x:v>STT 61; trang PDF 5; thu hồi tự nguyện; clean gate đủ; PIF ngoài phạm vi.</x:v>
      </x:c>
    </x:row>
    <x:row r="260">
      <x:c r="A260" t="str">
        <x:v>IMP0259</x:v>
      </x:c>
      <x:c r="B260" t="n">
        <x:v>44728</x:v>
      </x:c>
      <x:c r="C260" t="str">
        <x:v>172589/22/CBMP-QLD</x:v>
      </x:c>
      <x:c r="D260" t="str">
        <x:v>Arganmidas Ginger conditioner</x:v>
      </x:c>
      <x:c r="E260" t="str">
        <x:v>Arganmidas</x:v>
      </x:c>
      <x:c r="F260" t="str">
        <x:v>Dầu xả</x:v>
      </x:c>
      <x:c r="G260" t="str">
        <x:v>Công ty TNHH mỹ phẩm L.A.M</x:v>
      </x:c>
      <x:c r="H260"/>
      <x:c r="I260"/>
      <x:c r="J260" t="str">
        <x:v>Đã thu hồi số tiếp nhận</x:v>
      </x:c>
      <x:c r="K260" t="str">
        <x:v>A++ – QĐ 217/QĐ-QLD; phụ lục 148 số; mirror Sở Y tế Lai Châu</x:v>
      </x:c>
      <x:c r="L260"/>
      <x:c r="M260" t="str">
        <x:v>https://doanket.laichau.gov.vn/upload/103883/20260420/Cong_van_ve_viec_Thu_hoi_so_tiep_nhan_Phieu_cong_bo_san_pham_my_pham_41983.pdf</x:v>
      </x:c>
      <x:c r="N260"/>
      <x:c r="O260" t="str">
        <x:v>STT 62; trang PDF 5; thu hồi tự nguyện; clean gate đủ; PIF ngoài phạm vi.</x:v>
      </x:c>
    </x:row>
    <x:row r="261">
      <x:c r="A261" t="str">
        <x:v>IMP0260</x:v>
      </x:c>
      <x:c r="B261" t="n">
        <x:v>44742</x:v>
      </x:c>
      <x:c r="C261" t="str">
        <x:v>173959/22/CBMP-QLD</x:v>
      </x:c>
      <x:c r="D261" t="str">
        <x:v>LIMERY FULLERENE MULTIEFFECT BRIGHTENING MASK</x:v>
      </x:c>
      <x:c r="E261" t="str">
        <x:v>LIMERY</x:v>
      </x:c>
      <x:c r="F261" t="str">
        <x:v>Mặt nạ</x:v>
      </x:c>
      <x:c r="G261" t="str">
        <x:v>Công ty TNHH mỹ phẩm L.A.M</x:v>
      </x:c>
      <x:c r="H261"/>
      <x:c r="I261"/>
      <x:c r="J261" t="str">
        <x:v>Đã thu hồi số tiếp nhận</x:v>
      </x:c>
      <x:c r="K261" t="str">
        <x:v>A++ – QĐ 217/QĐ-QLD; phụ lục 148 số; mirror Sở Y tế Lai Châu</x:v>
      </x:c>
      <x:c r="L261"/>
      <x:c r="M261" t="str">
        <x:v>https://doanket.laichau.gov.vn/upload/103883/20260420/Cong_van_ve_viec_Thu_hoi_so_tiep_nhan_Phieu_cong_bo_san_pham_my_pham_41983.pdf</x:v>
      </x:c>
      <x:c r="N261"/>
      <x:c r="O261" t="str">
        <x:v>STT 63; trang PDF 5; thu hồi tự nguyện; clean gate đủ; PIF ngoài phạm vi.</x:v>
      </x:c>
    </x:row>
    <x:row r="262">
      <x:c r="A262" t="str">
        <x:v>IMP0261</x:v>
      </x:c>
      <x:c r="B262" t="n">
        <x:v>44742</x:v>
      </x:c>
      <x:c r="C262" t="str">
        <x:v>173960/22/CBMP-QLD</x:v>
      </x:c>
      <x:c r="D262" t="str">
        <x:v>Arganmidas Moroccan Argan Oil</x:v>
      </x:c>
      <x:c r="E262" t="str">
        <x:v>Arganmidas</x:v>
      </x:c>
      <x:c r="F262" t="str">
        <x:v>Khác</x:v>
      </x:c>
      <x:c r="G262" t="str">
        <x:v>Công ty TNHH mỹ phẩm L.A.M</x:v>
      </x:c>
      <x:c r="H262"/>
      <x:c r="I262"/>
      <x:c r="J262" t="str">
        <x:v>Đã thu hồi số tiếp nhận</x:v>
      </x:c>
      <x:c r="K262" t="str">
        <x:v>A++ – QĐ 217/QĐ-QLD; phụ lục 148 số; mirror Sở Y tế Lai Châu</x:v>
      </x:c>
      <x:c r="L262"/>
      <x:c r="M262" t="str">
        <x:v>https://doanket.laichau.gov.vn/upload/103883/20260420/Cong_van_ve_viec_Thu_hoi_so_tiep_nhan_Phieu_cong_bo_san_pham_my_pham_41983.pdf</x:v>
      </x:c>
      <x:c r="N262"/>
      <x:c r="O262" t="str">
        <x:v>STT 64; trang PDF 5; thu hồi tự nguyện; clean gate đủ; PIF ngoài phạm vi.</x:v>
      </x:c>
    </x:row>
    <x:row r="263">
      <x:c r="A263" t="str">
        <x:v>IMP0262</x:v>
      </x:c>
      <x:c r="B263" t="n">
        <x:v>44742</x:v>
      </x:c>
      <x:c r="C263" t="str">
        <x:v>173961/22/CBMP-QLD</x:v>
      </x:c>
      <x:c r="D263" t="str">
        <x:v>Wash Off Blackhead</x:v>
      </x:c>
      <x:c r="E263" t="str">
        <x:v>L'eau Claire</x:v>
      </x:c>
      <x:c r="F263" t="str">
        <x:v>Khác</x:v>
      </x:c>
      <x:c r="G263" t="str">
        <x:v>Công ty TNHH mỹ phẩm L.A.M</x:v>
      </x:c>
      <x:c r="H263"/>
      <x:c r="I263"/>
      <x:c r="J263" t="str">
        <x:v>Đã thu hồi số tiếp nhận</x:v>
      </x:c>
      <x:c r="K263" t="str">
        <x:v>A++ – QĐ 217/QĐ-QLD; phụ lục 148 số; mirror Sở Y tế Lai Châu</x:v>
      </x:c>
      <x:c r="L263"/>
      <x:c r="M263" t="str">
        <x:v>https://doanket.laichau.gov.vn/upload/103883/20260420/Cong_van_ve_viec_Thu_hoi_so_tiep_nhan_Phieu_cong_bo_san_pham_my_pham_41983.pdf</x:v>
      </x:c>
      <x:c r="N263"/>
      <x:c r="O263" t="str">
        <x:v>STT 65; trang PDF 5; thu hồi tự nguyện; clean gate đủ; PIF ngoài phạm vi.</x:v>
      </x:c>
    </x:row>
    <x:row r="264">
      <x:c r="A264" t="str">
        <x:v>IMP0263</x:v>
      </x:c>
      <x:c r="B264" t="n">
        <x:v>44742</x:v>
      </x:c>
      <x:c r="C264" t="str">
        <x:v>174154/22/CBMP-QLD</x:v>
      </x:c>
      <x:c r="D264" t="str">
        <x:v>Ultra Cell Mask Pro Whitening</x:v>
      </x:c>
      <x:c r="E264" t="str">
        <x:v>L'eau Claire</x:v>
      </x:c>
      <x:c r="F264" t="str">
        <x:v>Mặt nạ</x:v>
      </x:c>
      <x:c r="G264" t="str">
        <x:v>Công ty TNHH mỹ phẩm L.A.M</x:v>
      </x:c>
      <x:c r="H264"/>
      <x:c r="I264"/>
      <x:c r="J264" t="str">
        <x:v>Đã thu hồi số tiếp nhận</x:v>
      </x:c>
      <x:c r="K264" t="str">
        <x:v>A++ – QĐ 217/QĐ-QLD; phụ lục 148 số; mirror Sở Y tế Lai Châu</x:v>
      </x:c>
      <x:c r="L264"/>
      <x:c r="M264" t="str">
        <x:v>https://doanket.laichau.gov.vn/upload/103883/20260420/Cong_van_ve_viec_Thu_hoi_so_tiep_nhan_Phieu_cong_bo_san_pham_my_pham_41983.pdf</x:v>
      </x:c>
      <x:c r="N264"/>
      <x:c r="O264" t="str">
        <x:v>STT 66; trang PDF 5; thu hồi tự nguyện; clean gate đủ; PIF ngoài phạm vi.</x:v>
      </x:c>
    </x:row>
    <x:row r="265">
      <x:c r="A265" t="str">
        <x:v>IMP0264</x:v>
      </x:c>
      <x:c r="B265" t="n">
        <x:v>44742</x:v>
      </x:c>
      <x:c r="C265" t="str">
        <x:v>174155/22/CBMP-QLD</x:v>
      </x:c>
      <x:c r="D265" t="str">
        <x:v>Ultra Cell Mask Intensive Recovery</x:v>
      </x:c>
      <x:c r="E265" t="str">
        <x:v>L'eau Claire</x:v>
      </x:c>
      <x:c r="F265" t="str">
        <x:v>Mặt nạ</x:v>
      </x:c>
      <x:c r="G265" t="str">
        <x:v>Công ty TNHH mỹ phẩm L.A.M</x:v>
      </x:c>
      <x:c r="H265"/>
      <x:c r="I265"/>
      <x:c r="J265" t="str">
        <x:v>Đã thu hồi số tiếp nhận</x:v>
      </x:c>
      <x:c r="K265" t="str">
        <x:v>A++ – QĐ 217/QĐ-QLD; phụ lục 148 số; mirror Sở Y tế Lai Châu</x:v>
      </x:c>
      <x:c r="L265"/>
      <x:c r="M265" t="str">
        <x:v>https://doanket.laichau.gov.vn/upload/103883/20260420/Cong_van_ve_viec_Thu_hoi_so_tiep_nhan_Phieu_cong_bo_san_pham_my_pham_41983.pdf</x:v>
      </x:c>
      <x:c r="N265"/>
      <x:c r="O265" t="str">
        <x:v>STT 67; trang PDF 6; thu hồi tự nguyện; clean gate đủ; PIF ngoài phạm vi.</x:v>
      </x:c>
    </x:row>
    <x:row r="266">
      <x:c r="A266" t="str">
        <x:v>IMP0265</x:v>
      </x:c>
      <x:c r="B266" t="n">
        <x:v>45718</x:v>
      </x:c>
      <x:c r="C266" t="str">
        <x:v>267935/25/CBMP-QLD</x:v>
      </x:c>
      <x:c r="D266" t="str">
        <x:v>TFIT TRANSLUCENT SET FINISHING POWDER 01</x:v>
      </x:c>
      <x:c r="E266" t="str">
        <x:v>TFIT</x:v>
      </x:c>
      <x:c r="F266" t="str">
        <x:v>Trang điểm</x:v>
      </x:c>
      <x:c r="G266" t="str">
        <x:v>Công ty TNHH mỹ phẩm L.A.M</x:v>
      </x:c>
      <x:c r="H266"/>
      <x:c r="I266"/>
      <x:c r="J266" t="str">
        <x:v>Đã thu hồi số tiếp nhận</x:v>
      </x:c>
      <x:c r="K266" t="str">
        <x:v>A++ – QĐ 217/QĐ-QLD; phụ lục 148 số; mirror Sở Y tế Lai Châu</x:v>
      </x:c>
      <x:c r="L266"/>
      <x:c r="M266" t="str">
        <x:v>https://doanket.laichau.gov.vn/upload/103883/20260420/Cong_van_ve_viec_Thu_hoi_so_tiep_nhan_Phieu_cong_bo_san_pham_my_pham_41983.pdf</x:v>
      </x:c>
      <x:c r="N266"/>
      <x:c r="O266" t="str">
        <x:v>STT 68; trang PDF 6; thu hồi tự nguyện; clean gate đủ; PIF ngoài phạm vi.</x:v>
      </x:c>
    </x:row>
    <x:row r="267">
      <x:c r="A267" t="str">
        <x:v>IMP0266</x:v>
      </x:c>
      <x:c r="B267" t="n">
        <x:v>45718</x:v>
      </x:c>
      <x:c r="C267" t="str">
        <x:v>267936/25/CBMP-QLD</x:v>
      </x:c>
      <x:c r="D267" t="str">
        <x:v>TFIT SIGNATURE FIT COVER FOUNDATION</x:v>
      </x:c>
      <x:c r="E267" t="str">
        <x:v>TFIT</x:v>
      </x:c>
      <x:c r="F267" t="str">
        <x:v>Trang điểm</x:v>
      </x:c>
      <x:c r="G267" t="str">
        <x:v>Công ty TNHH mỹ phẩm L.A.M</x:v>
      </x:c>
      <x:c r="H267"/>
      <x:c r="I267"/>
      <x:c r="J267" t="str">
        <x:v>Đã thu hồi số tiếp nhận</x:v>
      </x:c>
      <x:c r="K267" t="str">
        <x:v>A++ – QĐ 217/QĐ-QLD; phụ lục 148 số; mirror Sở Y tế Lai Châu</x:v>
      </x:c>
      <x:c r="L267"/>
      <x:c r="M267" t="str">
        <x:v>https://doanket.laichau.gov.vn/upload/103883/20260420/Cong_van_ve_viec_Thu_hoi_so_tiep_nhan_Phieu_cong_bo_san_pham_my_pham_41983.pdf</x:v>
      </x:c>
      <x:c r="N267"/>
      <x:c r="O267" t="str">
        <x:v>STT 69; trang PDF 6; thu hồi tự nguyện; clean gate đủ; PIF ngoài phạm vi.</x:v>
      </x:c>
    </x:row>
    <x:row r="268">
      <x:c r="A268" t="str">
        <x:v>IMP0267</x:v>
      </x:c>
      <x:c r="B268" t="n">
        <x:v>46003</x:v>
      </x:c>
      <x:c r="C268" t="str">
        <x:v>301324/25/CBMP-QLD</x:v>
      </x:c>
      <x:c r="D268" t="str">
        <x:v>MAX BEAUTY Yuja Milk Feeling Gel</x:v>
      </x:c>
      <x:c r="E268" t="str">
        <x:v>MAX BEAUTY</x:v>
      </x:c>
      <x:c r="F268" t="str">
        <x:v>Khác</x:v>
      </x:c>
      <x:c r="G268" t="str">
        <x:v>Công ty TNHH Tài Phú Thịnh Việt Nam</x:v>
      </x:c>
      <x:c r="H268"/>
      <x:c r="I268"/>
      <x:c r="J268" t="str">
        <x:v>Đã thu hồi số tiếp nhận</x:v>
      </x:c>
      <x:c r="K268" t="str">
        <x:v>A++ – QĐ 217/QĐ-QLD; phụ lục 148 số; mirror Sở Y tế Lai Châu</x:v>
      </x:c>
      <x:c r="L268"/>
      <x:c r="M268" t="str">
        <x:v>https://doanket.laichau.gov.vn/upload/103883/20260420/Cong_van_ve_viec_Thu_hoi_so_tiep_nhan_Phieu_cong_bo_san_pham_my_pham_41983.pdf</x:v>
      </x:c>
      <x:c r="N268"/>
      <x:c r="O268" t="str">
        <x:v>STT 70; trang PDF 6; thu hồi tự nguyện; clean gate đủ; PIF ngoài phạm vi.</x:v>
      </x:c>
    </x:row>
    <x:row r="269">
      <x:c r="A269" t="str">
        <x:v>IMP0268</x:v>
      </x:c>
      <x:c r="B269" t="n">
        <x:v>45022</x:v>
      </x:c>
      <x:c r="C269" t="str">
        <x:v>198701/23/CBMP-QLD</x:v>
      </x:c>
      <x:c r="D269" t="str">
        <x:v>Aplus Investment Night Cream</x:v>
      </x:c>
      <x:c r="E269" t="str">
        <x:v>Aplus Investment</x:v>
      </x:c>
      <x:c r="F269" t="str">
        <x:v>Kem dưỡng da</x:v>
      </x:c>
      <x:c r="G269" t="str">
        <x:v>Công ty TNHH thương mại Aplus Investment Holding</x:v>
      </x:c>
      <x:c r="H269"/>
      <x:c r="I269"/>
      <x:c r="J269" t="str">
        <x:v>Đã thu hồi số tiếp nhận</x:v>
      </x:c>
      <x:c r="K269" t="str">
        <x:v>A++ – QĐ 217/QĐ-QLD; phụ lục 148 số; mirror Sở Y tế Lai Châu</x:v>
      </x:c>
      <x:c r="L269"/>
      <x:c r="M269" t="str">
        <x:v>https://doanket.laichau.gov.vn/upload/103883/20260420/Cong_van_ve_viec_Thu_hoi_so_tiep_nhan_Phieu_cong_bo_san_pham_my_pham_41983.pdf</x:v>
      </x:c>
      <x:c r="N269"/>
      <x:c r="O269" t="str">
        <x:v>STT 71; trang PDF 6; thu hồi tự nguyện; clean gate đủ; PIF ngoài phạm vi.</x:v>
      </x:c>
    </x:row>
    <x:row r="270">
      <x:c r="A270" t="str">
        <x:v>IMP0269</x:v>
      </x:c>
      <x:c r="B270" t="n">
        <x:v>45030</x:v>
      </x:c>
      <x:c r="C270" t="str">
        <x:v>199487/23/CBMP-QLD</x:v>
      </x:c>
      <x:c r="D270" t="str">
        <x:v>Aplus Investment MMR</x:v>
      </x:c>
      <x:c r="E270" t="str">
        <x:v>Aplus Investment</x:v>
      </x:c>
      <x:c r="F270" t="str">
        <x:v>Khác</x:v>
      </x:c>
      <x:c r="G270" t="str">
        <x:v>Công ty TNHH thương mại Aplus Investment Holding</x:v>
      </x:c>
      <x:c r="H270"/>
      <x:c r="I270"/>
      <x:c r="J270" t="str">
        <x:v>Đã thu hồi số tiếp nhận</x:v>
      </x:c>
      <x:c r="K270" t="str">
        <x:v>A++ – QĐ 217/QĐ-QLD; phụ lục 148 số; mirror Sở Y tế Lai Châu</x:v>
      </x:c>
      <x:c r="L270"/>
      <x:c r="M270" t="str">
        <x:v>https://doanket.laichau.gov.vn/upload/103883/20260420/Cong_van_ve_viec_Thu_hoi_so_tiep_nhan_Phieu_cong_bo_san_pham_my_pham_41983.pdf</x:v>
      </x:c>
      <x:c r="N270"/>
      <x:c r="O270" t="str">
        <x:v>STT 72; trang PDF 6; thu hồi tự nguyện; clean gate đủ; PIF ngoài phạm vi.</x:v>
      </x:c>
    </x:row>
    <x:row r="271">
      <x:c r="A271" t="str">
        <x:v>IMP0270</x:v>
      </x:c>
      <x:c r="B271" t="n">
        <x:v>45406</x:v>
      </x:c>
      <x:c r="C271" t="str">
        <x:v>233660/24/CBMP-QLD</x:v>
      </x:c>
      <x:c r="D271" t="str">
        <x:v>LIGHTENING SPRAY</x:v>
      </x:c>
      <x:c r="E271"/>
      <x:c r="F271" t="str">
        <x:v>Khác</x:v>
      </x:c>
      <x:c r="G271" t="str">
        <x:v>Công ty TNHH phân phối liên hợp Đông Dương</x:v>
      </x:c>
      <x:c r="H271"/>
      <x:c r="I271"/>
      <x:c r="J271" t="str">
        <x:v>Đã thu hồi số tiếp nhận</x:v>
      </x:c>
      <x:c r="K271" t="str">
        <x:v>A++ – QĐ 217/QĐ-QLD; phụ lục 148 số; mirror Sở Y tế Lai Châu</x:v>
      </x:c>
      <x:c r="L271"/>
      <x:c r="M271" t="str">
        <x:v>https://doanket.laichau.gov.vn/upload/103883/20260420/Cong_van_ve_viec_Thu_hoi_so_tiep_nhan_Phieu_cong_bo_san_pham_my_pham_41983.pdf</x:v>
      </x:c>
      <x:c r="N271"/>
      <x:c r="O271" t="str">
        <x:v>STT 73; trang PDF 6; thu hồi tự nguyện; clean gate đủ; PIF ngoài phạm vi.</x:v>
      </x:c>
    </x:row>
    <x:row r="272">
      <x:c r="A272" t="str">
        <x:v>IMP0271</x:v>
      </x:c>
      <x:c r="B272" t="n">
        <x:v>45950</x:v>
      </x:c>
      <x:c r="C272" t="str">
        <x:v>296054/25/CBMP-QLD</x:v>
      </x:c>
      <x:c r="D272" t="str">
        <x:v>Dr.deep Multi Emulsion</x:v>
      </x:c>
      <x:c r="E272" t="str">
        <x:v>Dr.deep</x:v>
      </x:c>
      <x:c r="F272" t="str">
        <x:v>Kem dưỡng da</x:v>
      </x:c>
      <x:c r="G272" t="str">
        <x:v>Công ty TNHH LAVA XCOMMERCE</x:v>
      </x:c>
      <x:c r="H272"/>
      <x:c r="I272"/>
      <x:c r="J272" t="str">
        <x:v>Đã thu hồi số tiếp nhận</x:v>
      </x:c>
      <x:c r="K272" t="str">
        <x:v>A++ – QĐ 217/QĐ-QLD; phụ lục 148 số; mirror Sở Y tế Lai Châu</x:v>
      </x:c>
      <x:c r="L272"/>
      <x:c r="M272" t="str">
        <x:v>https://doanket.laichau.gov.vn/upload/103883/20260420/Cong_van_ve_viec_Thu_hoi_so_tiep_nhan_Phieu_cong_bo_san_pham_my_pham_41983.pdf</x:v>
      </x:c>
      <x:c r="N272"/>
      <x:c r="O272" t="str">
        <x:v>STT 74; trang PDF 7; thu hồi tự nguyện; clean gate đủ; PIF ngoài phạm vi.</x:v>
      </x:c>
    </x:row>
    <x:row r="273">
      <x:c r="A273" t="str">
        <x:v>IMP0272</x:v>
      </x:c>
      <x:c r="B273" t="n">
        <x:v>45950</x:v>
      </x:c>
      <x:c r="C273" t="str">
        <x:v>296056/25/CBMP-QLD</x:v>
      </x:c>
      <x:c r="D273" t="str">
        <x:v>Dr.deep ABP Spot Cream</x:v>
      </x:c>
      <x:c r="E273" t="str">
        <x:v>Dr.deep</x:v>
      </x:c>
      <x:c r="F273" t="str">
        <x:v>Kem dưỡng da</x:v>
      </x:c>
      <x:c r="G273" t="str">
        <x:v>Công ty TNHH LAVA XCOMMERCE</x:v>
      </x:c>
      <x:c r="H273"/>
      <x:c r="I273"/>
      <x:c r="J273" t="str">
        <x:v>Đã thu hồi số tiếp nhận</x:v>
      </x:c>
      <x:c r="K273" t="str">
        <x:v>A++ – QĐ 217/QĐ-QLD; phụ lục 148 số; mirror Sở Y tế Lai Châu</x:v>
      </x:c>
      <x:c r="L273"/>
      <x:c r="M273" t="str">
        <x:v>https://doanket.laichau.gov.vn/upload/103883/20260420/Cong_van_ve_viec_Thu_hoi_so_tiep_nhan_Phieu_cong_bo_san_pham_my_pham_41983.pdf</x:v>
      </x:c>
      <x:c r="N273"/>
      <x:c r="O273" t="str">
        <x:v>STT 75; trang PDF 7; thu hồi tự nguyện; clean gate đủ; PIF ngoài phạm vi.</x:v>
      </x:c>
    </x:row>
    <x:row r="274">
      <x:c r="A274" t="str">
        <x:v>IMP0273</x:v>
      </x:c>
      <x:c r="B274" t="n">
        <x:v>45950</x:v>
      </x:c>
      <x:c r="C274" t="str">
        <x:v>296057/25/CBMP-QLD</x:v>
      </x:c>
      <x:c r="D274" t="str">
        <x:v>Dr.deep Cica-tica Cream</x:v>
      </x:c>
      <x:c r="E274" t="str">
        <x:v>Dr.deep</x:v>
      </x:c>
      <x:c r="F274" t="str">
        <x:v>Kem dưỡng da</x:v>
      </x:c>
      <x:c r="G274" t="str">
        <x:v>Công ty TNHH LAVA XCOMMERCE</x:v>
      </x:c>
      <x:c r="H274"/>
      <x:c r="I274"/>
      <x:c r="J274" t="str">
        <x:v>Đã thu hồi số tiếp nhận</x:v>
      </x:c>
      <x:c r="K274" t="str">
        <x:v>A++ – QĐ 217/QĐ-QLD; phụ lục 148 số; mirror Sở Y tế Lai Châu</x:v>
      </x:c>
      <x:c r="L274"/>
      <x:c r="M274" t="str">
        <x:v>https://doanket.laichau.gov.vn/upload/103883/20260420/Cong_van_ve_viec_Thu_hoi_so_tiep_nhan_Phieu_cong_bo_san_pham_my_pham_41983.pdf</x:v>
      </x:c>
      <x:c r="N274"/>
      <x:c r="O274" t="str">
        <x:v>STT 76; trang PDF 7; thu hồi tự nguyện; clean gate đủ; PIF ngoài phạm vi.</x:v>
      </x:c>
    </x:row>
    <x:row r="275">
      <x:c r="A275" t="str">
        <x:v>IMP0274</x:v>
      </x:c>
      <x:c r="B275" t="n">
        <x:v>45950</x:v>
      </x:c>
      <x:c r="C275" t="str">
        <x:v>296058/25/CBMP-QLD</x:v>
      </x:c>
      <x:c r="D275" t="str">
        <x:v>Dr.deep ACpA tea tree calming PAD</x:v>
      </x:c>
      <x:c r="E275" t="str">
        <x:v>Dr.deep</x:v>
      </x:c>
      <x:c r="F275" t="str">
        <x:v>Khác</x:v>
      </x:c>
      <x:c r="G275" t="str">
        <x:v>Công ty TNHH LAVA XCOMMERCE</x:v>
      </x:c>
      <x:c r="H275"/>
      <x:c r="I275"/>
      <x:c r="J275" t="str">
        <x:v>Đã thu hồi số tiếp nhận</x:v>
      </x:c>
      <x:c r="K275" t="str">
        <x:v>A++ – QĐ 217/QĐ-QLD; phụ lục 148 số; mirror Sở Y tế Lai Châu</x:v>
      </x:c>
      <x:c r="L275"/>
      <x:c r="M275" t="str">
        <x:v>https://doanket.laichau.gov.vn/upload/103883/20260420/Cong_van_ve_viec_Thu_hoi_so_tiep_nhan_Phieu_cong_bo_san_pham_my_pham_41983.pdf</x:v>
      </x:c>
      <x:c r="N275"/>
      <x:c r="O275" t="str">
        <x:v>STT 77; trang PDF 7; thu hồi tự nguyện; clean gate đủ; PIF ngoài phạm vi.</x:v>
      </x:c>
    </x:row>
    <x:row r="276">
      <x:c r="A276" t="str">
        <x:v>IMP0275</x:v>
      </x:c>
      <x:c r="B276" t="n">
        <x:v>45950</x:v>
      </x:c>
      <x:c r="C276" t="str">
        <x:v>296059/25/CBMP-QLD</x:v>
      </x:c>
      <x:c r="D276" t="str">
        <x:v>Dr.deep Skin Toner</x:v>
      </x:c>
      <x:c r="E276" t="str">
        <x:v>Dr.deep</x:v>
      </x:c>
      <x:c r="F276" t="str">
        <x:v>Sữa rửa mặt/Tẩy trang</x:v>
      </x:c>
      <x:c r="G276" t="str">
        <x:v>Công ty TNHH LAVA XCOMMERCE</x:v>
      </x:c>
      <x:c r="H276"/>
      <x:c r="I276"/>
      <x:c r="J276" t="str">
        <x:v>Đã thu hồi số tiếp nhận</x:v>
      </x:c>
      <x:c r="K276" t="str">
        <x:v>A++ – QĐ 217/QĐ-QLD; phụ lục 148 số; mirror Sở Y tế Lai Châu</x:v>
      </x:c>
      <x:c r="L276"/>
      <x:c r="M276" t="str">
        <x:v>https://doanket.laichau.gov.vn/upload/103883/20260420/Cong_van_ve_viec_Thu_hoi_so_tiep_nhan_Phieu_cong_bo_san_pham_my_pham_41983.pdf</x:v>
      </x:c>
      <x:c r="N276"/>
      <x:c r="O276" t="str">
        <x:v>STT 78; trang PDF 7; thu hồi tự nguyện; clean gate đủ; PIF ngoài phạm vi.</x:v>
      </x:c>
    </x:row>
    <x:row r="277">
      <x:c r="A277" t="str">
        <x:v>IMP0276</x:v>
      </x:c>
      <x:c r="B277" t="n">
        <x:v>45950</x:v>
      </x:c>
      <x:c r="C277" t="str">
        <x:v>296060/25/CBMP-QLD</x:v>
      </x:c>
      <x:c r="D277" t="str">
        <x:v>Dr.deep All in One Cleansing</x:v>
      </x:c>
      <x:c r="E277" t="str">
        <x:v>Dr.deep</x:v>
      </x:c>
      <x:c r="F277" t="str">
        <x:v>Sữa rửa mặt/Tẩy trang</x:v>
      </x:c>
      <x:c r="G277" t="str">
        <x:v>Công ty TNHH LAVA XCOMMERCE</x:v>
      </x:c>
      <x:c r="H277"/>
      <x:c r="I277"/>
      <x:c r="J277" t="str">
        <x:v>Đã thu hồi số tiếp nhận</x:v>
      </x:c>
      <x:c r="K277" t="str">
        <x:v>A++ – QĐ 217/QĐ-QLD; phụ lục 148 số; mirror Sở Y tế Lai Châu</x:v>
      </x:c>
      <x:c r="L277"/>
      <x:c r="M277" t="str">
        <x:v>https://doanket.laichau.gov.vn/upload/103883/20260420/Cong_van_ve_viec_Thu_hoi_so_tiep_nhan_Phieu_cong_bo_san_pham_my_pham_41983.pdf</x:v>
      </x:c>
      <x:c r="N277"/>
      <x:c r="O277" t="str">
        <x:v>STT 79; trang PDF 7; thu hồi tự nguyện; clean gate đủ; PIF ngoài phạm vi.</x:v>
      </x:c>
    </x:row>
    <x:row r="278">
      <x:c r="A278" t="str">
        <x:v>IMP0277</x:v>
      </x:c>
      <x:c r="B278" t="n">
        <x:v>45950</x:v>
      </x:c>
      <x:c r="C278" t="str">
        <x:v>296062/25/CBMP-QLD</x:v>
      </x:c>
      <x:c r="D278" t="str">
        <x:v>Dr.deep SYNERGY SUN CREAM</x:v>
      </x:c>
      <x:c r="E278" t="str">
        <x:v>Dr.deep</x:v>
      </x:c>
      <x:c r="F278" t="str">
        <x:v>Kem chống nắng</x:v>
      </x:c>
      <x:c r="G278" t="str">
        <x:v>Công ty TNHH LAVA XCOMMERCE</x:v>
      </x:c>
      <x:c r="H278"/>
      <x:c r="I278"/>
      <x:c r="J278" t="str">
        <x:v>Đã thu hồi số tiếp nhận</x:v>
      </x:c>
      <x:c r="K278" t="str">
        <x:v>A++ – QĐ 217/QĐ-QLD; phụ lục 148 số; mirror Sở Y tế Lai Châu</x:v>
      </x:c>
      <x:c r="L278"/>
      <x:c r="M278" t="str">
        <x:v>https://doanket.laichau.gov.vn/upload/103883/20260420/Cong_van_ve_viec_Thu_hoi_so_tiep_nhan_Phieu_cong_bo_san_pham_my_pham_41983.pdf</x:v>
      </x:c>
      <x:c r="N278"/>
      <x:c r="O278" t="str">
        <x:v>STT 80; trang PDF 7; thu hồi tự nguyện; clean gate đủ; PIF ngoài phạm vi.</x:v>
      </x:c>
    </x:row>
    <x:row r="279">
      <x:c r="A279" t="str">
        <x:v>IMP0278</x:v>
      </x:c>
      <x:c r="B279" t="n">
        <x:v>45950</x:v>
      </x:c>
      <x:c r="C279" t="str">
        <x:v>296063/25/CBMP-QLD</x:v>
      </x:c>
      <x:c r="D279" t="str">
        <x:v>Dr.deep Acpa Tea Tree Lotion</x:v>
      </x:c>
      <x:c r="E279" t="str">
        <x:v>Dr.deep</x:v>
      </x:c>
      <x:c r="F279" t="str">
        <x:v>Kem dưỡng da</x:v>
      </x:c>
      <x:c r="G279" t="str">
        <x:v>Công ty TNHH LAVA XCOMMERCE</x:v>
      </x:c>
      <x:c r="H279"/>
      <x:c r="I279"/>
      <x:c r="J279" t="str">
        <x:v>Đã thu hồi số tiếp nhận</x:v>
      </x:c>
      <x:c r="K279" t="str">
        <x:v>A++ – QĐ 217/QĐ-QLD; phụ lục 148 số; mirror Sở Y tế Lai Châu</x:v>
      </x:c>
      <x:c r="L279"/>
      <x:c r="M279" t="str">
        <x:v>https://doanket.laichau.gov.vn/upload/103883/20260420/Cong_van_ve_viec_Thu_hoi_so_tiep_nhan_Phieu_cong_bo_san_pham_my_pham_41983.pdf</x:v>
      </x:c>
      <x:c r="N279"/>
      <x:c r="O279" t="str">
        <x:v>STT 81; trang PDF 7; thu hồi tự nguyện; clean gate đủ; PIF ngoài phạm vi.</x:v>
      </x:c>
    </x:row>
    <x:row r="280">
      <x:c r="A280" t="str">
        <x:v>IMP0279</x:v>
      </x:c>
      <x:c r="B280" t="n">
        <x:v>45950</x:v>
      </x:c>
      <x:c r="C280" t="str">
        <x:v>296064/25/CBMP-QLD</x:v>
      </x:c>
      <x:c r="D280" t="str">
        <x:v>Dr.deep Propolis Synergy Serum</x:v>
      </x:c>
      <x:c r="E280" t="str">
        <x:v>Dr.deep</x:v>
      </x:c>
      <x:c r="F280" t="str">
        <x:v>Serum/Essence da</x:v>
      </x:c>
      <x:c r="G280" t="str">
        <x:v>Công ty TNHH LAVA XCOMMERCE</x:v>
      </x:c>
      <x:c r="H280"/>
      <x:c r="I280"/>
      <x:c r="J280" t="str">
        <x:v>Đã thu hồi số tiếp nhận</x:v>
      </x:c>
      <x:c r="K280" t="str">
        <x:v>A++ – QĐ 217/QĐ-QLD; phụ lục 148 số; mirror Sở Y tế Lai Châu</x:v>
      </x:c>
      <x:c r="L280"/>
      <x:c r="M280" t="str">
        <x:v>https://doanket.laichau.gov.vn/upload/103883/20260420/Cong_van_ve_viec_Thu_hoi_so_tiep_nhan_Phieu_cong_bo_san_pham_my_pham_41983.pdf</x:v>
      </x:c>
      <x:c r="N280"/>
      <x:c r="O280" t="str">
        <x:v>STT 82; trang PDF 7; thu hồi tự nguyện; clean gate đủ; PIF ngoài phạm vi.</x:v>
      </x:c>
    </x:row>
    <x:row r="281">
      <x:c r="A281" t="str">
        <x:v>IMP0280</x:v>
      </x:c>
      <x:c r="B281" t="n">
        <x:v>45950</x:v>
      </x:c>
      <x:c r="C281" t="str">
        <x:v>296066/25/CBMP-QLD</x:v>
      </x:c>
      <x:c r="D281" t="str">
        <x:v>Dr.deep Acpa Cleansing Foam</x:v>
      </x:c>
      <x:c r="E281" t="str">
        <x:v>Dr.deep</x:v>
      </x:c>
      <x:c r="F281" t="str">
        <x:v>Sữa rửa mặt/Tẩy trang</x:v>
      </x:c>
      <x:c r="G281" t="str">
        <x:v>Công ty TNHH LAVA XCOMMERCE</x:v>
      </x:c>
      <x:c r="H281"/>
      <x:c r="I281"/>
      <x:c r="J281" t="str">
        <x:v>Đã thu hồi số tiếp nhận</x:v>
      </x:c>
      <x:c r="K281" t="str">
        <x:v>A++ – QĐ 217/QĐ-QLD; phụ lục 148 số; mirror Sở Y tế Lai Châu</x:v>
      </x:c>
      <x:c r="L281"/>
      <x:c r="M281" t="str">
        <x:v>https://doanket.laichau.gov.vn/upload/103883/20260420/Cong_van_ve_viec_Thu_hoi_so_tiep_nhan_Phieu_cong_bo_san_pham_my_pham_41983.pdf</x:v>
      </x:c>
      <x:c r="N281"/>
      <x:c r="O281" t="str">
        <x:v>STT 83; trang PDF 7; thu hồi tự nguyện; clean gate đủ; PIF ngoài phạm vi.</x:v>
      </x:c>
    </x:row>
    <x:row r="282">
      <x:c r="A282" t="str">
        <x:v>IMP0281</x:v>
      </x:c>
      <x:c r="B282" t="n">
        <x:v>45950</x:v>
      </x:c>
      <x:c r="C282" t="str">
        <x:v>296075/25/CBMP-QLD</x:v>
      </x:c>
      <x:c r="D282" t="str">
        <x:v>Dr.deep Multi Ato Cream</x:v>
      </x:c>
      <x:c r="E282" t="str">
        <x:v>Dr.deep</x:v>
      </x:c>
      <x:c r="F282" t="str">
        <x:v>Kem dưỡng da</x:v>
      </x:c>
      <x:c r="G282" t="str">
        <x:v>Công ty TNHH LAVA XCOMMERCE</x:v>
      </x:c>
      <x:c r="H282"/>
      <x:c r="I282"/>
      <x:c r="J282" t="str">
        <x:v>Đã thu hồi số tiếp nhận</x:v>
      </x:c>
      <x:c r="K282" t="str">
        <x:v>A++ – QĐ 217/QĐ-QLD; phụ lục 148 số; mirror Sở Y tế Lai Châu</x:v>
      </x:c>
      <x:c r="L282"/>
      <x:c r="M282" t="str">
        <x:v>https://doanket.laichau.gov.vn/upload/103883/20260420/Cong_van_ve_viec_Thu_hoi_so_tiep_nhan_Phieu_cong_bo_san_pham_my_pham_41983.pdf</x:v>
      </x:c>
      <x:c r="N282"/>
      <x:c r="O282" t="str">
        <x:v>STT 84; trang PDF 7; thu hồi tự nguyện; clean gate đủ; PIF ngoài phạm vi.</x:v>
      </x:c>
    </x:row>
    <x:row r="283">
      <x:c r="A283" t="str">
        <x:v>IMP0282</x:v>
      </x:c>
      <x:c r="B283" t="n">
        <x:v>44866</x:v>
      </x:c>
      <x:c r="C283" t="str">
        <x:v>186942/22/CBMP-QLD</x:v>
      </x:c>
      <x:c r="D283" t="str">
        <x:v>HIMARAY SCUB GIOVANIE</x:v>
      </x:c>
      <x:c r="E283" t="str">
        <x:v>GIOVANIE</x:v>
      </x:c>
      <x:c r="F283" t="str">
        <x:v>Khác</x:v>
      </x:c>
      <x:c r="G283" t="str">
        <x:v>Công ty TNHH thương mại HKK</x:v>
      </x:c>
      <x:c r="H283"/>
      <x:c r="I283"/>
      <x:c r="J283" t="str">
        <x:v>Đã thu hồi số tiếp nhận</x:v>
      </x:c>
      <x:c r="K283" t="str">
        <x:v>A++ – QĐ 217/QĐ-QLD; phụ lục 148 số; mirror Sở Y tế Lai Châu</x:v>
      </x:c>
      <x:c r="L283"/>
      <x:c r="M283" t="str">
        <x:v>https://doanket.laichau.gov.vn/upload/103883/20260420/Cong_van_ve_viec_Thu_hoi_so_tiep_nhan_Phieu_cong_bo_san_pham_my_pham_41983.pdf</x:v>
      </x:c>
      <x:c r="N283"/>
      <x:c r="O283" t="str">
        <x:v>STT 85; trang PDF 7; thu hồi tự nguyện; clean gate đủ; PIF ngoài phạm vi.</x:v>
      </x:c>
    </x:row>
    <x:row r="284">
      <x:c r="A284" t="str">
        <x:v>IMP0283</x:v>
      </x:c>
      <x:c r="B284" t="n">
        <x:v>44866</x:v>
      </x:c>
      <x:c r="C284" t="str">
        <x:v>186943/22/CBMP-QLD</x:v>
      </x:c>
      <x:c r="D284" t="str">
        <x:v>IGLUTA WHITE PACK</x:v>
      </x:c>
      <x:c r="E284" t="str">
        <x:v>IGLUTA</x:v>
      </x:c>
      <x:c r="F284" t="str">
        <x:v>Khác</x:v>
      </x:c>
      <x:c r="G284" t="str">
        <x:v>Công ty TNHH thương mại HKK</x:v>
      </x:c>
      <x:c r="H284"/>
      <x:c r="I284"/>
      <x:c r="J284" t="str">
        <x:v>Đã thu hồi số tiếp nhận</x:v>
      </x:c>
      <x:c r="K284" t="str">
        <x:v>A++ – QĐ 217/QĐ-QLD; phụ lục 148 số; mirror Sở Y tế Lai Châu</x:v>
      </x:c>
      <x:c r="L284"/>
      <x:c r="M284" t="str">
        <x:v>https://doanket.laichau.gov.vn/upload/103883/20260420/Cong_van_ve_viec_Thu_hoi_so_tiep_nhan_Phieu_cong_bo_san_pham_my_pham_41983.pdf</x:v>
      </x:c>
      <x:c r="N284"/>
      <x:c r="O284" t="str">
        <x:v>STT 86; trang PDF 7; thu hồi tự nguyện; clean gate đủ; PIF ngoài phạm vi.</x:v>
      </x:c>
    </x:row>
    <x:row r="285">
      <x:c r="A285" t="str">
        <x:v>IMP0284</x:v>
      </x:c>
      <x:c r="B285" t="n">
        <x:v>44866</x:v>
      </x:c>
      <x:c r="C285" t="str">
        <x:v>186944/22/CBMP-QLD</x:v>
      </x:c>
      <x:c r="D285" t="str">
        <x:v>PG EX PLUS GEL</x:v>
      </x:c>
      <x:c r="E285" t="str">
        <x:v>PG</x:v>
      </x:c>
      <x:c r="F285" t="str">
        <x:v>Khác</x:v>
      </x:c>
      <x:c r="G285" t="str">
        <x:v>Công ty TNHH thương mại HKK</x:v>
      </x:c>
      <x:c r="H285"/>
      <x:c r="I285"/>
      <x:c r="J285" t="str">
        <x:v>Đã thu hồi số tiếp nhận</x:v>
      </x:c>
      <x:c r="K285" t="str">
        <x:v>A++ – QĐ 217/QĐ-QLD; phụ lục 148 số; mirror Sở Y tế Lai Châu</x:v>
      </x:c>
      <x:c r="L285"/>
      <x:c r="M285" t="str">
        <x:v>https://doanket.laichau.gov.vn/upload/103883/20260420/Cong_van_ve_viec_Thu_hoi_so_tiep_nhan_Phieu_cong_bo_san_pham_my_pham_41983.pdf</x:v>
      </x:c>
      <x:c r="N285"/>
      <x:c r="O285" t="str">
        <x:v>STT 87; trang PDF 7; thu hồi tự nguyện; clean gate đủ; PIF ngoài phạm vi.</x:v>
      </x:c>
    </x:row>
    <x:row r="286">
      <x:c r="A286" t="str">
        <x:v>IMP0285</x:v>
      </x:c>
      <x:c r="B286" t="n">
        <x:v>45126</x:v>
      </x:c>
      <x:c r="C286" t="str">
        <x:v>206800/23/CBMP-QLD</x:v>
      </x:c>
      <x:c r="D286" t="str">
        <x:v>BAKU AGLESS SERUM</x:v>
      </x:c>
      <x:c r="E286" t="str">
        <x:v>KESHO LABB</x:v>
      </x:c>
      <x:c r="F286" t="str">
        <x:v>Serum/Essence da</x:v>
      </x:c>
      <x:c r="G286" t="str">
        <x:v>Công ty TNHH thương mại HKK</x:v>
      </x:c>
      <x:c r="H286"/>
      <x:c r="I286"/>
      <x:c r="J286" t="str">
        <x:v>Đã thu hồi số tiếp nhận</x:v>
      </x:c>
      <x:c r="K286" t="str">
        <x:v>A++ – QĐ 217/QĐ-QLD; phụ lục 148 số; mirror Sở Y tế Lai Châu</x:v>
      </x:c>
      <x:c r="L286"/>
      <x:c r="M286" t="str">
        <x:v>https://doanket.laichau.gov.vn/upload/103883/20260420/Cong_van_ve_viec_Thu_hoi_so_tiep_nhan_Phieu_cong_bo_san_pham_my_pham_41983.pdf</x:v>
      </x:c>
      <x:c r="N286"/>
      <x:c r="O286" t="str">
        <x:v>STT 88; trang PDF 7; thu hồi tự nguyện; clean gate đủ; PIF ngoài phạm vi.</x:v>
      </x:c>
    </x:row>
    <x:row r="287">
      <x:c r="A287" t="str">
        <x:v>IMP0286</x:v>
      </x:c>
      <x:c r="B287" t="n">
        <x:v>45126</x:v>
      </x:c>
      <x:c r="C287" t="str">
        <x:v>206801/23/CBMP-QLD</x:v>
      </x:c>
      <x:c r="D287" t="str">
        <x:v>BAKU AGLESS CREAM</x:v>
      </x:c>
      <x:c r="E287" t="str">
        <x:v>KESHO LABB</x:v>
      </x:c>
      <x:c r="F287" t="str">
        <x:v>Kem dưỡng da</x:v>
      </x:c>
      <x:c r="G287" t="str">
        <x:v>Công ty TNHH thương mại HKK</x:v>
      </x:c>
      <x:c r="H287"/>
      <x:c r="I287"/>
      <x:c r="J287" t="str">
        <x:v>Đã thu hồi số tiếp nhận</x:v>
      </x:c>
      <x:c r="K287" t="str">
        <x:v>A++ – QĐ 217/QĐ-QLD; phụ lục 148 số; mirror Sở Y tế Lai Châu</x:v>
      </x:c>
      <x:c r="L287"/>
      <x:c r="M287" t="str">
        <x:v>https://doanket.laichau.gov.vn/upload/103883/20260420/Cong_van_ve_viec_Thu_hoi_so_tiep_nhan_Phieu_cong_bo_san_pham_my_pham_41983.pdf</x:v>
      </x:c>
      <x:c r="N287"/>
      <x:c r="O287" t="str">
        <x:v>STT 89; trang PDF 7; thu hồi tự nguyện; clean gate đủ; PIF ngoài phạm vi.</x:v>
      </x:c>
    </x:row>
    <x:row r="288">
      <x:c r="A288" t="str">
        <x:v>IMP0287</x:v>
      </x:c>
      <x:c r="B288" t="n">
        <x:v>45126</x:v>
      </x:c>
      <x:c r="C288" t="str">
        <x:v>206818/23/CBMP-QLD</x:v>
      </x:c>
      <x:c r="D288" t="str">
        <x:v>IKUYO TNA TRANESAMIX WHITENING MOISTURE MILK LOTION</x:v>
      </x:c>
      <x:c r="E288" t="str">
        <x:v>IKUYO</x:v>
      </x:c>
      <x:c r="F288" t="str">
        <x:v>Kem dưỡng da</x:v>
      </x:c>
      <x:c r="G288" t="str">
        <x:v>Công ty TNHH thương mại HKK</x:v>
      </x:c>
      <x:c r="H288"/>
      <x:c r="I288"/>
      <x:c r="J288" t="str">
        <x:v>Đã thu hồi số tiếp nhận</x:v>
      </x:c>
      <x:c r="K288" t="str">
        <x:v>A++ – QĐ 217/QĐ-QLD; phụ lục 148 số; mirror Sở Y tế Lai Châu</x:v>
      </x:c>
      <x:c r="L288"/>
      <x:c r="M288" t="str">
        <x:v>https://doanket.laichau.gov.vn/upload/103883/20260420/Cong_van_ve_viec_Thu_hoi_so_tiep_nhan_Phieu_cong_bo_san_pham_my_pham_41983.pdf</x:v>
      </x:c>
      <x:c r="N288"/>
      <x:c r="O288" t="str">
        <x:v>STT 90; trang PDF 7; thu hồi tự nguyện; clean gate đủ; PIF ngoài phạm vi.</x:v>
      </x:c>
    </x:row>
    <x:row r="289">
      <x:c r="A289" t="str">
        <x:v>IMP0288</x:v>
      </x:c>
      <x:c r="B289" t="n">
        <x:v>45126</x:v>
      </x:c>
      <x:c r="C289" t="str">
        <x:v>206819/23/CBMP-QLD</x:v>
      </x:c>
      <x:c r="D289" t="str">
        <x:v>BAKU AGLESS LOTION</x:v>
      </x:c>
      <x:c r="E289" t="str">
        <x:v>KESHO LABB</x:v>
      </x:c>
      <x:c r="F289" t="str">
        <x:v>Kem dưỡng da</x:v>
      </x:c>
      <x:c r="G289" t="str">
        <x:v>Công ty TNHH thương mại HKK</x:v>
      </x:c>
      <x:c r="H289"/>
      <x:c r="I289"/>
      <x:c r="J289" t="str">
        <x:v>Đã thu hồi số tiếp nhận</x:v>
      </x:c>
      <x:c r="K289" t="str">
        <x:v>A++ – QĐ 217/QĐ-QLD; phụ lục 148 số; mirror Sở Y tế Lai Châu</x:v>
      </x:c>
      <x:c r="L289"/>
      <x:c r="M289" t="str">
        <x:v>https://doanket.laichau.gov.vn/upload/103883/20260420/Cong_van_ve_viec_Thu_hoi_so_tiep_nhan_Phieu_cong_bo_san_pham_my_pham_41983.pdf</x:v>
      </x:c>
      <x:c r="N289"/>
      <x:c r="O289" t="str">
        <x:v>STT 91; trang PDF 7; thu hồi tự nguyện; clean gate đủ; PIF ngoài phạm vi.</x:v>
      </x:c>
    </x:row>
    <x:row r="290">
      <x:c r="A290" t="str">
        <x:v>IMP0289</x:v>
      </x:c>
      <x:c r="B290" t="n">
        <x:v>45138</x:v>
      </x:c>
      <x:c r="C290" t="str">
        <x:v>207685/23/CBMP-QLD</x:v>
      </x:c>
      <x:c r="D290" t="str">
        <x:v>IKUYO TNA TRANESAMIX ESSENCE</x:v>
      </x:c>
      <x:c r="E290" t="str">
        <x:v>IKUYO</x:v>
      </x:c>
      <x:c r="F290" t="str">
        <x:v>Serum/Essence da</x:v>
      </x:c>
      <x:c r="G290" t="str">
        <x:v>Công ty TNHH thương mại HKK</x:v>
      </x:c>
      <x:c r="H290"/>
      <x:c r="I290"/>
      <x:c r="J290" t="str">
        <x:v>Đã thu hồi số tiếp nhận</x:v>
      </x:c>
      <x:c r="K290" t="str">
        <x:v>A++ – QĐ 217/QĐ-QLD; phụ lục 148 số; mirror Sở Y tế Lai Châu</x:v>
      </x:c>
      <x:c r="L290"/>
      <x:c r="M290" t="str">
        <x:v>https://doanket.laichau.gov.vn/upload/103883/20260420/Cong_van_ve_viec_Thu_hoi_so_tiep_nhan_Phieu_cong_bo_san_pham_my_pham_41983.pdf</x:v>
      </x:c>
      <x:c r="N290"/>
      <x:c r="O290" t="str">
        <x:v>STT 92; trang PDF 7; thu hồi tự nguyện; clean gate đủ; PIF ngoài phạm vi.</x:v>
      </x:c>
    </x:row>
    <x:row r="291">
      <x:c r="A291" t="str">
        <x:v>IMP0290</x:v>
      </x:c>
      <x:c r="B291" t="n">
        <x:v>45168</x:v>
      </x:c>
      <x:c r="C291" t="str">
        <x:v>210818/23/CBMP-QLD</x:v>
      </x:c>
      <x:c r="D291" t="str">
        <x:v>UV PROTECT POWDER EMULSION CREAM</x:v>
      </x:c>
      <x:c r="E291" t="str">
        <x:v>KESHO LABB</x:v>
      </x:c>
      <x:c r="F291" t="str">
        <x:v>Kem chống nắng</x:v>
      </x:c>
      <x:c r="G291" t="str">
        <x:v>Công ty TNHH thương mại HKK</x:v>
      </x:c>
      <x:c r="H291"/>
      <x:c r="I291"/>
      <x:c r="J291" t="str">
        <x:v>Đã thu hồi số tiếp nhận</x:v>
      </x:c>
      <x:c r="K291" t="str">
        <x:v>A++ – QĐ 217/QĐ-QLD; phụ lục 148 số; mirror Sở Y tế Lai Châu</x:v>
      </x:c>
      <x:c r="L291"/>
      <x:c r="M291" t="str">
        <x:v>https://doanket.laichau.gov.vn/upload/103883/20260420/Cong_van_ve_viec_Thu_hoi_so_tiep_nhan_Phieu_cong_bo_san_pham_my_pham_41983.pdf</x:v>
      </x:c>
      <x:c r="N291"/>
      <x:c r="O291" t="str">
        <x:v>STT 93; trang PDF 7; thu hồi tự nguyện; clean gate đủ; PIF ngoài phạm vi.</x:v>
      </x:c>
    </x:row>
    <x:row r="292">
      <x:c r="A292" t="str">
        <x:v>IMP0291</x:v>
      </x:c>
      <x:c r="B292" t="n">
        <x:v>45185</x:v>
      </x:c>
      <x:c r="C292" t="str">
        <x:v>212098/23/CBMP-QLD</x:v>
      </x:c>
      <x:c r="D292" t="str">
        <x:v>UV PROTECT PREMIUM+ powder emulsion cream</x:v>
      </x:c>
      <x:c r="E292" t="str">
        <x:v>KESHO LABB</x:v>
      </x:c>
      <x:c r="F292" t="str">
        <x:v>Kem chống nắng</x:v>
      </x:c>
      <x:c r="G292" t="str">
        <x:v>Công ty TNHH thương mại HKK</x:v>
      </x:c>
      <x:c r="H292"/>
      <x:c r="I292"/>
      <x:c r="J292" t="str">
        <x:v>Đã thu hồi số tiếp nhận</x:v>
      </x:c>
      <x:c r="K292" t="str">
        <x:v>A++ – QĐ 217/QĐ-QLD; phụ lục 148 số; mirror Sở Y tế Lai Châu</x:v>
      </x:c>
      <x:c r="L292"/>
      <x:c r="M292" t="str">
        <x:v>https://doanket.laichau.gov.vn/upload/103883/20260420/Cong_van_ve_viec_Thu_hoi_so_tiep_nhan_Phieu_cong_bo_san_pham_my_pham_41983.pdf</x:v>
      </x:c>
      <x:c r="N292"/>
      <x:c r="O292" t="str">
        <x:v>STT 94; trang PDF 8; thu hồi tự nguyện; clean gate đủ; PIF ngoài phạm vi.</x:v>
      </x:c>
    </x:row>
    <x:row r="293">
      <x:c r="A293" t="str">
        <x:v>IMP0292</x:v>
      </x:c>
      <x:c r="B293" t="n">
        <x:v>45625</x:v>
      </x:c>
      <x:c r="C293" t="str">
        <x:v>257072/24/CBMP-QLD</x:v>
      </x:c>
      <x:c r="D293" t="str">
        <x:v>LUFT CARE &amp; DESIGN TREATMENT R</x:v>
      </x:c>
      <x:c r="E293" t="str">
        <x:v>LUFT</x:v>
      </x:c>
      <x:c r="F293" t="str">
        <x:v>Khác</x:v>
      </x:c>
      <x:c r="G293" t="str">
        <x:v>Công ty TNHH thương mại HKK</x:v>
      </x:c>
      <x:c r="H293"/>
      <x:c r="I293"/>
      <x:c r="J293" t="str">
        <x:v>Đã thu hồi số tiếp nhận</x:v>
      </x:c>
      <x:c r="K293" t="str">
        <x:v>A++ – QĐ 217/QĐ-QLD; phụ lục 148 số; mirror Sở Y tế Lai Châu</x:v>
      </x:c>
      <x:c r="L293"/>
      <x:c r="M293" t="str">
        <x:v>https://doanket.laichau.gov.vn/upload/103883/20260420/Cong_van_ve_viec_Thu_hoi_so_tiep_nhan_Phieu_cong_bo_san_pham_my_pham_41983.pdf</x:v>
      </x:c>
      <x:c r="N293"/>
      <x:c r="O293" t="str">
        <x:v>STT 95; trang PDF 8; thu hồi tự nguyện; clean gate đủ; PIF ngoài phạm vi.</x:v>
      </x:c>
    </x:row>
    <x:row r="294">
      <x:c r="A294" t="str">
        <x:v>IMP0293</x:v>
      </x:c>
      <x:c r="B294" t="n">
        <x:v>45625</x:v>
      </x:c>
      <x:c r="C294" t="str">
        <x:v>257073/24/CBMP-QLD</x:v>
      </x:c>
      <x:c r="D294" t="str">
        <x:v>LUFT CARE &amp; DESIGN TREATMENT H</x:v>
      </x:c>
      <x:c r="E294" t="str">
        <x:v>LUFT</x:v>
      </x:c>
      <x:c r="F294" t="str">
        <x:v>Khác</x:v>
      </x:c>
      <x:c r="G294" t="str">
        <x:v>Công ty TNHH thương mại HKK</x:v>
      </x:c>
      <x:c r="H294"/>
      <x:c r="I294"/>
      <x:c r="J294" t="str">
        <x:v>Đã thu hồi số tiếp nhận</x:v>
      </x:c>
      <x:c r="K294" t="str">
        <x:v>A++ – QĐ 217/QĐ-QLD; phụ lục 148 số; mirror Sở Y tế Lai Châu</x:v>
      </x:c>
      <x:c r="L294"/>
      <x:c r="M294" t="str">
        <x:v>https://doanket.laichau.gov.vn/upload/103883/20260420/Cong_van_ve_viec_Thu_hoi_so_tiep_nhan_Phieu_cong_bo_san_pham_my_pham_41983.pdf</x:v>
      </x:c>
      <x:c r="N294"/>
      <x:c r="O294" t="str">
        <x:v>STT 96; trang PDF 8; thu hồi tự nguyện; clean gate đủ; PIF ngoài phạm vi.</x:v>
      </x:c>
    </x:row>
    <x:row r="295">
      <x:c r="A295" t="str">
        <x:v>IMP0294</x:v>
      </x:c>
      <x:c r="B295" t="n">
        <x:v>45625</x:v>
      </x:c>
      <x:c r="C295" t="str">
        <x:v>257074/24/CBMP-QLD</x:v>
      </x:c>
      <x:c r="D295" t="str">
        <x:v>LUFT CARE &amp; DESIGN TREATMENT D</x:v>
      </x:c>
      <x:c r="E295" t="str">
        <x:v>LUFT</x:v>
      </x:c>
      <x:c r="F295" t="str">
        <x:v>Khác</x:v>
      </x:c>
      <x:c r="G295" t="str">
        <x:v>Công ty TNHH thương mại HKK</x:v>
      </x:c>
      <x:c r="H295"/>
      <x:c r="I295"/>
      <x:c r="J295" t="str">
        <x:v>Đã thu hồi số tiếp nhận</x:v>
      </x:c>
      <x:c r="K295" t="str">
        <x:v>A++ – QĐ 217/QĐ-QLD; phụ lục 148 số; mirror Sở Y tế Lai Châu</x:v>
      </x:c>
      <x:c r="L295"/>
      <x:c r="M295" t="str">
        <x:v>https://doanket.laichau.gov.vn/upload/103883/20260420/Cong_van_ve_viec_Thu_hoi_so_tiep_nhan_Phieu_cong_bo_san_pham_my_pham_41983.pdf</x:v>
      </x:c>
      <x:c r="N295"/>
      <x:c r="O295" t="str">
        <x:v>STT 97; trang PDF 8; thu hồi tự nguyện; clean gate đủ; PIF ngoài phạm vi.</x:v>
      </x:c>
    </x:row>
    <x:row r="296">
      <x:c r="A296" t="str">
        <x:v>IMP0295</x:v>
      </x:c>
      <x:c r="B296" t="n">
        <x:v>45625</x:v>
      </x:c>
      <x:c r="C296" t="str">
        <x:v>257075/24/CBMP-QLD</x:v>
      </x:c>
      <x:c r="D296" t="str">
        <x:v>LUFT CARE &amp; DESIGN SHAMPOO R</x:v>
      </x:c>
      <x:c r="E296" t="str">
        <x:v>LUFT</x:v>
      </x:c>
      <x:c r="F296" t="str">
        <x:v>Dầu gội</x:v>
      </x:c>
      <x:c r="G296" t="str">
        <x:v>Công ty TNHH thương mại HKK</x:v>
      </x:c>
      <x:c r="H296"/>
      <x:c r="I296"/>
      <x:c r="J296" t="str">
        <x:v>Đã thu hồi số tiếp nhận</x:v>
      </x:c>
      <x:c r="K296" t="str">
        <x:v>A++ – QĐ 217/QĐ-QLD; phụ lục 148 số; mirror Sở Y tế Lai Châu</x:v>
      </x:c>
      <x:c r="L296"/>
      <x:c r="M296" t="str">
        <x:v>https://doanket.laichau.gov.vn/upload/103883/20260420/Cong_van_ve_viec_Thu_hoi_so_tiep_nhan_Phieu_cong_bo_san_pham_my_pham_41983.pdf</x:v>
      </x:c>
      <x:c r="N296"/>
      <x:c r="O296" t="str">
        <x:v>STT 98; trang PDF 8; thu hồi tự nguyện; clean gate đủ; PIF ngoài phạm vi.</x:v>
      </x:c>
    </x:row>
    <x:row r="297">
      <x:c r="A297" t="str">
        <x:v>IMP0296</x:v>
      </x:c>
      <x:c r="B297" t="n">
        <x:v>45625</x:v>
      </x:c>
      <x:c r="C297" t="str">
        <x:v>257082/24/CBMP-QLD</x:v>
      </x:c>
      <x:c r="D297" t="str">
        <x:v>LUFT CARE &amp; DESIGN SHAMPOO H</x:v>
      </x:c>
      <x:c r="E297" t="str">
        <x:v>LUFT</x:v>
      </x:c>
      <x:c r="F297" t="str">
        <x:v>Dầu gội</x:v>
      </x:c>
      <x:c r="G297" t="str">
        <x:v>Công ty TNHH thương mại HKK</x:v>
      </x:c>
      <x:c r="H297"/>
      <x:c r="I297"/>
      <x:c r="J297" t="str">
        <x:v>Đã thu hồi số tiếp nhận</x:v>
      </x:c>
      <x:c r="K297" t="str">
        <x:v>A++ – QĐ 217/QĐ-QLD; phụ lục 148 số; mirror Sở Y tế Lai Châu</x:v>
      </x:c>
      <x:c r="L297"/>
      <x:c r="M297" t="str">
        <x:v>https://doanket.laichau.gov.vn/upload/103883/20260420/Cong_van_ve_viec_Thu_hoi_so_tiep_nhan_Phieu_cong_bo_san_pham_my_pham_41983.pdf</x:v>
      </x:c>
      <x:c r="N297"/>
      <x:c r="O297" t="str">
        <x:v>STT 99; trang PDF 8; thu hồi tự nguyện; clean gate đủ; PIF ngoài phạm vi.</x:v>
      </x:c>
    </x:row>
    <x:row r="298">
      <x:c r="A298" t="str">
        <x:v>IMP0297</x:v>
      </x:c>
      <x:c r="B298" t="n">
        <x:v>45625</x:v>
      </x:c>
      <x:c r="C298" t="str">
        <x:v>257083/24/CBMP-QLD</x:v>
      </x:c>
      <x:c r="D298" t="str">
        <x:v>LUFT CARE &amp; DESIGN SHAMPOO D</x:v>
      </x:c>
      <x:c r="E298" t="str">
        <x:v>LUFT</x:v>
      </x:c>
      <x:c r="F298" t="str">
        <x:v>Dầu gội</x:v>
      </x:c>
      <x:c r="G298" t="str">
        <x:v>Công ty TNHH thương mại HKK</x:v>
      </x:c>
      <x:c r="H298"/>
      <x:c r="I298"/>
      <x:c r="J298" t="str">
        <x:v>Đã thu hồi số tiếp nhận</x:v>
      </x:c>
      <x:c r="K298" t="str">
        <x:v>A++ – QĐ 217/QĐ-QLD; phụ lục 148 số; mirror Sở Y tế Lai Châu</x:v>
      </x:c>
      <x:c r="L298"/>
      <x:c r="M298" t="str">
        <x:v>https://doanket.laichau.gov.vn/upload/103883/20260420/Cong_van_ve_viec_Thu_hoi_so_tiep_nhan_Phieu_cong_bo_san_pham_my_pham_41983.pdf</x:v>
      </x:c>
      <x:c r="N298"/>
      <x:c r="O298" t="str">
        <x:v>STT 100; trang PDF 8; thu hồi tự nguyện; clean gate đủ; PIF ngoài phạm vi.</x:v>
      </x:c>
    </x:row>
    <x:row r="299">
      <x:c r="A299" t="str">
        <x:v>IMP0298</x:v>
      </x:c>
      <x:c r="B299" t="n">
        <x:v>45662</x:v>
      </x:c>
      <x:c r="C299" t="str">
        <x:v>262280/25/CBMP-QLD</x:v>
      </x:c>
      <x:c r="D299" t="str">
        <x:v>Body Cream Vitaly-fushi0101</x:v>
      </x:c>
      <x:c r="E299" t="str">
        <x:v>SE:CRUNO</x:v>
      </x:c>
      <x:c r="F299" t="str">
        <x:v>Sữa tắm/Gel tắm</x:v>
      </x:c>
      <x:c r="G299" t="str">
        <x:v>Công ty TNHH thương mại HKK</x:v>
      </x:c>
      <x:c r="H299"/>
      <x:c r="I299"/>
      <x:c r="J299" t="str">
        <x:v>Đã thu hồi số tiếp nhận</x:v>
      </x:c>
      <x:c r="K299" t="str">
        <x:v>A++ – QĐ 217/QĐ-QLD; phụ lục 148 số; mirror Sở Y tế Lai Châu</x:v>
      </x:c>
      <x:c r="L299"/>
      <x:c r="M299" t="str">
        <x:v>https://doanket.laichau.gov.vn/upload/103883/20260420/Cong_van_ve_viec_Thu_hoi_so_tiep_nhan_Phieu_cong_bo_san_pham_my_pham_41983.pdf</x:v>
      </x:c>
      <x:c r="N299"/>
      <x:c r="O299" t="str">
        <x:v>STT 101; trang PDF 8; thu hồi tự nguyện; clean gate đủ; PIF ngoài phạm vi.</x:v>
      </x:c>
    </x:row>
    <x:row r="300">
      <x:c r="A300" t="str">
        <x:v>IMP0299</x:v>
      </x:c>
      <x:c r="B300" t="n">
        <x:v>45662</x:v>
      </x:c>
      <x:c r="C300" t="str">
        <x:v>262281/25/CBMP-QLD</x:v>
      </x:c>
      <x:c r="D300" t="str">
        <x:v>UV Smooth Cream Vitaly-fushi0101</x:v>
      </x:c>
      <x:c r="E300" t="str">
        <x:v>SE:CRUNO</x:v>
      </x:c>
      <x:c r="F300" t="str">
        <x:v>Kem chống nắng</x:v>
      </x:c>
      <x:c r="G300" t="str">
        <x:v>Công ty TNHH thương mại HKK</x:v>
      </x:c>
      <x:c r="H300"/>
      <x:c r="I300"/>
      <x:c r="J300" t="str">
        <x:v>Đã thu hồi số tiếp nhận</x:v>
      </x:c>
      <x:c r="K300" t="str">
        <x:v>A++ – QĐ 217/QĐ-QLD; phụ lục 148 số; mirror Sở Y tế Lai Châu</x:v>
      </x:c>
      <x:c r="L300"/>
      <x:c r="M300" t="str">
        <x:v>https://doanket.laichau.gov.vn/upload/103883/20260420/Cong_van_ve_viec_Thu_hoi_so_tiep_nhan_Phieu_cong_bo_san_pham_my_pham_41983.pdf</x:v>
      </x:c>
      <x:c r="N300"/>
      <x:c r="O300" t="str">
        <x:v>STT 102; trang PDF 8; thu hồi tự nguyện; clean gate đủ; PIF ngoài phạm vi.</x:v>
      </x:c>
    </x:row>
    <x:row r="301">
      <x:c r="A301" t="str">
        <x:v>IMP0300</x:v>
      </x:c>
      <x:c r="B301" t="n">
        <x:v>45662</x:v>
      </x:c>
      <x:c r="C301" t="str">
        <x:v>262282/25/CBMP-QLD</x:v>
      </x:c>
      <x:c r="D301" t="str">
        <x:v>UV Spray Vitaly-fushi0101</x:v>
      </x:c>
      <x:c r="E301" t="str">
        <x:v>SE:CRUNO</x:v>
      </x:c>
      <x:c r="F301" t="str">
        <x:v>Kem chống nắng</x:v>
      </x:c>
      <x:c r="G301" t="str">
        <x:v>Công ty TNHH thương mại HKK</x:v>
      </x:c>
      <x:c r="H301"/>
      <x:c r="I301"/>
      <x:c r="J301" t="str">
        <x:v>Đã thu hồi số tiếp nhận</x:v>
      </x:c>
      <x:c r="K301" t="str">
        <x:v>A++ – QĐ 217/QĐ-QLD; phụ lục 148 số; mirror Sở Y tế Lai Châu</x:v>
      </x:c>
      <x:c r="L301"/>
      <x:c r="M301" t="str">
        <x:v>https://doanket.laichau.gov.vn/upload/103883/20260420/Cong_van_ve_viec_Thu_hoi_so_tiep_nhan_Phieu_cong_bo_san_pham_my_pham_41983.pdf</x:v>
      </x:c>
      <x:c r="N301"/>
      <x:c r="O301" t="str">
        <x:v>STT 103; trang PDF 8; thu hồi tự nguyện; clean gate đủ; PIF ngoài phạm vi.</x:v>
      </x:c>
    </x:row>
    <x:row r="302">
      <x:c r="A302" t="str">
        <x:v>IMP0301</x:v>
      </x:c>
      <x:c r="B302" t="n">
        <x:v>44582</x:v>
      </x:c>
      <x:c r="C302" t="str">
        <x:v>165155/22/CBMP-QLD</x:v>
      </x:c>
      <x:c r="D302" t="str">
        <x:v>too cool for school Egg Cream Mask [Firming]</x:v>
      </x:c>
      <x:c r="E302" t="str">
        <x:v>too cool for school</x:v>
      </x:c>
      <x:c r="F302" t="str">
        <x:v>Mặt nạ</x:v>
      </x:c>
      <x:c r="G302" t="str">
        <x:v>Công ty cổ phần mỹ phẩm quốc tế Thùy Dung</x:v>
      </x:c>
      <x:c r="H302"/>
      <x:c r="I302"/>
      <x:c r="J302" t="str">
        <x:v>Đã thu hồi số tiếp nhận</x:v>
      </x:c>
      <x:c r="K302" t="str">
        <x:v>A++ – QĐ 217/QĐ-QLD; phụ lục 148 số; mirror Sở Y tế Lai Châu</x:v>
      </x:c>
      <x:c r="L302"/>
      <x:c r="M302" t="str">
        <x:v>https://doanket.laichau.gov.vn/upload/103883/20260420/Cong_van_ve_viec_Thu_hoi_so_tiep_nhan_Phieu_cong_bo_san_pham_my_pham_41983.pdf</x:v>
      </x:c>
      <x:c r="N302"/>
      <x:c r="O302" t="str">
        <x:v>STT 133; trang PDF 10; thu hồi tự nguyện; clean gate đủ; PIF ngoài phạm vi.</x:v>
      </x:c>
    </x:row>
    <x:row r="303">
      <x:c r="A303" t="str">
        <x:v>IMP0302</x:v>
      </x:c>
      <x:c r="B303" t="n">
        <x:v>44582</x:v>
      </x:c>
      <x:c r="C303" t="str">
        <x:v>165156/22/CBMP-QLD</x:v>
      </x:c>
      <x:c r="D303" t="str">
        <x:v>too cool for school EGG MOUSSE SOAP</x:v>
      </x:c>
      <x:c r="E303" t="str">
        <x:v>too cool for school</x:v>
      </x:c>
      <x:c r="F303" t="str">
        <x:v>Khác</x:v>
      </x:c>
      <x:c r="G303" t="str">
        <x:v>Công ty cổ phần mỹ phẩm quốc tế Thùy Dung</x:v>
      </x:c>
      <x:c r="H303"/>
      <x:c r="I303"/>
      <x:c r="J303" t="str">
        <x:v>Đã thu hồi số tiếp nhận</x:v>
      </x:c>
      <x:c r="K303" t="str">
        <x:v>A++ – QĐ 217/QĐ-QLD; phụ lục 148 số; mirror Sở Y tế Lai Châu</x:v>
      </x:c>
      <x:c r="L303"/>
      <x:c r="M303" t="str">
        <x:v>https://doanket.laichau.gov.vn/upload/103883/20260420/Cong_van_ve_viec_Thu_hoi_so_tiep_nhan_Phieu_cong_bo_san_pham_my_pham_41983.pdf</x:v>
      </x:c>
      <x:c r="N303"/>
      <x:c r="O303" t="str">
        <x:v>STT 134; trang PDF 10; thu hồi tự nguyện; clean gate đủ; PIF ngoài phạm vi.</x:v>
      </x:c>
    </x:row>
    <x:row r="304">
      <x:c r="A304" t="str">
        <x:v>IMP0303</x:v>
      </x:c>
      <x:c r="B304" t="n">
        <x:v>44582</x:v>
      </x:c>
      <x:c r="C304" t="str">
        <x:v>165157/22/CBMP-QLD</x:v>
      </x:c>
      <x:c r="D304" t="str">
        <x:v>too cool for school Egg Mousse Pack</x:v>
      </x:c>
      <x:c r="E304" t="str">
        <x:v>too cool for school</x:v>
      </x:c>
      <x:c r="F304" t="str">
        <x:v>Khác</x:v>
      </x:c>
      <x:c r="G304" t="str">
        <x:v>Công ty cổ phần mỹ phẩm quốc tế Thùy Dung</x:v>
      </x:c>
      <x:c r="H304"/>
      <x:c r="I304"/>
      <x:c r="J304" t="str">
        <x:v>Đã thu hồi số tiếp nhận</x:v>
      </x:c>
      <x:c r="K304" t="str">
        <x:v>A++ – QĐ 217/QĐ-QLD; phụ lục 148 số; mirror Sở Y tế Lai Châu</x:v>
      </x:c>
      <x:c r="L304"/>
      <x:c r="M304" t="str">
        <x:v>https://doanket.laichau.gov.vn/upload/103883/20260420/Cong_van_ve_viec_Thu_hoi_so_tiep_nhan_Phieu_cong_bo_san_pham_my_pham_41983.pdf</x:v>
      </x:c>
      <x:c r="N304"/>
      <x:c r="O304" t="str">
        <x:v>STT 135; trang PDF 10; thu hồi tự nguyện; clean gate đủ; PIF ngoài phạm vi.</x:v>
      </x:c>
    </x:row>
    <x:row r="305">
      <x:c r="A305" t="str">
        <x:v>IMP0304</x:v>
      </x:c>
      <x:c r="B305" t="n">
        <x:v>45072</x:v>
      </x:c>
      <x:c r="C305" t="str">
        <x:v>202328/23/CBMP-QLD</x:v>
      </x:c>
      <x:c r="D305" t="str">
        <x:v>ZEESEA Refreshing Silky Powder</x:v>
      </x:c>
      <x:c r="E305" t="str">
        <x:v>ZEESEA</x:v>
      </x:c>
      <x:c r="F305" t="str">
        <x:v>Trang điểm</x:v>
      </x:c>
      <x:c r="G305" t="str">
        <x:v>Công ty cổ phần mỹ phẩm quốc tế Thùy Dung</x:v>
      </x:c>
      <x:c r="H305"/>
      <x:c r="I305"/>
      <x:c r="J305" t="str">
        <x:v>Đã thu hồi số tiếp nhận</x:v>
      </x:c>
      <x:c r="K305" t="str">
        <x:v>A++ – QĐ 217/QĐ-QLD; phụ lục 148 số; mirror Sở Y tế Lai Châu</x:v>
      </x:c>
      <x:c r="L305"/>
      <x:c r="M305" t="str">
        <x:v>https://doanket.laichau.gov.vn/upload/103883/20260420/Cong_van_ve_viec_Thu_hoi_so_tiep_nhan_Phieu_cong_bo_san_pham_my_pham_41983.pdf</x:v>
      </x:c>
      <x:c r="N305"/>
      <x:c r="O305" t="str">
        <x:v>STT 136; trang PDF 11; thu hồi tự nguyện; clean gate đủ; PIF ngoài phạm vi.</x:v>
      </x:c>
    </x:row>
    <x:row r="306">
      <x:c r="A306" t="str">
        <x:v>IMP0305</x:v>
      </x:c>
      <x:c r="B306" t="n">
        <x:v>45072</x:v>
      </x:c>
      <x:c r="C306" t="str">
        <x:v>202340/23/CBMP-QLD</x:v>
      </x:c>
      <x:c r="D306" t="str">
        <x:v>ZEESEA Dreamland Eyeshadow 14</x:v>
      </x:c>
      <x:c r="E306" t="str">
        <x:v>ZEESEA</x:v>
      </x:c>
      <x:c r="F306" t="str">
        <x:v>Trang điểm</x:v>
      </x:c>
      <x:c r="G306" t="str">
        <x:v>Công ty cổ phần mỹ phẩm quốc tế Thùy Dung</x:v>
      </x:c>
      <x:c r="H306"/>
      <x:c r="I306"/>
      <x:c r="J306" t="str">
        <x:v>Đã thu hồi số tiếp nhận</x:v>
      </x:c>
      <x:c r="K306" t="str">
        <x:v>A++ – QĐ 217/QĐ-QLD; phụ lục 148 số; mirror Sở Y tế Lai Châu</x:v>
      </x:c>
      <x:c r="L306"/>
      <x:c r="M306" t="str">
        <x:v>https://doanket.laichau.gov.vn/upload/103883/20260420/Cong_van_ve_viec_Thu_hoi_so_tiep_nhan_Phieu_cong_bo_san_pham_my_pham_41983.pdf</x:v>
      </x:c>
      <x:c r="N306"/>
      <x:c r="O306" t="str">
        <x:v>STT 137; trang PDF 11; thu hồi tự nguyện; clean gate đủ; PIF ngoài phạm vi.</x:v>
      </x:c>
    </x:row>
    <x:row r="307">
      <x:c r="A307" t="str">
        <x:v>IMP0306</x:v>
      </x:c>
      <x:c r="B307" t="n">
        <x:v>45072</x:v>
      </x:c>
      <x:c r="C307" t="str">
        <x:v>202342/23/CBMP-QLD</x:v>
      </x:c>
      <x:c r="D307" t="str">
        <x:v>ZEESEA Dreamland Eyeshadow 15</x:v>
      </x:c>
      <x:c r="E307" t="str">
        <x:v>ZEESEA</x:v>
      </x:c>
      <x:c r="F307" t="str">
        <x:v>Trang điểm</x:v>
      </x:c>
      <x:c r="G307" t="str">
        <x:v>Công ty cổ phần mỹ phẩm quốc tế Thùy Dung</x:v>
      </x:c>
      <x:c r="H307"/>
      <x:c r="I307"/>
      <x:c r="J307" t="str">
        <x:v>Đã thu hồi số tiếp nhận</x:v>
      </x:c>
      <x:c r="K307" t="str">
        <x:v>A++ – QĐ 217/QĐ-QLD; phụ lục 148 số; mirror Sở Y tế Lai Châu</x:v>
      </x:c>
      <x:c r="L307"/>
      <x:c r="M307" t="str">
        <x:v>https://doanket.laichau.gov.vn/upload/103883/20260420/Cong_van_ve_viec_Thu_hoi_so_tiep_nhan_Phieu_cong_bo_san_pham_my_pham_41983.pdf</x:v>
      </x:c>
      <x:c r="N307"/>
      <x:c r="O307" t="str">
        <x:v>STT 138; trang PDF 11; thu hồi tự nguyện; clean gate đủ; PIF ngoài phạm vi.</x:v>
      </x:c>
    </x:row>
    <x:row r="308">
      <x:c r="A308" t="str">
        <x:v>IMP0307</x:v>
      </x:c>
      <x:c r="B308" t="n">
        <x:v>45072</x:v>
      </x:c>
      <x:c r="C308" t="str">
        <x:v>202343/23/CBMP-QLD</x:v>
      </x:c>
      <x:c r="D308" t="str">
        <x:v>ZEESEA Slender Mascara</x:v>
      </x:c>
      <x:c r="E308" t="str">
        <x:v>ZEESEA</x:v>
      </x:c>
      <x:c r="F308" t="str">
        <x:v>Khác</x:v>
      </x:c>
      <x:c r="G308" t="str">
        <x:v>Công ty cổ phần mỹ phẩm quốc tế Thùy Dung</x:v>
      </x:c>
      <x:c r="H308"/>
      <x:c r="I308"/>
      <x:c r="J308" t="str">
        <x:v>Đã thu hồi số tiếp nhận</x:v>
      </x:c>
      <x:c r="K308" t="str">
        <x:v>A++ – QĐ 217/QĐ-QLD; phụ lục 148 số; mirror Sở Y tế Lai Châu</x:v>
      </x:c>
      <x:c r="L308"/>
      <x:c r="M308" t="str">
        <x:v>https://doanket.laichau.gov.vn/upload/103883/20260420/Cong_van_ve_viec_Thu_hoi_so_tiep_nhan_Phieu_cong_bo_san_pham_my_pham_41983.pdf</x:v>
      </x:c>
      <x:c r="N308"/>
      <x:c r="O308" t="str">
        <x:v>STT 139; trang PDF 11; thu hồi tự nguyện; clean gate đủ; PIF ngoài phạm vi.</x:v>
      </x:c>
    </x:row>
    <x:row r="309">
      <x:c r="A309" t="str">
        <x:v>IMP0308</x:v>
      </x:c>
      <x:c r="B309" t="n">
        <x:v>45072</x:v>
      </x:c>
      <x:c r="C309" t="str">
        <x:v>202344/23/CBMP-QLD</x:v>
      </x:c>
      <x:c r="D309" t="str">
        <x:v>ZEESEA Mist Matte Lipstick</x:v>
      </x:c>
      <x:c r="E309" t="str">
        <x:v>ZEESEA</x:v>
      </x:c>
      <x:c r="F309" t="str">
        <x:v>Trang điểm</x:v>
      </x:c>
      <x:c r="G309" t="str">
        <x:v>Công ty cổ phần mỹ phẩm quốc tế Thùy Dung</x:v>
      </x:c>
      <x:c r="H309"/>
      <x:c r="I309"/>
      <x:c r="J309" t="str">
        <x:v>Đã thu hồi số tiếp nhận</x:v>
      </x:c>
      <x:c r="K309" t="str">
        <x:v>A++ – QĐ 217/QĐ-QLD; phụ lục 148 số; mirror Sở Y tế Lai Châu</x:v>
      </x:c>
      <x:c r="L309"/>
      <x:c r="M309" t="str">
        <x:v>https://doanket.laichau.gov.vn/upload/103883/20260420/Cong_van_ve_viec_Thu_hoi_so_tiep_nhan_Phieu_cong_bo_san_pham_my_pham_41983.pdf</x:v>
      </x:c>
      <x:c r="N309"/>
      <x:c r="O309" t="str">
        <x:v>STT 140; trang PDF 11; thu hồi tự nguyện; clean gate đủ; PIF ngoài phạm vi.</x:v>
      </x:c>
    </x:row>
    <x:row r="310">
      <x:c r="A310" t="str">
        <x:v>IMP0309</x:v>
      </x:c>
      <x:c r="B310" t="n">
        <x:v>45072</x:v>
      </x:c>
      <x:c r="C310" t="str">
        <x:v>202345/23/CBMP-QLD</x:v>
      </x:c>
      <x:c r="D310" t="str">
        <x:v>ZEESEA Aqua Concealer</x:v>
      </x:c>
      <x:c r="E310" t="str">
        <x:v>ZEESEA</x:v>
      </x:c>
      <x:c r="F310" t="str">
        <x:v>Khác</x:v>
      </x:c>
      <x:c r="G310" t="str">
        <x:v>Công ty cổ phần mỹ phẩm quốc tế Thùy Dung</x:v>
      </x:c>
      <x:c r="H310"/>
      <x:c r="I310"/>
      <x:c r="J310" t="str">
        <x:v>Đã thu hồi số tiếp nhận</x:v>
      </x:c>
      <x:c r="K310" t="str">
        <x:v>A++ – QĐ 217/QĐ-QLD; phụ lục 148 số; mirror Sở Y tế Lai Châu</x:v>
      </x:c>
      <x:c r="L310"/>
      <x:c r="M310" t="str">
        <x:v>https://doanket.laichau.gov.vn/upload/103883/20260420/Cong_van_ve_viec_Thu_hoi_so_tiep_nhan_Phieu_cong_bo_san_pham_my_pham_41983.pdf</x:v>
      </x:c>
      <x:c r="N310"/>
      <x:c r="O310" t="str">
        <x:v>STT 141; trang PDF 11; thu hồi tự nguyện; clean gate đủ; PIF ngoài phạm vi.</x:v>
      </x:c>
    </x:row>
    <x:row r="311">
      <x:c r="A311" t="str">
        <x:v>IMP0310</x:v>
      </x:c>
      <x:c r="B311" t="n">
        <x:v>45072</x:v>
      </x:c>
      <x:c r="C311" t="str">
        <x:v>202346/23/CBMP-QLD</x:v>
      </x:c>
      <x:c r="D311" t="str">
        <x:v>ZEESEA Black Lasting Eyeliner</x:v>
      </x:c>
      <x:c r="E311" t="str">
        <x:v>ZEESEA</x:v>
      </x:c>
      <x:c r="F311" t="str">
        <x:v>Khác</x:v>
      </x:c>
      <x:c r="G311" t="str">
        <x:v>Công ty cổ phần mỹ phẩm quốc tế Thùy Dung</x:v>
      </x:c>
      <x:c r="H311"/>
      <x:c r="I311"/>
      <x:c r="J311" t="str">
        <x:v>Đã thu hồi số tiếp nhận</x:v>
      </x:c>
      <x:c r="K311" t="str">
        <x:v>A++ – QĐ 217/QĐ-QLD; phụ lục 148 số; mirror Sở Y tế Lai Châu</x:v>
      </x:c>
      <x:c r="L311"/>
      <x:c r="M311" t="str">
        <x:v>https://doanket.laichau.gov.vn/upload/103883/20260420/Cong_van_ve_viec_Thu_hoi_so_tiep_nhan_Phieu_cong_bo_san_pham_my_pham_41983.pdf</x:v>
      </x:c>
      <x:c r="N311"/>
      <x:c r="O311" t="str">
        <x:v>STT 142; trang PDF 11; thu hồi tự nguyện; clean gate đủ; PIF ngoài phạm vi.</x:v>
      </x:c>
    </x:row>
    <x:row r="312">
      <x:c r="A312" t="str">
        <x:v>IMP0311</x:v>
      </x:c>
      <x:c r="B312" t="n">
        <x:v>45072</x:v>
      </x:c>
      <x:c r="C312" t="str">
        <x:v>202347/23/CBMP-QLD</x:v>
      </x:c>
      <x:c r="D312" t="str">
        <x:v>ZEESEA Lasting gel liner</x:v>
      </x:c>
      <x:c r="E312" t="str">
        <x:v>ZEESEA</x:v>
      </x:c>
      <x:c r="F312" t="str">
        <x:v>Khác</x:v>
      </x:c>
      <x:c r="G312" t="str">
        <x:v>Công ty cổ phần mỹ phẩm quốc tế Thùy Dung</x:v>
      </x:c>
      <x:c r="H312"/>
      <x:c r="I312"/>
      <x:c r="J312" t="str">
        <x:v>Đã thu hồi số tiếp nhận</x:v>
      </x:c>
      <x:c r="K312" t="str">
        <x:v>A++ – QĐ 217/QĐ-QLD; phụ lục 148 số; mirror Sở Y tế Lai Châu</x:v>
      </x:c>
      <x:c r="L312"/>
      <x:c r="M312" t="str">
        <x:v>https://doanket.laichau.gov.vn/upload/103883/20260420/Cong_van_ve_viec_Thu_hoi_so_tiep_nhan_Phieu_cong_bo_san_pham_my_pham_41983.pdf</x:v>
      </x:c>
      <x:c r="N312"/>
      <x:c r="O312" t="str">
        <x:v>STT 143; trang PDF 11; thu hồi tự nguyện; clean gate đủ; PIF ngoài phạm vi.</x:v>
      </x:c>
    </x:row>
    <x:row r="313">
      <x:c r="A313" t="str">
        <x:v>IMP0312</x:v>
      </x:c>
      <x:c r="B313" t="n">
        <x:v>45072</x:v>
      </x:c>
      <x:c r="C313" t="str">
        <x:v>202350/23/CBMP-QLD</x:v>
      </x:c>
      <x:c r="D313" t="str">
        <x:v>ZEESEA Refreshing Silky Powder</x:v>
      </x:c>
      <x:c r="E313" t="str">
        <x:v>ZEESEA</x:v>
      </x:c>
      <x:c r="F313" t="str">
        <x:v>Trang điểm</x:v>
      </x:c>
      <x:c r="G313" t="str">
        <x:v>Công ty cổ phần mỹ phẩm quốc tế Thùy Dung</x:v>
      </x:c>
      <x:c r="H313"/>
      <x:c r="I313"/>
      <x:c r="J313" t="str">
        <x:v>Đã thu hồi số tiếp nhận</x:v>
      </x:c>
      <x:c r="K313" t="str">
        <x:v>A++ – QĐ 217/QĐ-QLD; phụ lục 148 số; mirror Sở Y tế Lai Châu</x:v>
      </x:c>
      <x:c r="L313"/>
      <x:c r="M313" t="str">
        <x:v>https://doanket.laichau.gov.vn/upload/103883/20260420/Cong_van_ve_viec_Thu_hoi_so_tiep_nhan_Phieu_cong_bo_san_pham_my_pham_41983.pdf</x:v>
      </x:c>
      <x:c r="N313"/>
      <x:c r="O313" t="str">
        <x:v>STT 144; trang PDF 11; thu hồi tự nguyện; clean gate đủ; PIF ngoài phạm vi.</x:v>
      </x:c>
    </x:row>
    <x:row r="314">
      <x:c r="A314" t="str">
        <x:v>IMP0313</x:v>
      </x:c>
      <x:c r="B314" t="n">
        <x:v>45072</x:v>
      </x:c>
      <x:c r="C314" t="str">
        <x:v>202351/23/CBMP-QLD</x:v>
      </x:c>
      <x:c r="D314" t="str">
        <x:v>ZEESEA AIR LOOSE POWDER</x:v>
      </x:c>
      <x:c r="E314" t="str">
        <x:v>ZEESEA</x:v>
      </x:c>
      <x:c r="F314" t="str">
        <x:v>Trang điểm</x:v>
      </x:c>
      <x:c r="G314" t="str">
        <x:v>Công ty cổ phần mỹ phẩm quốc tế Thùy Dung</x:v>
      </x:c>
      <x:c r="H314"/>
      <x:c r="I314"/>
      <x:c r="J314" t="str">
        <x:v>Đã thu hồi số tiếp nhận</x:v>
      </x:c>
      <x:c r="K314" t="str">
        <x:v>A++ – QĐ 217/QĐ-QLD; phụ lục 148 số; mirror Sở Y tế Lai Châu</x:v>
      </x:c>
      <x:c r="L314"/>
      <x:c r="M314" t="str">
        <x:v>https://doanket.laichau.gov.vn/upload/103883/20260420/Cong_van_ve_viec_Thu_hoi_so_tiep_nhan_Phieu_cong_bo_san_pham_my_pham_41983.pdf</x:v>
      </x:c>
      <x:c r="N314"/>
      <x:c r="O314" t="str">
        <x:v>STT 145; trang PDF 11; thu hồi tự nguyện; clean gate đủ; PIF ngoài phạm vi.</x:v>
      </x:c>
    </x:row>
    <x:row r="315">
      <x:c r="A315" t="str">
        <x:v>IMP0314</x:v>
      </x:c>
      <x:c r="B315" t="n">
        <x:v>45072</x:v>
      </x:c>
      <x:c r="C315" t="str">
        <x:v>202352/23/CBMP-QLD</x:v>
      </x:c>
      <x:c r="D315" t="str">
        <x:v>ZEESEA LASTING MAKEUP SETTING SPRAY</x:v>
      </x:c>
      <x:c r="E315" t="str">
        <x:v>ZEESEA</x:v>
      </x:c>
      <x:c r="F315" t="str">
        <x:v>Khác</x:v>
      </x:c>
      <x:c r="G315" t="str">
        <x:v>Công ty cổ phần mỹ phẩm quốc tế Thùy Dung</x:v>
      </x:c>
      <x:c r="H315"/>
      <x:c r="I315"/>
      <x:c r="J315" t="str">
        <x:v>Đã thu hồi số tiếp nhận</x:v>
      </x:c>
      <x:c r="K315" t="str">
        <x:v>A++ – QĐ 217/QĐ-QLD; phụ lục 148 số; mirror Sở Y tế Lai Châu</x:v>
      </x:c>
      <x:c r="L315"/>
      <x:c r="M315" t="str">
        <x:v>https://doanket.laichau.gov.vn/upload/103883/20260420/Cong_van_ve_viec_Thu_hoi_so_tiep_nhan_Phieu_cong_bo_san_pham_my_pham_41983.pdf</x:v>
      </x:c>
      <x:c r="N315"/>
      <x:c r="O315" t="str">
        <x:v>STT 146; trang PDF 11; thu hồi tự nguyện; clean gate đủ; PIF ngoài phạm vi.</x:v>
      </x:c>
    </x:row>
    <x:row r="316">
      <x:c r="A316" t="str">
        <x:v>IMP0315</x:v>
      </x:c>
      <x:c r="B316" t="n">
        <x:v>45072</x:v>
      </x:c>
      <x:c r="C316" t="str">
        <x:v>202354/23/CBMP-QLD</x:v>
      </x:c>
      <x:c r="D316" t="str">
        <x:v>ZEESEA Fireworks 16 Colors Eye Shadow #A01</x:v>
      </x:c>
      <x:c r="E316" t="str">
        <x:v>ZEESEA</x:v>
      </x:c>
      <x:c r="F316" t="str">
        <x:v>Khác</x:v>
      </x:c>
      <x:c r="G316" t="str">
        <x:v>Công ty cổ phần mỹ phẩm quốc tế Thùy Dung</x:v>
      </x:c>
      <x:c r="H316"/>
      <x:c r="I316"/>
      <x:c r="J316" t="str">
        <x:v>Đã thu hồi số tiếp nhận</x:v>
      </x:c>
      <x:c r="K316" t="str">
        <x:v>A++ – QĐ 217/QĐ-QLD; phụ lục 148 số; mirror Sở Y tế Lai Châu</x:v>
      </x:c>
      <x:c r="L316"/>
      <x:c r="M316" t="str">
        <x:v>https://doanket.laichau.gov.vn/upload/103883/20260420/Cong_van_ve_viec_Thu_hoi_so_tiep_nhan_Phieu_cong_bo_san_pham_my_pham_41983.pdf</x:v>
      </x:c>
      <x:c r="N316"/>
      <x:c r="O316" t="str">
        <x:v>STT 147; trang PDF 11; thu hồi tự nguyện; clean gate đủ; PIF ngoài phạm vi.</x:v>
      </x:c>
    </x:row>
    <x:row r="317">
      <x:c r="A317" t="str">
        <x:v>IMP0316</x:v>
      </x:c>
      <x:c r="B317" t="n">
        <x:v>45072</x:v>
      </x:c>
      <x:c r="C317" t="str">
        <x:v>202363/23/CBMP-QLD</x:v>
      </x:c>
      <x:c r="D317" t="str">
        <x:v>ZEESEA Highlight Pressed Powder S02</x:v>
      </x:c>
      <x:c r="E317" t="str">
        <x:v>ZEESEA</x:v>
      </x:c>
      <x:c r="F317" t="str">
        <x:v>Trang điểm</x:v>
      </x:c>
      <x:c r="G317" t="str">
        <x:v>Công ty cổ phần mỹ phẩm quốc tế Thùy Dung</x:v>
      </x:c>
      <x:c r="H317"/>
      <x:c r="I317"/>
      <x:c r="J317" t="str">
        <x:v>Đã thu hồi số tiếp nhận</x:v>
      </x:c>
      <x:c r="K317" t="str">
        <x:v>A++ – QĐ 217/QĐ-QLD; phụ lục 148 số; mirror Sở Y tế Lai Châu</x:v>
      </x:c>
      <x:c r="L317"/>
      <x:c r="M317" t="str">
        <x:v>https://doanket.laichau.gov.vn/upload/103883/20260420/Cong_van_ve_viec_Thu_hoi_so_tiep_nhan_Phieu_cong_bo_san_pham_my_pham_41983.pdf</x:v>
      </x:c>
      <x:c r="N317"/>
      <x:c r="O317" t="str">
        <x:v>STT 148; trang PDF 11; thu hồi tự nguyện; clean gate đủ; PIF ngoài phạm vi.</x:v>
      </x:c>
    </x:row>
  </x:sheetData>
  <x:pageMargins left="0.7" right="0.7" top="0.75" bottom="0.75" header="0.3" footer="0.3"/>
</x:worksheet>
</file>

<file path=xl/worksheets/sheet53.xml><?xml version="1.0" encoding="utf-8"?>
<x:worksheet xmlns:x="http://schemas.openxmlformats.org/spreadsheetml/2006/main">
  <x:sheetFormatPr baseColWidth="8" defaultRowHeight="15"/>
  <x:cols>
    <x:col min="1" max="1" width="18" style="91" customWidth="1"/>
    <x:col min="2" max="2" width="32" style="91" customWidth="1"/>
    <x:col min="3" max="3" width="48" style="91" customWidth="1"/>
    <x:col min="4" max="4" width="24" style="91" customWidth="1"/>
    <x:col min="5" max="5" width="32" style="91" customWidth="1"/>
    <x:col min="6" max="6" width="68" style="91" customWidth="1"/>
  </x:cols>
  <x:sheetData>
    <x:row r="1" s="91" customFormat="1" ht="48" customHeight="1">
      <x:c r="A1" s="276" t="inlineStr">
        <x:is>
          <x:t xml:space="preserve">Lớp</x:t>
        </x:is>
      </x:c>
      <x:c r="B1" s="276" t="inlineStr">
        <x:is>
          <x:t xml:space="preserve">Nhóm/Phân khúc</x:t>
        </x:is>
      </x:c>
      <x:c r="C1" s="276" t="inlineStr">
        <x:is>
          <x:t xml:space="preserve">Ví dụ</x:t>
        </x:is>
      </x:c>
      <x:c r="D1" s="276" t="inlineStr">
        <x:is>
          <x:t xml:space="preserve">Đưa vào MASTER_ALL mỹ phẩm?</x:t>
        </x:is>
      </x:c>
      <x:c r="E1" s="276" t="inlineStr">
        <x:is>
          <x:t xml:space="preserve">Tuyến khác</x:t>
        </x:is>
      </x:c>
      <x:c r="F1" s="276" t="inlineStr">
        <x:is>
          <x:t xml:space="preserve">Quy tắc</x:t>
        </x:is>
      </x:c>
      <x:c r="G1" s="272" t="n"/>
      <x:c r="H1" s="272" t="n"/>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2">
      <x:c r="A2" t="inlineStr">
        <x:is>
          <x:t xml:space="preserve">Hóa mỹ phẩm</x:t>
        </x:is>
      </x:c>
      <x:c r="B2" t="inlineStr">
        <x:is>
          <x:t xml:space="preserve">Mẹ &amp; Bé - chăm sóc tóc</x:t>
        </x:is>
      </x:c>
      <x:c r="C2" t="inlineStr">
        <x:is>
          <x:t xml:space="preserve">Dầu gội bé, dầu xả bé</x:t>
        </x:is>
      </x:c>
      <x:c r="D2" t="inlineStr">
        <x:is>
          <x:t xml:space="preserve">Có</x:t>
        </x:is>
      </x:c>
      <x:c r="F2" t="inlineStr">
        <x:is>
          <x:t xml:space="preserve">Giữ nhóm chuẩn theo công dụng (Dầu gội/Dầu xả), ghi Nhóm phụ có tag 'Mẹ &amp; Bé'.</x:t>
        </x:is>
      </x:c>
    </x:row>
    <x:row r="3">
      <x:c r="A3" t="inlineStr">
        <x:is>
          <x:t xml:space="preserve">Hóa mỹ phẩm</x:t>
        </x:is>
      </x:c>
      <x:c r="B3" t="inlineStr">
        <x:is>
          <x:t xml:space="preserve">Mẹ &amp; Bé - tắm &amp; làm sạch</x:t>
        </x:is>
      </x:c>
      <x:c r="C3" t="inlineStr">
        <x:is>
          <x:t xml:space="preserve">Sữa tắm bé, gel tắm, sản phẩm làm sạch ngoài da</x:t>
        </x:is>
      </x:c>
      <x:c r="D3" t="inlineStr">
        <x:is>
          <x:t xml:space="preserve">Có</x:t>
        </x:is>
      </x:c>
      <x:c r="F3" t="inlineStr">
        <x:is>
          <x:t xml:space="preserve">Giữ nhóm chuẩn Sữa tắm/Gel tắm; tag 'Mẹ &amp; Bé' ở Nhóm phụ.</x:t>
        </x:is>
      </x:c>
    </x:row>
    <x:row r="4">
      <x:c r="A4" t="inlineStr">
        <x:is>
          <x:t xml:space="preserve">Hóa mỹ phẩm</x:t>
        </x:is>
      </x:c>
      <x:c r="B4" t="inlineStr">
        <x:is>
          <x:t xml:space="preserve">Mẹ &amp; Bé - dưỡng da</x:t>
        </x:is>
      </x:c>
      <x:c r="C4" t="inlineStr">
        <x:is>
          <x:t xml:space="preserve">Lotion, kem dưỡng, dầu massage dùng ngoài da</x:t>
        </x:is>
      </x:c>
      <x:c r="D4" t="inlineStr">
        <x:is>
          <x:t xml:space="preserve">Có</x:t>
        </x:is>
      </x:c>
      <x:c r="F4" t="inlineStr">
        <x:is>
          <x:t xml:space="preserve">Phân loại theo nhóm chuẩn phù hợp; chỉ tính khi bản chất là mỹ phẩm/hóa mỹ phẩm.</x:t>
        </x:is>
      </x:c>
    </x:row>
    <x:row r="5">
      <x:c r="A5" t="inlineStr">
        <x:is>
          <x:t xml:space="preserve">Hóa mỹ phẩm</x:t>
        </x:is>
      </x:c>
      <x:c r="B5" t="inlineStr">
        <x:is>
          <x:t xml:space="preserve">Mẹ &amp; Bé - chống nắng/chăm sóc da</x:t>
        </x:is>
      </x:c>
      <x:c r="C5" t="inlineStr">
        <x:is>
          <x:t xml:space="preserve">Kem chống nắng trẻ em, balm/cream chăm sóc da nếu là mỹ phẩm</x:t>
        </x:is>
      </x:c>
      <x:c r="D5" t="inlineStr">
        <x:is>
          <x:t xml:space="preserve">Có</x:t>
        </x:is>
      </x:c>
      <x:c r="F5" t="inlineStr">
        <x:is>
          <x:t xml:space="preserve">Không suy diễn từ tên; kiểm tra hồ sơ pháp lý/claims để tránh nhầm sang thuốc.</x:t>
        </x:is>
      </x:c>
    </x:row>
    <x:row r="6">
      <x:c r="A6" t="inlineStr">
        <x:is>
          <x:t xml:space="preserve">Ngoài hóa mỹ phẩm</x:t>
        </x:is>
      </x:c>
      <x:c r="B6" t="inlineStr">
        <x:is>
          <x:t xml:space="preserve">Mẹ &amp; Bé - vật dụng</x:t>
        </x:is>
      </x:c>
      <x:c r="C6" t="inlineStr">
        <x:is>
          <x:t xml:space="preserve">Tã, bỉm, bình sữa, khăn giấy, đồ dùng</x:t>
        </x:is>
      </x:c>
      <x:c r="D6" t="inlineStr">
        <x:is>
          <x:t xml:space="preserve">Không</x:t>
        </x:is>
      </x:c>
      <x:c r="E6" t="inlineStr">
        <x:is>
          <x:t xml:space="preserve">Không đưa vào dự án mỹ phẩm</x:t>
        </x:is>
      </x:c>
      <x:c r="F6" t="inlineStr">
        <x:is>
          <x:t xml:space="preserve">Có thể tạo dự án/market signal khác nếu cần.</x:t>
        </x:is>
      </x:c>
    </x:row>
    <x:row r="7">
      <x:c r="A7" t="inlineStr">
        <x:is>
          <x:t xml:space="preserve">Ngoài hóa mỹ phẩm</x:t>
        </x:is>
      </x:c>
      <x:c r="B7" t="inlineStr">
        <x:is>
          <x:t xml:space="preserve">Mẹ &amp; Bé - dinh dưỡng</x:t>
        </x:is>
      </x:c>
      <x:c r="C7" t="inlineStr">
        <x:is>
          <x:t xml:space="preserve">Sữa bột, thực phẩm bổ sung, thực phẩm cho trẻ</x:t>
        </x:is>
      </x:c>
      <x:c r="D7" t="inlineStr">
        <x:is>
          <x:t xml:space="preserve">Không</x:t>
        </x:is>
      </x:c>
      <x:c r="E7" t="inlineStr">
        <x:is>
          <x:t xml:space="preserve">DUOC_PHAM_TPCN hoặc dataset dinh dưỡng riêng</x:t>
        </x:is>
      </x:c>
      <x:c r="F7" t="inlineStr">
        <x:is>
          <x:t xml:space="preserve">Không trộn với MASTER_ALL mỹ phẩm.</x:t>
        </x:is>
      </x:c>
    </x:row>
    <x:row r="8">
      <x:c r="A8" t="inlineStr">
        <x:is>
          <x:t xml:space="preserve">Dược/TPCN</x:t>
        </x:is>
      </x:c>
      <x:c r="B8" t="inlineStr">
        <x:is>
          <x:t xml:space="preserve">Thực phẩm chức năng</x:t>
        </x:is>
      </x:c>
      <x:c r="C8" t="inlineStr">
        <x:is>
          <x:t xml:space="preserve">TPBVSK, thực phẩm bổ sung, sản phẩm dinh dưỡng có hồ sơ tương ứng</x:t>
        </x:is>
      </x:c>
      <x:c r="D8" t="inlineStr">
        <x:is>
          <x:t xml:space="preserve">Không</x:t>
        </x:is>
      </x:c>
      <x:c r="E8" t="inlineStr">
        <x:is>
          <x:t xml:space="preserve">DUOC_PHAM_TPCN</x:t>
        </x:is>
      </x:c>
      <x:c r="F8" t="inlineStr">
        <x:is>
          <x:t xml:space="preserve">Gom cùng lớp dược/pharma theo quy ước dự án, nhưng giữ cột 'Loại dữ liệu' để phân biệt TPCN với thuốc.</x:t>
        </x:is>
      </x:c>
    </x:row>
    <x:row r="9">
      <x:c r="A9" t="inlineStr">
        <x:is>
          <x:t xml:space="preserve">Dược/TPCN</x:t>
        </x:is>
      </x:c>
      <x:c r="B9" t="inlineStr">
        <x:is>
          <x:t xml:space="preserve">Dược phẩm</x:t>
        </x:is>
      </x:c>
      <x:c r="C9" t="inlineStr">
        <x:is>
          <x:t xml:space="preserve">Thuốc, dược phẩm có số đăng ký/giấy phép lưu hành</x:t>
        </x:is>
      </x:c>
      <x:c r="D9" t="inlineStr">
        <x:is>
          <x:t xml:space="preserve">Không</x:t>
        </x:is>
      </x:c>
      <x:c r="E9" t="inlineStr">
        <x:is>
          <x:t xml:space="preserve">DUOC_PHAM_TPCN</x:t>
        </x:is>
      </x:c>
      <x:c r="F9" t="inlineStr">
        <x:is>
          <x:t xml:space="preserve">Không trộn với CBMP mỹ phẩm.</x:t>
        </x:is>
      </x:c>
    </x:row>
    <x:row r="10">
      <x:c r="A10" t="inlineStr">
        <x:is>
          <x:t xml:space="preserve">Hàng nhập khẩu</x:t>
        </x:is>
      </x:c>
      <x:c r="B10" t="inlineStr">
        <x:is>
          <x:t xml:space="preserve">Mỹ phẩm nhập khẩu</x:t>
        </x:is>
      </x:c>
      <x:c r="C10" t="inlineStr">
        <x:is>
          <x:t xml:space="preserve">Mỹ phẩm thành phẩm nhập khẩu</x:t>
        </x:is>
      </x:c>
      <x:c r="D10" t="inlineStr">
        <x:is>
          <x:t xml:space="preserve">Không vào CBMP tỉnh</x:t>
        </x:is>
      </x:c>
      <x:c r="E10" t="inlineStr">
        <x:is>
          <x:t xml:space="preserve">IMPORT_DECLARATIONS</x:t>
        </x:is>
      </x:c>
      <x:c r="F10" t="inlineStr">
        <x:is>
          <x:t xml:space="preserve">Tách khỏi CBMP tỉnh; có thể vẫn tính vào bức tranh thị trường mỹ phẩm khi đã xác minh.</x:t>
        </x:is>
      </x:c>
    </x:row>
  </x:sheetData>
  <x:pageMargins left="0.7" right="0.7" top="0.75" bottom="0.75" header="0.3" footer="0.3"/>
</x:worksheet>
</file>

<file path=xl/worksheets/sheet54.xml><?xml version="1.0" encoding="utf-8"?>
<x:worksheet xmlns:x="http://schemas.openxmlformats.org/spreadsheetml/2006/main">
  <x:sheetFormatPr baseColWidth="8" defaultRowHeight="15"/>
  <x:cols>
    <x:col min="1" max="1" width="8" style="91" customWidth="1"/>
    <x:col min="2" max="2" width="18" style="91" customWidth="1"/>
    <x:col min="3" max="3" width="14" style="91" customWidth="1"/>
    <x:col min="4" max="4" width="24" style="91" customWidth="1"/>
    <x:col min="5" max="5" width="44" style="91" customWidth="1"/>
    <x:col min="6" max="6" width="24" style="91" customWidth="1"/>
    <x:col min="7" max="7" width="28" style="91" customWidth="1"/>
    <x:col min="8" max="8" width="48" style="91" customWidth="1"/>
    <x:col min="9" max="9" width="48" style="91" customWidth="1"/>
    <x:col min="10" max="10" width="22" style="91" customWidth="1"/>
    <x:col min="11" max="11" width="20" style="91" customWidth="1"/>
    <x:col min="12" max="12" width="24" style="91" customWidth="1"/>
    <x:col min="13" max="13" width="30" style="91" customWidth="1"/>
    <x:col min="14" max="14" width="40" style="91" customWidth="1"/>
    <x:col min="15" max="15" width="78" style="91" customWidth="1"/>
    <x:col min="16" max="16" width="78" style="91" customWidth="1"/>
    <x:col min="17" max="17" width="20" style="91" customWidth="1"/>
    <x:col min="18" max="18" width="62" style="91" customWidth="1"/>
  </x:cols>
  <x:sheetData>
    <x:row r="1" s="91" customFormat="1" ht="48" customHeight="1">
      <x:c r="A1" s="278" t="inlineStr">
        <x:is>
          <x:t xml:space="preserve">ID</x:t>
        </x:is>
      </x:c>
      <x:c r="B1" s="278" t="inlineStr">
        <x:is>
          <x:t xml:space="preserve">Loại dữ liệu</x:t>
        </x:is>
      </x:c>
      <x:c r="C1" s="278" t="inlineStr">
        <x:is>
          <x:t xml:space="preserve">Ngày hồ sơ</x:t>
        </x:is>
      </x:c>
      <x:c r="D1" s="278" t="inlineStr">
        <x:is>
          <x:t xml:space="preserve">Số đăng ký/Số công bố</x:t>
        </x:is>
      </x:c>
      <x:c r="E1" s="278" t="inlineStr">
        <x:is>
          <x:t xml:space="preserve">Tên sản phẩm</x:t>
        </x:is>
      </x:c>
      <x:c r="F1" s="278" t="inlineStr">
        <x:is>
          <x:t xml:space="preserve">Thương hiệu</x:t>
        </x:is>
      </x:c>
      <x:c r="G1" s="278" t="inlineStr">
        <x:is>
          <x:t xml:space="preserve">Nhóm sản phẩm</x:t>
        </x:is>
      </x:c>
      <x:c r="H1" s="278" t="inlineStr">
        <x:is>
          <x:t xml:space="preserve">Công ty chịu trách nhiệm</x:t>
        </x:is>
      </x:c>
      <x:c r="I1" s="278" t="inlineStr">
        <x:is>
          <x:t xml:space="preserve">Nhà sản xuất</x:t>
        </x:is>
      </x:c>
      <x:c r="J1" s="278" t="inlineStr">
        <x:is>
          <x:t xml:space="preserve">Xuất xứ</x:t>
        </x:is>
      </x:c>
      <x:c r="K1" s="278" t="inlineStr">
        <x:is>
          <x:t xml:space="preserve">Nội địa/Nhập khẩu</x:t>
        </x:is>
      </x:c>
      <x:c r="L1" s="278" t="inlineStr">
        <x:is>
          <x:t xml:space="preserve">Trạng thái pháp lý</x:t>
        </x:is>
      </x:c>
      <x:c r="M1" s="278" t="inlineStr">
        <x:is>
          <x:t xml:space="preserve">Mức xác minh</x:t>
        </x:is>
      </x:c>
      <x:c r="N1" s="278" t="inlineStr">
        <x:is>
          <x:t xml:space="preserve">Retail/Ecom signal</x:t>
        </x:is>
      </x:c>
      <x:c r="O1" s="278" t="inlineStr">
        <x:is>
          <x:t xml:space="preserve">URL pháp lý</x:t>
        </x:is>
      </x:c>
      <x:c r="P1" s="278" t="inlineStr">
        <x:is>
          <x:t xml:space="preserve">URL thị trường</x:t>
        </x:is>
      </x:c>
      <x:c r="Q1" s="278" t="inlineStr">
        <x:is>
          <x:t xml:space="preserve">Tỉnh/TP nguồn</x:t>
        </x:is>
      </x:c>
      <x:c r="R1" s="278" t="inlineStr">
        <x:is>
          <x:t xml:space="preserve">Ghi chú</x:t>
        </x:is>
      </x:c>
      <x:c r="S1" s="272" t="n"/>
      <x:c r="T1" s="272" t="n"/>
      <x:c r="U1" s="272" t="n"/>
      <x:c r="V1" s="272" t="n"/>
      <x:c r="W1" s="272" t="n"/>
      <x:c r="X1" s="272" t="n"/>
      <x:c r="Y1" s="272" t="n"/>
      <x:c r="Z1" s="272" t="n"/>
    </x:row>
    <x:row r="2">
      <x:c r="B2" t="inlineStr">
        <x:is>
          <x:t xml:space="preserve">TPCN / Dược phẩm</x:t>
        </x:is>
      </x:c>
      <x:c r="R2" t="inlineStr">
        <x:is>
          <x:t xml:space="preserve">Sheet riêng cho lớp dược/pharma. Không cộng vào MASTER_ALL mỹ phẩm/hóa mỹ phẩm.</x:t>
        </x:is>
      </x:c>
    </x:row>
  </x:sheetData>
  <x:pageMargins left="0.7" right="0.7" top="0.75" bottom="0.75" header="0.3" footer="0.3"/>
</x:worksheet>
</file>

<file path=xl/worksheets/sheet55.xml><?xml version="1.0" encoding="utf-8"?>
<x:worksheet xmlns:x="http://schemas.openxmlformats.org/spreadsheetml/2006/main">
  <x:sheetFormatPr baseColWidth="8" defaultRowHeight="15"/>
  <x:cols>
    <x:col min="1" max="1" width="10" style="91" customWidth="1"/>
    <x:col min="2" max="2" width="18" style="91" customWidth="1"/>
    <x:col min="3" max="3" width="48" style="91" customWidth="1"/>
    <x:col min="4" max="4" width="26" style="91" customWidth="1"/>
    <x:col min="5" max="5" width="18" style="91" customWidth="1"/>
    <x:col min="6" max="6" width="42" style="91" customWidth="1"/>
    <x:col min="7" max="7" width="20" style="91" customWidth="1"/>
    <x:col min="8" max="8" width="28" style="91" customWidth="1"/>
    <x:col min="9" max="9" width="76" style="91" customWidth="1"/>
    <x:col min="10" max="10" width="76" style="91" customWidth="1"/>
    <x:col min="11" max="11" width="54" style="91" customWidth="1"/>
  </x:cols>
  <x:sheetData>
    <x:row r="1" s="91" customFormat="1" ht="48" customHeight="1">
      <x:c r="A1" s="281" t="inlineStr">
        <x:is>
          <x:t xml:space="preserve">Priority</x:t>
        </x:is>
      </x:c>
      <x:c r="B1" s="281" t="inlineStr">
        <x:is>
          <x:t xml:space="preserve">Brand</x:t>
        </x:is>
      </x:c>
      <x:c r="C1" s="281" t="inlineStr">
        <x:is>
          <x:t xml:space="preserve">Sản phẩm/SKU</x:t>
        </x:is>
      </x:c>
      <x:c r="D1" s="281" t="inlineStr">
        <x:is>
          <x:t xml:space="preserve">Nhóm hóa mỹ phẩm</x:t>
        </x:is>
      </x:c>
      <x:c r="E1" s="281" t="inlineStr">
        <x:is>
          <x:t xml:space="preserve">Kênh thấy bán</x:t>
        </x:is>
      </x:c>
      <x:c r="F1" s="281" t="inlineStr">
        <x:is>
          <x:t xml:space="preserve">Khả năng tuyến pháp lý</x:t>
        </x:is>
      </x:c>
      <x:c r="G1" s="281" t="inlineStr">
        <x:is>
          <x:t xml:space="preserve">Trạng thái truy</x:t>
        </x:is>
      </x:c>
      <x:c r="H1" s="281" t="inlineStr">
        <x:is>
          <x:t xml:space="preserve">Số CBMP</x:t>
        </x:is>
      </x:c>
      <x:c r="I1" s="281" t="inlineStr">
        <x:is>
          <x:t xml:space="preserve">Nguồn retail</x:t>
        </x:is>
      </x:c>
      <x:c r="J1" s="281" t="inlineStr">
        <x:is>
          <x:t xml:space="preserve">Nguồn pháp lý</x:t>
        </x:is>
      </x:c>
      <x:c r="K1" s="281" t="inlineStr">
        <x:is>
          <x:t xml:space="preserve">Ghi chú</x:t>
        </x:is>
      </x:c>
      <x:c r="L1" s="272" t="n"/>
      <x:c r="M1" s="272" t="n"/>
      <x:c r="N1" s="272" t="n"/>
      <x:c r="O1" s="272" t="n"/>
      <x:c r="P1" s="272" t="n"/>
      <x:c r="Q1" s="272" t="n"/>
      <x:c r="R1" s="272" t="n"/>
      <x:c r="S1" s="272" t="n"/>
      <x:c r="T1" s="272" t="n"/>
      <x:c r="U1" s="272" t="n"/>
      <x:c r="V1" s="272" t="n"/>
      <x:c r="W1" s="272" t="n"/>
      <x:c r="X1" s="272" t="n"/>
      <x:c r="Y1" s="272" t="n"/>
      <x:c r="Z1" s="272" t="n"/>
    </x:row>
    <x:row r="2">
      <x:c r="A2" t="inlineStr">
        <x:is>
          <x:t xml:space="preserve">A++</x:t>
        </x:is>
      </x:c>
      <x:c r="B2" t="inlineStr">
        <x:is>
          <x:t xml:space="preserve">CETAPHIL</x:t>
        </x:is>
      </x:c>
      <x:c r="C2" t="inlineStr">
        <x:is>
          <x:t xml:space="preserve">Cetaphil Baby Organic Calendula 400ml</x:t>
        </x:is>
      </x:c>
      <x:c r="D2" t="inlineStr">
        <x:is>
          <x:t xml:space="preserve">Sữa tắm/Gel tắm</x:t>
        </x:is>
      </x:c>
      <x:c r="E2" t="inlineStr">
        <x:is>
          <x:t xml:space="preserve">Watsons</x:t>
        </x:is>
      </x:c>
      <x:c r="F2" t="inlineStr">
        <x:is>
          <x:t xml:space="preserve">Khả năng nhập khẩu → Cục QLD</x:t>
        </x:is>
      </x:c>
      <x:c r="G2" t="inlineStr">
        <x:is>
          <x:t xml:space="preserve">Chưa truy</x:t>
        </x:is>
      </x:c>
      <x:c r="I2" t="inlineStr">
        <x:is>
          <x:t xml:space="preserve">https://www.watsons.vn/vi/tr%E1%BA%BB-em/c/0600000</x:t>
        </x:is>
      </x:c>
      <x:c r="K2" t="inlineStr">
        <x:is>
          <x:t xml:space="preserve">Top baby seller; ưu tiên cao.</x:t>
        </x:is>
      </x:c>
    </x:row>
    <x:row r="3">
      <x:c r="A3" t="inlineStr">
        <x:is>
          <x:t xml:space="preserve">A++</x:t>
        </x:is>
      </x:c>
      <x:c r="B3" t="inlineStr">
        <x:is>
          <x:t xml:space="preserve">CETAPHIL</x:t>
        </x:is>
      </x:c>
      <x:c r="C3" t="inlineStr">
        <x:is>
          <x:t xml:space="preserve">Cetaphil Baby Daily Lotion 400ml</x:t>
        </x:is>
      </x:c>
      <x:c r="D3" t="inlineStr">
        <x:is>
          <x:t xml:space="preserve">Kem dưỡng da</x:t>
        </x:is>
      </x:c>
      <x:c r="E3" t="inlineStr">
        <x:is>
          <x:t xml:space="preserve">Watsons</x:t>
        </x:is>
      </x:c>
      <x:c r="F3" t="inlineStr">
        <x:is>
          <x:t xml:space="preserve">Khả năng nhập khẩu → Cục QLD</x:t>
        </x:is>
      </x:c>
      <x:c r="G3" t="inlineStr">
        <x:is>
          <x:t xml:space="preserve">Chưa truy</x:t>
        </x:is>
      </x:c>
      <x:c r="I3" t="inlineStr">
        <x:is>
          <x:t xml:space="preserve">https://www.watsons.vn/vi/top-b%C3%A1n-ch%E1%BA%A1y-d%C3%A0nh-cho-baby/c/1000002054</x:t>
        </x:is>
      </x:c>
      <x:c r="K3" t="inlineStr">
        <x:is>
          <x:t xml:space="preserve">Top baby seller.</x:t>
        </x:is>
      </x:c>
    </x:row>
    <x:row r="4">
      <x:c r="A4" t="inlineStr">
        <x:is>
          <x:t xml:space="preserve">A++</x:t>
        </x:is>
      </x:c>
      <x:c r="B4" t="inlineStr">
        <x:is>
          <x:t xml:space="preserve">CETAPHIL</x:t>
        </x:is>
      </x:c>
      <x:c r="C4" t="inlineStr">
        <x:is>
          <x:t xml:space="preserve">Cetaphil Baby Shampoo 200ml</x:t>
        </x:is>
      </x:c>
      <x:c r="D4" t="inlineStr">
        <x:is>
          <x:t xml:space="preserve">Dầu gội</x:t>
        </x:is>
      </x:c>
      <x:c r="E4" t="inlineStr">
        <x:is>
          <x:t xml:space="preserve">Watsons</x:t>
        </x:is>
      </x:c>
      <x:c r="F4" t="inlineStr">
        <x:is>
          <x:t xml:space="preserve">Khả năng nhập khẩu → Cục QLD</x:t>
        </x:is>
      </x:c>
      <x:c r="G4" t="inlineStr">
        <x:is>
          <x:t xml:space="preserve">Chưa truy</x:t>
        </x:is>
      </x:c>
      <x:c r="I4" t="inlineStr">
        <x:is>
          <x:t xml:space="preserve">https://www.watsons.vn/vi/tr%E1%BA%BB-em/t%E1%BA%AFm-g%E1%BB%99i/c/0601001</x:t>
        </x:is>
      </x:c>
      <x:c r="K4" t="inlineStr">
        <x:is>
          <x:t xml:space="preserve">Có review; ưu tiên truy CBMP-QLD.</x:t>
        </x:is>
      </x:c>
    </x:row>
    <x:row r="5">
      <x:c r="A5" t="inlineStr">
        <x:is>
          <x:t xml:space="preserve">A++</x:t>
        </x:is>
      </x:c>
      <x:c r="B5" t="inlineStr">
        <x:is>
          <x:t xml:space="preserve">JOHNSON'S</x:t>
        </x:is>
      </x:c>
      <x:c r="C5" t="inlineStr">
        <x:is>
          <x:t xml:space="preserve">Johnson's Baby Massage Oil 200ml</x:t>
        </x:is>
      </x:c>
      <x:c r="D5" t="inlineStr">
        <x:is>
          <x:t xml:space="preserve">Kem body/Dưỡng thể</x:t>
        </x:is>
      </x:c>
      <x:c r="E5" t="inlineStr">
        <x:is>
          <x:t xml:space="preserve">Watsons</x:t>
        </x:is>
      </x:c>
      <x:c r="F5" t="inlineStr">
        <x:is>
          <x:t xml:space="preserve">Cần xác định nội địa hay nhập khẩu theo SKU</x:t>
        </x:is>
      </x:c>
      <x:c r="G5" t="inlineStr">
        <x:is>
          <x:t xml:space="preserve">Chưa truy</x:t>
        </x:is>
      </x:c>
      <x:c r="I5" t="inlineStr">
        <x:is>
          <x:t xml:space="preserve">https://www.watsons.vn/vi/tr%E1%BA%BB-em/c/0600000</x:t>
        </x:is>
      </x:c>
      <x:c r="K5" t="inlineStr">
        <x:is>
          <x:t xml:space="preserve">Mẹ &amp; Bé hóa mỹ phẩm.</x:t>
        </x:is>
      </x:c>
    </x:row>
    <x:row r="6">
      <x:c r="A6" t="inlineStr">
        <x:is>
          <x:t xml:space="preserve">A++</x:t>
        </x:is>
      </x:c>
      <x:c r="B6" t="inlineStr">
        <x:is>
          <x:t xml:space="preserve">JOHNSON'S</x:t>
        </x:is>
      </x:c>
      <x:c r="C6" t="inlineStr">
        <x:is>
          <x:t xml:space="preserve">Johnson's Milk &amp; Rice Baby Bath 500ml</x:t>
        </x:is>
      </x:c>
      <x:c r="D6" t="inlineStr">
        <x:is>
          <x:t xml:space="preserve">Sữa tắm/Gel tắm</x:t>
        </x:is>
      </x:c>
      <x:c r="E6" t="inlineStr">
        <x:is>
          <x:t xml:space="preserve">Watsons</x:t>
        </x:is>
      </x:c>
      <x:c r="F6" t="inlineStr">
        <x:is>
          <x:t xml:space="preserve">Cần xác định nội địa hay nhập khẩu theo SKU</x:t>
        </x:is>
      </x:c>
      <x:c r="G6" t="inlineStr">
        <x:is>
          <x:t xml:space="preserve">Chưa truy</x:t>
        </x:is>
      </x:c>
      <x:c r="I6" t="inlineStr">
        <x:is>
          <x:t xml:space="preserve">https://www.watsons.vn/vi/tr%E1%BA%BB-em/t%E1%BA%AFm-g%E1%BB%99i/c/0601001</x:t>
        </x:is>
      </x:c>
      <x:c r="K6" t="inlineStr">
        <x:is>
          <x:t xml:space="preserve">SKU phổ biến.</x:t>
        </x:is>
      </x:c>
    </x:row>
    <x:row r="7">
      <x:c r="A7" t="inlineStr">
        <x:is>
          <x:t xml:space="preserve">A++</x:t>
        </x:is>
      </x:c>
      <x:c r="B7" t="inlineStr">
        <x:is>
          <x:t xml:space="preserve">LACTACYD</x:t>
        </x:is>
      </x:c>
      <x:c r="C7" t="inlineStr">
        <x:is>
          <x:t xml:space="preserve">Lactacyd Milky 500ml</x:t>
        </x:is>
      </x:c>
      <x:c r="D7" t="inlineStr">
        <x:is>
          <x:t xml:space="preserve">Sữa tắm/Gel tắm</x:t>
        </x:is>
      </x:c>
      <x:c r="E7" t="inlineStr">
        <x:is>
          <x:t xml:space="preserve">Watsons</x:t>
        </x:is>
      </x:c>
      <x:c r="F7" t="inlineStr">
        <x:is>
          <x:t xml:space="preserve">Cần xác định nơi sản xuất</x:t>
        </x:is>
      </x:c>
      <x:c r="G7" t="inlineStr">
        <x:is>
          <x:t xml:space="preserve">Chưa truy</x:t>
        </x:is>
      </x:c>
      <x:c r="I7" t="inlineStr">
        <x:is>
          <x:t xml:space="preserve">https://www.watsons.vn/vi/tr%E1%BA%BB-em/c/0600000</x:t>
        </x:is>
      </x:c>
      <x:c r="K7" t="inlineStr">
        <x:is>
          <x:t xml:space="preserve">Có nhiều dung tích; dedupe theo số CBMP chứ không theo SKU dung tích.</x:t>
        </x:is>
      </x:c>
    </x:row>
    <x:row r="8">
      <x:c r="A8" t="inlineStr">
        <x:is>
          <x:t xml:space="preserve">A++</x:t>
        </x:is>
      </x:c>
      <x:c r="B8" t="inlineStr">
        <x:is>
          <x:t xml:space="preserve">LACTACYD</x:t>
        </x:is>
      </x:c>
      <x:c r="C8" t="inlineStr">
        <x:is>
          <x:t xml:space="preserve">Lactacyd Baby Gentle Care 500ml</x:t>
        </x:is>
      </x:c>
      <x:c r="D8" t="inlineStr">
        <x:is>
          <x:t xml:space="preserve">Sữa tắm/Gel tắm</x:t>
        </x:is>
      </x:c>
      <x:c r="E8" t="inlineStr">
        <x:is>
          <x:t xml:space="preserve">Watsons</x:t>
        </x:is>
      </x:c>
      <x:c r="F8" t="inlineStr">
        <x:is>
          <x:t xml:space="preserve">Cần xác định nơi sản xuất</x:t>
        </x:is>
      </x:c>
      <x:c r="G8" t="inlineStr">
        <x:is>
          <x:t xml:space="preserve">Chưa truy</x:t>
        </x:is>
      </x:c>
      <x:c r="I8" t="inlineStr">
        <x:is>
          <x:t xml:space="preserve">https://www.watsons.vn/vi/tr%E1%BA%BB-em/t%E1%BA%AFm-g%E1%BB%99i/c/0601001</x:t>
        </x:is>
      </x:c>
      <x:c r="K8" t="inlineStr">
        <x:is>
          <x:t xml:space="preserve">Ưu tiên.</x:t>
        </x:is>
      </x:c>
    </x:row>
    <x:row r="9">
      <x:c r="A9" t="inlineStr">
        <x:is>
          <x:t xml:space="preserve">A++</x:t>
        </x:is>
      </x:c>
      <x:c r="B9" t="inlineStr">
        <x:is>
          <x:t xml:space="preserve">BIORE</x:t>
        </x:is>
      </x:c>
      <x:c r="C9" t="inlineStr">
        <x:is>
          <x:t xml:space="preserve">Biore UV Kids Pure Milk SPF50+ PA+++ 70ml</x:t>
        </x:is>
      </x:c>
      <x:c r="D9" t="inlineStr">
        <x:is>
          <x:t xml:space="preserve">Kem chống nắng</x:t>
        </x:is>
      </x:c>
      <x:c r="E9" t="inlineStr">
        <x:is>
          <x:t xml:space="preserve">Watsons</x:t>
        </x:is>
      </x:c>
      <x:c r="F9" t="inlineStr">
        <x:is>
          <x:t xml:space="preserve">Khả năng nhập khẩu hoặc local manufacture cần xác minh</x:t>
        </x:is>
      </x:c>
      <x:c r="G9" t="inlineStr">
        <x:is>
          <x:t xml:space="preserve">Chưa truy</x:t>
        </x:is>
      </x:c>
      <x:c r="I9" t="inlineStr">
        <x:is>
          <x:t xml:space="preserve">https://www.watsons.vn/vi/tr%E1%BA%BB-em/c/0600000</x:t>
        </x:is>
      </x:c>
      <x:c r="K9" t="inlineStr">
        <x:is>
          <x:t xml:space="preserve">Kids sunscreen; category quan trọng.</x:t>
        </x:is>
      </x:c>
    </x:row>
    <x:row r="10">
      <x:c r="A10" t="inlineStr">
        <x:is>
          <x:t xml:space="preserve">A</x:t>
        </x:is>
      </x:c>
      <x:c r="B10" t="inlineStr">
        <x:is>
          <x:t xml:space="preserve">BZU BZU</x:t>
        </x:is>
      </x:c>
      <x:c r="C10" t="inlineStr">
        <x:is>
          <x:t xml:space="preserve">Head-To-Toe Baby Wash Oat &amp; Milk 600ml</x:t>
        </x:is>
      </x:c>
      <x:c r="D10" t="inlineStr">
        <x:is>
          <x:t xml:space="preserve">Sữa tắm/Gel tắm</x:t>
        </x:is>
      </x:c>
      <x:c r="E10" t="inlineStr">
        <x:is>
          <x:t xml:space="preserve">Watsons</x:t>
        </x:is>
      </x:c>
      <x:c r="F10" t="inlineStr">
        <x:is>
          <x:t xml:space="preserve">Khả năng nhập khẩu → Cục QLD</x:t>
        </x:is>
      </x:c>
      <x:c r="G10" t="inlineStr">
        <x:is>
          <x:t xml:space="preserve">Chưa truy</x:t>
        </x:is>
      </x:c>
      <x:c r="I10" t="inlineStr">
        <x:is>
          <x:t xml:space="preserve">https://www.watsons.vn/vi/tr%E1%BA%BB-em/c/0600000</x:t>
        </x:is>
      </x:c>
      <x:c r="K10" t="inlineStr">
        <x:is>
          <x:t xml:space="preserve">Mẹ &amp; Bé.</x:t>
        </x:is>
      </x:c>
    </x:row>
    <x:row r="11">
      <x:c r="A11" t="inlineStr">
        <x:is>
          <x:t xml:space="preserve">A</x:t>
        </x:is>
      </x:c>
      <x:c r="B11" t="inlineStr">
        <x:is>
          <x:t xml:space="preserve">WHITE RAIN</x:t>
        </x:is>
      </x:c>
      <x:c r="C11" t="inlineStr">
        <x:is>
          <x:t xml:space="preserve">Kids 3 In 1 Strawberry Splash 354ml</x:t>
        </x:is>
      </x:c>
      <x:c r="D11" t="inlineStr">
        <x:is>
          <x:t xml:space="preserve">Sữa tắm/Gel tắm</x:t>
        </x:is>
      </x:c>
      <x:c r="E11" t="inlineStr">
        <x:is>
          <x:t xml:space="preserve">Watsons</x:t>
        </x:is>
      </x:c>
      <x:c r="F11" t="inlineStr">
        <x:is>
          <x:t xml:space="preserve">Khả năng nhập khẩu → Cục QLD</x:t>
        </x:is>
      </x:c>
      <x:c r="G11" t="inlineStr">
        <x:is>
          <x:t xml:space="preserve">Chưa truy</x:t>
        </x:is>
      </x:c>
      <x:c r="I11" t="inlineStr">
        <x:is>
          <x:t xml:space="preserve">https://www.watsons.vn/vi/tr%E1%BA%BB-em/t%E1%BA%AFm-g%E1%BB%99i/c/0601001</x:t>
        </x:is>
      </x:c>
      <x:c r="K11" t="inlineStr">
        <x:is>
          <x:t xml:space="preserve">Có biến thể mùi; dedupe pháp lý cẩn thận.</x:t>
        </x:is>
      </x:c>
    </x:row>
    <x:row r="12">
      <x:c r="A12" t="inlineStr">
        <x:is>
          <x:t xml:space="preserve">A</x:t>
        </x:is>
      </x:c>
      <x:c r="B12" t="inlineStr">
        <x:is>
          <x:t xml:space="preserve">CARRIE JUNIOR</x:t>
        </x:is>
      </x:c>
      <x:c r="C12" t="inlineStr">
        <x:is>
          <x:t xml:space="preserve">Groovy Grapeberry 700g</x:t>
        </x:is>
      </x:c>
      <x:c r="D12" t="inlineStr">
        <x:is>
          <x:t xml:space="preserve">Sữa tắm/Gel tắm</x:t>
        </x:is>
      </x:c>
      <x:c r="E12" t="inlineStr">
        <x:is>
          <x:t xml:space="preserve">Watsons</x:t>
        </x:is>
      </x:c>
      <x:c r="F12" t="inlineStr">
        <x:is>
          <x:t xml:space="preserve">Cần xác định tuyến pháp lý</x:t>
        </x:is>
      </x:c>
      <x:c r="G12" t="inlineStr">
        <x:is>
          <x:t xml:space="preserve">Chưa truy</x:t>
        </x:is>
      </x:c>
      <x:c r="I12" t="inlineStr">
        <x:is>
          <x:t xml:space="preserve">https://www.watsons.vn/vi/tr%E1%BA%BB-em/t%E1%BA%AFm-g%E1%BB%99i/c/0601001</x:t>
        </x:is>
      </x:c>
      <x:c r="K12" t="inlineStr">
        <x:is>
          <x:t xml:space="preserve">Mẹ &amp; Bé.</x:t>
        </x:is>
      </x:c>
    </x:row>
    <x:row r="13">
      <x:c r="A13" t="inlineStr">
        <x:is>
          <x:t xml:space="preserve">A</x:t>
        </x:is>
      </x:c>
      <x:c r="B13" t="inlineStr">
        <x:is>
          <x:t xml:space="preserve">SEBAMED</x:t>
        </x:is>
      </x:c>
      <x:c r="C13" t="inlineStr">
        <x:is>
          <x:t xml:space="preserve">Baby Gentle Wash 200ml</x:t>
        </x:is>
      </x:c>
      <x:c r="D13" t="inlineStr">
        <x:is>
          <x:t xml:space="preserve">Sữa tắm/Gel tắm</x:t>
        </x:is>
      </x:c>
      <x:c r="E13" t="inlineStr">
        <x:is>
          <x:t xml:space="preserve">Watsons</x:t>
        </x:is>
      </x:c>
      <x:c r="F13" t="inlineStr">
        <x:is>
          <x:t xml:space="preserve">Khả năng nhập khẩu → Cục QLD</x:t>
        </x:is>
      </x:c>
      <x:c r="G13" t="inlineStr">
        <x:is>
          <x:t xml:space="preserve">Chưa truy</x:t>
        </x:is>
      </x:c>
      <x:c r="I13" t="inlineStr">
        <x:is>
          <x:t xml:space="preserve">https://www.watsons.vn/vi/tr%E1%BA%BB-em/t%E1%BA%AFm-g%E1%BB%99i/c/0601001</x:t>
        </x:is>
      </x:c>
      <x:c r="K13" t="inlineStr">
        <x:is>
          <x:t xml:space="preserve">Mẹ &amp; Bé.</x:t>
        </x:is>
      </x:c>
    </x:row>
    <x:row r="14">
      <x:c r="A14" t="inlineStr">
        <x:is>
          <x:t xml:space="preserve">A++</x:t>
        </x:is>
      </x:c>
      <x:c r="B14" t="inlineStr">
        <x:is>
          <x:t xml:space="preserve">GUARDIAN</x:t>
        </x:is>
      </x:c>
      <x:c r="C14" t="inlineStr">
        <x:is>
          <x:t xml:space="preserve">Guardian Kids Head To Toe Wash Strawberry 750ml</x:t>
        </x:is>
      </x:c>
      <x:c r="D14" t="inlineStr">
        <x:is>
          <x:t xml:space="preserve">Sữa tắm/Gel tắm</x:t>
        </x:is>
      </x:c>
      <x:c r="E14" t="inlineStr">
        <x:is>
          <x:t xml:space="preserve">Guardian</x:t>
        </x:is>
      </x:c>
      <x:c r="F14" t="inlineStr">
        <x:is>
          <x:t xml:space="preserve">Cần xác định nhà SX/xuất xứ → tuyến pháp lý</x:t>
        </x:is>
      </x:c>
      <x:c r="G14" t="inlineStr">
        <x:is>
          <x:t xml:space="preserve">Chưa truy</x:t>
        </x:is>
      </x:c>
      <x:c r="I14" t="inlineStr">
        <x:is>
          <x:t xml:space="preserve">https://www.guardian.com.vn/doc-quyen-guardian/san-pham-guardian/cham-soc-be.html</x:t>
        </x:is>
      </x:c>
      <x:c r="K14" t="inlineStr">
        <x:is>
          <x:t xml:space="preserve">Private label Guardian; ưu tiên vì chuỗi lớn.</x:t>
        </x:is>
      </x:c>
    </x:row>
    <x:row r="15">
      <x:c r="A15" t="inlineStr">
        <x:is>
          <x:t xml:space="preserve">A++</x:t>
        </x:is>
      </x:c>
      <x:c r="B15" t="inlineStr">
        <x:is>
          <x:t xml:space="preserve">GUARDIAN</x:t>
        </x:is>
      </x:c>
      <x:c r="C15" t="inlineStr">
        <x:is>
          <x:t xml:space="preserve">Guardian Kids Head To Toe Wash Orange 750ml</x:t>
        </x:is>
      </x:c>
      <x:c r="D15" t="inlineStr">
        <x:is>
          <x:t xml:space="preserve">Sữa tắm/Gel tắm</x:t>
        </x:is>
      </x:c>
      <x:c r="E15" t="inlineStr">
        <x:is>
          <x:t xml:space="preserve">Guardian</x:t>
        </x:is>
      </x:c>
      <x:c r="F15" t="inlineStr">
        <x:is>
          <x:t xml:space="preserve">Cần xác định nhà SX/xuất xứ → tuyến pháp lý</x:t>
        </x:is>
      </x:c>
      <x:c r="G15" t="inlineStr">
        <x:is>
          <x:t xml:space="preserve">Chưa truy</x:t>
        </x:is>
      </x:c>
      <x:c r="I15" t="inlineStr">
        <x:is>
          <x:t xml:space="preserve">https://www.guardian.com.vn/khuyen-mai-3/cham-soc-co-the-be.html</x:t>
        </x:is>
      </x:c>
      <x:c r="K15" t="inlineStr">
        <x:is>
          <x:t xml:space="preserve">Private label Guardian.</x:t>
        </x:is>
      </x:c>
    </x:row>
    <x:row r="16">
      <x:c r="A16" t="inlineStr">
        <x:is>
          <x:t xml:space="preserve">A++</x:t>
        </x:is>
      </x:c>
      <x:c r="B16" t="inlineStr">
        <x:is>
          <x:t xml:space="preserve">M.O.I</x:t>
        </x:is>
      </x:c>
      <x:c r="C16" t="inlineStr">
        <x:is>
          <x:t xml:space="preserve">M.O.I BABY SKIN POWDER #1/#2</x:t>
        </x:is>
      </x:c>
      <x:c r="D16" t="inlineStr">
        <x:is>
          <x:t xml:space="preserve">Khác</x:t>
        </x:is>
      </x:c>
      <x:c r="E16" t="inlineStr">
        <x:is>
          <x:t xml:space="preserve">Nguồn QC chính thức</x:t>
        </x:is>
      </x:c>
      <x:c r="F16" t="inlineStr">
        <x:is>
          <x:t xml:space="preserve">Nhập khẩu → Cục QLD</x:t>
        </x:is>
      </x:c>
      <x:c r="G16" t="inlineStr">
        <x:is>
          <x:t xml:space="preserve">Đã có số CBMP-QLD</x:t>
        </x:is>
      </x:c>
      <x:c r="H16" t="inlineStr">
        <x:is>
          <x:t xml:space="preserve">207832/23; 224040/24/CBMP-QLD</x:t>
        </x:is>
      </x:c>
      <x:c r="J16" t="inlineStr">
        <x:is>
          <x:t xml:space="preserve">https://tracuu.medinet.org.vn/category/cosodulieukhac/quangcao-mypham</x:t>
        </x:is>
      </x:c>
      <x:c r="K16" t="inlineStr">
        <x:is>
          <x:t xml:space="preserve">Đã chuyển 2 record sang IMPORT_DECLARATIONS; còn cần đối chiếu DAV gốc/thu hồi.</x:t>
        </x:is>
      </x:c>
    </x:row>
  </x:sheetData>
  <x:pageMargins left="0.7" right="0.7" top="0.75" bottom="0.75" header="0.3" footer="0.3"/>
</x:worksheet>
</file>

<file path=xl/worksheets/sheet56.xml><?xml version="1.0" encoding="utf-8"?>
<x:worksheet xmlns:x="http://schemas.openxmlformats.org/spreadsheetml/2006/main">
  <x:sheetFormatPr baseColWidth="8" defaultRowHeight="15"/>
  <x:cols>
    <x:col min="1" max="1" width="8" style="91" customWidth="1"/>
    <x:col min="2" max="2" width="25" style="91" customWidth="1"/>
    <x:col min="3" max="3" width="38" style="91" customWidth="1"/>
    <x:col min="4" max="4" width="54" style="91" customWidth="1"/>
    <x:col min="5" max="5" width="48" style="91" customWidth="1"/>
    <x:col min="6" max="6" width="48" style="91" customWidth="1"/>
    <x:col min="7" max="7" width="58" style="91" customWidth="1"/>
    <x:col min="9" max="9" width="30" style="91" customWidth="1"/>
    <x:col min="10" max="10" width="14" style="91" customWidth="1"/>
    <x:col min="11" max="11" width="14" style="91" customWidth="1"/>
    <x:col min="12" max="12" width="44" style="91" customWidth="1"/>
  </x:cols>
  <x:sheetData>
    <x:row r="1" s="91" customFormat="1" ht="48" customHeight="1">
      <x:c r="A1" s="276" t="inlineStr">
        <x:is>
          <x:t xml:space="preserve">Mức</x:t>
        </x:is>
      </x:c>
      <x:c r="B1" s="276" t="inlineStr">
        <x:is>
          <x:t xml:space="preserve">Đối tượng</x:t>
        </x:is>
      </x:c>
      <x:c r="C1" s="276" t="inlineStr">
        <x:is>
          <x:t xml:space="preserve">Khóa chính</x:t>
        </x:is>
      </x:c>
      <x:c r="D1" s="276" t="inlineStr">
        <x:is>
          <x:t xml:space="preserve">Khóa phụ / Candidate Key</x:t>
        </x:is>
      </x:c>
      <x:c r="E1" s="276" t="inlineStr">
        <x:is>
          <x:t xml:space="preserve">Hành động khi trùng</x:t>
        </x:is>
      </x:c>
      <x:c r="F1" s="276" t="inlineStr">
        <x:is>
          <x:t xml:space="preserve">Không được làm</x:t>
        </x:is>
      </x:c>
      <x:c r="G1" s="276" t="inlineStr">
        <x:is>
          <x:t xml:space="preserve">Ghi chú</x:t>
        </x:is>
      </x:c>
      <x:c r="H1" s="272" t="n"/>
      <x:c r="I1" s="281" t="inlineStr">
        <x:is>
          <x:t xml:space="preserve">AUDIT HIỆN TẠI</x:t>
        </x:is>
      </x:c>
      <x:c r="J1" s="281" t="inlineStr">
        <x:is>
          <x:t xml:space="preserve">Giá trị</x:t>
        </x:is>
      </x:c>
      <x:c r="K1" s="281" t="inlineStr">
        <x:is>
          <x:t xml:space="preserve">Trạng thái</x:t>
        </x:is>
      </x:c>
      <x:c r="L1" s="281" t="inlineStr">
        <x:is>
          <x:t xml:space="preserve">Ý nghĩa</x:t>
        </x:is>
      </x:c>
      <x:c r="M1" s="272" t="n"/>
      <x:c r="N1" s="272" t="n"/>
      <x:c r="O1" s="272" t="n"/>
      <x:c r="P1" s="272" t="n"/>
      <x:c r="Q1" s="272" t="n"/>
      <x:c r="R1" s="272" t="n"/>
      <x:c r="S1" s="272" t="n"/>
      <x:c r="T1" s="272" t="n"/>
      <x:c r="U1" s="272" t="n"/>
      <x:c r="V1" s="272" t="n"/>
      <x:c r="W1" s="272" t="n"/>
      <x:c r="X1" s="272" t="n"/>
      <x:c r="Y1" s="272" t="n"/>
      <x:c r="Z1" s="272" t="n"/>
    </x:row>
    <x:row r="2">
      <x:c r="A2" t="inlineStr">
        <x:is>
          <x:t xml:space="preserve">1</x:t>
        </x:is>
      </x:c>
      <x:c r="B2" t="inlineStr">
        <x:is>
          <x:t xml:space="preserve">Declaration nội địa</x:t>
        </x:is>
      </x:c>
      <x:c r="C2" t="inlineStr">
        <x:is>
          <x:t xml:space="preserve">Số CBMP chuẩn hóa</x:t>
        </x:is>
      </x:c>
      <x:c r="D2" t="inlineStr">
        <x:is>
          <x:t xml:space="preserve">Tên SP + Brand + Công ty chịu trách nhiệm + Nhà SX</x:t>
        </x:is>
      </x:c>
      <x:c r="E2" t="inlineStr">
        <x:is>
          <x:t xml:space="preserve">Trùng CBMP → giữ 1 legal entity, gom nguồn/evidence</x:t>
        </x:is>
      </x:c>
      <x:c r="F2" t="inlineStr">
        <x:is>
          <x:t xml:space="preserve">Không dedupe chỉ bằng tên sản phẩm</x:t>
        </x:is>
      </x:c>
      <x:c r="G2" t="inlineStr">
        <x:is>
          <x:t xml:space="preserve">CBMP là khóa mạnh nhất.</x:t>
        </x:is>
      </x:c>
      <x:c r="I2" t="str">
        <x:v>MASTER_ALL declaration</x:v>
      </x:c>
      <x:c r="J2" t="n">
        <x:v>181</x:v>
      </x:c>
      <x:c r="K2" t="str">
        <x:v>PASS</x:v>
      </x:c>
      <x:c r="L2" t="str">
        <x:v>Public verified clean data</x:v>
      </x:c>
    </x:row>
    <x:row r="3">
      <x:c r="A3" t="inlineStr">
        <x:is>
          <x:t xml:space="preserve">2</x:t>
        </x:is>
      </x:c>
      <x:c r="B3" t="inlineStr">
        <x:is>
          <x:t xml:space="preserve">Declaration nhập khẩu</x:t>
        </x:is>
      </x:c>
      <x:c r="C3" t="inlineStr">
        <x:is>
          <x:t xml:space="preserve">Số CBMP-QLD chuẩn hóa</x:t>
        </x:is>
      </x:c>
      <x:c r="D3" t="inlineStr">
        <x:is>
          <x:t xml:space="preserve">Tên SP + Brand + Đơn vị chịu trách nhiệm tại VN</x:t>
        </x:is>
      </x:c>
      <x:c r="E3" t="inlineStr">
        <x:is>
          <x:t xml:space="preserve">Trùng CBMP-QLD → giữ 1 legal entity</x:t>
        </x:is>
      </x:c>
      <x:c r="F3" t="inlineStr">
        <x:is>
          <x:t xml:space="preserve">Không cộng vào CBMP tỉnh</x:t>
        </x:is>
      </x:c>
      <x:c r="G3" t="inlineStr">
        <x:is>
          <x:t xml:space="preserve">Nằm IMPORT_DECLARATIONS.</x:t>
        </x:is>
      </x:c>
      <x:c r="I3" t="str">
        <x:v>Unique CBMP</x:v>
      </x:c>
      <x:c r="J3" t="n">
        <x:v>181</x:v>
      </x:c>
      <x:c r="K3" t="str">
        <x:v>PASS</x:v>
      </x:c>
      <x:c r="L3" t="str">
        <x:v>Legal primary key</x:v>
      </x:c>
    </x:row>
    <x:row r="4">
      <x:c r="A4" t="inlineStr">
        <x:is>
          <x:t xml:space="preserve">3</x:t>
        </x:is>
      </x:c>
      <x:c r="B4" t="inlineStr">
        <x:is>
          <x:t xml:space="preserve">Record chưa có CBMP</x:t>
        </x:is>
      </x:c>
      <x:c r="C4" t="inlineStr">
        <x:is>
          <x:t xml:space="preserve">Không auto-merge</x:t>
        </x:is>
      </x:c>
      <x:c r="D4" t="inlineStr">
        <x:is>
          <x:t xml:space="preserve">Tên chuẩn hóa + Brand + Công ty + Nhà SX</x:t>
        </x:is>
      </x:c>
      <x:c r="E4" t="inlineStr">
        <x:is>
          <x:t xml:space="preserve">Đánh REVIEW_CANDIDATE, chờ truy pháp lý</x:t>
        </x:is>
      </x:c>
      <x:c r="F4" t="inlineStr">
        <x:is>
          <x:t xml:space="preserve">Không tự xóa/gộp</x:t>
        </x:is>
      </x:c>
      <x:c r="G4" t="inlineStr">
        <x:is>
          <x:t xml:space="preserve">Giữ để thấy khoảng trống thị trường.</x:t>
        </x:is>
      </x:c>
      <x:c r="I4" t="str">
        <x:v>Duplicate CBMP exact</x:v>
      </x:c>
      <x:c r="J4" t="n">
        <x:v>0</x:v>
      </x:c>
      <x:c r="K4" t="str">
        <x:v>PASS</x:v>
      </x:c>
      <x:c r="L4" t="str">
        <x:v>Exact dedupe</x:v>
      </x:c>
    </x:row>
    <x:row r="5">
      <x:c r="A5" t="inlineStr">
        <x:is>
          <x:t xml:space="preserve">4</x:t>
        </x:is>
      </x:c>
      <x:c r="B5" t="inlineStr">
        <x:is>
          <x:t xml:space="preserve">Product Entity</x:t>
        </x:is>
      </x:c>
      <x:c r="C5" t="inlineStr">
        <x:is>
          <x:t xml:space="preserve">Brand + Base Product</x:t>
        </x:is>
      </x:c>
      <x:c r="D5" t="inlineStr">
        <x:is>
          <x:t xml:space="preserve">Tên chuẩn hóa bỏ dung tích/mùi/pack nếu xác định được</x:t>
        </x:is>
      </x:c>
      <x:c r="E5" t="inlineStr">
        <x:is>
          <x:t xml:space="preserve">Gộp các biến thể về 1 PRODUCT_ENTITY_ID</x:t>
        </x:is>
      </x:c>
      <x:c r="F5" t="inlineStr">
        <x:is>
          <x:t xml:space="preserve">Không gộp khác công thức/dòng sản phẩm</x:t>
        </x:is>
      </x:c>
      <x:c r="G5" t="inlineStr">
        <x:is>
          <x:t xml:space="preserve">Entity ≠ legal declaration.</x:t>
        </x:is>
      </x:c>
      <x:c r="I5" t="str">
        <x:v>Hà Nội clean</x:v>
      </x:c>
      <x:c r="J5" t="n">
        <x:v>8</x:v>
      </x:c>
      <x:c r="K5" t="str">
        <x:v>PASS</x:v>
      </x:c>
      <x:c r="L5" t="str">
        <x:v>CBMP-HN verified</x:v>
      </x:c>
    </x:row>
    <x:row r="6">
      <x:c r="A6" t="inlineStr">
        <x:is>
          <x:t xml:space="preserve">5</x:t>
        </x:is>
      </x:c>
      <x:c r="B6" t="inlineStr">
        <x:is>
          <x:t xml:space="preserve">Variant/SKU</x:t>
        </x:is>
      </x:c>
      <x:c r="C6" t="inlineStr">
        <x:is>
          <x:t xml:space="preserve">PRODUCT_ENTITY_ID + size + scent + pack/formula</x:t>
        </x:is>
      </x:c>
      <x:c r="D6" t="inlineStr">
        <x:is>
          <x:t xml:space="preserve">EAN/Barcode/Seller SKU nếu có</x:t>
        </x:is>
      </x:c>
      <x:c r="E6" t="inlineStr">
        <x:is>
          <x:t xml:space="preserve">Mỗi biến thể giữ VARIANT_ID riêng</x:t>
        </x:is>
      </x:c>
      <x:c r="F6" t="inlineStr">
        <x:is>
          <x:t xml:space="preserve">Không coi 2 dung tích là 2 legal products nếu cùng CBMP</x:t>
        </x:is>
      </x:c>
      <x:c r="G6" t="inlineStr">
        <x:is>
          <x:t xml:space="preserve">Phục vụ retail/e-commerce.</x:t>
        </x:is>
      </x:c>
      <x:c r="I6" t="str">
        <x:v>PIF scope</x:v>
      </x:c>
      <x:c r="J6" t="str">
        <x:v>OUT</x:v>
      </x:c>
      <x:c r="K6" t="str">
        <x:v>PASS</x:v>
      </x:c>
      <x:c r="L6" t="str">
        <x:v>Không thu thập</x:v>
      </x:c>
    </x:row>
    <x:row r="7">
      <x:c r="A7" t="inlineStr">
        <x:is>
          <x:t xml:space="preserve">6</x:t>
        </x:is>
      </x:c>
      <x:c r="B7" t="inlineStr">
        <x:is>
          <x:t xml:space="preserve">Brand</x:t>
        </x:is>
      </x:c>
      <x:c r="C7" t="inlineStr">
        <x:is>
          <x:t xml:space="preserve">Tên brand chuẩn hóa</x:t>
        </x:is>
      </x:c>
      <x:c r="D7" t="inlineStr">
        <x:is>
          <x:t xml:space="preserve">Owner/Responsible company</x:t>
        </x:is>
      </x:c>
      <x:c r="E7" t="inlineStr">
        <x:is>
          <x:t xml:space="preserve">Gom alias chính tả vào BRAND_ID</x:t>
        </x:is>
      </x:c>
      <x:c r="F7" t="inlineStr">
        <x:is>
          <x:t xml:space="preserve">Không gộp brand khác nhau cùng nhà máy</x:t>
        </x:is>
      </x:c>
      <x:c r="G7" t="inlineStr">
        <x:is>
          <x:t xml:space="preserve">Một nhà máy có thể làm hàng trăm brand.</x:t>
        </x:is>
      </x:c>
      <x:c r="I7" t="str">
        <x:v>PIF scope</x:v>
      </x:c>
      <x:c r="J7" t="str">
        <x:v>OUT</x:v>
      </x:c>
      <x:c r="K7" t="str">
        <x:v>PASS</x:v>
      </x:c>
      <x:c r="L7" t="str">
        <x:v>Không thu thập</x:v>
      </x:c>
    </x:row>
    <x:row r="8">
      <x:c r="A8" t="inlineStr">
        <x:is>
          <x:t xml:space="preserve">7</x:t>
        </x:is>
      </x:c>
      <x:c r="B8" t="inlineStr">
        <x:is>
          <x:t xml:space="preserve">Factory</x:t>
        </x:is>
      </x:c>
      <x:c r="C8" t="inlineStr">
        <x:is>
          <x:t xml:space="preserve">Tên pháp nhân/cơ sở + số ĐKSXMP</x:t>
        </x:is>
      </x:c>
      <x:c r="D8" t="inlineStr">
        <x:is>
          <x:t xml:space="preserve">Địa chỉ + MST nếu có</x:t>
        </x:is>
      </x:c>
      <x:c r="E8" t="inlineStr">
        <x:is>
          <x:t xml:space="preserve">Gom alias tên nhà máy vào FACTORY_ID</x:t>
        </x:is>
      </x:c>
      <x:c r="F8" t="inlineStr">
        <x:is>
          <x:t xml:space="preserve">Không gộp sản phẩm theo nhà máy</x:t>
        </x:is>
      </x:c>
      <x:c r="G8" t="inlineStr">
        <x:is>
          <x:t xml:space="preserve">Factory là node quan hệ, không phải product key.</x:t>
        </x:is>
      </x:c>
    </x:row>
    <x:row r="9">
      <x:c r="A9" t="inlineStr">
        <x:is>
          <x:t xml:space="preserve">8</x:t>
        </x:is>
      </x:c>
      <x:c r="B9" t="inlineStr">
        <x:is>
          <x:t xml:space="preserve">Offline listing</x:t>
        </x:is>
      </x:c>
      <x:c r="C9" t="inlineStr">
        <x:is>
          <x:t xml:space="preserve">Chain + store/location + SKU/variant + ngày quan sát</x:t>
        </x:is>
      </x:c>
      <x:c r="D9" t="inlineStr">
        <x:is>
          <x:t xml:space="preserve">Barcode/SKU</x:t>
        </x:is>
      </x:c>
      <x:c r="E9" t="inlineStr">
        <x:is>
          <x:t xml:space="preserve">Giữ từng CHANNEL_LISTING_ID</x:t>
        </x:is>
      </x:c>
      <x:c r="F9" t="inlineStr">
        <x:is>
          <x:t xml:space="preserve">Không cộng listing thành declaration</x:t>
        </x:is>
      </x:c>
      <x:c r="G9" t="inlineStr">
        <x:is>
          <x:t xml:space="preserve">Một SKU có thể xuất hiện nhiều chuỗi.</x:t>
        </x:is>
      </x:c>
    </x:row>
    <x:row r="10">
      <x:c r="A10" t="inlineStr">
        <x:is>
          <x:t xml:space="preserve">9</x:t>
        </x:is>
      </x:c>
      <x:c r="B10" t="inlineStr">
        <x:is>
          <x:t xml:space="preserve">Online listing</x:t>
        </x:is>
      </x:c>
      <x:c r="C10" t="inlineStr">
        <x:is>
          <x:t xml:space="preserve">Platform + seller + listing URL/SKU</x:t>
        </x:is>
      </x:c>
      <x:c r="D10" t="inlineStr">
        <x:is>
          <x:t xml:space="preserve">Product/variant key</x:t>
        </x:is>
      </x:c>
      <x:c r="E10" t="inlineStr">
        <x:is>
          <x:t xml:space="preserve">Giữ từng CHANNEL_LISTING_ID</x:t>
        </x:is>
      </x:c>
      <x:c r="F10" t="inlineStr">
        <x:is>
          <x:t xml:space="preserve">Không coi 5 sàn = 5 sản phẩm</x:t>
        </x:is>
      </x:c>
      <x:c r="G10" t="inlineStr">
        <x:is>
          <x:t xml:space="preserve">Dùng tín hiệu độ phủ online.</x:t>
        </x:is>
      </x:c>
    </x:row>
    <x:row r="11">
      <x:c r="A11" t="inlineStr">
        <x:is>
          <x:t xml:space="preserve">10</x:t>
        </x:is>
      </x:c>
      <x:c r="B11" t="inlineStr">
        <x:is>
          <x:t xml:space="preserve">Missing declaration queue</x:t>
        </x:is>
      </x:c>
      <x:c r="C11" t="inlineStr">
        <x:is>
          <x:t xml:space="preserve">Product/variant + market evidence</x:t>
        </x:is>
      </x:c>
      <x:c r="D11" t="inlineStr">
        <x:is>
          <x:t xml:space="preserve">Brand + company/factory guess</x:t>
        </x:is>
      </x:c>
      <x:c r="E11" t="inlineStr">
        <x:is>
          <x:t xml:space="preserve">Không xóa; ưu tiên truy bù theo số kênh</x:t>
        </x:is>
      </x:c>
      <x:c r="F11" t="inlineStr">
        <x:is>
          <x:t xml:space="preserve">Không mặc nhiên kết luận bất hợp pháp</x:t>
        </x:is>
      </x:c>
      <x:c r="G11" t="inlineStr">
        <x:is>
          <x:t xml:space="preserve">Chỉ là 'chưa tìm thấy công bố' tại thời điểm kiểm tra.</x:t>
        </x:is>
      </x:c>
    </x:row>
  </x:sheetData>
  <x:pageMargins left="0.7" right="0.7" top="0.75" bottom="0.75" header="0.3" footer="0.3"/>
</x:worksheet>
</file>

<file path=xl/worksheets/sheet57.xml><?xml version="1.0" encoding="utf-8"?>
<x:worksheet xmlns:x="http://schemas.openxmlformats.org/spreadsheetml/2006/main">
  <x:sheetFormatPr baseColWidth="8" defaultRowHeight="15"/>
  <x:cols>
    <x:col min="1" max="1" width="12" style="91" customWidth="1"/>
    <x:col min="2" max="2" width="20" style="91" customWidth="1"/>
    <x:col min="3" max="3" width="22" style="91" customWidth="1"/>
    <x:col min="4" max="4" width="12" style="91" customWidth="1"/>
    <x:col min="5" max="5" width="32" style="91" customWidth="1"/>
    <x:col min="6" max="6" width="32" style="91" customWidth="1"/>
    <x:col min="7" max="7" width="48" style="91" customWidth="1"/>
    <x:col min="8" max="8" width="48" style="91" customWidth="1"/>
    <x:col min="9" max="9" width="34" style="91" customWidth="1"/>
    <x:col min="10" max="10" width="34" style="91" customWidth="1"/>
    <x:col min="11" max="11" width="34" style="91" customWidth="1"/>
    <x:col min="12" max="12" width="28" style="91" customWidth="1"/>
    <x:col min="13" max="13" width="24" style="91" customWidth="1"/>
    <x:col min="14" max="14" width="16" style="91" customWidth="1"/>
    <x:col min="15" max="15" width="46" style="91" customWidth="1"/>
    <x:col min="16" max="16" width="22" style="91" customWidth="1"/>
    <x:col min="17" max="17" width="24" style="91" customWidth="1"/>
    <x:col min="18" max="18" width="60" style="91" customWidth="1"/>
  </x:cols>
  <x:sheetData>
    <x:row r="1" s="91" customFormat="1" ht="48" customHeight="1">
      <x:c r="A1" s="280" t="inlineStr">
        <x:is>
          <x:t xml:space="preserve">INDEX_ID</x:t>
        </x:is>
      </x:c>
      <x:c r="B1" s="280" t="inlineStr">
        <x:is>
          <x:t xml:space="preserve">Data Layer</x:t>
        </x:is>
      </x:c>
      <x:c r="C1" s="280" t="inlineStr">
        <x:is>
          <x:t xml:space="preserve">Source Sheet</x:t>
        </x:is>
      </x:c>
      <x:c r="D1" s="280" t="inlineStr">
        <x:is>
          <x:t xml:space="preserve">Source Row</x:t>
        </x:is>
      </x:c>
      <x:c r="E1" s="280" t="inlineStr">
        <x:is>
          <x:t xml:space="preserve">Legal ID</x:t>
        </x:is>
      </x:c>
      <x:c r="F1" s="280" t="inlineStr">
        <x:is>
          <x:t xml:space="preserve">Legal Key</x:t>
        </x:is>
      </x:c>
      <x:c r="G1" s="280" t="inlineStr">
        <x:is>
          <x:t xml:space="preserve">Product Entity Key</x:t>
        </x:is>
      </x:c>
      <x:c r="H1" s="280" t="inlineStr">
        <x:is>
          <x:t xml:space="preserve">Variant Key (provisional)</x:t>
        </x:is>
      </x:c>
      <x:c r="I1" s="280" t="inlineStr">
        <x:is>
          <x:t xml:space="preserve">Brand Key</x:t>
        </x:is>
      </x:c>
      <x:c r="J1" s="280" t="inlineStr">
        <x:is>
          <x:t xml:space="preserve">Responsible Company Key</x:t>
        </x:is>
      </x:c>
      <x:c r="K1" s="280" t="inlineStr">
        <x:is>
          <x:t xml:space="preserve">Factory Key</x:t>
        </x:is>
      </x:c>
      <x:c r="L1" s="280" t="inlineStr">
        <x:is>
          <x:t xml:space="preserve">Channel Listing Key</x:t>
        </x:is>
      </x:c>
      <x:c r="M1" s="280" t="inlineStr">
        <x:is>
          <x:t xml:space="preserve">Duplicate Status</x:t>
        </x:is>
      </x:c>
      <x:c r="N1" s="280" t="inlineStr">
        <x:is>
          <x:t xml:space="preserve">Match Confidence</x:t>
        </x:is>
      </x:c>
      <x:c r="O1" s="280" t="inlineStr">
        <x:is>
          <x:t xml:space="preserve">Tên sản phẩm</x:t>
        </x:is>
      </x:c>
      <x:c r="P1" s="280" t="inlineStr">
        <x:is>
          <x:t xml:space="preserve">Brand</x:t>
        </x:is>
      </x:c>
      <x:c r="Q1" s="280" t="inlineStr">
        <x:is>
          <x:t xml:space="preserve">Số CBMP</x:t>
        </x:is>
      </x:c>
      <x:c r="R1" s="280" t="inlineStr">
        <x:is>
          <x:t xml:space="preserve">Ghi chú</x:t>
        </x:is>
      </x:c>
      <x:c r="S1" s="272" t="n"/>
      <x:c r="T1" s="272" t="n"/>
      <x:c r="U1" s="272" t="n"/>
      <x:c r="V1" s="272" t="n"/>
      <x:c r="W1" s="272" t="n"/>
      <x:c r="X1" s="272" t="n"/>
      <x:c r="Y1" s="272" t="n"/>
      <x:c r="Z1" s="272" t="n"/>
    </x:row>
    <x:row r="2">
      <x:c r="A2" t="str">
        <x:v>EI-00001</x:v>
      </x:c>
      <x:c r="B2" t="str">
        <x:v>LOCAL_DECLARATION</x:v>
      </x:c>
      <x:c r="C2" t="str">
        <x:v>MASTER_ALL</x:v>
      </x:c>
      <x:c r="D2" t="n">
        <x:v>2</x:v>
      </x:c>
      <x:c r="E2" t="str">
        <x:v>LOCAL-290822CBMPHCM</x:v>
      </x:c>
      <x:c r="F2" t="str">
        <x:v>290822cbmphcm</x:v>
      </x:c>
      <x:c r="G2" t="str">
        <x:v>hamocanh|hamocanhkembodysua</x:v>
      </x:c>
      <x:c r="H2" t="str">
        <x:v>hamocanh|hamocanhkembodysua</x:v>
      </x:c>
      <x:c r="I2" t="str">
        <x:v>hamocanh</x:v>
      </x:c>
      <x:c r="J2" t="str">
        <x:v>congtytnhhladywhite</x:v>
      </x:c>
      <x:c r="K2" t="str"/>
      <x:c r="L2" t="str"/>
      <x:c r="M2" t="str">
        <x:v>UNIQUE_BY_CBMP</x:v>
      </x:c>
      <x:c r="N2" s="321" t="n">
        <x:v>1</x:v>
      </x:c>
      <x:c r="O2" t="str">
        <x:v>Hà Mộc Anh - Kem Body sữa</x:v>
      </x:c>
      <x:c r="P2" t="str">
        <x:v>Hà Mộc Anh</x:v>
      </x:c>
      <x:c r="Q2" t="str">
        <x:v>2908/22/CBMP-HCM</x:v>
      </x:c>
      <x:c r="R2" t="str">
        <x:v>Public verified declaration.</x:v>
      </x:c>
    </x:row>
    <x:row r="3">
      <x:c r="A3" t="str">
        <x:v>EI-00002</x:v>
      </x:c>
      <x:c r="B3" t="str">
        <x:v>LOCAL_DECLARATION</x:v>
      </x:c>
      <x:c r="C3" t="str">
        <x:v>MASTER_ALL</x:v>
      </x:c>
      <x:c r="D3" t="n">
        <x:v>3</x:v>
      </x:c>
      <x:c r="E3" t="str">
        <x:v>LOCAL-293622CBMPHCM</x:v>
      </x:c>
      <x:c r="F3" t="str">
        <x:v>293622cbmphcm</x:v>
      </x:c>
      <x:c r="G3" t="str">
        <x:v>akzona|akzonadaugoicollagenkeratin</x:v>
      </x:c>
      <x:c r="H3" t="str">
        <x:v>akzona|akzonadaugoicollagenkeratin</x:v>
      </x:c>
      <x:c r="I3" t="str">
        <x:v>akzona</x:v>
      </x:c>
      <x:c r="J3" t="str">
        <x:v>congtytnhhthuongmaidichvusanxuatmyphamazona</x:v>
      </x:c>
      <x:c r="K3" t="str"/>
      <x:c r="L3" t="str"/>
      <x:c r="M3" t="str">
        <x:v>UNIQUE_BY_CBMP</x:v>
      </x:c>
      <x:c r="N3" s="321" t="n">
        <x:v>1</x:v>
      </x:c>
      <x:c r="O3" t="str">
        <x:v>Akzona - Dầu gội Collagen Keratin</x:v>
      </x:c>
      <x:c r="P3" t="str">
        <x:v>Akzona</x:v>
      </x:c>
      <x:c r="Q3" t="str">
        <x:v>2936/22/CBMP-HCM</x:v>
      </x:c>
      <x:c r="R3" t="str">
        <x:v>Public verified declaration.</x:v>
      </x:c>
    </x:row>
    <x:row r="4">
      <x:c r="A4" t="str">
        <x:v>EI-00003</x:v>
      </x:c>
      <x:c r="B4" t="str">
        <x:v>LOCAL_DECLARATION</x:v>
      </x:c>
      <x:c r="C4" t="str">
        <x:v>MASTER_ALL</x:v>
      </x:c>
      <x:c r="D4" t="n">
        <x:v>4</x:v>
      </x:c>
      <x:c r="E4" t="str">
        <x:v>LOCAL-0124CBMPHD</x:v>
      </x:c>
      <x:c r="F4" t="str">
        <x:v>0124cbmphd</x:v>
      </x:c>
      <x:c r="G4" t="str">
        <x:v>samvietnam|daugoithaomocsamsavina2in1formen</x:v>
      </x:c>
      <x:c r="H4" t="str">
        <x:v>samvietnam|daugoithaomocsamsavina2in1formen</x:v>
      </x:c>
      <x:c r="I4" t="str">
        <x:v>samvietnam</x:v>
      </x:c>
      <x:c r="J4" t="str">
        <x:v>congtytnhhsanxuatvathuongmaisamvietnam</x:v>
      </x:c>
      <x:c r="K4" t="str"/>
      <x:c r="L4" t="str"/>
      <x:c r="M4" t="str">
        <x:v>UNIQUE_BY_CBMP</x:v>
      </x:c>
      <x:c r="N4" s="321" t="n">
        <x:v>1</x:v>
      </x:c>
      <x:c r="O4" t="str">
        <x:v>DẦU GỘI THẢO MỘC SÂM SAVINA 2 IN 1 (FORMEN)</x:v>
      </x:c>
      <x:c r="P4" t="str">
        <x:v>SÂM VIỆT NAM</x:v>
      </x:c>
      <x:c r="Q4" t="str">
        <x:v>01/24/CBMP-HD</x:v>
      </x:c>
      <x:c r="R4" t="str">
        <x:v>Public verified declaration.</x:v>
      </x:c>
    </x:row>
    <x:row r="5">
      <x:c r="A5" t="str">
        <x:v>EI-00004</x:v>
      </x:c>
      <x:c r="B5" t="str">
        <x:v>LOCAL_DECLARATION</x:v>
      </x:c>
      <x:c r="C5" t="str">
        <x:v>MASTER_ALL</x:v>
      </x:c>
      <x:c r="D5" t="n">
        <x:v>5</x:v>
      </x:c>
      <x:c r="E5" t="str">
        <x:v>LOCAL-0224CBMPHD</x:v>
      </x:c>
      <x:c r="F5" t="str">
        <x:v>0224cbmphd</x:v>
      </x:c>
      <x:c r="G5" t="str">
        <x:v>samvietnam|daugoithaomocsamsavina</x:v>
      </x:c>
      <x:c r="H5" t="str">
        <x:v>samvietnam|daugoithaomocsamsavina</x:v>
      </x:c>
      <x:c r="I5" t="str">
        <x:v>samvietnam</x:v>
      </x:c>
      <x:c r="J5" t="str">
        <x:v>congtytnhhsanxuatvathuongmaisamvietnam</x:v>
      </x:c>
      <x:c r="K5" t="str"/>
      <x:c r="L5" t="str"/>
      <x:c r="M5" t="str">
        <x:v>UNIQUE_BY_CBMP</x:v>
      </x:c>
      <x:c r="N5" s="321" t="n">
        <x:v>1</x:v>
      </x:c>
      <x:c r="O5" t="str">
        <x:v>DẦU GỘI THẢO MỘC SÂM SAVINA</x:v>
      </x:c>
      <x:c r="P5" t="str">
        <x:v>SÂM VIỆT NAM</x:v>
      </x:c>
      <x:c r="Q5" t="str">
        <x:v>02/24/CBMP-HD</x:v>
      </x:c>
      <x:c r="R5" t="str">
        <x:v>Public verified declaration.</x:v>
      </x:c>
    </x:row>
    <x:row r="6">
      <x:c r="A6" t="str">
        <x:v>EI-00005</x:v>
      </x:c>
      <x:c r="B6" t="str">
        <x:v>LOCAL_DECLARATION</x:v>
      </x:c>
      <x:c r="C6" t="str">
        <x:v>MASTER_ALL</x:v>
      </x:c>
      <x:c r="D6" t="n">
        <x:v>6</x:v>
      </x:c>
      <x:c r="E6" t="str">
        <x:v>LOCAL-0324CBMPHD</x:v>
      </x:c>
      <x:c r="F6" t="str">
        <x:v>0324cbmphd</x:v>
      </x:c>
      <x:c r="G6" t="str">
        <x:v>samvietnam|dauxathaomocsamsavina</x:v>
      </x:c>
      <x:c r="H6" t="str">
        <x:v>samvietnam|dauxathaomocsamsavina</x:v>
      </x:c>
      <x:c r="I6" t="str">
        <x:v>samvietnam</x:v>
      </x:c>
      <x:c r="J6" t="str">
        <x:v>congtytnhhsanxuatvathuongmaisamvietnam</x:v>
      </x:c>
      <x:c r="K6" t="str"/>
      <x:c r="L6" t="str"/>
      <x:c r="M6" t="str">
        <x:v>UNIQUE_BY_CBMP</x:v>
      </x:c>
      <x:c r="N6" s="321" t="n">
        <x:v>1</x:v>
      </x:c>
      <x:c r="O6" t="str">
        <x:v>DẦU XẢ THẢO MỘC SÂM SAVINA</x:v>
      </x:c>
      <x:c r="P6" t="str">
        <x:v>SÂM VIỆT NAM</x:v>
      </x:c>
      <x:c r="Q6" t="str">
        <x:v>03/24/CBMP-HD</x:v>
      </x:c>
      <x:c r="R6" t="str">
        <x:v>Public verified declaration.</x:v>
      </x:c>
    </x:row>
    <x:row r="7">
      <x:c r="A7" t="str">
        <x:v>EI-00006</x:v>
      </x:c>
      <x:c r="B7" t="str">
        <x:v>LOCAL_DECLARATION</x:v>
      </x:c>
      <x:c r="C7" t="str">
        <x:v>MASTER_ALL</x:v>
      </x:c>
      <x:c r="D7" t="n">
        <x:v>7</x:v>
      </x:c>
      <x:c r="E7" t="str">
        <x:v>LOCAL-0424CBMPHD</x:v>
      </x:c>
      <x:c r="F7" t="str">
        <x:v>0424cbmphd</x:v>
      </x:c>
      <x:c r="G7" t="str">
        <x:v>mocthienphuoc|suatamduoclieumocthienphuoc</x:v>
      </x:c>
      <x:c r="H7" t="str">
        <x:v>mocthienphuoc|suatamduoclieumocthienphuoc</x:v>
      </x:c>
      <x:c r="I7" t="str">
        <x:v>mocthienphuoc</x:v>
      </x:c>
      <x:c r="J7" t="str">
        <x:v>congtycpduocmyphamthienphuoc</x:v>
      </x:c>
      <x:c r="K7" t="str"/>
      <x:c r="L7" t="str"/>
      <x:c r="M7" t="str">
        <x:v>UNIQUE_BY_CBMP</x:v>
      </x:c>
      <x:c r="N7" s="321" t="n">
        <x:v>1</x:v>
      </x:c>
      <x:c r="O7" t="str">
        <x:v>SỮA TẮM DƯỢC LIỆU MỘC THIÊN PHƯỚC</x:v>
      </x:c>
      <x:c r="P7" t="str">
        <x:v>MỘC THIÊN PHƯỚC</x:v>
      </x:c>
      <x:c r="Q7" t="str">
        <x:v>04/24/CBMP-HD</x:v>
      </x:c>
      <x:c r="R7" t="str">
        <x:v>Public verified declaration.</x:v>
      </x:c>
    </x:row>
    <x:row r="8">
      <x:c r="A8" t="str">
        <x:v>EI-00007</x:v>
      </x:c>
      <x:c r="B8" t="str">
        <x:v>LOCAL_DECLARATION</x:v>
      </x:c>
      <x:c r="C8" t="str">
        <x:v>MASTER_ALL</x:v>
      </x:c>
      <x:c r="D8" t="n">
        <x:v>8</x:v>
      </x:c>
      <x:c r="E8" t="str">
        <x:v>LOCAL-0524CBMPHD</x:v>
      </x:c>
      <x:c r="F8" t="str">
        <x:v>0524cbmphd</x:v>
      </x:c>
      <x:c r="G8" t="str">
        <x:v>mocthienphuoc|dauxaduoclieu</x:v>
      </x:c>
      <x:c r="H8" t="str">
        <x:v>mocthienphuoc|dauxaduoclieu</x:v>
      </x:c>
      <x:c r="I8" t="str">
        <x:v>mocthienphuoc</x:v>
      </x:c>
      <x:c r="J8" t="str">
        <x:v>congtycpduocmyphamthienphuoc</x:v>
      </x:c>
      <x:c r="K8" t="str"/>
      <x:c r="L8" t="str"/>
      <x:c r="M8" t="str">
        <x:v>UNIQUE_BY_CBMP</x:v>
      </x:c>
      <x:c r="N8" s="321" t="n">
        <x:v>1</x:v>
      </x:c>
      <x:c r="O8" t="str">
        <x:v>DẦU XẢ DƯỢC LIỆU</x:v>
      </x:c>
      <x:c r="P8" t="str">
        <x:v>MỘC THIÊN PHƯỚC</x:v>
      </x:c>
      <x:c r="Q8" t="str">
        <x:v>05/24/CBMP-HD</x:v>
      </x:c>
      <x:c r="R8" t="str">
        <x:v>Public verified declaration.</x:v>
      </x:c>
    </x:row>
    <x:row r="9">
      <x:c r="A9" t="str">
        <x:v>EI-00008</x:v>
      </x:c>
      <x:c r="B9" t="str">
        <x:v>LOCAL_DECLARATION</x:v>
      </x:c>
      <x:c r="C9" t="str">
        <x:v>MASTER_ALL</x:v>
      </x:c>
      <x:c r="D9" t="n">
        <x:v>9</x:v>
      </x:c>
      <x:c r="E9" t="str">
        <x:v>LOCAL-0624CBMPHD</x:v>
      </x:c>
      <x:c r="F9" t="str">
        <x:v>0624cbmphd</x:v>
      </x:c>
      <x:c r="G9" t="str">
        <x:v>mocthienphuoc|daugoiduoclieu</x:v>
      </x:c>
      <x:c r="H9" t="str">
        <x:v>mocthienphuoc|daugoiduoclieu</x:v>
      </x:c>
      <x:c r="I9" t="str">
        <x:v>mocthienphuoc</x:v>
      </x:c>
      <x:c r="J9" t="str">
        <x:v>congtycpduocmyphamthienphuoc</x:v>
      </x:c>
      <x:c r="K9" t="str"/>
      <x:c r="L9" t="str"/>
      <x:c r="M9" t="str">
        <x:v>UNIQUE_BY_CBMP</x:v>
      </x:c>
      <x:c r="N9" s="321" t="n">
        <x:v>1</x:v>
      </x:c>
      <x:c r="O9" t="str">
        <x:v>DẦU GỘI DƯỢC LIỆU</x:v>
      </x:c>
      <x:c r="P9" t="str">
        <x:v>MỘC THIÊN PHƯỚC</x:v>
      </x:c>
      <x:c r="Q9" t="str">
        <x:v>06/24/CBMP-HD</x:v>
      </x:c>
      <x:c r="R9" t="str">
        <x:v>Public verified declaration.</x:v>
      </x:c>
    </x:row>
    <x:row r="10">
      <x:c r="A10" t="str">
        <x:v>EI-00009</x:v>
      </x:c>
      <x:c r="B10" t="str">
        <x:v>LOCAL_DECLARATION</x:v>
      </x:c>
      <x:c r="C10" t="str">
        <x:v>MASTER_ALL</x:v>
      </x:c>
      <x:c r="D10" t="n">
        <x:v>10</x:v>
      </x:c>
      <x:c r="E10" t="str">
        <x:v>LOCAL-0724CBMPHD</x:v>
      </x:c>
      <x:c r="F10" t="str">
        <x:v>0724cbmphd</x:v>
      </x:c>
      <x:c r="G10" t="str">
        <x:v>mocthienphuoc|daugoiduoclieumocthienphuoc</x:v>
      </x:c>
      <x:c r="H10" t="str">
        <x:v>mocthienphuoc|daugoiduoclieumocthienphuoc</x:v>
      </x:c>
      <x:c r="I10" t="str">
        <x:v>mocthienphuoc</x:v>
      </x:c>
      <x:c r="J10" t="str">
        <x:v>congtycpduocmyphamthienphuoc</x:v>
      </x:c>
      <x:c r="K10" t="str"/>
      <x:c r="L10" t="str"/>
      <x:c r="M10" t="str">
        <x:v>UNIQUE_BY_CBMP</x:v>
      </x:c>
      <x:c r="N10" s="321" t="n">
        <x:v>1</x:v>
      </x:c>
      <x:c r="O10" t="str">
        <x:v>DẦU GỘI DƯỢC LIỆU MỘC THIÊN PHƯỚC</x:v>
      </x:c>
      <x:c r="P10" t="str">
        <x:v>MỘC THIÊN PHƯỚC</x:v>
      </x:c>
      <x:c r="Q10" t="str">
        <x:v>07/24/CBMP-HD</x:v>
      </x:c>
      <x:c r="R10" t="str">
        <x:v>Public verified declaration.</x:v>
      </x:c>
    </x:row>
    <x:row r="11">
      <x:c r="A11" t="str">
        <x:v>EI-00010</x:v>
      </x:c>
      <x:c r="B11" t="str">
        <x:v>LOCAL_DECLARATION</x:v>
      </x:c>
      <x:c r="C11" t="str">
        <x:v>MASTER_ALL</x:v>
      </x:c>
      <x:c r="D11" t="n">
        <x:v>11</x:v>
      </x:c>
      <x:c r="E11" t="str">
        <x:v>LOCAL-0824CBMPHD</x:v>
      </x:c>
      <x:c r="F11" t="str">
        <x:v>0824cbmphd</x:v>
      </x:c>
      <x:c r="G11" t="str">
        <x:v>mocthienphuoc|dauxaduoclieumocthienphuoc</x:v>
      </x:c>
      <x:c r="H11" t="str">
        <x:v>mocthienphuoc|dauxaduoclieumocthienphuoc</x:v>
      </x:c>
      <x:c r="I11" t="str">
        <x:v>mocthienphuoc</x:v>
      </x:c>
      <x:c r="J11" t="str">
        <x:v>congtycpduocmyphamthienphuoc</x:v>
      </x:c>
      <x:c r="K11" t="str"/>
      <x:c r="L11" t="str"/>
      <x:c r="M11" t="str">
        <x:v>UNIQUE_BY_CBMP</x:v>
      </x:c>
      <x:c r="N11" s="321" t="n">
        <x:v>1</x:v>
      </x:c>
      <x:c r="O11" t="str">
        <x:v>DẦU XẢ DƯỢC LIỆU MỘC THIÊN PHƯỚC</x:v>
      </x:c>
      <x:c r="P11" t="str">
        <x:v>MỘC THIÊN PHƯỚC</x:v>
      </x:c>
      <x:c r="Q11" t="str">
        <x:v>08/24/CBMP-HD</x:v>
      </x:c>
      <x:c r="R11" t="str">
        <x:v>Public verified declaration.</x:v>
      </x:c>
    </x:row>
    <x:row r="12">
      <x:c r="A12" t="str">
        <x:v>EI-00011</x:v>
      </x:c>
      <x:c r="B12" t="str">
        <x:v>LOCAL_DECLARATION</x:v>
      </x:c>
      <x:c r="C12" t="str">
        <x:v>MASTER_ALL</x:v>
      </x:c>
      <x:c r="D12" t="n">
        <x:v>12</x:v>
      </x:c>
      <x:c r="E12" t="str">
        <x:v>LOCAL-0924CBMPHD</x:v>
      </x:c>
      <x:c r="F12" t="str">
        <x:v>0924cbmphd</x:v>
      </x:c>
      <x:c r="G12" t="str">
        <x:v>drherbal|xitkhumuihoichanvagiay</x:v>
      </x:c>
      <x:c r="H12" t="str">
        <x:v>drherbal|xitkhumuihoichanvagiay</x:v>
      </x:c>
      <x:c r="I12" t="str">
        <x:v>drherbal</x:v>
      </x:c>
      <x:c r="J12" t="str">
        <x:v>congtycpduocvtythaiduong</x:v>
      </x:c>
      <x:c r="K12" t="str"/>
      <x:c r="L12" t="str"/>
      <x:c r="M12" t="str">
        <x:v>UNIQUE_BY_CBMP</x:v>
      </x:c>
      <x:c r="N12" s="321" t="n">
        <x:v>1</x:v>
      </x:c>
      <x:c r="O12" t="str">
        <x:v>XỊT KHỬ MÙI HÔI CHÂN VÀ GIÀY</x:v>
      </x:c>
      <x:c r="P12" t="str">
        <x:v>DR.HERBAL</x:v>
      </x:c>
      <x:c r="Q12" t="str">
        <x:v>09/24/CBMP-HD</x:v>
      </x:c>
      <x:c r="R12" t="str">
        <x:v>Public verified declaration.</x:v>
      </x:c>
    </x:row>
    <x:row r="13">
      <x:c r="A13" t="str">
        <x:v>EI-00012</x:v>
      </x:c>
      <x:c r="B13" t="str">
        <x:v>LOCAL_DECLARATION</x:v>
      </x:c>
      <x:c r="C13" t="str">
        <x:v>MASTER_ALL</x:v>
      </x:c>
      <x:c r="D13" t="n">
        <x:v>13</x:v>
      </x:c>
      <x:c r="E13" t="str">
        <x:v>LOCAL-1024CBMPHD</x:v>
      </x:c>
      <x:c r="F13" t="str">
        <x:v>1024cbmphd</x:v>
      </x:c>
      <x:c r="G13" t="str">
        <x:v>phucvan|daugoithaomoc</x:v>
      </x:c>
      <x:c r="H13" t="str">
        <x:v>phucvan|daugoithaomoc</x:v>
      </x:c>
      <x:c r="I13" t="str">
        <x:v>phucvan</x:v>
      </x:c>
      <x:c r="J13" t="str">
        <x:v>congtytnhhphucvancosmetics</x:v>
      </x:c>
      <x:c r="K13" t="str"/>
      <x:c r="L13" t="str"/>
      <x:c r="M13" t="str">
        <x:v>UNIQUE_BY_CBMP</x:v>
      </x:c>
      <x:c r="N13" s="321" t="n">
        <x:v>1</x:v>
      </x:c>
      <x:c r="O13" t="str">
        <x:v>DẦU GỘI THẢO MỘC</x:v>
      </x:c>
      <x:c r="P13" t="str">
        <x:v>PHÚC VĂN</x:v>
      </x:c>
      <x:c r="Q13" t="str">
        <x:v>10/24/CBMP-HD</x:v>
      </x:c>
      <x:c r="R13" t="str">
        <x:v>Public verified declaration.</x:v>
      </x:c>
    </x:row>
    <x:row r="14">
      <x:c r="A14" t="str">
        <x:v>EI-00013</x:v>
      </x:c>
      <x:c r="B14" t="str">
        <x:v>LOCAL_DECLARATION</x:v>
      </x:c>
      <x:c r="C14" t="str">
        <x:v>MASTER_ALL</x:v>
      </x:c>
      <x:c r="D14" t="n">
        <x:v>14</x:v>
      </x:c>
      <x:c r="E14" t="str">
        <x:v>LOCAL-1124CBMPHD</x:v>
      </x:c>
      <x:c r="F14" t="str">
        <x:v>1124cbmphd</x:v>
      </x:c>
      <x:c r="G14" t="str">
        <x:v>phucvan|dauxathaomoc</x:v>
      </x:c>
      <x:c r="H14" t="str">
        <x:v>phucvan|dauxathaomoc</x:v>
      </x:c>
      <x:c r="I14" t="str">
        <x:v>phucvan</x:v>
      </x:c>
      <x:c r="J14" t="str">
        <x:v>congtytnhhphucvancosmetics</x:v>
      </x:c>
      <x:c r="K14" t="str"/>
      <x:c r="L14" t="str"/>
      <x:c r="M14" t="str">
        <x:v>UNIQUE_BY_CBMP</x:v>
      </x:c>
      <x:c r="N14" s="321" t="n">
        <x:v>1</x:v>
      </x:c>
      <x:c r="O14" t="str">
        <x:v>DẦU XẢ THẢO MỘC</x:v>
      </x:c>
      <x:c r="P14" t="str">
        <x:v>PHÚC VĂN</x:v>
      </x:c>
      <x:c r="Q14" t="str">
        <x:v>11/24/CBMP-HD</x:v>
      </x:c>
      <x:c r="R14" t="str">
        <x:v>Public verified declaration.</x:v>
      </x:c>
    </x:row>
    <x:row r="15">
      <x:c r="A15" t="str">
        <x:v>EI-00014</x:v>
      </x:c>
      <x:c r="B15" t="str">
        <x:v>LOCAL_DECLARATION</x:v>
      </x:c>
      <x:c r="C15" t="str">
        <x:v>MASTER_ALL</x:v>
      </x:c>
      <x:c r="D15" t="n">
        <x:v>15</x:v>
      </x:c>
      <x:c r="E15" t="str">
        <x:v>LOCAL-1224CBMPHD</x:v>
      </x:c>
      <x:c r="F15" t="str">
        <x:v>1224cbmphd</x:v>
      </x:c>
      <x:c r="G15" t="str">
        <x:v>mettaspa|daugoiduoclieumetta1</x:v>
      </x:c>
      <x:c r="H15" t="str">
        <x:v>mettaspa|daugoiduoclieumetta1</x:v>
      </x:c>
      <x:c r="I15" t="str">
        <x:v>mettaspa</x:v>
      </x:c>
      <x:c r="J15" t="str">
        <x:v>congtycophansuckhoevangmettagroup</x:v>
      </x:c>
      <x:c r="K15" t="str"/>
      <x:c r="L15" t="str"/>
      <x:c r="M15" t="str">
        <x:v>UNIQUE_BY_CBMP</x:v>
      </x:c>
      <x:c r="N15" s="321" t="n">
        <x:v>1</x:v>
      </x:c>
      <x:c r="O15" t="str">
        <x:v>DẦU GỘI DƯỢC LIỆU METTA 1</x:v>
      </x:c>
      <x:c r="P15" t="str">
        <x:v>METTA SPA</x:v>
      </x:c>
      <x:c r="Q15" t="str">
        <x:v>12/24/CBMP-HD</x:v>
      </x:c>
      <x:c r="R15" t="str">
        <x:v>Public verified declaration.</x:v>
      </x:c>
    </x:row>
    <x:row r="16">
      <x:c r="A16" t="str">
        <x:v>EI-00015</x:v>
      </x:c>
      <x:c r="B16" t="str">
        <x:v>LOCAL_DECLARATION</x:v>
      </x:c>
      <x:c r="C16" t="str">
        <x:v>MASTER_ALL</x:v>
      </x:c>
      <x:c r="D16" t="n">
        <x:v>16</x:v>
      </x:c>
      <x:c r="E16" t="str">
        <x:v>LOCAL-1324CBMPHD</x:v>
      </x:c>
      <x:c r="F16" t="str">
        <x:v>1324cbmphd</x:v>
      </x:c>
      <x:c r="G16" t="str">
        <x:v>mettaspa|daugoiduoclieumetta1</x:v>
      </x:c>
      <x:c r="H16" t="str">
        <x:v>mettaspa|daugoiduoclieumetta1</x:v>
      </x:c>
      <x:c r="I16" t="str">
        <x:v>mettaspa</x:v>
      </x:c>
      <x:c r="J16" t="str">
        <x:v>congtycophansuckhoevangmettagroup</x:v>
      </x:c>
      <x:c r="K16" t="str"/>
      <x:c r="L16" t="str"/>
      <x:c r="M16" t="str">
        <x:v>UNIQUE_BY_CBMP</x:v>
      </x:c>
      <x:c r="N16" s="321" t="n">
        <x:v>1</x:v>
      </x:c>
      <x:c r="O16" t="str">
        <x:v>DẦU GỘI DƯỢC LIỆU METTA 1</x:v>
      </x:c>
      <x:c r="P16" t="str">
        <x:v>METTA SPA</x:v>
      </x:c>
      <x:c r="Q16" t="str">
        <x:v>13/24/CBMP-HD</x:v>
      </x:c>
      <x:c r="R16" t="str">
        <x:v>Public verified declaration.</x:v>
      </x:c>
    </x:row>
    <x:row r="17">
      <x:c r="A17" t="str">
        <x:v>EI-00016</x:v>
      </x:c>
      <x:c r="B17" t="str">
        <x:v>LOCAL_DECLARATION</x:v>
      </x:c>
      <x:c r="C17" t="str">
        <x:v>MASTER_ALL</x:v>
      </x:c>
      <x:c r="D17" t="n">
        <x:v>17</x:v>
      </x:c>
      <x:c r="E17" t="str">
        <x:v>LOCAL-1424CBMPHD</x:v>
      </x:c>
      <x:c r="F17" t="str">
        <x:v>1424cbmphd</x:v>
      </x:c>
      <x:c r="G17" t="str">
        <x:v>|dungdichvesinhphunubeatrice</x:v>
      </x:c>
      <x:c r="H17" t="str">
        <x:v>|dungdichvesinhphunubeatrice</x:v>
      </x:c>
      <x:c r="I17" t="str"/>
      <x:c r="J17" t="str">
        <x:v>congtytnhhtuva</x:v>
      </x:c>
      <x:c r="K17" t="str"/>
      <x:c r="L17" t="str"/>
      <x:c r="M17" t="str">
        <x:v>UNIQUE_BY_CBMP</x:v>
      </x:c>
      <x:c r="N17" s="321" t="n">
        <x:v>1</x:v>
      </x:c>
      <x:c r="O17" t="str">
        <x:v>DUNG DỊCH VỆ SINH PHỤ NỮ BÉATRICE</x:v>
      </x:c>
      <x:c r="P17" t="str"/>
      <x:c r="Q17" t="str">
        <x:v>14/24/CBMP-HD</x:v>
      </x:c>
      <x:c r="R17" t="str">
        <x:v>Public verified declaration.</x:v>
      </x:c>
    </x:row>
    <x:row r="18">
      <x:c r="A18" t="str">
        <x:v>EI-00017</x:v>
      </x:c>
      <x:c r="B18" t="str">
        <x:v>LOCAL_DECLARATION</x:v>
      </x:c>
      <x:c r="C18" t="str">
        <x:v>MASTER_ALL</x:v>
      </x:c>
      <x:c r="D18" t="n">
        <x:v>18</x:v>
      </x:c>
      <x:c r="E18" t="str">
        <x:v>LOCAL-1524CBMPHD</x:v>
      </x:c>
      <x:c r="F18" t="str">
        <x:v>1524cbmphd</x:v>
      </x:c>
      <x:c r="G18" t="str">
        <x:v>|gelpkladyeva</x:v>
      </x:c>
      <x:c r="H18" t="str">
        <x:v>|gelpkladyeva</x:v>
      </x:c>
      <x:c r="I18" t="str"/>
      <x:c r="J18" t="str">
        <x:v>congtycophanduocmyphamtpharma</x:v>
      </x:c>
      <x:c r="K18" t="str"/>
      <x:c r="L18" t="str"/>
      <x:c r="M18" t="str">
        <x:v>UNIQUE_BY_CBMP</x:v>
      </x:c>
      <x:c r="N18" s="321" t="n">
        <x:v>1</x:v>
      </x:c>
      <x:c r="O18" t="str">
        <x:v>GEL PK LADY EVA</x:v>
      </x:c>
      <x:c r="P18" t="str"/>
      <x:c r="Q18" t="str">
        <x:v>15/24/CBMP-HD</x:v>
      </x:c>
      <x:c r="R18" t="str">
        <x:v>Public verified declaration.</x:v>
      </x:c>
    </x:row>
    <x:row r="19">
      <x:c r="A19" t="str">
        <x:v>EI-00018</x:v>
      </x:c>
      <x:c r="B19" t="str">
        <x:v>LOCAL_DECLARATION</x:v>
      </x:c>
      <x:c r="C19" t="str">
        <x:v>MASTER_ALL</x:v>
      </x:c>
      <x:c r="D19" t="n">
        <x:v>19</x:v>
      </x:c>
      <x:c r="E19" t="str">
        <x:v>LOCAL-1624CBMPHD</x:v>
      </x:c>
      <x:c r="F19" t="str">
        <x:v>1624cbmphd</x:v>
      </x:c>
      <x:c r="G19" t="str">
        <x:v>|daugoiduoclieuhuongthao</x:v>
      </x:c>
      <x:c r="H19" t="str">
        <x:v>|daugoiduoclieuhuongthao</x:v>
      </x:c>
      <x:c r="I19" t="str"/>
      <x:c r="J19" t="str">
        <x:v>congtycpautuvathuongmaiuylong</x:v>
      </x:c>
      <x:c r="K19" t="str"/>
      <x:c r="L19" t="str"/>
      <x:c r="M19" t="str">
        <x:v>UNIQUE_BY_CBMP</x:v>
      </x:c>
      <x:c r="N19" s="321" t="n">
        <x:v>1</x:v>
      </x:c>
      <x:c r="O19" t="str">
        <x:v>DẦU GỘI DƯỢC LIỆU HƯƠNG THẢO</x:v>
      </x:c>
      <x:c r="P19" t="str"/>
      <x:c r="Q19" t="str">
        <x:v>16/24/CBMP-HD</x:v>
      </x:c>
      <x:c r="R19" t="str">
        <x:v>Public verified declaration.</x:v>
      </x:c>
    </x:row>
    <x:row r="20">
      <x:c r="A20" t="str">
        <x:v>EI-00019</x:v>
      </x:c>
      <x:c r="B20" t="str">
        <x:v>LOCAL_DECLARATION</x:v>
      </x:c>
      <x:c r="C20" t="str">
        <x:v>MASTER_ALL</x:v>
      </x:c>
      <x:c r="D20" t="n">
        <x:v>20</x:v>
      </x:c>
      <x:c r="E20" t="str">
        <x:v>LOCAL-1724CBMPHD</x:v>
      </x:c>
      <x:c r="F20" t="str">
        <x:v>1724cbmphd</x:v>
      </x:c>
      <x:c r="G20" t="str">
        <x:v>|dauxaduoclieuhuongthao</x:v>
      </x:c>
      <x:c r="H20" t="str">
        <x:v>|dauxaduoclieuhuongthao</x:v>
      </x:c>
      <x:c r="I20" t="str"/>
      <x:c r="J20" t="str">
        <x:v>congtycpautuvathuongmaiuylong</x:v>
      </x:c>
      <x:c r="K20" t="str"/>
      <x:c r="L20" t="str"/>
      <x:c r="M20" t="str">
        <x:v>UNIQUE_BY_CBMP</x:v>
      </x:c>
      <x:c r="N20" s="321" t="n">
        <x:v>1</x:v>
      </x:c>
      <x:c r="O20" t="str">
        <x:v>Dầu xả Dược liệu Hương Thảo</x:v>
      </x:c>
      <x:c r="P20" t="str"/>
      <x:c r="Q20" t="str">
        <x:v>17/24/CBMP-HD</x:v>
      </x:c>
      <x:c r="R20" t="str">
        <x:v>Public verified declaration.</x:v>
      </x:c>
    </x:row>
    <x:row r="21">
      <x:c r="A21" t="str">
        <x:v>EI-00020</x:v>
      </x:c>
      <x:c r="B21" t="str">
        <x:v>LOCAL_DECLARATION</x:v>
      </x:c>
      <x:c r="C21" t="str">
        <x:v>MASTER_ALL</x:v>
      </x:c>
      <x:c r="D21" t="n">
        <x:v>21</x:v>
      </x:c>
      <x:c r="E21" t="str">
        <x:v>LOCAL-1824CBMPHD</x:v>
      </x:c>
      <x:c r="F21" t="str">
        <x:v>1824cbmphd</x:v>
      </x:c>
      <x:c r="G21" t="str">
        <x:v>evalove|dungdichvesinhevalove</x:v>
      </x:c>
      <x:c r="H21" t="str">
        <x:v>evalove|dungdichvesinhevalove</x:v>
      </x:c>
      <x:c r="I21" t="str">
        <x:v>evalove</x:v>
      </x:c>
      <x:c r="J21" t="str">
        <x:v>congtycophanduocmyphamtpharma</x:v>
      </x:c>
      <x:c r="K21" t="str"/>
      <x:c r="L21" t="str"/>
      <x:c r="M21" t="str">
        <x:v>UNIQUE_BY_CBMP</x:v>
      </x:c>
      <x:c r="N21" s="321" t="n">
        <x:v>1</x:v>
      </x:c>
      <x:c r="O21" t="str">
        <x:v>DUNG DỊCH VỆ SINH EVALOVE</x:v>
      </x:c>
      <x:c r="P21" t="str">
        <x:v>EVALOVE</x:v>
      </x:c>
      <x:c r="Q21" t="str">
        <x:v>18/24/CBMP-HD</x:v>
      </x:c>
      <x:c r="R21" t="str">
        <x:v>Public verified declaration.</x:v>
      </x:c>
    </x:row>
    <x:row r="22">
      <x:c r="A22" t="str">
        <x:v>EI-00021</x:v>
      </x:c>
      <x:c r="B22" t="str">
        <x:v>LOCAL_DECLARATION</x:v>
      </x:c>
      <x:c r="C22" t="str">
        <x:v>MASTER_ALL</x:v>
      </x:c>
      <x:c r="D22" t="n">
        <x:v>22</x:v>
      </x:c>
      <x:c r="E22" t="str">
        <x:v>LOCAL-1924CBMPHD</x:v>
      </x:c>
      <x:c r="F22" t="str">
        <x:v>1924cbmphd</x:v>
      </x:c>
      <x:c r="G22" t="str">
        <x:v>vinthelevatesnaturalherbals|daugoithaoduocvinthelevates</x:v>
      </x:c>
      <x:c r="H22" t="str">
        <x:v>vinthelevatesnaturalherbals|daugoithaoduocvinthelevates</x:v>
      </x:c>
      <x:c r="I22" t="str">
        <x:v>vinthelevatesnaturalherbals</x:v>
      </x:c>
      <x:c r="J22" t="str">
        <x:v>congtycophandichvuthuongmaivinlandth</x:v>
      </x:c>
      <x:c r="K22" t="str"/>
      <x:c r="L22" t="str"/>
      <x:c r="M22" t="str">
        <x:v>UNIQUE_BY_CBMP</x:v>
      </x:c>
      <x:c r="N22" s="321" t="n">
        <x:v>1</x:v>
      </x:c>
      <x:c r="O22" t="str">
        <x:v>DẦU GỘI THẢO DƯỢC VIN TH.ELEVATES</x:v>
      </x:c>
      <x:c r="P22" t="str">
        <x:v>VIN TH.ELEVATES NATURAL HERBALS</x:v>
      </x:c>
      <x:c r="Q22" t="str">
        <x:v>19/24/CBMP-HD</x:v>
      </x:c>
      <x:c r="R22" t="str">
        <x:v>Public verified declaration.</x:v>
      </x:c>
    </x:row>
    <x:row r="23">
      <x:c r="A23" t="str">
        <x:v>EI-00022</x:v>
      </x:c>
      <x:c r="B23" t="str">
        <x:v>LOCAL_DECLARATION</x:v>
      </x:c>
      <x:c r="C23" t="str">
        <x:v>MASTER_ALL</x:v>
      </x:c>
      <x:c r="D23" t="n">
        <x:v>23</x:v>
      </x:c>
      <x:c r="E23" t="str">
        <x:v>LOCAL-2024CBMPHD</x:v>
      </x:c>
      <x:c r="F23" t="str">
        <x:v>2024cbmphd</x:v>
      </x:c>
      <x:c r="G23" t="str">
        <x:v>vinthelevatesnaturalherbals|dauxathaoduocvinthelevates</x:v>
      </x:c>
      <x:c r="H23" t="str">
        <x:v>vinthelevatesnaturalherbals|dauxathaoduocvinthelevates</x:v>
      </x:c>
      <x:c r="I23" t="str">
        <x:v>vinthelevatesnaturalherbals</x:v>
      </x:c>
      <x:c r="J23" t="str">
        <x:v>congtycophandichvuthuongmaivinlandth</x:v>
      </x:c>
      <x:c r="K23" t="str"/>
      <x:c r="L23" t="str"/>
      <x:c r="M23" t="str">
        <x:v>UNIQUE_BY_CBMP</x:v>
      </x:c>
      <x:c r="N23" s="321" t="n">
        <x:v>1</x:v>
      </x:c>
      <x:c r="O23" t="str">
        <x:v>DẦU XẢ THẢO DƯỢC VIN TH;ELEVATES</x:v>
      </x:c>
      <x:c r="P23" t="str">
        <x:v>VIN TH.ELEVATES NATURAL HERBALS</x:v>
      </x:c>
      <x:c r="Q23" t="str">
        <x:v>20/24/CBMP-HD</x:v>
      </x:c>
      <x:c r="R23" t="str">
        <x:v>Public verified declaration.</x:v>
      </x:c>
    </x:row>
    <x:row r="24">
      <x:c r="A24" t="str">
        <x:v>EI-00023</x:v>
      </x:c>
      <x:c r="B24" t="str">
        <x:v>LOCAL_DECLARATION</x:v>
      </x:c>
      <x:c r="C24" t="str">
        <x:v>MASTER_ALL</x:v>
      </x:c>
      <x:c r="D24" t="n">
        <x:v>24</x:v>
      </x:c>
      <x:c r="E24" t="str">
        <x:v>LOCAL-2124CBMPHD</x:v>
      </x:c>
      <x:c r="F24" t="str">
        <x:v>2124cbmphd</x:v>
      </x:c>
      <x:c r="G24" t="str">
        <x:v>tnt|hairmask</x:v>
      </x:c>
      <x:c r="H24" t="str">
        <x:v>tnt|hairmask</x:v>
      </x:c>
      <x:c r="I24" t="str">
        <x:v>tnt</x:v>
      </x:c>
      <x:c r="J24" t="str">
        <x:v>congtytnhhtoanlucky</x:v>
      </x:c>
      <x:c r="K24" t="str"/>
      <x:c r="L24" t="str"/>
      <x:c r="M24" t="str">
        <x:v>UNIQUE_BY_CBMP</x:v>
      </x:c>
      <x:c r="N24" s="321" t="n">
        <x:v>1</x:v>
      </x:c>
      <x:c r="O24" t="str">
        <x:v>Hair Mask</x:v>
      </x:c>
      <x:c r="P24" t="str">
        <x:v>T-N-T</x:v>
      </x:c>
      <x:c r="Q24" t="str">
        <x:v>21/24/CBMP-HD</x:v>
      </x:c>
      <x:c r="R24" t="str">
        <x:v>Public verified declaration.</x:v>
      </x:c>
    </x:row>
    <x:row r="25">
      <x:c r="A25" t="str">
        <x:v>EI-00024</x:v>
      </x:c>
      <x:c r="B25" t="str">
        <x:v>LOCAL_DECLARATION</x:v>
      </x:c>
      <x:c r="C25" t="str">
        <x:v>MASTER_ALL</x:v>
      </x:c>
      <x:c r="D25" t="n">
        <x:v>25</x:v>
      </x:c>
      <x:c r="E25" t="str">
        <x:v>LOCAL-2224CBMPHD</x:v>
      </x:c>
      <x:c r="F25" t="str">
        <x:v>2224cbmphd</x:v>
      </x:c>
      <x:c r="G25" t="str">
        <x:v>alydanton|permstraight1</x:v>
      </x:c>
      <x:c r="H25" t="str">
        <x:v>alydanton|permstraight1</x:v>
      </x:c>
      <x:c r="I25" t="str">
        <x:v>alydanton</x:v>
      </x:c>
      <x:c r="J25" t="str">
        <x:v>congtytnhhhoamyphamhongat</x:v>
      </x:c>
      <x:c r="K25" t="str"/>
      <x:c r="L25" t="str"/>
      <x:c r="M25" t="str">
        <x:v>UNIQUE_BY_CBMP</x:v>
      </x:c>
      <x:c r="N25" s="321" t="n">
        <x:v>1</x:v>
      </x:c>
      <x:c r="O25" t="str">
        <x:v>PERM &amp; STRAIGHT 1</x:v>
      </x:c>
      <x:c r="P25" t="str">
        <x:v>ALYDANTON</x:v>
      </x:c>
      <x:c r="Q25" t="str">
        <x:v>22/24/CBMP-HD</x:v>
      </x:c>
      <x:c r="R25" t="str">
        <x:v>Public verified declaration.</x:v>
      </x:c>
    </x:row>
    <x:row r="26">
      <x:c r="A26" t="str">
        <x:v>EI-00025</x:v>
      </x:c>
      <x:c r="B26" t="str">
        <x:v>LOCAL_DECLARATION</x:v>
      </x:c>
      <x:c r="C26" t="str">
        <x:v>MASTER_ALL</x:v>
      </x:c>
      <x:c r="D26" t="n">
        <x:v>26</x:v>
      </x:c>
      <x:c r="E26" t="str">
        <x:v>LOCAL-2324CBMPHD</x:v>
      </x:c>
      <x:c r="F26" t="str">
        <x:v>2324cbmphd</x:v>
      </x:c>
      <x:c r="G26" t="str">
        <x:v>alydanton|permstraight3</x:v>
      </x:c>
      <x:c r="H26" t="str">
        <x:v>alydanton|permstraight3</x:v>
      </x:c>
      <x:c r="I26" t="str">
        <x:v>alydanton</x:v>
      </x:c>
      <x:c r="J26" t="str">
        <x:v>congtytnhhhoamyphamhongat</x:v>
      </x:c>
      <x:c r="K26" t="str"/>
      <x:c r="L26" t="str"/>
      <x:c r="M26" t="str">
        <x:v>UNIQUE_BY_CBMP</x:v>
      </x:c>
      <x:c r="N26" s="321" t="n">
        <x:v>1</x:v>
      </x:c>
      <x:c r="O26" t="str">
        <x:v>PERM &amp; STRAIGHT 3</x:v>
      </x:c>
      <x:c r="P26" t="str">
        <x:v>ALYDANTON</x:v>
      </x:c>
      <x:c r="Q26" t="str">
        <x:v>23/24/CBMP-HD</x:v>
      </x:c>
      <x:c r="R26" t="str">
        <x:v>Public verified declaration.</x:v>
      </x:c>
    </x:row>
    <x:row r="27">
      <x:c r="A27" t="str">
        <x:v>EI-00026</x:v>
      </x:c>
      <x:c r="B27" t="str">
        <x:v>LOCAL_DECLARATION</x:v>
      </x:c>
      <x:c r="C27" t="str">
        <x:v>MASTER_ALL</x:v>
      </x:c>
      <x:c r="D27" t="n">
        <x:v>27</x:v>
      </x:c>
      <x:c r="E27" t="str">
        <x:v>LOCAL-2424CBMPHD</x:v>
      </x:c>
      <x:c r="F27" t="str">
        <x:v>2424cbmphd</x:v>
      </x:c>
      <x:c r="G27" t="str">
        <x:v>bomane|d2</x:v>
      </x:c>
      <x:c r="H27" t="str">
        <x:v>bomane|d2</x:v>
      </x:c>
      <x:c r="I27" t="str">
        <x:v>bomane</x:v>
      </x:c>
      <x:c r="J27" t="str">
        <x:v>congtytnhhhoamyphamhongat</x:v>
      </x:c>
      <x:c r="K27" t="str"/>
      <x:c r="L27" t="str"/>
      <x:c r="M27" t="str">
        <x:v>UNIQUE_BY_CBMP</x:v>
      </x:c>
      <x:c r="N27" s="321" t="n">
        <x:v>1</x:v>
      </x:c>
      <x:c r="O27" t="str">
        <x:v>D2</x:v>
      </x:c>
      <x:c r="P27" t="str">
        <x:v>Bomane</x:v>
      </x:c>
      <x:c r="Q27" t="str">
        <x:v>24/24/CBMP-HD</x:v>
      </x:c>
      <x:c r="R27" t="str">
        <x:v>Public verified declaration.</x:v>
      </x:c>
    </x:row>
    <x:row r="28">
      <x:c r="A28" t="str">
        <x:v>EI-00027</x:v>
      </x:c>
      <x:c r="B28" t="str">
        <x:v>LOCAL_DECLARATION</x:v>
      </x:c>
      <x:c r="C28" t="str">
        <x:v>MASTER_ALL</x:v>
      </x:c>
      <x:c r="D28" t="n">
        <x:v>28</x:v>
      </x:c>
      <x:c r="E28" t="str">
        <x:v>LOCAL-2524CBMPHD</x:v>
      </x:c>
      <x:c r="F28" t="str">
        <x:v>2524cbmphd</x:v>
      </x:c>
      <x:c r="G28" t="str">
        <x:v>goldwin|permstraightg1</x:v>
      </x:c>
      <x:c r="H28" t="str">
        <x:v>goldwin|permstraightg1</x:v>
      </x:c>
      <x:c r="I28" t="str">
        <x:v>goldwin</x:v>
      </x:c>
      <x:c r="J28" t="str">
        <x:v>congtytnhhhoamyphamhongat</x:v>
      </x:c>
      <x:c r="K28" t="str"/>
      <x:c r="L28" t="str"/>
      <x:c r="M28" t="str">
        <x:v>UNIQUE_BY_CBMP</x:v>
      </x:c>
      <x:c r="N28" s="321" t="n">
        <x:v>1</x:v>
      </x:c>
      <x:c r="O28" t="str">
        <x:v>PERM &amp; STRAIGHT G1</x:v>
      </x:c>
      <x:c r="P28" t="str">
        <x:v>GOLDWIN</x:v>
      </x:c>
      <x:c r="Q28" t="str">
        <x:v>25/24/CBMP-HD</x:v>
      </x:c>
      <x:c r="R28" t="str">
        <x:v>Public verified declaration.</x:v>
      </x:c>
    </x:row>
    <x:row r="29">
      <x:c r="A29" t="str">
        <x:v>EI-00028</x:v>
      </x:c>
      <x:c r="B29" t="str">
        <x:v>LOCAL_DECLARATION</x:v>
      </x:c>
      <x:c r="C29" t="str">
        <x:v>MASTER_ALL</x:v>
      </x:c>
      <x:c r="D29" t="n">
        <x:v>29</x:v>
      </x:c>
      <x:c r="E29" t="str">
        <x:v>LOCAL-2624CBMPHD</x:v>
      </x:c>
      <x:c r="F29" t="str">
        <x:v>2624cbmphd</x:v>
      </x:c>
      <x:c r="G29" t="str">
        <x:v>goldwin|permstraightg3</x:v>
      </x:c>
      <x:c r="H29" t="str">
        <x:v>goldwin|permstraightg3</x:v>
      </x:c>
      <x:c r="I29" t="str">
        <x:v>goldwin</x:v>
      </x:c>
      <x:c r="J29" t="str">
        <x:v>congtytnhhhoamyphamhongat</x:v>
      </x:c>
      <x:c r="K29" t="str"/>
      <x:c r="L29" t="str"/>
      <x:c r="M29" t="str">
        <x:v>UNIQUE_BY_CBMP</x:v>
      </x:c>
      <x:c r="N29" s="321" t="n">
        <x:v>1</x:v>
      </x:c>
      <x:c r="O29" t="str">
        <x:v>PERM &amp; STRAIGHT G3</x:v>
      </x:c>
      <x:c r="P29" t="str">
        <x:v>GOLDWIN</x:v>
      </x:c>
      <x:c r="Q29" t="str">
        <x:v>26/24/CBMP-HD</x:v>
      </x:c>
      <x:c r="R29" t="str">
        <x:v>Public verified declaration.</x:v>
      </x:c>
    </x:row>
    <x:row r="30">
      <x:c r="A30" t="str">
        <x:v>EI-00029</x:v>
      </x:c>
      <x:c r="B30" t="str">
        <x:v>LOCAL_DECLARATION</x:v>
      </x:c>
      <x:c r="C30" t="str">
        <x:v>MASTER_ALL</x:v>
      </x:c>
      <x:c r="D30" t="n">
        <x:v>30</x:v>
      </x:c>
      <x:c r="E30" t="str">
        <x:v>LOCAL-2724CBMPHD</x:v>
      </x:c>
      <x:c r="F30" t="str">
        <x:v>2724cbmphd</x:v>
      </x:c>
      <x:c r="G30" t="str">
        <x:v>hm|shampoo</x:v>
      </x:c>
      <x:c r="H30" t="str">
        <x:v>hm|shampoo</x:v>
      </x:c>
      <x:c r="I30" t="str">
        <x:v>hm</x:v>
      </x:c>
      <x:c r="J30" t="str">
        <x:v>congtytnhhhoamyphamhongat</x:v>
      </x:c>
      <x:c r="K30" t="str"/>
      <x:c r="L30" t="str"/>
      <x:c r="M30" t="str">
        <x:v>UNIQUE_BY_CBMP</x:v>
      </x:c>
      <x:c r="N30" s="321" t="n">
        <x:v>1</x:v>
      </x:c>
      <x:c r="O30" t="str">
        <x:v>SHAMPOO</x:v>
      </x:c>
      <x:c r="P30" t="str">
        <x:v>HM</x:v>
      </x:c>
      <x:c r="Q30" t="str">
        <x:v>27/24/CBMP-HD</x:v>
      </x:c>
      <x:c r="R30" t="str">
        <x:v>Public verified declaration.</x:v>
      </x:c>
    </x:row>
    <x:row r="31">
      <x:c r="A31" t="str">
        <x:v>EI-00030</x:v>
      </x:c>
      <x:c r="B31" t="str">
        <x:v>LOCAL_DECLARATION</x:v>
      </x:c>
      <x:c r="C31" t="str">
        <x:v>MASTER_ALL</x:v>
      </x:c>
      <x:c r="D31" t="n">
        <x:v>31</x:v>
      </x:c>
      <x:c r="E31" t="str">
        <x:v>LOCAL-2824CBMPHD</x:v>
      </x:c>
      <x:c r="F31" t="str">
        <x:v>2824cbmphd</x:v>
      </x:c>
      <x:c r="G31" t="str">
        <x:v>v8|permstraight1</x:v>
      </x:c>
      <x:c r="H31" t="str">
        <x:v>v8|permstraight1</x:v>
      </x:c>
      <x:c r="I31" t="str">
        <x:v>v8</x:v>
      </x:c>
      <x:c r="J31" t="str">
        <x:v>congtytnhhhoamyphamhongat</x:v>
      </x:c>
      <x:c r="K31" t="str"/>
      <x:c r="L31" t="str"/>
      <x:c r="M31" t="str">
        <x:v>UNIQUE_BY_CBMP</x:v>
      </x:c>
      <x:c r="N31" s="321" t="n">
        <x:v>1</x:v>
      </x:c>
      <x:c r="O31" t="str">
        <x:v>PERM &amp; STRAIGHT 1</x:v>
      </x:c>
      <x:c r="P31" t="str">
        <x:v>V8</x:v>
      </x:c>
      <x:c r="Q31" t="str">
        <x:v>28/24/CBMP-HD</x:v>
      </x:c>
      <x:c r="R31" t="str">
        <x:v>Public verified declaration.</x:v>
      </x:c>
    </x:row>
    <x:row r="32">
      <x:c r="A32" t="str">
        <x:v>EI-00031</x:v>
      </x:c>
      <x:c r="B32" t="str">
        <x:v>LOCAL_DECLARATION</x:v>
      </x:c>
      <x:c r="C32" t="str">
        <x:v>MASTER_ALL</x:v>
      </x:c>
      <x:c r="D32" t="n">
        <x:v>32</x:v>
      </x:c>
      <x:c r="E32" t="str">
        <x:v>LOCAL-33224CBMPHD</x:v>
      </x:c>
      <x:c r="F32" t="str">
        <x:v>33224cbmphd</x:v>
      </x:c>
      <x:c r="G32" t="str">
        <x:v>lucasta|lucastaconditioner</x:v>
      </x:c>
      <x:c r="H32" t="str">
        <x:v>lucasta|lucastaconditioner</x:v>
      </x:c>
      <x:c r="I32" t="str">
        <x:v>lucasta</x:v>
      </x:c>
      <x:c r="J32" t="str">
        <x:v>congtytnhhsanxuatvathuongmaimyphamvietanh</x:v>
      </x:c>
      <x:c r="K32" t="str"/>
      <x:c r="L32" t="str"/>
      <x:c r="M32" t="str">
        <x:v>UNIQUE_BY_CBMP</x:v>
      </x:c>
      <x:c r="N32" s="321" t="n">
        <x:v>1</x:v>
      </x:c>
      <x:c r="O32" t="str">
        <x:v>LUCASTA CONDITIONER</x:v>
      </x:c>
      <x:c r="P32" t="str">
        <x:v>LUCASTA</x:v>
      </x:c>
      <x:c r="Q32" t="str">
        <x:v>332/24/CBMP-HD</x:v>
      </x:c>
      <x:c r="R32" t="str">
        <x:v>Public verified declaration.</x:v>
      </x:c>
    </x:row>
    <x:row r="33">
      <x:c r="A33" t="str">
        <x:v>EI-00032</x:v>
      </x:c>
      <x:c r="B33" t="str">
        <x:v>LOCAL_DECLARATION</x:v>
      </x:c>
      <x:c r="C33" t="str">
        <x:v>MASTER_ALL</x:v>
      </x:c>
      <x:c r="D33" t="n">
        <x:v>33</x:v>
      </x:c>
      <x:c r="E33" t="str">
        <x:v>LOCAL-33324CBMPHD</x:v>
      </x:c>
      <x:c r="F33" t="str">
        <x:v>33324cbmphd</x:v>
      </x:c>
      <x:c r="G33" t="str">
        <x:v>lucasta|lucastashampoo</x:v>
      </x:c>
      <x:c r="H33" t="str">
        <x:v>lucasta|lucastashampoo</x:v>
      </x:c>
      <x:c r="I33" t="str">
        <x:v>lucasta</x:v>
      </x:c>
      <x:c r="J33" t="str">
        <x:v>congtytnhhsanxuatvathuongmaimyphamvietanh</x:v>
      </x:c>
      <x:c r="K33" t="str"/>
      <x:c r="L33" t="str"/>
      <x:c r="M33" t="str">
        <x:v>UNIQUE_BY_CBMP</x:v>
      </x:c>
      <x:c r="N33" s="321" t="n">
        <x:v>1</x:v>
      </x:c>
      <x:c r="O33" t="str">
        <x:v>LUCASTA SHAMPOO</x:v>
      </x:c>
      <x:c r="P33" t="str">
        <x:v>LUCASTA</x:v>
      </x:c>
      <x:c r="Q33" t="str">
        <x:v>333/24/CBMP-HD</x:v>
      </x:c>
      <x:c r="R33" t="str">
        <x:v>Public verified declaration.</x:v>
      </x:c>
    </x:row>
    <x:row r="34">
      <x:c r="A34" t="str">
        <x:v>EI-00033</x:v>
      </x:c>
      <x:c r="B34" t="str">
        <x:v>LOCAL_DECLARATION</x:v>
      </x:c>
      <x:c r="C34" t="str">
        <x:v>MASTER_ALL</x:v>
      </x:c>
      <x:c r="D34" t="n">
        <x:v>34</x:v>
      </x:c>
      <x:c r="E34" t="str">
        <x:v>LOCAL-33424CBMPHD</x:v>
      </x:c>
      <x:c r="F34" t="str">
        <x:v>33424cbmphd</x:v>
      </x:c>
      <x:c r="G34" t="str">
        <x:v>lucasta|uonlanhlucasta</x:v>
      </x:c>
      <x:c r="H34" t="str">
        <x:v>lucasta|uonlanhlucasta</x:v>
      </x:c>
      <x:c r="I34" t="str">
        <x:v>lucasta</x:v>
      </x:c>
      <x:c r="J34" t="str">
        <x:v>congtytnhhsanxuatvathuongmaimyphamvietanh</x:v>
      </x:c>
      <x:c r="K34" t="str"/>
      <x:c r="L34" t="str"/>
      <x:c r="M34" t="str">
        <x:v>UNIQUE_BY_CBMP</x:v>
      </x:c>
      <x:c r="N34" s="321" t="n">
        <x:v>1</x:v>
      </x:c>
      <x:c r="O34" t="str">
        <x:v>UỐN LẠNH LUCASTA</x:v>
      </x:c>
      <x:c r="P34" t="str">
        <x:v>LUCASTA</x:v>
      </x:c>
      <x:c r="Q34" t="str">
        <x:v>334/24/CBMP-HD</x:v>
      </x:c>
      <x:c r="R34" t="str">
        <x:v>Public verified declaration.</x:v>
      </x:c>
    </x:row>
    <x:row r="35">
      <x:c r="A35" t="str">
        <x:v>EI-00034</x:v>
      </x:c>
      <x:c r="B35" t="str">
        <x:v>LOCAL_DECLARATION</x:v>
      </x:c>
      <x:c r="C35" t="str">
        <x:v>MASTER_ALL</x:v>
      </x:c>
      <x:c r="D35" t="n">
        <x:v>35</x:v>
      </x:c>
      <x:c r="E35" t="str">
        <x:v>LOCAL-36724CBMPHD</x:v>
      </x:c>
      <x:c r="F35" t="str">
        <x:v>36724cbmphd</x:v>
      </x:c>
      <x:c r="G35" t="str">
        <x:v>lucasta|saptoclucasta</x:v>
      </x:c>
      <x:c r="H35" t="str">
        <x:v>lucasta|saptoclucasta</x:v>
      </x:c>
      <x:c r="I35" t="str">
        <x:v>lucasta</x:v>
      </x:c>
      <x:c r="J35" t="str">
        <x:v>congtytnhhsanxuatvathuongmaimyphamvietanh</x:v>
      </x:c>
      <x:c r="K35" t="str"/>
      <x:c r="L35" t="str"/>
      <x:c r="M35" t="str">
        <x:v>UNIQUE_BY_CBMP</x:v>
      </x:c>
      <x:c r="N35" s="321" t="n">
        <x:v>1</x:v>
      </x:c>
      <x:c r="O35" t="str">
        <x:v>SÁP TÓC LUCASTA</x:v>
      </x:c>
      <x:c r="P35" t="str">
        <x:v>LUCASTA</x:v>
      </x:c>
      <x:c r="Q35" t="str">
        <x:v>367/24/CBMP-HD</x:v>
      </x:c>
      <x:c r="R35" t="str">
        <x:v>Public verified declaration.</x:v>
      </x:c>
    </x:row>
    <x:row r="36">
      <x:c r="A36" t="str">
        <x:v>EI-00035</x:v>
      </x:c>
      <x:c r="B36" t="str">
        <x:v>LOCAL_DECLARATION</x:v>
      </x:c>
      <x:c r="C36" t="str">
        <x:v>MASTER_ALL</x:v>
      </x:c>
      <x:c r="D36" t="n">
        <x:v>36</x:v>
      </x:c>
      <x:c r="E36" t="str">
        <x:v>LOCAL-20824CBMPHD</x:v>
      </x:c>
      <x:c r="F36" t="str">
        <x:v>20824cbmphd</x:v>
      </x:c>
      <x:c r="G36" t="str">
        <x:v>aufhellen|inhhinhanangdanhchotocuonaufhellen</x:v>
      </x:c>
      <x:c r="H36" t="str">
        <x:v>aufhellen|inhhinhanangdanhchotocuonaufhellen</x:v>
      </x:c>
      <x:c r="I36" t="str">
        <x:v>aufhellen</x:v>
      </x:c>
      <x:c r="J36" t="str">
        <x:v>congtytnhhmyphamkhaiphat</x:v>
      </x:c>
      <x:c r="K36" t="str"/>
      <x:c r="L36" t="str"/>
      <x:c r="M36" t="str">
        <x:v>UNIQUE_BY_CBMP</x:v>
      </x:c>
      <x:c r="N36" s="321" t="n">
        <x:v>1</x:v>
      </x:c>
      <x:c r="O36" t="str">
        <x:v>ĐỊNH HÌNH ĐA NĂNG DÀNH CHO TÓC UỐN AUFHELLEN</x:v>
      </x:c>
      <x:c r="P36" t="str">
        <x:v>AUFHELLEN</x:v>
      </x:c>
      <x:c r="Q36" t="str">
        <x:v>208/24/CBMP-HD</x:v>
      </x:c>
      <x:c r="R36" t="str">
        <x:v>Public verified declaration.</x:v>
      </x:c>
    </x:row>
    <x:row r="37">
      <x:c r="A37" t="str">
        <x:v>EI-00036</x:v>
      </x:c>
      <x:c r="B37" t="str">
        <x:v>LOCAL_DECLARATION</x:v>
      </x:c>
      <x:c r="C37" t="str">
        <x:v>MASTER_ALL</x:v>
      </x:c>
      <x:c r="D37" t="n">
        <x:v>37</x:v>
      </x:c>
      <x:c r="E37" t="str">
        <x:v>LOCAL-21124CBMPHD</x:v>
      </x:c>
      <x:c r="F37" t="str">
        <x:v>21124cbmphd</x:v>
      </x:c>
      <x:c r="G37" t="str">
        <x:v>aufhellen|oxiantetronhuomtocaufhllen</x:v>
      </x:c>
      <x:c r="H37" t="str">
        <x:v>aufhellen|oxiantetronhuomtocaufhllen</x:v>
      </x:c>
      <x:c r="I37" t="str">
        <x:v>aufhellen</x:v>
      </x:c>
      <x:c r="J37" t="str">
        <x:v>congtytnhhmyphamkhaiphat</x:v>
      </x:c>
      <x:c r="K37" t="str"/>
      <x:c r="L37" t="str"/>
      <x:c r="M37" t="str">
        <x:v>UNIQUE_BY_CBMP</x:v>
      </x:c>
      <x:c r="N37" s="321" t="n">
        <x:v>1</x:v>
      </x:c>
      <x:c r="O37" t="str">
        <x:v>OXIANTE TRỢ NHUỘM TÓC AUFHLLEN</x:v>
      </x:c>
      <x:c r="P37" t="str">
        <x:v>AUFHELLEN</x:v>
      </x:c>
      <x:c r="Q37" t="str">
        <x:v>211/24/CBMP-HD</x:v>
      </x:c>
      <x:c r="R37" t="str">
        <x:v>Public verified declaration.</x:v>
      </x:c>
    </x:row>
    <x:row r="38">
      <x:c r="A38" t="str">
        <x:v>EI-00037</x:v>
      </x:c>
      <x:c r="B38" t="str">
        <x:v>LOCAL_DECLARATION</x:v>
      </x:c>
      <x:c r="C38" t="str">
        <x:v>MASTER_ALL</x:v>
      </x:c>
      <x:c r="D38" t="n">
        <x:v>38</x:v>
      </x:c>
      <x:c r="E38" t="str">
        <x:v>LOCAL-06426CBMPHP</x:v>
      </x:c>
      <x:c r="F38" t="str">
        <x:v>06426cbmphp</x:v>
      </x:c>
      <x:c r="G38" t="str">
        <x:v>rglow|rglow</x:v>
      </x:c>
      <x:c r="H38" t="str">
        <x:v>rglow|rglow</x:v>
      </x:c>
      <x:c r="I38" t="str">
        <x:v>rglow</x:v>
      </x:c>
      <x:c r="J38" t="str">
        <x:v>hokinhdoanhhoangthithuong</x:v>
      </x:c>
      <x:c r="K38" t="str"/>
      <x:c r="L38" t="str"/>
      <x:c r="M38" t="str">
        <x:v>UNIQUE_BY_CBMP</x:v>
      </x:c>
      <x:c r="N38" s="321" t="n">
        <x:v>1</x:v>
      </x:c>
      <x:c r="O38" t="str">
        <x:v>R GLOW</x:v>
      </x:c>
      <x:c r="P38" t="str">
        <x:v>R GLOW</x:v>
      </x:c>
      <x:c r="Q38" t="str">
        <x:v>064/26/CBMP-HP</x:v>
      </x:c>
      <x:c r="R38" t="str">
        <x:v>Public verified declaration.</x:v>
      </x:c>
    </x:row>
    <x:row r="39">
      <x:c r="A39" t="str">
        <x:v>EI-00038</x:v>
      </x:c>
      <x:c r="B39" t="str">
        <x:v>LOCAL_DECLARATION</x:v>
      </x:c>
      <x:c r="C39" t="str">
        <x:v>MASTER_ALL</x:v>
      </x:c>
      <x:c r="D39" t="n">
        <x:v>39</x:v>
      </x:c>
      <x:c r="E39" t="str">
        <x:v>LOCAL-30924CBMPHD</x:v>
      </x:c>
      <x:c r="F39" t="str">
        <x:v>30924cbmphd</x:v>
      </x:c>
      <x:c r="G39" t="str">
        <x:v>vnua|suatamduoclieudaoovnua</x:v>
      </x:c>
      <x:c r="H39" t="str">
        <x:v>vnua|suatamduoclieudaoovnua</x:v>
      </x:c>
      <x:c r="I39" t="str">
        <x:v>vnua</x:v>
      </x:c>
      <x:c r="J39" t="str">
        <x:v>congtycophankhoahocsinhduocvietnam</x:v>
      </x:c>
      <x:c r="K39" t="str"/>
      <x:c r="L39" t="str"/>
      <x:c r="M39" t="str">
        <x:v>UNIQUE_BY_CBMP</x:v>
      </x:c>
      <x:c r="N39" s="321" t="n">
        <x:v>1</x:v>
      </x:c>
      <x:c r="O39" t="str">
        <x:v>SỮA TẮM DƯỢC LIỆU DAO ĐỎ VNUA</x:v>
      </x:c>
      <x:c r="P39" t="str">
        <x:v>VNUA</x:v>
      </x:c>
      <x:c r="Q39" t="str">
        <x:v>309/24/CBMP-HD</x:v>
      </x:c>
      <x:c r="R39" t="str">
        <x:v>Public verified declaration.</x:v>
      </x:c>
    </x:row>
    <x:row r="40">
      <x:c r="A40" t="str">
        <x:v>EI-00039</x:v>
      </x:c>
      <x:c r="B40" t="str">
        <x:v>LOCAL_DECLARATION</x:v>
      </x:c>
      <x:c r="C40" t="str">
        <x:v>MASTER_ALL</x:v>
      </x:c>
      <x:c r="D40" t="n">
        <x:v>40</x:v>
      </x:c>
      <x:c r="E40" t="str">
        <x:v>LOCAL-31124CBMPHD</x:v>
      </x:c>
      <x:c r="F40" t="str">
        <x:v>31124cbmphd</x:v>
      </x:c>
      <x:c r="G40" t="str">
        <x:v>vnua|xittocduoclieuvnua</x:v>
      </x:c>
      <x:c r="H40" t="str">
        <x:v>vnua|xittocduoclieuvnua</x:v>
      </x:c>
      <x:c r="I40" t="str">
        <x:v>vnua</x:v>
      </x:c>
      <x:c r="J40" t="str">
        <x:v>congtycophankhoahocsinhduocvietnam</x:v>
      </x:c>
      <x:c r="K40" t="str"/>
      <x:c r="L40" t="str"/>
      <x:c r="M40" t="str">
        <x:v>UNIQUE_BY_CBMP</x:v>
      </x:c>
      <x:c r="N40" s="321" t="n">
        <x:v>1</x:v>
      </x:c>
      <x:c r="O40" t="str">
        <x:v>XỊT TÓC DƯỢC LIỆU VNUA</x:v>
      </x:c>
      <x:c r="P40" t="str">
        <x:v>VNUA</x:v>
      </x:c>
      <x:c r="Q40" t="str">
        <x:v>311/24/CBMP-HD</x:v>
      </x:c>
      <x:c r="R40" t="str">
        <x:v>Public verified declaration.</x:v>
      </x:c>
    </x:row>
    <x:row r="41">
      <x:c r="A41" t="str">
        <x:v>EI-00040</x:v>
      </x:c>
      <x:c r="B41" t="str">
        <x:v>LOCAL_DECLARATION</x:v>
      </x:c>
      <x:c r="C41" t="str">
        <x:v>MASTER_ALL</x:v>
      </x:c>
      <x:c r="D41" t="n">
        <x:v>41</x:v>
      </x:c>
      <x:c r="E41" t="str">
        <x:v>LOCAL-31224CBMPHD</x:v>
      </x:c>
      <x:c r="F41" t="str">
        <x:v>31224cbmphd</x:v>
      </x:c>
      <x:c r="G41" t="str">
        <x:v>vnua|vnuaevasoft</x:v>
      </x:c>
      <x:c r="H41" t="str">
        <x:v>vnua|vnuaevasoft</x:v>
      </x:c>
      <x:c r="I41" t="str">
        <x:v>vnua</x:v>
      </x:c>
      <x:c r="J41" t="str">
        <x:v>congtycophankhoahocsinhduocvietnam</x:v>
      </x:c>
      <x:c r="K41" t="str"/>
      <x:c r="L41" t="str"/>
      <x:c r="M41" t="str">
        <x:v>UNIQUE_BY_CBMP</x:v>
      </x:c>
      <x:c r="N41" s="321" t="n">
        <x:v>1</x:v>
      </x:c>
      <x:c r="O41" t="str">
        <x:v>VNUA EVASOFT</x:v>
      </x:c>
      <x:c r="P41" t="str">
        <x:v>VNUA</x:v>
      </x:c>
      <x:c r="Q41" t="str">
        <x:v>312/24/CBMP-HD</x:v>
      </x:c>
      <x:c r="R41" t="str">
        <x:v>Public verified declaration.</x:v>
      </x:c>
    </x:row>
    <x:row r="42">
      <x:c r="A42" t="str">
        <x:v>EI-00041</x:v>
      </x:c>
      <x:c r="B42" t="str">
        <x:v>LOCAL_DECLARATION</x:v>
      </x:c>
      <x:c r="C42" t="str">
        <x:v>MASTER_ALL</x:v>
      </x:c>
      <x:c r="D42" t="n">
        <x:v>42</x:v>
      </x:c>
      <x:c r="E42" t="str">
        <x:v>LOCAL-31324CBMPHD</x:v>
      </x:c>
      <x:c r="F42" t="str">
        <x:v>31324cbmphd</x:v>
      </x:c>
      <x:c r="G42" t="str">
        <x:v>vnua|daugoiduoclieusachgauvnuafordandruff</x:v>
      </x:c>
      <x:c r="H42" t="str">
        <x:v>vnua|daugoiduoclieusachgauvnuafordandruff</x:v>
      </x:c>
      <x:c r="I42" t="str">
        <x:v>vnua</x:v>
      </x:c>
      <x:c r="J42" t="str">
        <x:v>congtycophankhoahocsinhduocvietnam</x:v>
      </x:c>
      <x:c r="K42" t="str"/>
      <x:c r="L42" t="str"/>
      <x:c r="M42" t="str">
        <x:v>UNIQUE_BY_CBMP</x:v>
      </x:c>
      <x:c r="N42" s="321" t="n">
        <x:v>1</x:v>
      </x:c>
      <x:c r="O42" t="str">
        <x:v>DẦU GỘI DƯỢC LIỆU SẠCH GÀU VNUA FOR DANDRUFF</x:v>
      </x:c>
      <x:c r="P42" t="str">
        <x:v>VNUA</x:v>
      </x:c>
      <x:c r="Q42" t="str">
        <x:v>313/24/CBMP-HD</x:v>
      </x:c>
      <x:c r="R42" t="str">
        <x:v>Public verified declaration.</x:v>
      </x:c>
    </x:row>
    <x:row r="43">
      <x:c r="A43" t="str">
        <x:v>EI-00042</x:v>
      </x:c>
      <x:c r="B43" t="str">
        <x:v>LOCAL_DECLARATION</x:v>
      </x:c>
      <x:c r="C43" t="str">
        <x:v>MASTER_ALL</x:v>
      </x:c>
      <x:c r="D43" t="n">
        <x:v>43</x:v>
      </x:c>
      <x:c r="E43" t="str">
        <x:v>LOCAL-31424CBMPHD</x:v>
      </x:c>
      <x:c r="F43" t="str">
        <x:v>31424cbmphd</x:v>
      </x:c>
      <x:c r="G43" t="str">
        <x:v>vnua|dauxaduoclieuvnua</x:v>
      </x:c>
      <x:c r="H43" t="str">
        <x:v>vnua|dauxaduoclieuvnua</x:v>
      </x:c>
      <x:c r="I43" t="str">
        <x:v>vnua</x:v>
      </x:c>
      <x:c r="J43" t="str">
        <x:v>congtycophankhoahocsinhduocvietnam</x:v>
      </x:c>
      <x:c r="K43" t="str"/>
      <x:c r="L43" t="str"/>
      <x:c r="M43" t="str">
        <x:v>UNIQUE_BY_CBMP</x:v>
      </x:c>
      <x:c r="N43" s="321" t="n">
        <x:v>1</x:v>
      </x:c>
      <x:c r="O43" t="str">
        <x:v>DẦU XẢ DƯỢC LIỆU VNUA</x:v>
      </x:c>
      <x:c r="P43" t="str">
        <x:v>VNUA</x:v>
      </x:c>
      <x:c r="Q43" t="str">
        <x:v>314/24/CBMP-HD</x:v>
      </x:c>
      <x:c r="R43" t="str">
        <x:v>Public verified declaration.</x:v>
      </x:c>
    </x:row>
    <x:row r="44">
      <x:c r="A44" t="str">
        <x:v>EI-00043</x:v>
      </x:c>
      <x:c r="B44" t="str">
        <x:v>LOCAL_DECLARATION</x:v>
      </x:c>
      <x:c r="C44" t="str">
        <x:v>MASTER_ALL</x:v>
      </x:c>
      <x:c r="D44" t="n">
        <x:v>44</x:v>
      </x:c>
      <x:c r="E44" t="str">
        <x:v>LOCAL-40424CBMPHD</x:v>
      </x:c>
      <x:c r="F44" t="str">
        <x:v>40424cbmphd</x:v>
      </x:c>
      <x:c r="G44" t="str">
        <x:v>vnua|daugoiduoclieuvnuaidealforfungalscalp</x:v>
      </x:c>
      <x:c r="H44" t="str">
        <x:v>vnua|daugoiduoclieuvnuaidealforfungalscalp</x:v>
      </x:c>
      <x:c r="I44" t="str">
        <x:v>vnua</x:v>
      </x:c>
      <x:c r="J44" t="str">
        <x:v>congtycophankhoahocsinhduocvietnam</x:v>
      </x:c>
      <x:c r="K44" t="str"/>
      <x:c r="L44" t="str"/>
      <x:c r="M44" t="str">
        <x:v>UNIQUE_BY_CBMP</x:v>
      </x:c>
      <x:c r="N44" s="321" t="n">
        <x:v>1</x:v>
      </x:c>
      <x:c r="O44" t="str">
        <x:v>DẦU GỘI DƯỢC LIỆU VNUA IDEAL FOR FUNGAL SCALP</x:v>
      </x:c>
      <x:c r="P44" t="str">
        <x:v>VNUA</x:v>
      </x:c>
      <x:c r="Q44" t="str">
        <x:v>404/24/CBMP-HD</x:v>
      </x:c>
      <x:c r="R44" t="str">
        <x:v>Public verified declaration.</x:v>
      </x:c>
    </x:row>
    <x:row r="45">
      <x:c r="A45" t="str">
        <x:v>EI-00044</x:v>
      </x:c>
      <x:c r="B45" t="str">
        <x:v>LOCAL_DECLARATION</x:v>
      </x:c>
      <x:c r="C45" t="str">
        <x:v>MASTER_ALL</x:v>
      </x:c>
      <x:c r="D45" t="n">
        <x:v>45</x:v>
      </x:c>
      <x:c r="E45" t="str">
        <x:v>LOCAL-38724CBMPHD</x:v>
      </x:c>
      <x:c r="F45" t="str">
        <x:v>38724cbmphd</x:v>
      </x:c>
      <x:c r="G45" t="str">
        <x:v>vnua|daugoiduoclieuvnua4in1</x:v>
      </x:c>
      <x:c r="H45" t="str">
        <x:v>vnua|daugoiduoclieuvnua4in1</x:v>
      </x:c>
      <x:c r="I45" t="str">
        <x:v>vnua</x:v>
      </x:c>
      <x:c r="J45" t="str">
        <x:v>congtycophankhoahocsinhduocvietnam</x:v>
      </x:c>
      <x:c r="K45" t="str"/>
      <x:c r="L45" t="str"/>
      <x:c r="M45" t="str">
        <x:v>UNIQUE_BY_CBMP</x:v>
      </x:c>
      <x:c r="N45" s="321" t="n">
        <x:v>1</x:v>
      </x:c>
      <x:c r="O45" t="str">
        <x:v>DẦU GỘI DƯỢC LIỆU VNUA 4IN1</x:v>
      </x:c>
      <x:c r="P45" t="str">
        <x:v>VNUA</x:v>
      </x:c>
      <x:c r="Q45" t="str">
        <x:v>387/24/CBMP-HD</x:v>
      </x:c>
      <x:c r="R45" t="str">
        <x:v>Public verified declaration.</x:v>
      </x:c>
    </x:row>
    <x:row r="46">
      <x:c r="A46" t="str">
        <x:v>EI-00045</x:v>
      </x:c>
      <x:c r="B46" t="str">
        <x:v>LOCAL_DECLARATION</x:v>
      </x:c>
      <x:c r="C46" t="str">
        <x:v>MASTER_ALL</x:v>
      </x:c>
      <x:c r="D46" t="n">
        <x:v>46</x:v>
      </x:c>
      <x:c r="E46" t="str">
        <x:v>LOCAL-00706425CBMPHCM</x:v>
      </x:c>
      <x:c r="F46" t="str">
        <x:v>00706425cbmphcm</x:v>
      </x:c>
      <x:c r="G46" t="str">
        <x:v>lipstician|lipsticianlipserumyouthbooster</x:v>
      </x:c>
      <x:c r="H46" t="str">
        <x:v>lipstician|lipsticianlipserumyouthbooster</x:v>
      </x:c>
      <x:c r="I46" t="str">
        <x:v>lipstician</x:v>
      </x:c>
      <x:c r="J46" t="str">
        <x:v>congtytnhhrohtomentholatumvietnam</x:v>
      </x:c>
      <x:c r="K46" t="str"/>
      <x:c r="L46" t="str"/>
      <x:c r="M46" t="str">
        <x:v>UNIQUE_BY_CBMP</x:v>
      </x:c>
      <x:c r="N46" s="321" t="n">
        <x:v>1</x:v>
      </x:c>
      <x:c r="O46" t="str">
        <x:v>LIPSTICIAN LIP SERUM - YOUTH BOOSTER</x:v>
      </x:c>
      <x:c r="P46" t="str">
        <x:v>LIPSTICIAN</x:v>
      </x:c>
      <x:c r="Q46" t="str">
        <x:v>007064/25/CBMP-HCM</x:v>
      </x:c>
      <x:c r="R46" t="str">
        <x:v>Public verified declaration.</x:v>
      </x:c>
    </x:row>
    <x:row r="47">
      <x:c r="A47" t="str">
        <x:v>EI-00046</x:v>
      </x:c>
      <x:c r="B47" t="str">
        <x:v>LOCAL_DECLARATION</x:v>
      </x:c>
      <x:c r="C47" t="str">
        <x:v>MASTER_ALL</x:v>
      </x:c>
      <x:c r="D47" t="n">
        <x:v>47</x:v>
      </x:c>
      <x:c r="E47" t="str">
        <x:v>LOCAL-00087226CBMPHCM</x:v>
      </x:c>
      <x:c r="F47" t="str">
        <x:v>00087226cbmphcm</x:v>
      </x:c>
      <x:c r="G47" t="str">
        <x:v>lipstician|lipsticianlipserumrescuer</x:v>
      </x:c>
      <x:c r="H47" t="str">
        <x:v>lipstician|lipsticianlipserumrescuer</x:v>
      </x:c>
      <x:c r="I47" t="str">
        <x:v>lipstician</x:v>
      </x:c>
      <x:c r="J47" t="str">
        <x:v>congtytnhhrohtomentholatumvietnam</x:v>
      </x:c>
      <x:c r="K47" t="str"/>
      <x:c r="L47" t="str"/>
      <x:c r="M47" t="str">
        <x:v>UNIQUE_BY_CBMP</x:v>
      </x:c>
      <x:c r="N47" s="321" t="n">
        <x:v>1</x:v>
      </x:c>
      <x:c r="O47" t="str">
        <x:v>LIPSTICIAN LIP SERUM - RESCUER</x:v>
      </x:c>
      <x:c r="P47" t="str">
        <x:v>LIPSTICIAN</x:v>
      </x:c>
      <x:c r="Q47" t="str">
        <x:v>000872/26/CBMP-HCM</x:v>
      </x:c>
      <x:c r="R47" t="str">
        <x:v>Public verified declaration.</x:v>
      </x:c>
    </x:row>
    <x:row r="48">
      <x:c r="A48" t="str">
        <x:v>EI-00047</x:v>
      </x:c>
      <x:c r="B48" t="str">
        <x:v>LOCAL_DECLARATION</x:v>
      </x:c>
      <x:c r="C48" t="str">
        <x:v>MASTER_ALL</x:v>
      </x:c>
      <x:c r="D48" t="n">
        <x:v>48</x:v>
      </x:c>
      <x:c r="E48" t="str">
        <x:v>LOCAL-00678925CBMPHCM</x:v>
      </x:c>
      <x:c r="F48" t="str">
        <x:v>00678925cbmphcm</x:v>
      </x:c>
      <x:c r="G48" t="str">
        <x:v>lipstician|lipsticianlipserumprotector</x:v>
      </x:c>
      <x:c r="H48" t="str">
        <x:v>lipstician|lipsticianlipserumprotector</x:v>
      </x:c>
      <x:c r="I48" t="str">
        <x:v>lipstician</x:v>
      </x:c>
      <x:c r="J48" t="str">
        <x:v>congtytnhhrohtomentholatumvietnam</x:v>
      </x:c>
      <x:c r="K48" t="str"/>
      <x:c r="L48" t="str"/>
      <x:c r="M48" t="str">
        <x:v>UNIQUE_BY_CBMP</x:v>
      </x:c>
      <x:c r="N48" s="321" t="n">
        <x:v>1</x:v>
      </x:c>
      <x:c r="O48" t="str">
        <x:v>LIPSTICIAN LIP SERUM - PROTECTOR</x:v>
      </x:c>
      <x:c r="P48" t="str">
        <x:v>LIPSTICIAN</x:v>
      </x:c>
      <x:c r="Q48" t="str">
        <x:v>006789/25/CBMP-HCM</x:v>
      </x:c>
      <x:c r="R48" t="str">
        <x:v>Public verified declaration.</x:v>
      </x:c>
    </x:row>
    <x:row r="49">
      <x:c r="A49" t="str">
        <x:v>EI-00048</x:v>
      </x:c>
      <x:c r="B49" t="str">
        <x:v>LOCAL_DECLARATION</x:v>
      </x:c>
      <x:c r="C49" t="str">
        <x:v>MASTER_ALL</x:v>
      </x:c>
      <x:c r="D49" t="n">
        <x:v>49</x:v>
      </x:c>
      <x:c r="E49" t="str">
        <x:v>LOCAL-73724CBMPBD</x:v>
      </x:c>
      <x:c r="F49" t="str">
        <x:v>73724cbmpbd</x:v>
      </x:c>
      <x:c r="G49" t="str">
        <x:v>refre|refrewhiteningperfume</x:v>
      </x:c>
      <x:c r="H49" t="str">
        <x:v>refre|refrewhiteningperfume</x:v>
      </x:c>
      <x:c r="I49" t="str">
        <x:v>refre</x:v>
      </x:c>
      <x:c r="J49" t="str">
        <x:v>congtytnhhrohtomentholatumvietnam</x:v>
      </x:c>
      <x:c r="K49" t="str"/>
      <x:c r="L49" t="str"/>
      <x:c r="M49" t="str">
        <x:v>UNIQUE_BY_CBMP</x:v>
      </x:c>
      <x:c r="N49" s="321" t="n">
        <x:v>1</x:v>
      </x:c>
      <x:c r="O49" t="str">
        <x:v>REFRE WHITENING PERFUME</x:v>
      </x:c>
      <x:c r="P49" t="str">
        <x:v>REFRE</x:v>
      </x:c>
      <x:c r="Q49" t="str">
        <x:v>737/24/CBMP-BD</x:v>
      </x:c>
      <x:c r="R49" t="str">
        <x:v>Public verified declaration.</x:v>
      </x:c>
    </x:row>
    <x:row r="50">
      <x:c r="A50" t="str">
        <x:v>EI-00049</x:v>
      </x:c>
      <x:c r="B50" t="str">
        <x:v>LOCAL_DECLARATION</x:v>
      </x:c>
      <x:c r="C50" t="str">
        <x:v>MASTER_ALL</x:v>
      </x:c>
      <x:c r="D50" t="n">
        <x:v>50</x:v>
      </x:c>
      <x:c r="E50" t="str">
        <x:v>LOCAL-74024CBMPBD</x:v>
      </x:c>
      <x:c r="F50" t="str">
        <x:v>74024cbmpbd</x:v>
      </x:c>
      <x:c r="G50" t="str">
        <x:v>refre|refrenatural</x:v>
      </x:c>
      <x:c r="H50" t="str">
        <x:v>refre|refrenatural</x:v>
      </x:c>
      <x:c r="I50" t="str">
        <x:v>refre</x:v>
      </x:c>
      <x:c r="J50" t="str">
        <x:v>congtytnhhrohtomentholatumvietnam</x:v>
      </x:c>
      <x:c r="K50" t="str"/>
      <x:c r="L50" t="str"/>
      <x:c r="M50" t="str">
        <x:v>UNIQUE_BY_CBMP</x:v>
      </x:c>
      <x:c r="N50" s="321" t="n">
        <x:v>1</x:v>
      </x:c>
      <x:c r="O50" t="str">
        <x:v>REFRE NATURAL</x:v>
      </x:c>
      <x:c r="P50" t="str">
        <x:v>REFRE</x:v>
      </x:c>
      <x:c r="Q50" t="str">
        <x:v>740/24/CBMP-BD</x:v>
      </x:c>
      <x:c r="R50" t="str">
        <x:v>Public verified declaration.</x:v>
      </x:c>
    </x:row>
    <x:row r="51">
      <x:c r="A51" t="str">
        <x:v>EI-00050</x:v>
      </x:c>
      <x:c r="B51" t="str">
        <x:v>LOCAL_DECLARATION</x:v>
      </x:c>
      <x:c r="C51" t="str">
        <x:v>MASTER_ALL</x:v>
      </x:c>
      <x:c r="D51" t="n">
        <x:v>51</x:v>
      </x:c>
      <x:c r="E51" t="str">
        <x:v>LOCAL-55724CBMPBD</x:v>
      </x:c>
      <x:c r="F51" t="str">
        <x:v>55724cbmpbd</x:v>
      </x:c>
      <x:c r="G51" t="str">
        <x:v>hadalabo|hadalaboacnecarecalmingserum</x:v>
      </x:c>
      <x:c r="H51" t="str">
        <x:v>hadalabo|hadalaboacnecarecalmingserum</x:v>
      </x:c>
      <x:c r="I51" t="str">
        <x:v>hadalabo</x:v>
      </x:c>
      <x:c r="J51" t="str">
        <x:v>congtytnhhrohtomentholatumvietnam</x:v>
      </x:c>
      <x:c r="K51" t="str"/>
      <x:c r="L51" t="str"/>
      <x:c r="M51" t="str">
        <x:v>UNIQUE_BY_CBMP</x:v>
      </x:c>
      <x:c r="N51" s="321" t="n">
        <x:v>1</x:v>
      </x:c>
      <x:c r="O51" t="str">
        <x:v>HADA LABO ACNE CARE CALMING SERUM</x:v>
      </x:c>
      <x:c r="P51" t="str">
        <x:v>HADA LABO</x:v>
      </x:c>
      <x:c r="Q51" t="str">
        <x:v>557/24/CBMP-BD</x:v>
      </x:c>
      <x:c r="R51" t="str">
        <x:v>Public verified declaration.</x:v>
      </x:c>
    </x:row>
    <x:row r="52">
      <x:c r="A52" t="str">
        <x:v>EI-00051</x:v>
      </x:c>
      <x:c r="B52" t="str">
        <x:v>LOCAL_DECLARATION</x:v>
      </x:c>
      <x:c r="C52" t="str">
        <x:v>MASTER_ALL</x:v>
      </x:c>
      <x:c r="D52" t="n">
        <x:v>52</x:v>
      </x:c>
      <x:c r="E52" t="str">
        <x:v>LOCAL-01523CBMPBD</x:v>
      </x:c>
      <x:c r="F52" t="str">
        <x:v>01523cbmpbd</x:v>
      </x:c>
      <x:c r="G52" t="str">
        <x:v>acnes|acnescreamywash</x:v>
      </x:c>
      <x:c r="H52" t="str">
        <x:v>acnes|acnescreamywash</x:v>
      </x:c>
      <x:c r="I52" t="str">
        <x:v>acnes</x:v>
      </x:c>
      <x:c r="J52" t="str">
        <x:v>congtytnhhrohtomentholatumvietnam</x:v>
      </x:c>
      <x:c r="K52" t="str"/>
      <x:c r="L52" t="str"/>
      <x:c r="M52" t="str">
        <x:v>UNIQUE_BY_CBMP</x:v>
      </x:c>
      <x:c r="N52" s="321" t="n">
        <x:v>1</x:v>
      </x:c>
      <x:c r="O52" t="str">
        <x:v>ACNES CREAMY WASH</x:v>
      </x:c>
      <x:c r="P52" t="str">
        <x:v>ACNES</x:v>
      </x:c>
      <x:c r="Q52" t="str">
        <x:v>015/23/CBMP-BD</x:v>
      </x:c>
      <x:c r="R52" t="str">
        <x:v>Public verified declaration.</x:v>
      </x:c>
    </x:row>
    <x:row r="53">
      <x:c r="A53" t="str">
        <x:v>EI-00052</x:v>
      </x:c>
      <x:c r="B53" t="str">
        <x:v>LOCAL_DECLARATION</x:v>
      </x:c>
      <x:c r="C53" t="str">
        <x:v>MASTER_ALL</x:v>
      </x:c>
      <x:c r="D53" t="n">
        <x:v>53</x:v>
      </x:c>
      <x:c r="E53" t="str">
        <x:v>LOCAL-00048326CBMPHCM</x:v>
      </x:c>
      <x:c r="F53" t="str">
        <x:v>00048326cbmphcm</x:v>
      </x:c>
      <x:c r="G53" t="str">
        <x:v>acnes|mentholatumacnesgentlewash</x:v>
      </x:c>
      <x:c r="H53" t="str">
        <x:v>acnes|mentholatumacnesgentlewash</x:v>
      </x:c>
      <x:c r="I53" t="str">
        <x:v>acnes</x:v>
      </x:c>
      <x:c r="J53" t="str">
        <x:v>congtytnhhrohtomentholatumvietnam</x:v>
      </x:c>
      <x:c r="K53" t="str"/>
      <x:c r="L53" t="str"/>
      <x:c r="M53" t="str">
        <x:v>UNIQUE_BY_CBMP</x:v>
      </x:c>
      <x:c r="N53" s="321" t="n">
        <x:v>1</x:v>
      </x:c>
      <x:c r="O53" t="str">
        <x:v>MENTHOLATUM ACNES GENTLE WASH</x:v>
      </x:c>
      <x:c r="P53" t="str">
        <x:v>ACNES</x:v>
      </x:c>
      <x:c r="Q53" t="str">
        <x:v>000483/26/CBMP-HCM</x:v>
      </x:c>
      <x:c r="R53" t="str">
        <x:v>Public verified declaration.</x:v>
      </x:c>
    </x:row>
    <x:row r="54">
      <x:c r="A54" t="str">
        <x:v>EI-00053</x:v>
      </x:c>
      <x:c r="B54" t="str">
        <x:v>LOCAL_DECLARATION</x:v>
      </x:c>
      <x:c r="C54" t="str">
        <x:v>MASTER_ALL</x:v>
      </x:c>
      <x:c r="D54" t="n">
        <x:v>54</x:v>
      </x:c>
      <x:c r="E54" t="str">
        <x:v>LOCAL-06322CBMPBD</x:v>
      </x:c>
      <x:c r="F54" t="str">
        <x:v>06322cbmpbd</x:v>
      </x:c>
      <x:c r="G54" t="str">
        <x:v>acnes|acnesoilcontrolcleanser</x:v>
      </x:c>
      <x:c r="H54" t="str">
        <x:v>acnes|acnesoilcontrolcleanser</x:v>
      </x:c>
      <x:c r="I54" t="str">
        <x:v>acnes</x:v>
      </x:c>
      <x:c r="J54" t="str">
        <x:v>congtytnhhrohtomentholatumvietnam</x:v>
      </x:c>
      <x:c r="K54" t="str"/>
      <x:c r="L54" t="str"/>
      <x:c r="M54" t="str">
        <x:v>UNIQUE_BY_CBMP</x:v>
      </x:c>
      <x:c r="N54" s="321" t="n">
        <x:v>1</x:v>
      </x:c>
      <x:c r="O54" t="str">
        <x:v>ACNES OIL CONTROL CLEANSER</x:v>
      </x:c>
      <x:c r="P54" t="str">
        <x:v>ACNES</x:v>
      </x:c>
      <x:c r="Q54" t="str">
        <x:v>063/22/CBMP-BD</x:v>
      </x:c>
      <x:c r="R54" t="str">
        <x:v>Public verified declaration.</x:v>
      </x:c>
    </x:row>
    <x:row r="55">
      <x:c r="A55" t="str">
        <x:v>EI-00054</x:v>
      </x:c>
      <x:c r="B55" t="str">
        <x:v>LOCAL_DECLARATION</x:v>
      </x:c>
      <x:c r="C55" t="str">
        <x:v>MASTER_ALL</x:v>
      </x:c>
      <x:c r="D55" t="n">
        <x:v>55</x:v>
      </x:c>
      <x:c r="E55" t="str">
        <x:v>LOCAL-0040516CBMPHCM</x:v>
      </x:c>
      <x:c r="F55" t="str">
        <x:v>0040516cbmphcm</x:v>
      </x:c>
      <x:c r="G55" t="str">
        <x:v>acnes|mentholatumacnesvitamincleanser</x:v>
      </x:c>
      <x:c r="H55" t="str">
        <x:v>acnes|mentholatumacnesvitamincleanser</x:v>
      </x:c>
      <x:c r="I55" t="str">
        <x:v>acnes</x:v>
      </x:c>
      <x:c r="J55" t="str">
        <x:v>congtytnhhrohtomentholatumvietnam</x:v>
      </x:c>
      <x:c r="K55" t="str"/>
      <x:c r="L55" t="str"/>
      <x:c r="M55" t="str">
        <x:v>UNIQUE_BY_CBMP</x:v>
      </x:c>
      <x:c r="N55" s="321" t="n">
        <x:v>1</x:v>
      </x:c>
      <x:c r="O55" t="str">
        <x:v>MENTHOLATUM ACNES VITAMIN CLEANSER</x:v>
      </x:c>
      <x:c r="P55" t="str">
        <x:v>ACNES</x:v>
      </x:c>
      <x:c r="Q55" t="str">
        <x:v>00405/16/CBMP-HCM</x:v>
      </x:c>
      <x:c r="R55" t="str">
        <x:v>Public verified declaration.</x:v>
      </x:c>
    </x:row>
    <x:row r="56">
      <x:c r="A56" t="str">
        <x:v>EI-00055</x:v>
      </x:c>
      <x:c r="B56" t="str">
        <x:v>LOCAL_DECLARATION</x:v>
      </x:c>
      <x:c r="C56" t="str">
        <x:v>MASTER_ALL</x:v>
      </x:c>
      <x:c r="D56" t="n">
        <x:v>56</x:v>
      </x:c>
      <x:c r="E56" t="str">
        <x:v>LOCAL-47522CBMPBD</x:v>
      </x:c>
      <x:c r="F56" t="str">
        <x:v>47522cbmpbd</x:v>
      </x:c>
      <x:c r="G56" t="str">
        <x:v>acnes|acnesmicellarwater</x:v>
      </x:c>
      <x:c r="H56" t="str">
        <x:v>acnes|acnesmicellarwater</x:v>
      </x:c>
      <x:c r="I56" t="str">
        <x:v>acnes</x:v>
      </x:c>
      <x:c r="J56" t="str">
        <x:v>congtytnhhrohtomentholatumvietnam</x:v>
      </x:c>
      <x:c r="K56" t="str"/>
      <x:c r="L56" t="str"/>
      <x:c r="M56" t="str">
        <x:v>UNIQUE_BY_CBMP</x:v>
      </x:c>
      <x:c r="N56" s="321" t="n">
        <x:v>1</x:v>
      </x:c>
      <x:c r="O56" t="str">
        <x:v>ACNES MICELLAR WATER</x:v>
      </x:c>
      <x:c r="P56" t="str">
        <x:v>ACNES</x:v>
      </x:c>
      <x:c r="Q56" t="str">
        <x:v>475/22/CBMP-BD</x:v>
      </x:c>
      <x:c r="R56" t="str">
        <x:v>Public verified declaration.</x:v>
      </x:c>
    </x:row>
    <x:row r="57">
      <x:c r="A57" t="str">
        <x:v>EI-00056</x:v>
      </x:c>
      <x:c r="B57" t="str">
        <x:v>LOCAL_DECLARATION</x:v>
      </x:c>
      <x:c r="C57" t="str">
        <x:v>MASTER_ALL</x:v>
      </x:c>
      <x:c r="D57" t="n">
        <x:v>57</x:v>
      </x:c>
      <x:c r="E57" t="str">
        <x:v>LOCAL-56622CBMPBD</x:v>
      </x:c>
      <x:c r="F57" t="str">
        <x:v>56622cbmpbd</x:v>
      </x:c>
      <x:c r="G57" t="str">
        <x:v>acnes|acnesblemishcontrolsunscreen</x:v>
      </x:c>
      <x:c r="H57" t="str">
        <x:v>acnes|acnesblemishcontrolsunscreen</x:v>
      </x:c>
      <x:c r="I57" t="str">
        <x:v>acnes</x:v>
      </x:c>
      <x:c r="J57" t="str">
        <x:v>congtytnhhrohtomentholatumvietnam</x:v>
      </x:c>
      <x:c r="K57" t="str"/>
      <x:c r="L57" t="str"/>
      <x:c r="M57" t="str">
        <x:v>UNIQUE_BY_CBMP</x:v>
      </x:c>
      <x:c r="N57" s="321" t="n">
        <x:v>1</x:v>
      </x:c>
      <x:c r="O57" t="str">
        <x:v>ACNES BLEMISH CONTROL SUNSCREEN</x:v>
      </x:c>
      <x:c r="P57" t="str">
        <x:v>ACNES</x:v>
      </x:c>
      <x:c r="Q57" t="str">
        <x:v>566/22/CBMP-BD</x:v>
      </x:c>
      <x:c r="R57" t="str">
        <x:v>Public verified declaration.</x:v>
      </x:c>
    </x:row>
    <x:row r="58">
      <x:c r="A58" t="str">
        <x:v>EI-00057</x:v>
      </x:c>
      <x:c r="B58" t="str">
        <x:v>LOCAL_DECLARATION</x:v>
      </x:c>
      <x:c r="C58" t="str">
        <x:v>MASTER_ALL</x:v>
      </x:c>
      <x:c r="D58" t="n">
        <x:v>58</x:v>
      </x:c>
      <x:c r="E58" t="str">
        <x:v>LOCAL-41722CBMPBD</x:v>
      </x:c>
      <x:c r="F58" t="str">
        <x:v>41722cbmpbd</x:v>
      </x:c>
      <x:c r="G58" t="str">
        <x:v>acnes|acnesscarcare</x:v>
      </x:c>
      <x:c r="H58" t="str">
        <x:v>acnes|acnesscarcare</x:v>
      </x:c>
      <x:c r="I58" t="str">
        <x:v>acnes</x:v>
      </x:c>
      <x:c r="J58" t="str">
        <x:v>congtytnhhrohtomentholatumvietnam</x:v>
      </x:c>
      <x:c r="K58" t="str"/>
      <x:c r="L58" t="str"/>
      <x:c r="M58" t="str">
        <x:v>UNIQUE_BY_CBMP</x:v>
      </x:c>
      <x:c r="N58" s="321" t="n">
        <x:v>1</x:v>
      </x:c>
      <x:c r="O58" t="str">
        <x:v>ACNES SCAR CARE</x:v>
      </x:c>
      <x:c r="P58" t="str">
        <x:v>ACNES</x:v>
      </x:c>
      <x:c r="Q58" t="str">
        <x:v>417/22/CBMP-BD</x:v>
      </x:c>
      <x:c r="R58" t="str">
        <x:v>Public verified declaration.</x:v>
      </x:c>
    </x:row>
    <x:row r="59">
      <x:c r="A59" t="str">
        <x:v>EI-00058</x:v>
      </x:c>
      <x:c r="B59" t="str">
        <x:v>LOCAL_DECLARATION</x:v>
      </x:c>
      <x:c r="C59" t="str">
        <x:v>MASTER_ALL</x:v>
      </x:c>
      <x:c r="D59" t="n">
        <x:v>59</x:v>
      </x:c>
      <x:c r="E59" t="str">
        <x:v>LOCAL-03922CBMPBD</x:v>
      </x:c>
      <x:c r="F59" t="str">
        <x:v>03922cbmpbd</x:v>
      </x:c>
      <x:c r="G59" t="str">
        <x:v>acnes|acnessealingjell</x:v>
      </x:c>
      <x:c r="H59" t="str">
        <x:v>acnes|acnessealingjell</x:v>
      </x:c>
      <x:c r="I59" t="str">
        <x:v>acnes</x:v>
      </x:c>
      <x:c r="J59" t="str">
        <x:v>congtytnhhrohtomentholatumvietnam</x:v>
      </x:c>
      <x:c r="K59" t="str"/>
      <x:c r="L59" t="str"/>
      <x:c r="M59" t="str">
        <x:v>UNIQUE_BY_CBMP</x:v>
      </x:c>
      <x:c r="N59" s="321" t="n">
        <x:v>1</x:v>
      </x:c>
      <x:c r="O59" t="str">
        <x:v>ACNES SEALING JELL</x:v>
      </x:c>
      <x:c r="P59" t="str">
        <x:v>ACNES</x:v>
      </x:c>
      <x:c r="Q59" t="str">
        <x:v>039/22/CBMP-BD</x:v>
      </x:c>
      <x:c r="R59" t="str">
        <x:v>Public verified declaration.</x:v>
      </x:c>
    </x:row>
    <x:row r="60">
      <x:c r="A60" t="str">
        <x:v>EI-00059</x:v>
      </x:c>
      <x:c r="B60" t="str">
        <x:v>LOCAL_DECLARATION</x:v>
      </x:c>
      <x:c r="C60" t="str">
        <x:v>MASTER_ALL</x:v>
      </x:c>
      <x:c r="D60" t="n">
        <x:v>60</x:v>
      </x:c>
      <x:c r="E60" t="str">
        <x:v>LOCAL-00422CBMPBD</x:v>
      </x:c>
      <x:c r="F60" t="str">
        <x:v>00422cbmpbd</x:v>
      </x:c>
      <x:c r="G60" t="str">
        <x:v>acnes|acnesblemishclearcream</x:v>
      </x:c>
      <x:c r="H60" t="str">
        <x:v>acnes|acnesblemishclearcream</x:v>
      </x:c>
      <x:c r="I60" t="str">
        <x:v>acnes</x:v>
      </x:c>
      <x:c r="J60" t="str">
        <x:v>congtytnhhrohtomentholatumvietnam</x:v>
      </x:c>
      <x:c r="K60" t="str"/>
      <x:c r="L60" t="str"/>
      <x:c r="M60" t="str">
        <x:v>UNIQUE_BY_CBMP</x:v>
      </x:c>
      <x:c r="N60" s="321" t="n">
        <x:v>1</x:v>
      </x:c>
      <x:c r="O60" t="str">
        <x:v>ACNES BLEMISH CLEAR CREAM</x:v>
      </x:c>
      <x:c r="P60" t="str">
        <x:v>ACNES</x:v>
      </x:c>
      <x:c r="Q60" t="str">
        <x:v>004/22/CBMP-BD</x:v>
      </x:c>
      <x:c r="R60" t="str">
        <x:v>Public verified declaration.</x:v>
      </x:c>
    </x:row>
    <x:row r="61">
      <x:c r="A61" t="str">
        <x:v>EI-00060</x:v>
      </x:c>
      <x:c r="B61" t="str">
        <x:v>LOCAL_DECLARATION</x:v>
      </x:c>
      <x:c r="C61" t="str">
        <x:v>MASTER_ALL</x:v>
      </x:c>
      <x:c r="D61" t="n">
        <x:v>61</x:v>
      </x:c>
      <x:c r="E61" t="str">
        <x:v>LOCAL-33423CBMPBD</x:v>
      </x:c>
      <x:c r="F61" t="str">
        <x:v>33423cbmpbd</x:v>
      </x:c>
      <x:c r="G61" t="str">
        <x:v>acnes|acnesclearpatch</x:v>
      </x:c>
      <x:c r="H61" t="str">
        <x:v>acnes|acnesclearpatch</x:v>
      </x:c>
      <x:c r="I61" t="str">
        <x:v>acnes</x:v>
      </x:c>
      <x:c r="J61" t="str">
        <x:v>congtytnhhrohtomentholatumvietnam</x:v>
      </x:c>
      <x:c r="K61" t="str"/>
      <x:c r="L61" t="str"/>
      <x:c r="M61" t="str">
        <x:v>UNIQUE_BY_CBMP</x:v>
      </x:c>
      <x:c r="N61" s="321" t="n">
        <x:v>1</x:v>
      </x:c>
      <x:c r="O61" t="str">
        <x:v>ACNES CLEAR PATCH</x:v>
      </x:c>
      <x:c r="P61" t="str">
        <x:v>ACNES</x:v>
      </x:c>
      <x:c r="Q61" t="str">
        <x:v>334/23/CBMP-BD</x:v>
      </x:c>
      <x:c r="R61" t="str">
        <x:v>Public verified declaration.</x:v>
      </x:c>
    </x:row>
    <x:row r="62">
      <x:c r="A62" t="str">
        <x:v>EI-00061</x:v>
      </x:c>
      <x:c r="B62" t="str">
        <x:v>LOCAL_DECLARATION</x:v>
      </x:c>
      <x:c r="C62" t="str">
        <x:v>MASTER_ALL</x:v>
      </x:c>
      <x:c r="D62" t="n">
        <x:v>62</x:v>
      </x:c>
      <x:c r="E62" t="str">
        <x:v>LOCAL-01524CBMPBD</x:v>
      </x:c>
      <x:c r="F62" t="str">
        <x:v>01524cbmpbd</x:v>
      </x:c>
      <x:c r="G62" t="str">
        <x:v>acnes|acneslabb5recoveryserum</x:v>
      </x:c>
      <x:c r="H62" t="str">
        <x:v>acnes|acneslabb5recoveryserum</x:v>
      </x:c>
      <x:c r="I62" t="str">
        <x:v>acnes</x:v>
      </x:c>
      <x:c r="J62" t="str">
        <x:v>congtytnhhrohtomentholatumvietnam</x:v>
      </x:c>
      <x:c r="K62" t="str"/>
      <x:c r="L62" t="str"/>
      <x:c r="M62" t="str">
        <x:v>UNIQUE_BY_CBMP</x:v>
      </x:c>
      <x:c r="N62" s="321" t="n">
        <x:v>1</x:v>
      </x:c>
      <x:c r="O62" t="str">
        <x:v>ACNES LAB B5 RECOVERY SERUM</x:v>
      </x:c>
      <x:c r="P62" t="str">
        <x:v>ACNES</x:v>
      </x:c>
      <x:c r="Q62" t="str">
        <x:v>015/24/CBMP-BD</x:v>
      </x:c>
      <x:c r="R62" t="str">
        <x:v>Public verified declaration.</x:v>
      </x:c>
    </x:row>
    <x:row r="63">
      <x:c r="A63" t="str">
        <x:v>EI-00062</x:v>
      </x:c>
      <x:c r="B63" t="str">
        <x:v>LOCAL_DECLARATION</x:v>
      </x:c>
      <x:c r="C63" t="str">
        <x:v>MASTER_ALL</x:v>
      </x:c>
      <x:c r="D63" t="n">
        <x:v>63</x:v>
      </x:c>
      <x:c r="E63" t="str">
        <x:v>LOCAL-61023CBMPBD</x:v>
      </x:c>
      <x:c r="F63" t="str">
        <x:v>61023cbmpbd</x:v>
      </x:c>
      <x:c r="G63" t="str">
        <x:v>acnes|acneslabacnerepaircream</x:v>
      </x:c>
      <x:c r="H63" t="str">
        <x:v>acnes|acneslabacnerepaircream</x:v>
      </x:c>
      <x:c r="I63" t="str">
        <x:v>acnes</x:v>
      </x:c>
      <x:c r="J63" t="str">
        <x:v>congtytnhhrohtomentholatumvietnam</x:v>
      </x:c>
      <x:c r="K63" t="str"/>
      <x:c r="L63" t="str"/>
      <x:c r="M63" t="str">
        <x:v>UNIQUE_BY_CBMP</x:v>
      </x:c>
      <x:c r="N63" s="321" t="n">
        <x:v>1</x:v>
      </x:c>
      <x:c r="O63" t="str">
        <x:v>ACNES LAB ACNE REPAIR CREAM</x:v>
      </x:c>
      <x:c r="P63" t="str">
        <x:v>ACNES</x:v>
      </x:c>
      <x:c r="Q63" t="str">
        <x:v>610/23/CBMP-BD</x:v>
      </x:c>
      <x:c r="R63" t="str">
        <x:v>Public verified declaration.</x:v>
      </x:c>
    </x:row>
    <x:row r="64">
      <x:c r="A64" t="str">
        <x:v>EI-00063</x:v>
      </x:c>
      <x:c r="B64" t="str">
        <x:v>LOCAL_DECLARATION</x:v>
      </x:c>
      <x:c r="C64" t="str">
        <x:v>MASTER_ALL</x:v>
      </x:c>
      <x:c r="D64" t="n">
        <x:v>64</x:v>
      </x:c>
      <x:c r="E64" t="str">
        <x:v>LOCAL-57924CBMPBD</x:v>
      </x:c>
      <x:c r="F64" t="str">
        <x:v>57924cbmpbd</x:v>
      </x:c>
      <x:c r="G64" t="str">
        <x:v>acnes|acneslabc10serum</x:v>
      </x:c>
      <x:c r="H64" t="str">
        <x:v>acnes|acneslabc10serum</x:v>
      </x:c>
      <x:c r="I64" t="str">
        <x:v>acnes</x:v>
      </x:c>
      <x:c r="J64" t="str">
        <x:v>congtytnhhrohtomentholatumvietnam</x:v>
      </x:c>
      <x:c r="K64" t="str"/>
      <x:c r="L64" t="str"/>
      <x:c r="M64" t="str">
        <x:v>UNIQUE_BY_CBMP</x:v>
      </x:c>
      <x:c r="N64" s="321" t="n">
        <x:v>1</x:v>
      </x:c>
      <x:c r="O64" t="str">
        <x:v>ACNES LAB C10 SERUM</x:v>
      </x:c>
      <x:c r="P64" t="str">
        <x:v>ACNES</x:v>
      </x:c>
      <x:c r="Q64" t="str">
        <x:v>579/24/CBMP-BD</x:v>
      </x:c>
      <x:c r="R64" t="str">
        <x:v>Public verified declaration.</x:v>
      </x:c>
    </x:row>
    <x:row r="65">
      <x:c r="A65" t="str">
        <x:v>EI-00064</x:v>
      </x:c>
      <x:c r="B65" t="str">
        <x:v>LOCAL_DECLARATION</x:v>
      </x:c>
      <x:c r="C65" t="str">
        <x:v>MASTER_ALL</x:v>
      </x:c>
      <x:c r="D65" t="n">
        <x:v>65</x:v>
      </x:c>
      <x:c r="E65" t="str">
        <x:v>LOCAL-12824CBMPBD</x:v>
      </x:c>
      <x:c r="F65" t="str">
        <x:v>12824cbmpbd</x:v>
      </x:c>
      <x:c r="G65" t="str">
        <x:v>acnes|acneslabc15serum</x:v>
      </x:c>
      <x:c r="H65" t="str">
        <x:v>acnes|acneslabc15serum</x:v>
      </x:c>
      <x:c r="I65" t="str">
        <x:v>acnes</x:v>
      </x:c>
      <x:c r="J65" t="str">
        <x:v>congtytnhhrohtomentholatumvietnam</x:v>
      </x:c>
      <x:c r="K65" t="str"/>
      <x:c r="L65" t="str"/>
      <x:c r="M65" t="str">
        <x:v>UNIQUE_BY_CBMP</x:v>
      </x:c>
      <x:c r="N65" s="321" t="n">
        <x:v>1</x:v>
      </x:c>
      <x:c r="O65" t="str">
        <x:v>ACNES LAB C15 SERUM</x:v>
      </x:c>
      <x:c r="P65" t="str">
        <x:v>ACNES</x:v>
      </x:c>
      <x:c r="Q65" t="str">
        <x:v>128/24/CBMP-BD</x:v>
      </x:c>
      <x:c r="R65" t="str">
        <x:v>Public verified declaration.</x:v>
      </x:c>
    </x:row>
    <x:row r="66">
      <x:c r="A66" t="str">
        <x:v>EI-00065</x:v>
      </x:c>
      <x:c r="B66" t="str">
        <x:v>LOCAL_DECLARATION</x:v>
      </x:c>
      <x:c r="C66" t="str">
        <x:v>MASTER_ALL</x:v>
      </x:c>
      <x:c r="D66" t="n">
        <x:v>66</x:v>
      </x:c>
      <x:c r="E66" t="str">
        <x:v>LOCAL-09923CBMPBD</x:v>
      </x:c>
      <x:c r="F66" t="str">
        <x:v>09923cbmpbd</x:v>
      </x:c>
      <x:c r="G66" t="str">
        <x:v>50megumi|50megumihairfallcontrolconditioner</x:v>
      </x:c>
      <x:c r="H66" t="str">
        <x:v>50megumi|50megumihairfallcontrolconditioner</x:v>
      </x:c>
      <x:c r="I66" t="str">
        <x:v>50megumi</x:v>
      </x:c>
      <x:c r="J66" t="str">
        <x:v>congtytnhhrohtomentholatumvietnam</x:v>
      </x:c>
      <x:c r="K66" t="str"/>
      <x:c r="L66" t="str"/>
      <x:c r="M66" t="str">
        <x:v>UNIQUE_BY_CBMP</x:v>
      </x:c>
      <x:c r="N66" s="321" t="n">
        <x:v>1</x:v>
      </x:c>
      <x:c r="O66" t="str">
        <x:v>50 MEGUMI HAIR FALL CONTROL CONDITIONER</x:v>
      </x:c>
      <x:c r="P66" t="str">
        <x:v>50 MEGUMI</x:v>
      </x:c>
      <x:c r="Q66" t="str">
        <x:v>099/23/CBMP-BD</x:v>
      </x:c>
      <x:c r="R66" t="str">
        <x:v>Public verified declaration.</x:v>
      </x:c>
    </x:row>
    <x:row r="67">
      <x:c r="A67" t="str">
        <x:v>EI-00066</x:v>
      </x:c>
      <x:c r="B67" t="str">
        <x:v>LOCAL_DECLARATION</x:v>
      </x:c>
      <x:c r="C67" t="str">
        <x:v>MASTER_ALL</x:v>
      </x:c>
      <x:c r="D67" t="n">
        <x:v>67</x:v>
      </x:c>
      <x:c r="E67" t="str">
        <x:v>LOCAL-09823CBMPBD</x:v>
      </x:c>
      <x:c r="F67" t="str">
        <x:v>09823cbmpbd</x:v>
      </x:c>
      <x:c r="G67" t="str">
        <x:v>50megumi|50megumihairfallcontrolshampoo</x:v>
      </x:c>
      <x:c r="H67" t="str">
        <x:v>50megumi|50megumihairfallcontrolshampoo</x:v>
      </x:c>
      <x:c r="I67" t="str">
        <x:v>50megumi</x:v>
      </x:c>
      <x:c r="J67" t="str">
        <x:v>congtytnhhrohtomentholatumvietnam</x:v>
      </x:c>
      <x:c r="K67" t="str"/>
      <x:c r="L67" t="str"/>
      <x:c r="M67" t="str">
        <x:v>UNIQUE_BY_CBMP</x:v>
      </x:c>
      <x:c r="N67" s="321" t="n">
        <x:v>1</x:v>
      </x:c>
      <x:c r="O67" t="str">
        <x:v>50 MEGUMI HAIR FALL CONTROL SHAMPOO</x:v>
      </x:c>
      <x:c r="P67" t="str">
        <x:v>50 MEGUMI</x:v>
      </x:c>
      <x:c r="Q67" t="str">
        <x:v>098/23/CBMP-BD</x:v>
      </x:c>
      <x:c r="R67" t="str">
        <x:v>Public verified declaration.</x:v>
      </x:c>
    </x:row>
    <x:row r="68">
      <x:c r="A68" t="str">
        <x:v>EI-00067</x:v>
      </x:c>
      <x:c r="B68" t="str">
        <x:v>LOCAL_DECLARATION</x:v>
      </x:c>
      <x:c r="C68" t="str">
        <x:v>MASTER_ALL</x:v>
      </x:c>
      <x:c r="D68" t="n">
        <x:v>68</x:v>
      </x:c>
      <x:c r="E68" t="str">
        <x:v>LOCAL-00337925CBMPHCM</x:v>
      </x:c>
      <x:c r="F68" t="str">
        <x:v>00337925cbmphcm</x:v>
      </x:c>
      <x:c r="G68" t="str">
        <x:v>50megumi|50megumihairessence</x:v>
      </x:c>
      <x:c r="H68" t="str">
        <x:v>50megumi|50megumihairessence</x:v>
      </x:c>
      <x:c r="I68" t="str">
        <x:v>50megumi</x:v>
      </x:c>
      <x:c r="J68" t="str">
        <x:v>congtytnhhrohtomentholatumvietnam</x:v>
      </x:c>
      <x:c r="K68" t="str"/>
      <x:c r="L68" t="str"/>
      <x:c r="M68" t="str">
        <x:v>UNIQUE_BY_CBMP</x:v>
      </x:c>
      <x:c r="N68" s="321" t="n">
        <x:v>1</x:v>
      </x:c>
      <x:c r="O68" t="str">
        <x:v>50 MEGUMI HAIR ESSENCE</x:v>
      </x:c>
      <x:c r="P68" t="str">
        <x:v>50 MEGUMI</x:v>
      </x:c>
      <x:c r="Q68" t="str">
        <x:v>003379/25/CBMP-HCM</x:v>
      </x:c>
      <x:c r="R68" t="str">
        <x:v>Public verified declaration.</x:v>
      </x:c>
    </x:row>
    <x:row r="69">
      <x:c r="A69" t="str">
        <x:v>EI-00068</x:v>
      </x:c>
      <x:c r="B69" t="str">
        <x:v>LOCAL_DECLARATION</x:v>
      </x:c>
      <x:c r="C69" t="str">
        <x:v>MASTER_ALL</x:v>
      </x:c>
      <x:c r="D69" t="n">
        <x:v>69</x:v>
      </x:c>
      <x:c r="E69" t="str">
        <x:v>LOCAL-02023CBMPBD</x:v>
      </x:c>
      <x:c r="F69" t="str">
        <x:v>02023cbmpbd</x:v>
      </x:c>
      <x:c r="G69" t="str">
        <x:v>sunplay|sunplayskinaquaclearwhite</x:v>
      </x:c>
      <x:c r="H69" t="str">
        <x:v>sunplay|sunplayskinaquaclearwhite</x:v>
      </x:c>
      <x:c r="I69" t="str">
        <x:v>sunplay</x:v>
      </x:c>
      <x:c r="J69" t="str">
        <x:v>congtytnhhrohtomentholatumvietnam</x:v>
      </x:c>
      <x:c r="K69" t="str"/>
      <x:c r="L69" t="str"/>
      <x:c r="M69" t="str">
        <x:v>UNIQUE_BY_CBMP</x:v>
      </x:c>
      <x:c r="N69" s="321" t="n">
        <x:v>1</x:v>
      </x:c>
      <x:c r="O69" t="str">
        <x:v>SUNPLAY SKIN AQUA CLEAR WHITE</x:v>
      </x:c>
      <x:c r="P69" t="str">
        <x:v>SUNPLAY</x:v>
      </x:c>
      <x:c r="Q69" t="str">
        <x:v>020/23/CBMP-BD</x:v>
      </x:c>
      <x:c r="R69" t="str">
        <x:v>Public verified declaration.</x:v>
      </x:c>
    </x:row>
    <x:row r="70">
      <x:c r="A70" t="str">
        <x:v>EI-00069</x:v>
      </x:c>
      <x:c r="B70" t="str">
        <x:v>LOCAL_DECLARATION</x:v>
      </x:c>
      <x:c r="C70" t="str">
        <x:v>MASTER_ALL</x:v>
      </x:c>
      <x:c r="D70" t="n">
        <x:v>70</x:v>
      </x:c>
      <x:c r="E70" t="str">
        <x:v>LOCAL-01723CBMPBD</x:v>
      </x:c>
      <x:c r="F70" t="str">
        <x:v>01723cbmpbd</x:v>
      </x:c>
      <x:c r="G70" t="str">
        <x:v>selsun|selsunantidandruffshampoowithseleniumsulfide</x:v>
      </x:c>
      <x:c r="H70" t="str">
        <x:v>selsun|selsunantidandruffshampoowithseleniumsulfide</x:v>
      </x:c>
      <x:c r="I70" t="str">
        <x:v>selsun</x:v>
      </x:c>
      <x:c r="J70" t="str">
        <x:v>congtytnhhrohtomentholatumvietnam</x:v>
      </x:c>
      <x:c r="K70" t="str"/>
      <x:c r="L70" t="str"/>
      <x:c r="M70" t="str">
        <x:v>UNIQUE_BY_CBMP</x:v>
      </x:c>
      <x:c r="N70" s="321" t="n">
        <x:v>1</x:v>
      </x:c>
      <x:c r="O70" t="str">
        <x:v>SELSUN ANTI-DANDRUFF SHAMPOO WITH SELENIUM SULFIDE</x:v>
      </x:c>
      <x:c r="P70" t="str">
        <x:v>SELSUN</x:v>
      </x:c>
      <x:c r="Q70" t="str">
        <x:v>017/23/CBMP-BD</x:v>
      </x:c>
      <x:c r="R70" t="str">
        <x:v>Public verified declaration.</x:v>
      </x:c>
    </x:row>
    <x:row r="71">
      <x:c r="A71" t="str">
        <x:v>EI-00070</x:v>
      </x:c>
      <x:c r="B71" t="str">
        <x:v>LOCAL_DECLARATION</x:v>
      </x:c>
      <x:c r="C71" t="str">
        <x:v>MASTER_ALL</x:v>
      </x:c>
      <x:c r="D71" t="n">
        <x:v>71</x:v>
      </x:c>
      <x:c r="E71" t="str">
        <x:v>LOCAL-00625CBMPBD</x:v>
      </x:c>
      <x:c r="F71" t="str">
        <x:v>00625cbmpbd</x:v>
      </x:c>
      <x:c r="G71" t="str">
        <x:v>silknshine|silknshinehairtreatmentaloevera</x:v>
      </x:c>
      <x:c r="H71" t="str">
        <x:v>silknshine|silknshinehairtreatmentaloevera</x:v>
      </x:c>
      <x:c r="I71" t="str">
        <x:v>silknshine</x:v>
      </x:c>
      <x:c r="J71" t="str">
        <x:v>congtycophanmaricosoutheastasia</x:v>
      </x:c>
      <x:c r="K71" t="str">
        <x:v>congtycophanmaricosoutheastasia</x:v>
      </x:c>
      <x:c r="L71" t="str"/>
      <x:c r="M71" t="str">
        <x:v>UNIQUE_BY_CBMP</x:v>
      </x:c>
      <x:c r="N71" s="321" t="n">
        <x:v>1</x:v>
      </x:c>
      <x:c r="O71" t="str">
        <x:v>silk-n shine. HAIR TREATMENT ALOE VERA</x:v>
      </x:c>
      <x:c r="P71" t="str">
        <x:v>silk-n shine</x:v>
      </x:c>
      <x:c r="Q71" t="str">
        <x:v>006/25/CBMP-BD</x:v>
      </x:c>
      <x:c r="R71" t="str">
        <x:v>Public verified declaration.</x:v>
      </x:c>
    </x:row>
    <x:row r="72">
      <x:c r="A72" t="str">
        <x:v>EI-00071</x:v>
      </x:c>
      <x:c r="B72" t="str">
        <x:v>LOCAL_DECLARATION</x:v>
      </x:c>
      <x:c r="C72" t="str">
        <x:v>MASTER_ALL</x:v>
      </x:c>
      <x:c r="D72" t="n">
        <x:v>72</x:v>
      </x:c>
      <x:c r="E72" t="str">
        <x:v>LOCAL-00725CBMPBD</x:v>
      </x:c>
      <x:c r="F72" t="str">
        <x:v>00725cbmpbd</x:v>
      </x:c>
      <x:c r="G72" t="str">
        <x:v>silknshine|silknshinehairtreatmentgreentea</x:v>
      </x:c>
      <x:c r="H72" t="str">
        <x:v>silknshine|silknshinehairtreatmentgreentea</x:v>
      </x:c>
      <x:c r="I72" t="str">
        <x:v>silknshine</x:v>
      </x:c>
      <x:c r="J72" t="str">
        <x:v>congtycophanmaricosoutheastasia</x:v>
      </x:c>
      <x:c r="K72" t="str">
        <x:v>congtycophanmaricosoutheastasia</x:v>
      </x:c>
      <x:c r="L72" t="str"/>
      <x:c r="M72" t="str">
        <x:v>UNIQUE_BY_CBMP</x:v>
      </x:c>
      <x:c r="N72" s="321" t="n">
        <x:v>1</x:v>
      </x:c>
      <x:c r="O72" t="str">
        <x:v>silk-n shine. HAIR TREATMENT GREEN TEA</x:v>
      </x:c>
      <x:c r="P72" t="str">
        <x:v>silk-n shine</x:v>
      </x:c>
      <x:c r="Q72" t="str">
        <x:v>007/25/CBMP-BD</x:v>
      </x:c>
      <x:c r="R72" t="str">
        <x:v>Public verified declaration.</x:v>
      </x:c>
    </x:row>
    <x:row r="73">
      <x:c r="A73" t="str">
        <x:v>EI-00072</x:v>
      </x:c>
      <x:c r="B73" t="str">
        <x:v>LOCAL_DECLARATION</x:v>
      </x:c>
      <x:c r="C73" t="str">
        <x:v>MASTER_ALL</x:v>
      </x:c>
      <x:c r="D73" t="n">
        <x:v>73</x:v>
      </x:c>
      <x:c r="E73" t="str">
        <x:v>LOCAL-00155525CBMPHCM</x:v>
      </x:c>
      <x:c r="F73" t="str">
        <x:v>00155525cbmphcm</x:v>
      </x:c>
      <x:c r="G73" t="str">
        <x:v>blacksheep|blacksheepvitaminwhite</x:v>
      </x:c>
      <x:c r="H73" t="str">
        <x:v>blacksheep|blacksheepvitaminwhite</x:v>
      </x:c>
      <x:c r="I73" t="str">
        <x:v>blacksheep</x:v>
      </x:c>
      <x:c r="J73" t="str">
        <x:v>congtytnhhhencosvn</x:v>
      </x:c>
      <x:c r="K73" t="str">
        <x:v>congtytnhhhencosvn</x:v>
      </x:c>
      <x:c r="L73" t="str"/>
      <x:c r="M73" t="str">
        <x:v>UNIQUE_BY_CBMP</x:v>
      </x:c>
      <x:c r="N73" s="321" t="n">
        <x:v>1</x:v>
      </x:c>
      <x:c r="O73" t="str">
        <x:v>BLACK SHEEP – VITAMIN WHITE</x:v>
      </x:c>
      <x:c r="P73" t="str">
        <x:v>BLACK SHEEP</x:v>
      </x:c>
      <x:c r="Q73" t="str">
        <x:v>001555/25/CBMP-HCM</x:v>
      </x:c>
      <x:c r="R73" t="str">
        <x:v>Public verified declaration.</x:v>
      </x:c>
    </x:row>
    <x:row r="74">
      <x:c r="A74" t="str">
        <x:v>EI-00073</x:v>
      </x:c>
      <x:c r="B74" t="str">
        <x:v>LOCAL_DECLARATION</x:v>
      </x:c>
      <x:c r="C74" t="str">
        <x:v>MASTER_ALL</x:v>
      </x:c>
      <x:c r="D74" t="n">
        <x:v>74</x:v>
      </x:c>
      <x:c r="E74" t="str">
        <x:v>LOCAL-00155625CBMPHCM</x:v>
      </x:c>
      <x:c r="F74" t="str">
        <x:v>00155625cbmphcm</x:v>
      </x:c>
      <x:c r="G74" t="str">
        <x:v>blacksheep|blacksheepwhitemilkyspa</x:v>
      </x:c>
      <x:c r="H74" t="str">
        <x:v>blacksheep|blacksheepwhitemilkyspa</x:v>
      </x:c>
      <x:c r="I74" t="str">
        <x:v>blacksheep</x:v>
      </x:c>
      <x:c r="J74" t="str">
        <x:v>congtytnhhhencosvn</x:v>
      </x:c>
      <x:c r="K74" t="str">
        <x:v>congtytnhhhencosvn</x:v>
      </x:c>
      <x:c r="L74" t="str"/>
      <x:c r="M74" t="str">
        <x:v>UNIQUE_BY_CBMP</x:v>
      </x:c>
      <x:c r="N74" s="321" t="n">
        <x:v>1</x:v>
      </x:c>
      <x:c r="O74" t="str">
        <x:v>BLACK SHEEP – WHITE MILKY SPA</x:v>
      </x:c>
      <x:c r="P74" t="str">
        <x:v>BLACK SHEEP</x:v>
      </x:c>
      <x:c r="Q74" t="str">
        <x:v>001556/25/CBMP-HCM</x:v>
      </x:c>
      <x:c r="R74" t="str">
        <x:v>Public verified declaration.</x:v>
      </x:c>
    </x:row>
    <x:row r="75">
      <x:c r="A75" t="str">
        <x:v>EI-00074</x:v>
      </x:c>
      <x:c r="B75" t="str">
        <x:v>LOCAL_DECLARATION</x:v>
      </x:c>
      <x:c r="C75" t="str">
        <x:v>MASTER_ALL</x:v>
      </x:c>
      <x:c r="D75" t="n">
        <x:v>75</x:v>
      </x:c>
      <x:c r="E75" t="str">
        <x:v>LOCAL-38725CBMPBD</x:v>
      </x:c>
      <x:c r="F75" t="str">
        <x:v>38725cbmpbd</x:v>
      </x:c>
      <x:c r="G75" t="str">
        <x:v>enchanteur|enchanteursensationradiantwhiteantiperspirantrollonsoftsmooth</x:v>
      </x:c>
      <x:c r="H75" t="str">
        <x:v>enchanteur|enchanteursensationradiantwhiteantiperspirantrollonsoftsmooth</x:v>
      </x:c>
      <x:c r="I75" t="str">
        <x:v>enchanteur</x:v>
      </x:c>
      <x:c r="J75" t="str">
        <x:v>congtytrachnhiemhuuhanwiproconsumercarevietnam</x:v>
      </x:c>
      <x:c r="K75" t="str">
        <x:v>congtytrachnhiemhuuhanwiproconsumercarevietnam</x:v>
      </x:c>
      <x:c r="L75" t="str"/>
      <x:c r="M75" t="str">
        <x:v>UNIQUE_BY_CBMP</x:v>
      </x:c>
      <x:c r="N75" s="321" t="n">
        <x:v>1</x:v>
      </x:c>
      <x:c r="O75" t="str">
        <x:v>Enchanteur Sensation Radiant White Anti Perspirant Roll On Soft Smooth</x:v>
      </x:c>
      <x:c r="P75" t="str">
        <x:v>Enchanteur</x:v>
      </x:c>
      <x:c r="Q75" t="str">
        <x:v>387/25/CBMP-BD</x:v>
      </x:c>
      <x:c r="R75" t="str">
        <x:v>Public verified declaration.</x:v>
      </x:c>
    </x:row>
    <x:row r="76">
      <x:c r="A76" t="str">
        <x:v>EI-00075</x:v>
      </x:c>
      <x:c r="B76" t="str">
        <x:v>LOCAL_DECLARATION</x:v>
      </x:c>
      <x:c r="C76" t="str">
        <x:v>MASTER_ALL</x:v>
      </x:c>
      <x:c r="D76" t="n">
        <x:v>76</x:v>
      </x:c>
      <x:c r="E76" t="str">
        <x:v>LOCAL-00025925CBMPHCM</x:v>
      </x:c>
      <x:c r="F76" t="str">
        <x:v>00025925cbmphcm</x:v>
      </x:c>
      <x:c r="G76" t="str">
        <x:v>dannam|dannamnuochoamooncake</x:v>
      </x:c>
      <x:c r="H76" t="str">
        <x:v>dannam|dannamnuochoamooncake</x:v>
      </x:c>
      <x:c r="I76" t="str">
        <x:v>dannam</x:v>
      </x:c>
      <x:c r="J76" t="str">
        <x:v>congtytnhhtop100</x:v>
      </x:c>
      <x:c r="K76" t="str">
        <x:v>congtytnhhtop100</x:v>
      </x:c>
      <x:c r="L76" t="str"/>
      <x:c r="M76" t="str">
        <x:v>UNIQUE_BY_CBMP</x:v>
      </x:c>
      <x:c r="N76" s="321" t="n">
        <x:v>1</x:v>
      </x:c>
      <x:c r="O76" t="str">
        <x:v>d’Annam - NƯỚC HOA MOONCAKE</x:v>
      </x:c>
      <x:c r="P76" t="str">
        <x:v>d’Annam</x:v>
      </x:c>
      <x:c r="Q76" t="str">
        <x:v>000259/25/CBMP-HCM</x:v>
      </x:c>
      <x:c r="R76" t="str">
        <x:v>Public verified declaration.</x:v>
      </x:c>
    </x:row>
    <x:row r="77">
      <x:c r="A77" t="str">
        <x:v>EI-00076</x:v>
      </x:c>
      <x:c r="B77" t="str">
        <x:v>LOCAL_DECLARATION</x:v>
      </x:c>
      <x:c r="C77" t="str">
        <x:v>MASTER_ALL</x:v>
      </x:c>
      <x:c r="D77" t="n">
        <x:v>77</x:v>
      </x:c>
      <x:c r="E77" t="str">
        <x:v>LOCAL-00025825CBMPHCM</x:v>
      </x:c>
      <x:c r="F77" t="str">
        <x:v>00025825cbmphcm</x:v>
      </x:c>
      <x:c r="G77" t="str">
        <x:v>dannam|dannamnuochoapomelooolong</x:v>
      </x:c>
      <x:c r="H77" t="str">
        <x:v>dannam|dannamnuochoapomelooolong</x:v>
      </x:c>
      <x:c r="I77" t="str">
        <x:v>dannam</x:v>
      </x:c>
      <x:c r="J77" t="str">
        <x:v>congtytnhhtop100</x:v>
      </x:c>
      <x:c r="K77" t="str">
        <x:v>congtytnhhtop100</x:v>
      </x:c>
      <x:c r="L77" t="str"/>
      <x:c r="M77" t="str">
        <x:v>UNIQUE_BY_CBMP</x:v>
      </x:c>
      <x:c r="N77" s="321" t="n">
        <x:v>1</x:v>
      </x:c>
      <x:c r="O77" t="str">
        <x:v>d’Annam - NƯỚC HOA POMELO OOLONG</x:v>
      </x:c>
      <x:c r="P77" t="str">
        <x:v>d’Annam</x:v>
      </x:c>
      <x:c r="Q77" t="str">
        <x:v>000258/25/CBMP-HCM</x:v>
      </x:c>
      <x:c r="R77" t="str">
        <x:v>Public verified declaration.</x:v>
      </x:c>
    </x:row>
    <x:row r="78">
      <x:c r="A78" t="str">
        <x:v>EI-00077</x:v>
      </x:c>
      <x:c r="B78" t="str">
        <x:v>LOCAL_DECLARATION</x:v>
      </x:c>
      <x:c r="C78" t="str">
        <x:v>MASTER_ALL</x:v>
      </x:c>
      <x:c r="D78" t="n">
        <x:v>78</x:v>
      </x:c>
      <x:c r="E78" t="str">
        <x:v>LOCAL-00025725CBMPHCM</x:v>
      </x:c>
      <x:c r="F78" t="str">
        <x:v>00025725cbmphcm</x:v>
      </x:c>
      <x:c r="G78" t="str">
        <x:v>dannam|dannamnuochoaprincessofchina</x:v>
      </x:c>
      <x:c r="H78" t="str">
        <x:v>dannam|dannamnuochoaprincessofchina</x:v>
      </x:c>
      <x:c r="I78" t="str">
        <x:v>dannam</x:v>
      </x:c>
      <x:c r="J78" t="str">
        <x:v>congtytnhhtop100</x:v>
      </x:c>
      <x:c r="K78" t="str">
        <x:v>congtytnhhtop100</x:v>
      </x:c>
      <x:c r="L78" t="str"/>
      <x:c r="M78" t="str">
        <x:v>UNIQUE_BY_CBMP</x:v>
      </x:c>
      <x:c r="N78" s="321" t="n">
        <x:v>1</x:v>
      </x:c>
      <x:c r="O78" t="str">
        <x:v>d’Annam - NƯỚC HOA PRINCESS OF CHINA</x:v>
      </x:c>
      <x:c r="P78" t="str">
        <x:v>d’Annam</x:v>
      </x:c>
      <x:c r="Q78" t="str">
        <x:v>000257/25/CBMP-HCM</x:v>
      </x:c>
      <x:c r="R78" t="str">
        <x:v>Public verified declaration.</x:v>
      </x:c>
    </x:row>
    <x:row r="79">
      <x:c r="A79" t="str">
        <x:v>EI-00078</x:v>
      </x:c>
      <x:c r="B79" t="str">
        <x:v>LOCAL_DECLARATION</x:v>
      </x:c>
      <x:c r="C79" t="str">
        <x:v>MASTER_ALL</x:v>
      </x:c>
      <x:c r="D79" t="n">
        <x:v>79</x:v>
      </x:c>
      <x:c r="E79" t="str">
        <x:v>LOCAL-00022425CBMPHCM</x:v>
      </x:c>
      <x:c r="F79" t="str">
        <x:v>00022425cbmphcm</x:v>
      </x:c>
      <x:c r="G79" t="str">
        <x:v>dannam|dannamnuochoaspringfestival</x:v>
      </x:c>
      <x:c r="H79" t="str">
        <x:v>dannam|dannamnuochoaspringfestival</x:v>
      </x:c>
      <x:c r="I79" t="str">
        <x:v>dannam</x:v>
      </x:c>
      <x:c r="J79" t="str">
        <x:v>congtytnhhtop100</x:v>
      </x:c>
      <x:c r="K79" t="str">
        <x:v>congtytnhhtop100</x:v>
      </x:c>
      <x:c r="L79" t="str"/>
      <x:c r="M79" t="str">
        <x:v>UNIQUE_BY_CBMP</x:v>
      </x:c>
      <x:c r="N79" s="321" t="n">
        <x:v>1</x:v>
      </x:c>
      <x:c r="O79" t="str">
        <x:v>d’Annam - NƯỚC HOA SPRING FESTIVAL</x:v>
      </x:c>
      <x:c r="P79" t="str">
        <x:v>d’Annam</x:v>
      </x:c>
      <x:c r="Q79" t="str">
        <x:v>000224/25/CBMP-HCM</x:v>
      </x:c>
      <x:c r="R79" t="str">
        <x:v>Public verified declaration.</x:v>
      </x:c>
    </x:row>
    <x:row r="80">
      <x:c r="A80" t="str">
        <x:v>EI-00079</x:v>
      </x:c>
      <x:c r="B80" t="str">
        <x:v>LOCAL_DECLARATION</x:v>
      </x:c>
      <x:c r="C80" t="str">
        <x:v>MASTER_ALL</x:v>
      </x:c>
      <x:c r="D80" t="n">
        <x:v>80</x:v>
      </x:c>
      <x:c r="E80" t="str">
        <x:v>LOCAL-00022325CBMPHCM</x:v>
      </x:c>
      <x:c r="F80" t="str">
        <x:v>00022325cbmphcm</x:v>
      </x:c>
      <x:c r="G80" t="str">
        <x:v>dannam|dannamnuochoathesilkroad</x:v>
      </x:c>
      <x:c r="H80" t="str">
        <x:v>dannam|dannamnuochoathesilkroad</x:v>
      </x:c>
      <x:c r="I80" t="str">
        <x:v>dannam</x:v>
      </x:c>
      <x:c r="J80" t="str">
        <x:v>congtytnhhtop100</x:v>
      </x:c>
      <x:c r="K80" t="str">
        <x:v>congtytnhhtop100</x:v>
      </x:c>
      <x:c r="L80" t="str"/>
      <x:c r="M80" t="str">
        <x:v>UNIQUE_BY_CBMP</x:v>
      </x:c>
      <x:c r="N80" s="321" t="n">
        <x:v>1</x:v>
      </x:c>
      <x:c r="O80" t="str">
        <x:v>d’Annam - NƯỚC HOA THE SILK ROAD</x:v>
      </x:c>
      <x:c r="P80" t="str">
        <x:v>d’Annam</x:v>
      </x:c>
      <x:c r="Q80" t="str">
        <x:v>000223/25/CBMP-HCM</x:v>
      </x:c>
      <x:c r="R80" t="str">
        <x:v>Public verified declaration.</x:v>
      </x:c>
    </x:row>
    <x:row r="81">
      <x:c r="A81" t="str">
        <x:v>EI-00080</x:v>
      </x:c>
      <x:c r="B81" t="str">
        <x:v>LOCAL_DECLARATION</x:v>
      </x:c>
      <x:c r="C81" t="str">
        <x:v>MASTER_ALL</x:v>
      </x:c>
      <x:c r="D81" t="n">
        <x:v>81</x:v>
      </x:c>
      <x:c r="E81" t="str">
        <x:v>LOCAL-00022225CBMPHCM</x:v>
      </x:c>
      <x:c r="F81" t="str">
        <x:v>00022225cbmphcm</x:v>
      </x:c>
      <x:c r="G81" t="str">
        <x:v>dannam|dannamnuochoachinesecalligraphy</x:v>
      </x:c>
      <x:c r="H81" t="str">
        <x:v>dannam|dannamnuochoachinesecalligraphy</x:v>
      </x:c>
      <x:c r="I81" t="str">
        <x:v>dannam</x:v>
      </x:c>
      <x:c r="J81" t="str">
        <x:v>congtytnhhtop100</x:v>
      </x:c>
      <x:c r="K81" t="str">
        <x:v>congtytnhhtop100</x:v>
      </x:c>
      <x:c r="L81" t="str"/>
      <x:c r="M81" t="str">
        <x:v>UNIQUE_BY_CBMP</x:v>
      </x:c>
      <x:c r="N81" s="321" t="n">
        <x:v>1</x:v>
      </x:c>
      <x:c r="O81" t="str">
        <x:v>d’Annam - NƯỚC HOA CHINESE CALLIGRAPHY</x:v>
      </x:c>
      <x:c r="P81" t="str">
        <x:v>d’Annam</x:v>
      </x:c>
      <x:c r="Q81" t="str">
        <x:v>000222/25/CBMP-HCM</x:v>
      </x:c>
      <x:c r="R81" t="str">
        <x:v>Public verified declaration.</x:v>
      </x:c>
    </x:row>
    <x:row r="82">
      <x:c r="A82" t="str">
        <x:v>EI-00081</x:v>
      </x:c>
      <x:c r="B82" t="str">
        <x:v>LOCAL_DECLARATION</x:v>
      </x:c>
      <x:c r="C82" t="str">
        <x:v>MASTER_ALL</x:v>
      </x:c>
      <x:c r="D82" t="n">
        <x:v>82</x:v>
      </x:c>
      <x:c r="E82" t="str">
        <x:v>LOCAL-00297025CBMPHCM</x:v>
      </x:c>
      <x:c r="F82" t="str">
        <x:v>00297025cbmphcm</x:v>
      </x:c>
      <x:c r="G82" t="str">
        <x:v>citra|citrashowercreamavocadovite</x:v>
      </x:c>
      <x:c r="H82" t="str">
        <x:v>citra|citrashowercreamavocadovite</x:v>
      </x:c>
      <x:c r="I82" t="str">
        <x:v>citra</x:v>
      </x:c>
      <x:c r="J82" t="str">
        <x:v>congtytnhhquocteunilevervietnam</x:v>
      </x:c>
      <x:c r="K82" t="str">
        <x:v>congtytnhhquocteunilevervietnam</x:v>
      </x:c>
      <x:c r="L82" t="str"/>
      <x:c r="M82" t="str">
        <x:v>UNIQUE_BY_CBMP</x:v>
      </x:c>
      <x:c r="N82" s="321" t="n">
        <x:v>1</x:v>
      </x:c>
      <x:c r="O82" t="str">
        <x:v>CITRA SHOWER CREAM AVOCADO &amp; VIT-E</x:v>
      </x:c>
      <x:c r="P82" t="str">
        <x:v>CITRA</x:v>
      </x:c>
      <x:c r="Q82" t="str">
        <x:v>002970/25/CBMP-HCM</x:v>
      </x:c>
      <x:c r="R82" t="str">
        <x:v>Public verified declaration.</x:v>
      </x:c>
    </x:row>
    <x:row r="83">
      <x:c r="A83" t="str">
        <x:v>EI-00082</x:v>
      </x:c>
      <x:c r="B83" t="str">
        <x:v>LOCAL_DECLARATION</x:v>
      </x:c>
      <x:c r="C83" t="str">
        <x:v>MASTER_ALL</x:v>
      </x:c>
      <x:c r="D83" t="n">
        <x:v>83</x:v>
      </x:c>
      <x:c r="E83" t="str">
        <x:v>LOCAL-00296925CBMPHCM</x:v>
      </x:c>
      <x:c r="F83" t="str">
        <x:v>00296925cbmphcm</x:v>
      </x:c>
      <x:c r="G83" t="str">
        <x:v>citra|citrashowercreamgoatmilkvite</x:v>
      </x:c>
      <x:c r="H83" t="str">
        <x:v>citra|citrashowercreamgoatmilkvite</x:v>
      </x:c>
      <x:c r="I83" t="str">
        <x:v>citra</x:v>
      </x:c>
      <x:c r="J83" t="str">
        <x:v>congtytnhhquocteunilevervietnam</x:v>
      </x:c>
      <x:c r="K83" t="str">
        <x:v>congtytnhhquocteunilevervietnam</x:v>
      </x:c>
      <x:c r="L83" t="str"/>
      <x:c r="M83" t="str">
        <x:v>UNIQUE_BY_CBMP</x:v>
      </x:c>
      <x:c r="N83" s="321" t="n">
        <x:v>1</x:v>
      </x:c>
      <x:c r="O83" t="str">
        <x:v>CITRA SHOWER CREAM GOAT MILK &amp; VIT-E</x:v>
      </x:c>
      <x:c r="P83" t="str">
        <x:v>CITRA</x:v>
      </x:c>
      <x:c r="Q83" t="str">
        <x:v>002969/25/CBMP-HCM</x:v>
      </x:c>
      <x:c r="R83" t="str">
        <x:v>Public verified declaration.</x:v>
      </x:c>
    </x:row>
    <x:row r="84">
      <x:c r="A84" t="str">
        <x:v>EI-00083</x:v>
      </x:c>
      <x:c r="B84" t="str">
        <x:v>LOCAL_DECLARATION</x:v>
      </x:c>
      <x:c r="C84" t="str">
        <x:v>MASTER_ALL</x:v>
      </x:c>
      <x:c r="D84" t="n">
        <x:v>84</x:v>
      </x:c>
      <x:c r="E84" t="str">
        <x:v>LOCAL-00296825CBMPHCM</x:v>
      </x:c>
      <x:c r="F84" t="str">
        <x:v>00296825cbmphcm</x:v>
      </x:c>
      <x:c r="G84" t="str">
        <x:v>citra|citrashowercreammulberrywithgoatmilkvite</x:v>
      </x:c>
      <x:c r="H84" t="str">
        <x:v>citra|citrashowercreammulberrywithgoatmilkvite</x:v>
      </x:c>
      <x:c r="I84" t="str">
        <x:v>citra</x:v>
      </x:c>
      <x:c r="J84" t="str">
        <x:v>congtytnhhquocteunilevervietnam</x:v>
      </x:c>
      <x:c r="K84" t="str">
        <x:v>congtytnhhquocteunilevervietnam</x:v>
      </x:c>
      <x:c r="L84" t="str"/>
      <x:c r="M84" t="str">
        <x:v>UNIQUE_BY_CBMP</x:v>
      </x:c>
      <x:c r="N84" s="321" t="n">
        <x:v>1</x:v>
      </x:c>
      <x:c r="O84" t="str">
        <x:v>CITRA SHOWER CREAM MULBERRY WITH GOAT MILK &amp; VIT-E</x:v>
      </x:c>
      <x:c r="P84" t="str">
        <x:v>CITRA</x:v>
      </x:c>
      <x:c r="Q84" t="str">
        <x:v>002968/25/CBMP-HCM</x:v>
      </x:c>
      <x:c r="R84" t="str">
        <x:v>Public verified declaration.</x:v>
      </x:c>
    </x:row>
    <x:row r="85">
      <x:c r="A85" t="str">
        <x:v>EI-00084</x:v>
      </x:c>
      <x:c r="B85" t="str">
        <x:v>LOCAL_DECLARATION</x:v>
      </x:c>
      <x:c r="C85" t="str">
        <x:v>MASTER_ALL</x:v>
      </x:c>
      <x:c r="D85" t="n">
        <x:v>85</x:v>
      </x:c>
      <x:c r="E85" t="str">
        <x:v>LOCAL-00200525CBMPHCM</x:v>
      </x:c>
      <x:c r="F85" t="str">
        <x:v>00200525cbmphcm</x:v>
      </x:c>
      <x:c r="G85" t="str">
        <x:v>dove|dovebodywashacnecontrol</x:v>
      </x:c>
      <x:c r="H85" t="str">
        <x:v>dove|dovebodywashacnecontrol</x:v>
      </x:c>
      <x:c r="I85" t="str">
        <x:v>dove</x:v>
      </x:c>
      <x:c r="J85" t="str">
        <x:v>congtytnhhquocteunilevervietnam</x:v>
      </x:c>
      <x:c r="K85" t="str">
        <x:v>congtytnhhquocteunilevervietnam</x:v>
      </x:c>
      <x:c r="L85" t="str"/>
      <x:c r="M85" t="str">
        <x:v>UNIQUE_BY_CBMP</x:v>
      </x:c>
      <x:c r="N85" s="321" t="n">
        <x:v>1</x:v>
      </x:c>
      <x:c r="O85" t="str">
        <x:v>DOVE BODY WASH ACNE CONTROL</x:v>
      </x:c>
      <x:c r="P85" t="str">
        <x:v>DOVE</x:v>
      </x:c>
      <x:c r="Q85" t="str">
        <x:v>002005/25/CBMP-HCM</x:v>
      </x:c>
      <x:c r="R85" t="str">
        <x:v>Public verified declaration.</x:v>
      </x:c>
    </x:row>
    <x:row r="86">
      <x:c r="A86" t="str">
        <x:v>EI-00085</x:v>
      </x:c>
      <x:c r="B86" t="str">
        <x:v>LOCAL_DECLARATION</x:v>
      </x:c>
      <x:c r="C86" t="str">
        <x:v>MASTER_ALL</x:v>
      </x:c>
      <x:c r="D86" t="n">
        <x:v>86</x:v>
      </x:c>
      <x:c r="E86" t="str">
        <x:v>LOCAL-00200425CBMPHCM</x:v>
      </x:c>
      <x:c r="F86" t="str">
        <x:v>00200425cbmphcm</x:v>
      </x:c>
      <x:c r="G86" t="str">
        <x:v>dove|dovebodywasheventoneradiance</x:v>
      </x:c>
      <x:c r="H86" t="str">
        <x:v>dove|dovebodywasheventoneradiance</x:v>
      </x:c>
      <x:c r="I86" t="str">
        <x:v>dove</x:v>
      </x:c>
      <x:c r="J86" t="str">
        <x:v>congtytnhhquocteunilevervietnam</x:v>
      </x:c>
      <x:c r="K86" t="str">
        <x:v>congtytnhhquocteunilevervietnam</x:v>
      </x:c>
      <x:c r="L86" t="str"/>
      <x:c r="M86" t="str">
        <x:v>UNIQUE_BY_CBMP</x:v>
      </x:c>
      <x:c r="N86" s="321" t="n">
        <x:v>1</x:v>
      </x:c>
      <x:c r="O86" t="str">
        <x:v>DOVE BODY WASH EVEN TONE RADIANCE</x:v>
      </x:c>
      <x:c r="P86" t="str">
        <x:v>DOVE</x:v>
      </x:c>
      <x:c r="Q86" t="str">
        <x:v>002004/25/CBMP-HCM</x:v>
      </x:c>
      <x:c r="R86" t="str">
        <x:v>Public verified declaration.</x:v>
      </x:c>
    </x:row>
    <x:row r="87">
      <x:c r="A87" t="str">
        <x:v>EI-00086</x:v>
      </x:c>
      <x:c r="B87" t="str">
        <x:v>LOCAL_DECLARATION</x:v>
      </x:c>
      <x:c r="C87" t="str">
        <x:v>MASTER_ALL</x:v>
      </x:c>
      <x:c r="D87" t="n">
        <x:v>87</x:v>
      </x:c>
      <x:c r="E87" t="str">
        <x:v>LOCAL-00200225CBMPHCM</x:v>
      </x:c>
      <x:c r="F87" t="str">
        <x:v>00200225cbmphcm</x:v>
      </x:c>
      <x:c r="G87" t="str">
        <x:v>dove|dovebodywashskinrenewal</x:v>
      </x:c>
      <x:c r="H87" t="str">
        <x:v>dove|dovebodywashskinrenewal</x:v>
      </x:c>
      <x:c r="I87" t="str">
        <x:v>dove</x:v>
      </x:c>
      <x:c r="J87" t="str">
        <x:v>congtytnhhquocteunilevervietnam</x:v>
      </x:c>
      <x:c r="K87" t="str">
        <x:v>congtytnhhquocteunilevervietnam</x:v>
      </x:c>
      <x:c r="L87" t="str"/>
      <x:c r="M87" t="str">
        <x:v>UNIQUE_BY_CBMP</x:v>
      </x:c>
      <x:c r="N87" s="321" t="n">
        <x:v>1</x:v>
      </x:c>
      <x:c r="O87" t="str">
        <x:v>DOVE BODY WASH SKIN RENEWAL</x:v>
      </x:c>
      <x:c r="P87" t="str">
        <x:v>DOVE</x:v>
      </x:c>
      <x:c r="Q87" t="str">
        <x:v>002002/25/CBMP-HCM</x:v>
      </x:c>
      <x:c r="R87" t="str">
        <x:v>Public verified declaration.</x:v>
      </x:c>
    </x:row>
    <x:row r="88">
      <x:c r="A88" t="str">
        <x:v>EI-00087</x:v>
      </x:c>
      <x:c r="B88" t="str">
        <x:v>LOCAL_DECLARATION</x:v>
      </x:c>
      <x:c r="C88" t="str">
        <x:v>MASTER_ALL</x:v>
      </x:c>
      <x:c r="D88" t="n">
        <x:v>88</x:v>
      </x:c>
      <x:c r="E88" t="str">
        <x:v>LOCAL-00119925CBMPHCM</x:v>
      </x:c>
      <x:c r="F88" t="str">
        <x:v>00119925cbmphcm</x:v>
      </x:c>
      <x:c r="G88" t="str">
        <x:v>signal|signaltoothpastegumexpertfresh</x:v>
      </x:c>
      <x:c r="H88" t="str">
        <x:v>signal|signaltoothpastegumexpertfresh</x:v>
      </x:c>
      <x:c r="I88" t="str">
        <x:v>signal</x:v>
      </x:c>
      <x:c r="J88" t="str">
        <x:v>congtytnhhquocteunilevervietnam</x:v>
      </x:c>
      <x:c r="K88" t="str">
        <x:v>congtytnhhquocteunilevervietnam</x:v>
      </x:c>
      <x:c r="L88" t="str"/>
      <x:c r="M88" t="str">
        <x:v>UNIQUE_BY_CBMP</x:v>
      </x:c>
      <x:c r="N88" s="321" t="n">
        <x:v>1</x:v>
      </x:c>
      <x:c r="O88" t="str">
        <x:v>SIGNAL TOOTHPASTE GUM EXPERT FRESH</x:v>
      </x:c>
      <x:c r="P88" t="str">
        <x:v>SIGNAL</x:v>
      </x:c>
      <x:c r="Q88" t="str">
        <x:v>001199/25/CBMP-HCM</x:v>
      </x:c>
      <x:c r="R88" t="str">
        <x:v>Public verified declaration.</x:v>
      </x:c>
    </x:row>
    <x:row r="89">
      <x:c r="A89" t="str">
        <x:v>EI-00088</x:v>
      </x:c>
      <x:c r="B89" t="str">
        <x:v>LOCAL_DECLARATION</x:v>
      </x:c>
      <x:c r="C89" t="str">
        <x:v>MASTER_ALL</x:v>
      </x:c>
      <x:c r="D89" t="n">
        <x:v>89</x:v>
      </x:c>
      <x:c r="E89" t="str">
        <x:v>LOCAL-00120025CBMPHCM</x:v>
      </x:c>
      <x:c r="F89" t="str">
        <x:v>00120025cbmphcm</x:v>
      </x:c>
      <x:c r="G89" t="str">
        <x:v>signal|signaltoothpastegumexpertwhitening</x:v>
      </x:c>
      <x:c r="H89" t="str">
        <x:v>signal|signaltoothpastegumexpertwhitening</x:v>
      </x:c>
      <x:c r="I89" t="str">
        <x:v>signal</x:v>
      </x:c>
      <x:c r="J89" t="str">
        <x:v>congtytnhhquocteunilevervietnam</x:v>
      </x:c>
      <x:c r="K89" t="str">
        <x:v>congtytnhhquocteunilevervietnam</x:v>
      </x:c>
      <x:c r="L89" t="str"/>
      <x:c r="M89" t="str">
        <x:v>UNIQUE_BY_CBMP</x:v>
      </x:c>
      <x:c r="N89" s="321" t="n">
        <x:v>1</x:v>
      </x:c>
      <x:c r="O89" t="str">
        <x:v>SIGNAL TOOTHPASTE GUM EXPERT WHITENING</x:v>
      </x:c>
      <x:c r="P89" t="str">
        <x:v>SIGNAL</x:v>
      </x:c>
      <x:c r="Q89" t="str">
        <x:v>001200/25/CBMP-HCM</x:v>
      </x:c>
      <x:c r="R89" t="str">
        <x:v>Public verified declaration.</x:v>
      </x:c>
    </x:row>
    <x:row r="90">
      <x:c r="A90" t="str">
        <x:v>EI-00089</x:v>
      </x:c>
      <x:c r="B90" t="str">
        <x:v>LOCAL_DECLARATION</x:v>
      </x:c>
      <x:c r="C90" t="str">
        <x:v>MASTER_ALL</x:v>
      </x:c>
      <x:c r="D90" t="n">
        <x:v>90</x:v>
      </x:c>
      <x:c r="E90" t="str">
        <x:v>LOCAL-00120125CBMPHCM</x:v>
      </x:c>
      <x:c r="F90" t="str">
        <x:v>00120125cbmphcm</x:v>
      </x:c>
      <x:c r="G90" t="str">
        <x:v>signal|signaltoothpastesensitiveexpertfresh</x:v>
      </x:c>
      <x:c r="H90" t="str">
        <x:v>signal|signaltoothpastesensitiveexpertfresh</x:v>
      </x:c>
      <x:c r="I90" t="str">
        <x:v>signal</x:v>
      </x:c>
      <x:c r="J90" t="str">
        <x:v>congtytnhhquocteunilevervietnam</x:v>
      </x:c>
      <x:c r="K90" t="str">
        <x:v>congtytnhhquocteunilevervietnam</x:v>
      </x:c>
      <x:c r="L90" t="str"/>
      <x:c r="M90" t="str">
        <x:v>UNIQUE_BY_CBMP</x:v>
      </x:c>
      <x:c r="N90" s="321" t="n">
        <x:v>1</x:v>
      </x:c>
      <x:c r="O90" t="str">
        <x:v>SIGNAL TOOTHPASTE SENSITIVE EXPERT FRESH</x:v>
      </x:c>
      <x:c r="P90" t="str">
        <x:v>SIGNAL</x:v>
      </x:c>
      <x:c r="Q90" t="str">
        <x:v>001201/25/CBMP-HCM</x:v>
      </x:c>
      <x:c r="R90" t="str">
        <x:v>Public verified declaration.</x:v>
      </x:c>
    </x:row>
    <x:row r="91">
      <x:c r="A91" t="str">
        <x:v>EI-00090</x:v>
      </x:c>
      <x:c r="B91" t="str">
        <x:v>LOCAL_DECLARATION</x:v>
      </x:c>
      <x:c r="C91" t="str">
        <x:v>MASTER_ALL</x:v>
      </x:c>
      <x:c r="D91" t="n">
        <x:v>91</x:v>
      </x:c>
      <x:c r="E91" t="str">
        <x:v>LOCAL-00120225CBMPHCM</x:v>
      </x:c>
      <x:c r="F91" t="str">
        <x:v>00120225cbmphcm</x:v>
      </x:c>
      <x:c r="G91" t="str">
        <x:v>signal|signaltoothpastesensitiveexpertwhitening</x:v>
      </x:c>
      <x:c r="H91" t="str">
        <x:v>signal|signaltoothpastesensitiveexpertwhitening</x:v>
      </x:c>
      <x:c r="I91" t="str">
        <x:v>signal</x:v>
      </x:c>
      <x:c r="J91" t="str">
        <x:v>congtytnhhquocteunilevervietnam</x:v>
      </x:c>
      <x:c r="K91" t="str">
        <x:v>congtytnhhquocteunilevervietnam</x:v>
      </x:c>
      <x:c r="L91" t="str"/>
      <x:c r="M91" t="str">
        <x:v>UNIQUE_BY_CBMP</x:v>
      </x:c>
      <x:c r="N91" s="321" t="n">
        <x:v>1</x:v>
      </x:c>
      <x:c r="O91" t="str">
        <x:v>SIGNAL TOOTHPASTE SENSITIVE EXPERT WHITENING</x:v>
      </x:c>
      <x:c r="P91" t="str">
        <x:v>SIGNAL</x:v>
      </x:c>
      <x:c r="Q91" t="str">
        <x:v>001202/25/CBMP-HCM</x:v>
      </x:c>
      <x:c r="R91" t="str">
        <x:v>Public verified declaration.</x:v>
      </x:c>
    </x:row>
    <x:row r="92">
      <x:c r="A92" t="str">
        <x:v>EI-00091</x:v>
      </x:c>
      <x:c r="B92" t="str">
        <x:v>LOCAL_DECLARATION</x:v>
      </x:c>
      <x:c r="C92" t="str">
        <x:v>MASTER_ALL</x:v>
      </x:c>
      <x:c r="D92" t="n">
        <x:v>92</x:v>
      </x:c>
      <x:c r="E92" t="str">
        <x:v>LOCAL-77924CBMPN</x:v>
      </x:c>
      <x:c r="F92" t="str">
        <x:v>77924cbmpn</x:v>
      </x:c>
      <x:c r="G92" t="str">
        <x:v>hanayukiempireofbeauty|hanayukisunscreenbody</x:v>
      </x:c>
      <x:c r="H92" t="str">
        <x:v>hanayukiempireofbeauty|hanayukisunscreenbody</x:v>
      </x:c>
      <x:c r="I92" t="str">
        <x:v>hanayukiempireofbeauty</x:v>
      </x:c>
      <x:c r="J92" t="str">
        <x:v>congtytnhhthuongmaidichvuvbgroup</x:v>
      </x:c>
      <x:c r="K92" t="str">
        <x:v>congtycophannhamayyteebcongnaitruocaytnhhebcgroup</x:v>
      </x:c>
      <x:c r="L92" t="str"/>
      <x:c r="M92" t="str">
        <x:v>UNIQUE_BY_CBMP</x:v>
      </x:c>
      <x:c r="N92" s="321" t="n">
        <x:v>1</x:v>
      </x:c>
      <x:c r="O92" t="str">
        <x:v>Hanayuki Sunscreen Body</x:v>
      </x:c>
      <x:c r="P92" t="str">
        <x:v>Hanayuki Empire of Beauty</x:v>
      </x:c>
      <x:c r="Q92" t="str">
        <x:v>779/24/CBMP-ĐN</x:v>
      </x:c>
      <x:c r="R92" t="str">
        <x:v>Public verified declaration.</x:v>
      </x:c>
    </x:row>
    <x:row r="93">
      <x:c r="A93" t="str">
        <x:v>EI-00092</x:v>
      </x:c>
      <x:c r="B93" t="str">
        <x:v>LOCAL_DECLARATION</x:v>
      </x:c>
      <x:c r="C93" t="str">
        <x:v>MASTER_ALL</x:v>
      </x:c>
      <x:c r="D93" t="n">
        <x:v>93</x:v>
      </x:c>
      <x:c r="E93" t="str">
        <x:v>LOCAL-78024CBMPN</x:v>
      </x:c>
      <x:c r="F93" t="str">
        <x:v>78024cbmpn</x:v>
      </x:c>
      <x:c r="G93" t="str">
        <x:v>hanayukiempireofbeauty|hanayukishampoo</x:v>
      </x:c>
      <x:c r="H93" t="str">
        <x:v>hanayukiempireofbeauty|hanayukishampoo</x:v>
      </x:c>
      <x:c r="I93" t="str">
        <x:v>hanayukiempireofbeauty</x:v>
      </x:c>
      <x:c r="J93" t="str">
        <x:v>congtytnhhthuongmaidichvuvbgroup</x:v>
      </x:c>
      <x:c r="K93" t="str">
        <x:v>congtycophannhamayyteebcongnaitruocaytnhhebcgroup</x:v>
      </x:c>
      <x:c r="L93" t="str"/>
      <x:c r="M93" t="str">
        <x:v>UNIQUE_BY_CBMP</x:v>
      </x:c>
      <x:c r="N93" s="321" t="n">
        <x:v>1</x:v>
      </x:c>
      <x:c r="O93" t="str">
        <x:v>Hanayuki Shampoo</x:v>
      </x:c>
      <x:c r="P93" t="str">
        <x:v>Hanayuki Empire of Beauty</x:v>
      </x:c>
      <x:c r="Q93" t="str">
        <x:v>780/24/CBMP-ĐN</x:v>
      </x:c>
      <x:c r="R93" t="str">
        <x:v>Public verified declaration.</x:v>
      </x:c>
    </x:row>
    <x:row r="94">
      <x:c r="A94" t="str">
        <x:v>EI-00093</x:v>
      </x:c>
      <x:c r="B94" t="str">
        <x:v>LOCAL_DECLARATION</x:v>
      </x:c>
      <x:c r="C94" t="str">
        <x:v>MASTER_ALL</x:v>
      </x:c>
      <x:c r="D94" t="n">
        <x:v>94</x:v>
      </x:c>
      <x:c r="E94" t="str">
        <x:v>LOCAL-79224CBMPN</x:v>
      </x:c>
      <x:c r="F94" t="str">
        <x:v>79224cbmpn</x:v>
      </x:c>
      <x:c r="G94" t="str">
        <x:v>hanayukiempireofbeauty|vbsoftsilk</x:v>
      </x:c>
      <x:c r="H94" t="str">
        <x:v>hanayukiempireofbeauty|vbsoftsilk</x:v>
      </x:c>
      <x:c r="I94" t="str">
        <x:v>hanayukiempireofbeauty</x:v>
      </x:c>
      <x:c r="J94" t="str">
        <x:v>congtytnhhthuongmaidichvuvbgroup</x:v>
      </x:c>
      <x:c r="K94" t="str">
        <x:v>congtycophannhamayyteebcongnaitruocaytnhhebcgroup</x:v>
      </x:c>
      <x:c r="L94" t="str"/>
      <x:c r="M94" t="str">
        <x:v>UNIQUE_BY_CBMP</x:v>
      </x:c>
      <x:c r="N94" s="321" t="n">
        <x:v>1</x:v>
      </x:c>
      <x:c r="O94" t="str">
        <x:v>VB Soft &amp; Silk</x:v>
      </x:c>
      <x:c r="P94" t="str">
        <x:v>Hanayuki Empire of Beauty</x:v>
      </x:c>
      <x:c r="Q94" t="str">
        <x:v>792/24/CBMP-ĐN</x:v>
      </x:c>
      <x:c r="R94" t="str">
        <x:v>Public verified declaration.</x:v>
      </x:c>
    </x:row>
    <x:row r="95">
      <x:c r="A95" t="str">
        <x:v>EI-00094</x:v>
      </x:c>
      <x:c r="B95" t="str">
        <x:v>LOCAL_DECLARATION</x:v>
      </x:c>
      <x:c r="C95" t="str">
        <x:v>MASTER_ALL</x:v>
      </x:c>
      <x:c r="D95" t="n">
        <x:v>95</x:v>
      </x:c>
      <x:c r="E95" t="str">
        <x:v>LOCAL-79424CBMPN</x:v>
      </x:c>
      <x:c r="F95" t="str">
        <x:v>79424cbmpn</x:v>
      </x:c>
      <x:c r="G95" t="str">
        <x:v>hanayukiempireofbeauty|hanayukiconditioner</x:v>
      </x:c>
      <x:c r="H95" t="str">
        <x:v>hanayukiempireofbeauty|hanayukiconditioner</x:v>
      </x:c>
      <x:c r="I95" t="str">
        <x:v>hanayukiempireofbeauty</x:v>
      </x:c>
      <x:c r="J95" t="str">
        <x:v>congtytnhhthuongmaidichvuvbgroup</x:v>
      </x:c>
      <x:c r="K95" t="str">
        <x:v>congtycophannhamayyteebcongnaitruocaytnhhebcgroup</x:v>
      </x:c>
      <x:c r="L95" t="str"/>
      <x:c r="M95" t="str">
        <x:v>UNIQUE_BY_CBMP</x:v>
      </x:c>
      <x:c r="N95" s="321" t="n">
        <x:v>1</x:v>
      </x:c>
      <x:c r="O95" t="str">
        <x:v>Hanayuki Conditioner</x:v>
      </x:c>
      <x:c r="P95" t="str">
        <x:v>Hanayuki Empire of Beauty</x:v>
      </x:c>
      <x:c r="Q95" t="str">
        <x:v>794/24/CBMP-ĐN</x:v>
      </x:c>
      <x:c r="R95" t="str">
        <x:v>Public verified declaration.</x:v>
      </x:c>
    </x:row>
    <x:row r="96">
      <x:c r="A96" t="str">
        <x:v>EI-00095</x:v>
      </x:c>
      <x:c r="B96" t="str">
        <x:v>LOCAL_DECLARATION</x:v>
      </x:c>
      <x:c r="C96" t="str">
        <x:v>MASTER_ALL</x:v>
      </x:c>
      <x:c r="D96" t="n">
        <x:v>96</x:v>
      </x:c>
      <x:c r="E96" t="str">
        <x:v>LOCAL-00145423CBMPHCM</x:v>
      </x:c>
      <x:c r="F96" t="str">
        <x:v>00145423cbmphcm</x:v>
      </x:c>
      <x:c r="G96" t="str">
        <x:v>adaphil|adaphilgentleskincleanser</x:v>
      </x:c>
      <x:c r="H96" t="str">
        <x:v>adaphil|adaphilgentleskincleanser</x:v>
      </x:c>
      <x:c r="I96" t="str">
        <x:v>adaphil</x:v>
      </x:c>
      <x:c r="J96" t="str">
        <x:v>congtytnhhmtvsanxuatduocmyphamgamma</x:v>
      </x:c>
      <x:c r="K96" t="str">
        <x:v>congtytnhhmtvsanxuatduocmyphamgamma</x:v>
      </x:c>
      <x:c r="L96" t="str"/>
      <x:c r="M96" t="str">
        <x:v>UNIQUE_BY_CBMP</x:v>
      </x:c>
      <x:c r="N96" s="321" t="n">
        <x:v>1</x:v>
      </x:c>
      <x:c r="O96" t="str">
        <x:v>Adaphil Gentle Skin Cleanser</x:v>
      </x:c>
      <x:c r="P96" t="str">
        <x:v>Adaphil</x:v>
      </x:c>
      <x:c r="Q96" t="str">
        <x:v>001454/23/CBMP-HCM</x:v>
      </x:c>
      <x:c r="R96" t="str">
        <x:v>Public verified declaration.</x:v>
      </x:c>
    </x:row>
    <x:row r="97">
      <x:c r="A97" t="str">
        <x:v>EI-00096</x:v>
      </x:c>
      <x:c r="B97" t="str">
        <x:v>LOCAL_DECLARATION</x:v>
      </x:c>
      <x:c r="C97" t="str">
        <x:v>MASTER_ALL</x:v>
      </x:c>
      <x:c r="D97" t="n">
        <x:v>97</x:v>
      </x:c>
      <x:c r="E97" t="str">
        <x:v>LOCAL-460426CBMPHCM</x:v>
      </x:c>
      <x:c r="F97" t="str">
        <x:v>460426cbmphcm</x:v>
      </x:c>
      <x:c r="G97" t="str">
        <x:v>code10vibe|code10viberollondeoiarcticcool</x:v>
      </x:c>
      <x:c r="H97" t="str">
        <x:v>code10vibe|code10viberollondeoiarcticcool</x:v>
      </x:c>
      <x:c r="I97" t="str">
        <x:v>code10vibe</x:v>
      </x:c>
      <x:c r="J97" t="str">
        <x:v>congtycophanmaricosoutheastasia</x:v>
      </x:c>
      <x:c r="K97" t="str">
        <x:v>congtycophanmaricosoutheastasia</x:v>
      </x:c>
      <x:c r="L97" t="str"/>
      <x:c r="M97" t="str">
        <x:v>UNIQUE_BY_CBMP</x:v>
      </x:c>
      <x:c r="N97" s="321" t="n">
        <x:v>1</x:v>
      </x:c>
      <x:c r="O97" t="str">
        <x:v>CODE 10 VIBE ROLL-ON DEO IARCTIC COOL</x:v>
      </x:c>
      <x:c r="P97" t="str">
        <x:v>CODE 10 VIBE</x:v>
      </x:c>
      <x:c r="Q97" t="str">
        <x:v>4604/26/CBMP-HCM</x:v>
      </x:c>
      <x:c r="R97" t="str">
        <x:v>Public verified declaration.</x:v>
      </x:c>
    </x:row>
    <x:row r="98">
      <x:c r="A98" t="str">
        <x:v>EI-00097</x:v>
      </x:c>
      <x:c r="B98" t="str">
        <x:v>LOCAL_DECLARATION</x:v>
      </x:c>
      <x:c r="C98" t="str">
        <x:v>MASTER_ALL</x:v>
      </x:c>
      <x:c r="D98" t="n">
        <x:v>98</x:v>
      </x:c>
      <x:c r="E98" t="str">
        <x:v>LOCAL-414926CBMPHCM</x:v>
      </x:c>
      <x:c r="F98" t="str">
        <x:v>414926cbmphcm</x:v>
      </x:c>
      <x:c r="G98" t="str">
        <x:v>olivnaturalnourish|daugoiphuchoihuton</x:v>
      </x:c>
      <x:c r="H98" t="str">
        <x:v>olivnaturalnourish|daugoiphuchoihuton</x:v>
      </x:c>
      <x:c r="I98" t="str">
        <x:v>olivnaturalnourish</x:v>
      </x:c>
      <x:c r="J98" t="str">
        <x:v>congtycophanmaricosoutheastasia</x:v>
      </x:c>
      <x:c r="K98" t="str">
        <x:v>congtycophanmaricosoutheastasia</x:v>
      </x:c>
      <x:c r="L98" t="str"/>
      <x:c r="M98" t="str">
        <x:v>UNIQUE_BY_CBMP</x:v>
      </x:c>
      <x:c r="N98" s="321" t="n">
        <x:v>1</x:v>
      </x:c>
      <x:c r="O98" t="str">
        <x:v>DẦU GỘI PHỤC HỒI HƯ TỔN</x:v>
      </x:c>
      <x:c r="P98" t="str">
        <x:v>ÔLIV NATURAL NOURISH</x:v>
      </x:c>
      <x:c r="Q98" t="str">
        <x:v>4149/26/CBMP-HCM</x:v>
      </x:c>
      <x:c r="R98" t="str">
        <x:v>Public verified declaration.</x:v>
      </x:c>
    </x:row>
    <x:row r="99">
      <x:c r="A99" t="str">
        <x:v>EI-00098</x:v>
      </x:c>
      <x:c r="B99" t="str">
        <x:v>LOCAL_DECLARATION</x:v>
      </x:c>
      <x:c r="C99" t="str">
        <x:v>MASTER_ALL</x:v>
      </x:c>
      <x:c r="D99" t="n">
        <x:v>99</x:v>
      </x:c>
      <x:c r="E99" t="str">
        <x:v>LOCAL-285926CBMPHCM</x:v>
      </x:c>
      <x:c r="F99" t="str">
        <x:v>285926cbmphcm</x:v>
      </x:c>
      <x:c r="G99" t="str">
        <x:v>nanovacosmetic|bodydaylisse</x:v>
      </x:c>
      <x:c r="H99" t="str">
        <x:v>nanovacosmetic|bodydaylisse</x:v>
      </x:c>
      <x:c r="I99" t="str">
        <x:v>nanovacosmetic</x:v>
      </x:c>
      <x:c r="J99" t="str">
        <x:v>congtytnhhthuongmailongkhang</x:v>
      </x:c>
      <x:c r="K99" t="str">
        <x:v>congtytnhhhanacosvietnamchinhanhtantao</x:v>
      </x:c>
      <x:c r="L99" t="str"/>
      <x:c r="M99" t="str">
        <x:v>UNIQUE_BY_CBMP</x:v>
      </x:c>
      <x:c r="N99" s="321" t="n">
        <x:v>1</x:v>
      </x:c>
      <x:c r="O99" t="str">
        <x:v>BODY DAYLISSE</x:v>
      </x:c>
      <x:c r="P99" t="str">
        <x:v>NANOVA COSMETIC</x:v>
      </x:c>
      <x:c r="Q99" t="str">
        <x:v>2859/26/CBMP-HCM</x:v>
      </x:c>
      <x:c r="R99" t="str">
        <x:v>Public verified declaration.</x:v>
      </x:c>
    </x:row>
    <x:row r="100">
      <x:c r="A100" t="str">
        <x:v>EI-00099</x:v>
      </x:c>
      <x:c r="B100" t="str">
        <x:v>LOCAL_DECLARATION</x:v>
      </x:c>
      <x:c r="C100" t="str">
        <x:v>MASTER_ALL</x:v>
      </x:c>
      <x:c r="D100" t="n">
        <x:v>100</x:v>
      </x:c>
      <x:c r="E100" t="str">
        <x:v>LOCAL-00079326CBMPHCM</x:v>
      </x:c>
      <x:c r="F100" t="str">
        <x:v>00079326cbmphcm</x:v>
      </x:c>
      <x:c r="G100" t="str">
        <x:v>alphamantheformulaofcharisma|alphafreshcoolingcleanser</x:v>
      </x:c>
      <x:c r="H100" t="str">
        <x:v>alphamantheformulaofcharisma|alphafreshcoolingcleanser</x:v>
      </x:c>
      <x:c r="I100" t="str">
        <x:v>alphamantheformulaofcharisma</x:v>
      </x:c>
      <x:c r="J100" t="str">
        <x:v>congtytnhhsanxuatvathuongmaitmtdvietnam</x:v>
      </x:c>
      <x:c r="K100" t="str">
        <x:v>chinhanhcongtytnhhautusanxuatvaxuatnhapkhaukannacosmetics</x:v>
      </x:c>
      <x:c r="L100" t="str"/>
      <x:c r="M100" t="str">
        <x:v>UNIQUE_BY_CBMP</x:v>
      </x:c>
      <x:c r="N100" s="321" t="n">
        <x:v>1</x:v>
      </x:c>
      <x:c r="O100" t="str">
        <x:v>ALPHA FRESH COOLING CLEANSER</x:v>
      </x:c>
      <x:c r="P100" t="str">
        <x:v>ALPHA MAN THE FORMULA OF CHARISMA</x:v>
      </x:c>
      <x:c r="Q100" t="str">
        <x:v>000793/26/CBMP-HCM</x:v>
      </x:c>
      <x:c r="R100" t="str">
        <x:v>Public verified declaration.</x:v>
      </x:c>
    </x:row>
    <x:row r="101">
      <x:c r="A101" t="str">
        <x:v>EI-00100</x:v>
      </x:c>
      <x:c r="B101" t="str">
        <x:v>LOCAL_DECLARATION</x:v>
      </x:c>
      <x:c r="C101" t="str">
        <x:v>MASTER_ALL</x:v>
      </x:c>
      <x:c r="D101" t="n">
        <x:v>101</x:v>
      </x:c>
      <x:c r="E101" t="str">
        <x:v>LOCAL-00082026CBMPHCM</x:v>
      </x:c>
      <x:c r="F101" t="str">
        <x:v>00082026cbmphcm</x:v>
      </x:c>
      <x:c r="G101" t="str">
        <x:v>keyshu|bioessencemaskoglb</x:v>
      </x:c>
      <x:c r="H101" t="str">
        <x:v>keyshu|bioessencemaskoglb</x:v>
      </x:c>
      <x:c r="I101" t="str">
        <x:v>keyshu</x:v>
      </x:c>
      <x:c r="J101" t="str">
        <x:v>congtytnhhsinhduocbio</x:v>
      </x:c>
      <x:c r="K101" t="str">
        <x:v>chinhanhcongtytnhhautusanxuatvaxuatnhapkhaukannacosmetics</x:v>
      </x:c>
      <x:c r="L101" t="str"/>
      <x:c r="M101" t="str">
        <x:v>UNIQUE_BY_CBMP</x:v>
      </x:c>
      <x:c r="N101" s="321" t="n">
        <x:v>1</x:v>
      </x:c>
      <x:c r="O101" t="str">
        <x:v>BIOESSENCE MASK O GLB</x:v>
      </x:c>
      <x:c r="P101" t="str">
        <x:v>Keyshu</x:v>
      </x:c>
      <x:c r="Q101" t="str">
        <x:v>000820/26/CBMP-HCM</x:v>
      </x:c>
      <x:c r="R101" t="str">
        <x:v>Public verified declaration.</x:v>
      </x:c>
    </x:row>
    <x:row r="102">
      <x:c r="A102" t="str">
        <x:v>EI-00101</x:v>
      </x:c>
      <x:c r="B102" t="str">
        <x:v>LOCAL_DECLARATION</x:v>
      </x:c>
      <x:c r="C102" t="str">
        <x:v>MASTER_ALL</x:v>
      </x:c>
      <x:c r="D102" t="n">
        <x:v>102</x:v>
      </x:c>
      <x:c r="E102" t="str">
        <x:v>LOCAL-00083226CBMPHCM</x:v>
      </x:c>
      <x:c r="F102" t="str">
        <x:v>00083226cbmphcm</x:v>
      </x:c>
      <x:c r="G102" t="str">
        <x:v>keyshu|bioessencemaskpre</x:v>
      </x:c>
      <x:c r="H102" t="str">
        <x:v>keyshu|bioessencemaskpre</x:v>
      </x:c>
      <x:c r="I102" t="str">
        <x:v>keyshu</x:v>
      </x:c>
      <x:c r="J102" t="str">
        <x:v>congtytnhhsinhduocbio</x:v>
      </x:c>
      <x:c r="K102" t="str">
        <x:v>chinhanhcongtytnhhautusanxuatvaxuatnhapkhaukannacosmetics</x:v>
      </x:c>
      <x:c r="L102" t="str"/>
      <x:c r="M102" t="str">
        <x:v>UNIQUE_BY_CBMP</x:v>
      </x:c>
      <x:c r="N102" s="321" t="n">
        <x:v>1</x:v>
      </x:c>
      <x:c r="O102" t="str">
        <x:v>BIOESSENCE MASK PRE</x:v>
      </x:c>
      <x:c r="P102" t="str">
        <x:v>Keyshu</x:v>
      </x:c>
      <x:c r="Q102" t="str">
        <x:v>000832/26/CBMP-HCM</x:v>
      </x:c>
      <x:c r="R102" t="str">
        <x:v>Public verified declaration.</x:v>
      </x:c>
    </x:row>
    <x:row r="103">
      <x:c r="A103" t="str">
        <x:v>EI-00102</x:v>
      </x:c>
      <x:c r="B103" t="str">
        <x:v>LOCAL_DECLARATION</x:v>
      </x:c>
      <x:c r="C103" t="str">
        <x:v>MASTER_ALL</x:v>
      </x:c>
      <x:c r="D103" t="n">
        <x:v>103</x:v>
      </x:c>
      <x:c r="E103" t="str">
        <x:v>LOCAL-00082326CBMPHCM</x:v>
      </x:c>
      <x:c r="F103" t="str">
        <x:v>00082326cbmphcm</x:v>
      </x:c>
      <x:c r="G103" t="str">
        <x:v>bkluxury|bkluxuryluxurygirl</x:v>
      </x:c>
      <x:c r="H103" t="str">
        <x:v>bkluxury|bkluxuryluxurygirl</x:v>
      </x:c>
      <x:c r="I103" t="str">
        <x:v>bkluxury</x:v>
      </x:c>
      <x:c r="J103" t="str">
        <x:v>congtycophancharmeperfume</x:v>
      </x:c>
      <x:c r="K103" t="str">
        <x:v>nhamaycongtycongtycophancharmeperfumeiaiemkinhdoanh</x:v>
      </x:c>
      <x:c r="L103" t="str"/>
      <x:c r="M103" t="str">
        <x:v>UNIQUE_BY_CBMP</x:v>
      </x:c>
      <x:c r="N103" s="321" t="n">
        <x:v>1</x:v>
      </x:c>
      <x:c r="O103" t="str">
        <x:v>BKLUXURY LUXURY GIRL</x:v>
      </x:c>
      <x:c r="P103" t="str">
        <x:v>BKLUXURY</x:v>
      </x:c>
      <x:c r="Q103" t="str">
        <x:v>000823/26/CBMP-HCM</x:v>
      </x:c>
      <x:c r="R103" t="str">
        <x:v>Public verified declaration.</x:v>
      </x:c>
    </x:row>
    <x:row r="104">
      <x:c r="A104" t="str">
        <x:v>EI-00103</x:v>
      </x:c>
      <x:c r="B104" t="str">
        <x:v>LOCAL_DECLARATION</x:v>
      </x:c>
      <x:c r="C104" t="str">
        <x:v>MASTER_ALL</x:v>
      </x:c>
      <x:c r="D104" t="n">
        <x:v>104</x:v>
      </x:c>
      <x:c r="E104" t="str">
        <x:v>LOCAL-00085626CBMPHCM</x:v>
      </x:c>
      <x:c r="F104" t="str">
        <x:v>00085626cbmphcm</x:v>
      </x:c>
      <x:c r="G104" t="str">
        <x:v>topgel|bodyduongtrangmindagiuamda</x:v>
      </x:c>
      <x:c r="H104" t="str">
        <x:v>topgel|bodyduongtrangmindagiuamda</x:v>
      </x:c>
      <x:c r="I104" t="str">
        <x:v>topgel</x:v>
      </x:c>
      <x:c r="J104" t="str">
        <x:v>congtytnhhduocmyphamgiaphuc</x:v>
      </x:c>
      <x:c r="K104" t="str">
        <x:v>chinhanhtantaocongtycophanduocmyphamgiaphu</x:v>
      </x:c>
      <x:c r="L104" t="str"/>
      <x:c r="M104" t="str">
        <x:v>UNIQUE_BY_CBMP</x:v>
      </x:c>
      <x:c r="N104" s="321" t="n">
        <x:v>1</x:v>
      </x:c>
      <x:c r="O104" t="str">
        <x:v>BODY DƯỠNG TRẮNG, MỊN DA, GIỮ ẨM DA</x:v>
      </x:c>
      <x:c r="P104" t="str">
        <x:v>TOP-GEL</x:v>
      </x:c>
      <x:c r="Q104" t="str">
        <x:v>000856/26/CBMP-HCM</x:v>
      </x:c>
      <x:c r="R104" t="str">
        <x:v>Public verified declaration.</x:v>
      </x:c>
    </x:row>
    <x:row r="105">
      <x:c r="A105" t="str">
        <x:v>EI-00104</x:v>
      </x:c>
      <x:c r="B105" t="str">
        <x:v>LOCAL_DECLARATION</x:v>
      </x:c>
      <x:c r="C105" t="str">
        <x:v>MASTER_ALL</x:v>
      </x:c>
      <x:c r="D105" t="n">
        <x:v>105</x:v>
      </x:c>
      <x:c r="E105" t="str">
        <x:v>LOCAL-00080726CBMPHCM</x:v>
      </x:c>
      <x:c r="F105" t="str">
        <x:v>00080726cbmphcm</x:v>
      </x:c>
      <x:c r="G105" t="str">
        <x:v>dccos|bodymistno1</x:v>
      </x:c>
      <x:c r="H105" t="str">
        <x:v>dccos|bodymistno1</x:v>
      </x:c>
      <x:c r="I105" t="str">
        <x:v>dccos</x:v>
      </x:c>
      <x:c r="J105" t="str">
        <x:v>congtytnhhduocmyphamdccos</x:v>
      </x:c>
      <x:c r="K105" t="str">
        <x:v>congtytnhhduocmyphamdccos</x:v>
      </x:c>
      <x:c r="L105" t="str"/>
      <x:c r="M105" t="str">
        <x:v>UNIQUE_BY_CBMP</x:v>
      </x:c>
      <x:c r="N105" s="321" t="n">
        <x:v>1</x:v>
      </x:c>
      <x:c r="O105" t="str">
        <x:v>BODY MIST NO1</x:v>
      </x:c>
      <x:c r="P105" t="str">
        <x:v>DC COS</x:v>
      </x:c>
      <x:c r="Q105" t="str">
        <x:v>000807/26/CBMP-HCM</x:v>
      </x:c>
      <x:c r="R105" t="str">
        <x:v>Public verified declaration.</x:v>
      </x:c>
    </x:row>
    <x:row r="106">
      <x:c r="A106" t="str">
        <x:v>EI-00105</x:v>
      </x:c>
      <x:c r="B106" t="str">
        <x:v>LOCAL_DECLARATION</x:v>
      </x:c>
      <x:c r="C106" t="str">
        <x:v>MASTER_ALL</x:v>
      </x:c>
      <x:c r="D106" t="n">
        <x:v>106</x:v>
      </x:c>
      <x:c r="E106" t="str">
        <x:v>LOCAL-00081526CBMPHCM</x:v>
      </x:c>
      <x:c r="F106" t="str">
        <x:v>00081526cbmphcm</x:v>
      </x:c>
      <x:c r="G106" t="str">
        <x:v>ditiskin|brighteningniacinamidemask</x:v>
      </x:c>
      <x:c r="H106" t="str">
        <x:v>ditiskin|brighteningniacinamidemask</x:v>
      </x:c>
      <x:c r="I106" t="str">
        <x:v>ditiskin</x:v>
      </x:c>
      <x:c r="J106" t="str">
        <x:v>congtytnhhmtvditaskin</x:v>
      </x:c>
      <x:c r="K106" t="str">
        <x:v>congtycophanduocmyphamgreencos</x:v>
      </x:c>
      <x:c r="L106" t="str"/>
      <x:c r="M106" t="str">
        <x:v>UNIQUE_BY_CBMP</x:v>
      </x:c>
      <x:c r="N106" s="321" t="n">
        <x:v>1</x:v>
      </x:c>
      <x:c r="O106" t="str">
        <x:v>BRIGHTENING NIACINAMIDE MASK</x:v>
      </x:c>
      <x:c r="P106" t="str">
        <x:v>DITISKIN</x:v>
      </x:c>
      <x:c r="Q106" t="str">
        <x:v>000815/26/CBMP-HCM</x:v>
      </x:c>
      <x:c r="R106" t="str">
        <x:v>Public verified declaration.</x:v>
      </x:c>
    </x:row>
    <x:row r="107">
      <x:c r="A107" t="str">
        <x:v>EI-00106</x:v>
      </x:c>
      <x:c r="B107" t="str">
        <x:v>LOCAL_DECLARATION</x:v>
      </x:c>
      <x:c r="C107" t="str">
        <x:v>MASTER_ALL</x:v>
      </x:c>
      <x:c r="D107" t="n">
        <x:v>107</x:v>
      </x:c>
      <x:c r="E107" t="str">
        <x:v>LOCAL-00088726CBMPHCM</x:v>
      </x:c>
      <x:c r="F107" t="str">
        <x:v>00088726cbmphcm</x:v>
      </x:c>
      <x:c r="G107" t="str">
        <x:v>mlynn|calmacneserum</x:v>
      </x:c>
      <x:c r="H107" t="str">
        <x:v>mlynn|calmacneserum</x:v>
      </x:c>
      <x:c r="I107" t="str">
        <x:v>mlynn</x:v>
      </x:c>
      <x:c r="J107" t="str">
        <x:v>congtytnhhgreenlifemailinh</x:v>
      </x:c>
      <x:c r="K107" t="str">
        <x:v>congtytnhhhanacosvietnamchinhanhtantao</x:v>
      </x:c>
      <x:c r="L107" t="str"/>
      <x:c r="M107" t="str">
        <x:v>UNIQUE_BY_CBMP</x:v>
      </x:c>
      <x:c r="N107" s="321" t="n">
        <x:v>1</x:v>
      </x:c>
      <x:c r="O107" t="str">
        <x:v>CALM &amp; ACNE SERUM</x:v>
      </x:c>
      <x:c r="P107" t="str">
        <x:v>MLYNN</x:v>
      </x:c>
      <x:c r="Q107" t="str">
        <x:v>000887/26/CBMP-HCM</x:v>
      </x:c>
      <x:c r="R107" t="str">
        <x:v>Public verified declaration.</x:v>
      </x:c>
    </x:row>
    <x:row r="108">
      <x:c r="A108" t="str">
        <x:v>EI-00107</x:v>
      </x:c>
      <x:c r="B108" t="str">
        <x:v>LOCAL_DECLARATION</x:v>
      </x:c>
      <x:c r="C108" t="str">
        <x:v>MASTER_ALL</x:v>
      </x:c>
      <x:c r="D108" t="n">
        <x:v>108</x:v>
      </x:c>
      <x:c r="E108" t="str">
        <x:v>LOCAL-00087526CBMPHCM</x:v>
      </x:c>
      <x:c r="F108" t="str">
        <x:v>00087526cbmphcm</x:v>
      </x:c>
      <x:c r="G108" t="str">
        <x:v>emmiebyhappyskin|calmingmultiactionantiacnegel</x:v>
      </x:c>
      <x:c r="H108" t="str">
        <x:v>emmiebyhappyskin|calmingmultiactionantiacnegel</x:v>
      </x:c>
      <x:c r="I108" t="str">
        <x:v>emmiebyhappyskin</x:v>
      </x:c>
      <x:c r="J108" t="str">
        <x:v>congtycophanibpholdings</x:v>
      </x:c>
      <x:c r="K108" t="str">
        <x:v>congtytnhhhanacosvietnamchinhanhtantao</x:v>
      </x:c>
      <x:c r="L108" t="str"/>
      <x:c r="M108" t="str">
        <x:v>UNIQUE_BY_CBMP</x:v>
      </x:c>
      <x:c r="N108" s="321" t="n">
        <x:v>1</x:v>
      </x:c>
      <x:c r="O108" t="str">
        <x:v>CALMING MULTIACTION ANTI-ACNE GEL</x:v>
      </x:c>
      <x:c r="P108" t="str">
        <x:v>EMMIÉ BY HAPPYSKIN</x:v>
      </x:c>
      <x:c r="Q108" t="str">
        <x:v>000875/26/CBMP-HCM</x:v>
      </x:c>
      <x:c r="R108" t="str">
        <x:v>Public verified declaration.</x:v>
      </x:c>
    </x:row>
    <x:row r="109">
      <x:c r="A109" t="str">
        <x:v>EI-00108</x:v>
      </x:c>
      <x:c r="B109" t="str">
        <x:v>LOCAL_DECLARATION</x:v>
      </x:c>
      <x:c r="C109" t="str">
        <x:v>MASTER_ALL</x:v>
      </x:c>
      <x:c r="D109" t="n">
        <x:v>109</x:v>
      </x:c>
      <x:c r="E109" t="str">
        <x:v>LOCAL-00080926CBMPHCM</x:v>
      </x:c>
      <x:c r="F109" t="str">
        <x:v>00080926cbmphcm</x:v>
      </x:c>
      <x:c r="G109" t="str">
        <x:v>thalora|celestiaflame</x:v>
      </x:c>
      <x:c r="H109" t="str">
        <x:v>thalora|celestiaflame</x:v>
      </x:c>
      <x:c r="I109" t="str">
        <x:v>thalora</x:v>
      </x:c>
      <x:c r="J109" t="str">
        <x:v>congtytnhhduocmyphamdccos</x:v>
      </x:c>
      <x:c r="K109" t="str">
        <x:v>congtytnhhduocmyphamdccos</x:v>
      </x:c>
      <x:c r="L109" t="str"/>
      <x:c r="M109" t="str">
        <x:v>UNIQUE_BY_CBMP</x:v>
      </x:c>
      <x:c r="N109" s="321" t="n">
        <x:v>1</x:v>
      </x:c>
      <x:c r="O109" t="str">
        <x:v>CELESTIA FLAME</x:v>
      </x:c>
      <x:c r="P109" t="str">
        <x:v>THALORA</x:v>
      </x:c>
      <x:c r="Q109" t="str">
        <x:v>000809/26/CBMP-HCM</x:v>
      </x:c>
      <x:c r="R109" t="str">
        <x:v>Public verified declaration.</x:v>
      </x:c>
    </x:row>
    <x:row r="110">
      <x:c r="A110" t="str">
        <x:v>EI-00109</x:v>
      </x:c>
      <x:c r="B110" t="str">
        <x:v>LOCAL_DECLARATION</x:v>
      </x:c>
      <x:c r="C110" t="str">
        <x:v>MASTER_ALL</x:v>
      </x:c>
      <x:c r="D110" t="n">
        <x:v>110</x:v>
      </x:c>
      <x:c r="E110" t="str">
        <x:v>LOCAL-00089426CBMPHCM</x:v>
      </x:c>
      <x:c r="F110" t="str">
        <x:v>00089426cbmphcm</x:v>
      </x:c>
      <x:c r="G110" t="str">
        <x:v>lazybee|charcoalandheartleafclarifyingmask</x:v>
      </x:c>
      <x:c r="H110" t="str">
        <x:v>lazybee|charcoalandheartleafclarifyingmask</x:v>
      </x:c>
      <x:c r="I110" t="str">
        <x:v>lazybee</x:v>
      </x:c>
      <x:c r="J110" t="str">
        <x:v>congtytnhhenablerplus</x:v>
      </x:c>
      <x:c r="K110" t="str">
        <x:v>congtytnhhhanacosvietnamchinhanhtantao</x:v>
      </x:c>
      <x:c r="L110" t="str"/>
      <x:c r="M110" t="str">
        <x:v>UNIQUE_BY_CBMP</x:v>
      </x:c>
      <x:c r="N110" s="321" t="n">
        <x:v>1</x:v>
      </x:c>
      <x:c r="O110" t="str">
        <x:v>CHARCOAL AND HEARTLEAF CLARIFYING MASK</x:v>
      </x:c>
      <x:c r="P110" t="str">
        <x:v>Lazy Bee</x:v>
      </x:c>
      <x:c r="Q110" t="str">
        <x:v>000894/26/CBMP-HCM</x:v>
      </x:c>
      <x:c r="R110" t="str">
        <x:v>Public verified declaration.</x:v>
      </x:c>
    </x:row>
    <x:row r="111">
      <x:c r="A111" t="str">
        <x:v>EI-00110</x:v>
      </x:c>
      <x:c r="B111" t="str">
        <x:v>LOCAL_DECLARATION</x:v>
      </x:c>
      <x:c r="C111" t="str">
        <x:v>MASTER_ALL</x:v>
      </x:c>
      <x:c r="D111" t="n">
        <x:v>111</x:v>
      </x:c>
      <x:c r="E111" t="str">
        <x:v>LOCAL-00079226CBMPHCM</x:v>
      </x:c>
      <x:c r="F111" t="str">
        <x:v>00079226cbmphcm</x:v>
      </x:c>
      <x:c r="G111" t="str">
        <x:v>charme|charmegoodmen</x:v>
      </x:c>
      <x:c r="H111" t="str">
        <x:v>charme|charmegoodmen</x:v>
      </x:c>
      <x:c r="I111" t="str">
        <x:v>charme</x:v>
      </x:c>
      <x:c r="J111" t="str">
        <x:v>congtycophancharmeperfume</x:v>
      </x:c>
      <x:c r="K111" t="str">
        <x:v>nhamaycongtycophancharmeperfumeiaiemkinhdoanh</x:v>
      </x:c>
      <x:c r="L111" t="str"/>
      <x:c r="M111" t="str">
        <x:v>UNIQUE_BY_CBMP</x:v>
      </x:c>
      <x:c r="N111" s="321" t="n">
        <x:v>1</x:v>
      </x:c>
      <x:c r="O111" t="str">
        <x:v>CHARME GOOD MEN</x:v>
      </x:c>
      <x:c r="P111" t="str">
        <x:v>CHARME</x:v>
      </x:c>
      <x:c r="Q111" t="str">
        <x:v>000792/26/CBMP-HCM</x:v>
      </x:c>
      <x:c r="R111" t="str">
        <x:v>Public verified declaration.</x:v>
      </x:c>
    </x:row>
    <x:row r="112">
      <x:c r="A112" t="str">
        <x:v>EI-00111</x:v>
      </x:c>
      <x:c r="B112" t="str">
        <x:v>LOCAL_DECLARATION</x:v>
      </x:c>
      <x:c r="C112" t="str">
        <x:v>MASTER_ALL</x:v>
      </x:c>
      <x:c r="D112" t="n">
        <x:v>112</x:v>
      </x:c>
      <x:c r="E112" t="str">
        <x:v>LOCAL-00078926CBMPHCM</x:v>
      </x:c>
      <x:c r="F112" t="str">
        <x:v>00078926cbmphcm</x:v>
      </x:c>
      <x:c r="G112" t="str">
        <x:v>charme|charmegoodmen</x:v>
      </x:c>
      <x:c r="H112" t="str">
        <x:v>charme|charmegoodmen</x:v>
      </x:c>
      <x:c r="I112" t="str">
        <x:v>charme</x:v>
      </x:c>
      <x:c r="J112" t="str">
        <x:v>congtycophancharmeperfume</x:v>
      </x:c>
      <x:c r="K112" t="str">
        <x:v>nhamaycongtycophancharmeperfumeiaiemkinhdoanh</x:v>
      </x:c>
      <x:c r="L112" t="str"/>
      <x:c r="M112" t="str">
        <x:v>UNIQUE_BY_CBMP</x:v>
      </x:c>
      <x:c r="N112" s="321" t="n">
        <x:v>1</x:v>
      </x:c>
      <x:c r="O112" t="str">
        <x:v>CHARME GOOD MEN</x:v>
      </x:c>
      <x:c r="P112" t="str">
        <x:v>CHARME</x:v>
      </x:c>
      <x:c r="Q112" t="str">
        <x:v>000789/26/CBMP-HCM</x:v>
      </x:c>
      <x:c r="R112" t="str">
        <x:v>Public verified declaration.</x:v>
      </x:c>
    </x:row>
    <x:row r="113">
      <x:c r="A113" t="str">
        <x:v>EI-00112</x:v>
      </x:c>
      <x:c r="B113" t="str">
        <x:v>LOCAL_DECLARATION</x:v>
      </x:c>
      <x:c r="C113" t="str">
        <x:v>MASTER_ALL</x:v>
      </x:c>
      <x:c r="D113" t="n">
        <x:v>113</x:v>
      </x:c>
      <x:c r="E113" t="str">
        <x:v>LOCAL-00027023CBMPHCM</x:v>
      </x:c>
      <x:c r="F113" t="str">
        <x:v>00027023cbmphcm</x:v>
      </x:c>
      <x:c r="G113" t="str">
        <x:v>alyna|alynamatnaboduongda</x:v>
      </x:c>
      <x:c r="H113" t="str">
        <x:v>alyna|alynamatnaboduongda</x:v>
      </x:c>
      <x:c r="I113" t="str">
        <x:v>alyna</x:v>
      </x:c>
      <x:c r="J113" t="str">
        <x:v>congtytnhhsanxuatthuongmaixuatnhapkhautaminhquang</x:v>
      </x:c>
      <x:c r="K113" t="str">
        <x:v>chinhanhcongtytnhhsanxuatthuongmaixuatnhapkhautaminhquangnhamaymyphamtaminhquang</x:v>
      </x:c>
      <x:c r="L113" t="str"/>
      <x:c r="M113" t="str">
        <x:v>UNIQUE_BY_CBMP</x:v>
      </x:c>
      <x:c r="N113" s="321" t="n">
        <x:v>1</x:v>
      </x:c>
      <x:c r="O113" t="str">
        <x:v>ALYNA mặt nạ bơ dưỡng da</x:v>
      </x:c>
      <x:c r="P113" t="str">
        <x:v>ALYNA</x:v>
      </x:c>
      <x:c r="Q113" t="str">
        <x:v>000270/23/CBMP-HCM</x:v>
      </x:c>
      <x:c r="R113" t="str">
        <x:v>Public verified declaration.</x:v>
      </x:c>
    </x:row>
    <x:row r="114">
      <x:c r="A114" t="str">
        <x:v>EI-00113</x:v>
      </x:c>
      <x:c r="B114" t="str">
        <x:v>LOCAL_DECLARATION</x:v>
      </x:c>
      <x:c r="C114" t="str">
        <x:v>MASTER_ALL</x:v>
      </x:c>
      <x:c r="D114" t="n">
        <x:v>114</x:v>
      </x:c>
      <x:c r="E114" t="str">
        <x:v>LOCAL-00212323CBMPHCM</x:v>
      </x:c>
      <x:c r="F114" t="str">
        <x:v>00212323cbmphcm</x:v>
      </x:c>
      <x:c r="G114" t="str">
        <x:v>alyna|alynamatnaboduongda</x:v>
      </x:c>
      <x:c r="H114" t="str">
        <x:v>alyna|alynamatnaboduongda</x:v>
      </x:c>
      <x:c r="I114" t="str">
        <x:v>alyna</x:v>
      </x:c>
      <x:c r="J114" t="str">
        <x:v>congtytnhhsanxuatthuongmaixuatnhapkhautaminhquang</x:v>
      </x:c>
      <x:c r="K114" t="str">
        <x:v>chinhanhcongtytnhhsanxuatthuongmaixuatnhapkhautaminhquangnhamaymyphamtaminhquang</x:v>
      </x:c>
      <x:c r="L114" t="str"/>
      <x:c r="M114" t="str">
        <x:v>UNIQUE_BY_CBMP</x:v>
      </x:c>
      <x:c r="N114" s="321" t="n">
        <x:v>1</x:v>
      </x:c>
      <x:c r="O114" t="str">
        <x:v>ALYNA mặt nạ bơ dưỡng da</x:v>
      </x:c>
      <x:c r="P114" t="str">
        <x:v>ALYNA</x:v>
      </x:c>
      <x:c r="Q114" t="str">
        <x:v>002123/23/CBMP-HCM</x:v>
      </x:c>
      <x:c r="R114" t="str">
        <x:v>Public verified declaration.</x:v>
      </x:c>
    </x:row>
    <x:row r="115">
      <x:c r="A115" t="str">
        <x:v>EI-00114</x:v>
      </x:c>
      <x:c r="B115" t="str">
        <x:v>LOCAL_DECLARATION</x:v>
      </x:c>
      <x:c r="C115" t="str">
        <x:v>MASTER_ALL</x:v>
      </x:c>
      <x:c r="D115" t="n">
        <x:v>115</x:v>
      </x:c>
      <x:c r="E115" t="str">
        <x:v>LOCAL-00027123CBMPHCM</x:v>
      </x:c>
      <x:c r="F115" t="str">
        <x:v>00027123cbmphcm</x:v>
      </x:c>
      <x:c r="G115" t="str">
        <x:v>alyna|alynamatnacachuaduongda</x:v>
      </x:c>
      <x:c r="H115" t="str">
        <x:v>alyna|alynamatnacachuaduongda</x:v>
      </x:c>
      <x:c r="I115" t="str">
        <x:v>alyna</x:v>
      </x:c>
      <x:c r="J115" t="str">
        <x:v>congtytnhhsanxuatthuongmaixuatnhapkhautaminhquang</x:v>
      </x:c>
      <x:c r="K115" t="str">
        <x:v>chinhanhcongtytnhhsanxuatthuongmaixuatnhapkhautaminhquangnhamaymyphamtaminhquang</x:v>
      </x:c>
      <x:c r="L115" t="str"/>
      <x:c r="M115" t="str">
        <x:v>UNIQUE_BY_CBMP</x:v>
      </x:c>
      <x:c r="N115" s="321" t="n">
        <x:v>1</x:v>
      </x:c>
      <x:c r="O115" t="str">
        <x:v>ALYNA mặt nạ cà chua dưỡng da</x:v>
      </x:c>
      <x:c r="P115" t="str">
        <x:v>ALYNA</x:v>
      </x:c>
      <x:c r="Q115" t="str">
        <x:v>000271/23/CBMP-HCM</x:v>
      </x:c>
      <x:c r="R115" t="str">
        <x:v>Public verified declaration.</x:v>
      </x:c>
    </x:row>
    <x:row r="116">
      <x:c r="A116" t="str">
        <x:v>EI-00115</x:v>
      </x:c>
      <x:c r="B116" t="str">
        <x:v>LOCAL_DECLARATION</x:v>
      </x:c>
      <x:c r="C116" t="str">
        <x:v>MASTER_ALL</x:v>
      </x:c>
      <x:c r="D116" t="n">
        <x:v>116</x:v>
      </x:c>
      <x:c r="E116" t="str">
        <x:v>LOCAL-00211823CBMPHCM</x:v>
      </x:c>
      <x:c r="F116" t="str">
        <x:v>00211823cbmphcm</x:v>
      </x:c>
      <x:c r="G116" t="str">
        <x:v>alyna|alynamatnacachuaduongda</x:v>
      </x:c>
      <x:c r="H116" t="str">
        <x:v>alyna|alynamatnacachuaduongda</x:v>
      </x:c>
      <x:c r="I116" t="str">
        <x:v>alyna</x:v>
      </x:c>
      <x:c r="J116" t="str">
        <x:v>congtytnhhsanxuatthuongmaixuatnhapkhautaminhquang</x:v>
      </x:c>
      <x:c r="K116" t="str">
        <x:v>chinhanhcongtytnhhsanxuatthuongmaixuatnhapkhautaminhquangnhamaymyphamtaminhquang</x:v>
      </x:c>
      <x:c r="L116" t="str"/>
      <x:c r="M116" t="str">
        <x:v>UNIQUE_BY_CBMP</x:v>
      </x:c>
      <x:c r="N116" s="321" t="n">
        <x:v>1</x:v>
      </x:c>
      <x:c r="O116" t="str">
        <x:v>ALYNA mặt nạ cà chua dưỡng da</x:v>
      </x:c>
      <x:c r="P116" t="str">
        <x:v>ALYNA</x:v>
      </x:c>
      <x:c r="Q116" t="str">
        <x:v>002118/23/CBMP-HCM</x:v>
      </x:c>
      <x:c r="R116" t="str">
        <x:v>Public verified declaration.</x:v>
      </x:c>
    </x:row>
    <x:row r="117">
      <x:c r="A117" t="str">
        <x:v>EI-00116</x:v>
      </x:c>
      <x:c r="B117" t="str">
        <x:v>LOCAL_DECLARATION</x:v>
      </x:c>
      <x:c r="C117" t="str">
        <x:v>MASTER_ALL</x:v>
      </x:c>
      <x:c r="D117" t="n">
        <x:v>117</x:v>
      </x:c>
      <x:c r="E117" t="str">
        <x:v>LOCAL-00027223CBMPHCM</x:v>
      </x:c>
      <x:c r="F117" t="str">
        <x:v>00027223cbmphcm</x:v>
      </x:c>
      <x:c r="G117" t="str">
        <x:v>alyna|alynamatnadauduongda</x:v>
      </x:c>
      <x:c r="H117" t="str">
        <x:v>alyna|alynamatnadauduongda</x:v>
      </x:c>
      <x:c r="I117" t="str">
        <x:v>alyna</x:v>
      </x:c>
      <x:c r="J117" t="str">
        <x:v>congtytnhhsanxuatthuongmaixuatnhapkhautaminhquang</x:v>
      </x:c>
      <x:c r="K117" t="str">
        <x:v>chinhanhcongtytnhhsanxuatthuongmaixuatnhapkhautaminhquangnhamaymyphamtaminhquang</x:v>
      </x:c>
      <x:c r="L117" t="str"/>
      <x:c r="M117" t="str">
        <x:v>UNIQUE_BY_CBMP</x:v>
      </x:c>
      <x:c r="N117" s="321" t="n">
        <x:v>1</x:v>
      </x:c>
      <x:c r="O117" t="str">
        <x:v>ALYNA mặt nạ dâu dưỡng da</x:v>
      </x:c>
      <x:c r="P117" t="str">
        <x:v>ALYNA</x:v>
      </x:c>
      <x:c r="Q117" t="str">
        <x:v>000272/23/CBMP-HCM</x:v>
      </x:c>
      <x:c r="R117" t="str">
        <x:v>Public verified declaration.</x:v>
      </x:c>
    </x:row>
    <x:row r="118">
      <x:c r="A118" t="str">
        <x:v>EI-00117</x:v>
      </x:c>
      <x:c r="B118" t="str">
        <x:v>LOCAL_DECLARATION</x:v>
      </x:c>
      <x:c r="C118" t="str">
        <x:v>MASTER_ALL</x:v>
      </x:c>
      <x:c r="D118" t="n">
        <x:v>118</x:v>
      </x:c>
      <x:c r="E118" t="str">
        <x:v>LOCAL-00211923CBMPHCM</x:v>
      </x:c>
      <x:c r="F118" t="str">
        <x:v>00211923cbmphcm</x:v>
      </x:c>
      <x:c r="G118" t="str">
        <x:v>alyna|alynamatnadauduongda</x:v>
      </x:c>
      <x:c r="H118" t="str">
        <x:v>alyna|alynamatnadauduongda</x:v>
      </x:c>
      <x:c r="I118" t="str">
        <x:v>alyna</x:v>
      </x:c>
      <x:c r="J118" t="str">
        <x:v>congtytnhhsanxuatthuongmaixuatnhapkhautaminhquang</x:v>
      </x:c>
      <x:c r="K118" t="str">
        <x:v>chinhanhcongtytnhhsanxuatthuongmaixuatnhapkhautaminhquangnhamaymyphamtaminhquang</x:v>
      </x:c>
      <x:c r="L118" t="str"/>
      <x:c r="M118" t="str">
        <x:v>UNIQUE_BY_CBMP</x:v>
      </x:c>
      <x:c r="N118" s="321" t="n">
        <x:v>1</x:v>
      </x:c>
      <x:c r="O118" t="str">
        <x:v>ALYNA mặt nạ dâu dưỡng da</x:v>
      </x:c>
      <x:c r="P118" t="str">
        <x:v>ALYNA</x:v>
      </x:c>
      <x:c r="Q118" t="str">
        <x:v>002119/23/CBMP-HCM</x:v>
      </x:c>
      <x:c r="R118" t="str">
        <x:v>Public verified declaration.</x:v>
      </x:c>
    </x:row>
    <x:row r="119">
      <x:c r="A119" t="str">
        <x:v>EI-00118</x:v>
      </x:c>
      <x:c r="B119" t="str">
        <x:v>LOCAL_DECLARATION</x:v>
      </x:c>
      <x:c r="C119" t="str">
        <x:v>MASTER_ALL</x:v>
      </x:c>
      <x:c r="D119" t="n">
        <x:v>119</x:v>
      </x:c>
      <x:c r="E119" t="str">
        <x:v>LOCAL-00026923CBMPHCM</x:v>
      </x:c>
      <x:c r="F119" t="str">
        <x:v>00026923cbmphcm</x:v>
      </x:c>
      <x:c r="G119" t="str">
        <x:v>alyna|alynamatnadualeoduongda</x:v>
      </x:c>
      <x:c r="H119" t="str">
        <x:v>alyna|alynamatnadualeoduongda</x:v>
      </x:c>
      <x:c r="I119" t="str">
        <x:v>alyna</x:v>
      </x:c>
      <x:c r="J119" t="str">
        <x:v>congtytnhhsanxuatthuongmaixuatnhapkhautaminhquang</x:v>
      </x:c>
      <x:c r="K119" t="str">
        <x:v>chinhanhcongtytnhhsanxuatthuongmaixuatnhapkhautaminhquangnhamaymyphamtaminhquang</x:v>
      </x:c>
      <x:c r="L119" t="str"/>
      <x:c r="M119" t="str">
        <x:v>UNIQUE_BY_CBMP</x:v>
      </x:c>
      <x:c r="N119" s="321" t="n">
        <x:v>1</x:v>
      </x:c>
      <x:c r="O119" t="str">
        <x:v>ALYNA mặt nạ dưa leo dưỡng da</x:v>
      </x:c>
      <x:c r="P119" t="str">
        <x:v>ALYNA</x:v>
      </x:c>
      <x:c r="Q119" t="str">
        <x:v>000269/23/CBMP-HCM</x:v>
      </x:c>
      <x:c r="R119" t="str">
        <x:v>Public verified declaration.</x:v>
      </x:c>
    </x:row>
    <x:row r="120">
      <x:c r="A120" t="str">
        <x:v>EI-00119</x:v>
      </x:c>
      <x:c r="B120" t="str">
        <x:v>LOCAL_DECLARATION</x:v>
      </x:c>
      <x:c r="C120" t="str">
        <x:v>MASTER_ALL</x:v>
      </x:c>
      <x:c r="D120" t="n">
        <x:v>120</x:v>
      </x:c>
      <x:c r="E120" t="str">
        <x:v>LOCAL-00212123CBMPHCM</x:v>
      </x:c>
      <x:c r="F120" t="str">
        <x:v>00212123cbmphcm</x:v>
      </x:c>
      <x:c r="G120" t="str">
        <x:v>alyna|alynamatnadualeoduongda</x:v>
      </x:c>
      <x:c r="H120" t="str">
        <x:v>alyna|alynamatnadualeoduongda</x:v>
      </x:c>
      <x:c r="I120" t="str">
        <x:v>alyna</x:v>
      </x:c>
      <x:c r="J120" t="str">
        <x:v>congtytnhhsanxuatthuongmaixuatnhapkhautaminhquang</x:v>
      </x:c>
      <x:c r="K120" t="str">
        <x:v>chinhanhcongtytnhhsanxuatthuongmaixuatnhapkhautaminhquangnhamaymyphamtaminhquang</x:v>
      </x:c>
      <x:c r="L120" t="str"/>
      <x:c r="M120" t="str">
        <x:v>UNIQUE_BY_CBMP</x:v>
      </x:c>
      <x:c r="N120" s="321" t="n">
        <x:v>1</x:v>
      </x:c>
      <x:c r="O120" t="str">
        <x:v>ALYNA mặt nạ dưa leo dưỡng da</x:v>
      </x:c>
      <x:c r="P120" t="str">
        <x:v>ALYNA</x:v>
      </x:c>
      <x:c r="Q120" t="str">
        <x:v>002121/23/CBMP-HCM</x:v>
      </x:c>
      <x:c r="R120" t="str">
        <x:v>Public verified declaration.</x:v>
      </x:c>
    </x:row>
    <x:row r="121">
      <x:c r="A121" t="str">
        <x:v>EI-00120</x:v>
      </x:c>
      <x:c r="B121" t="str">
        <x:v>LOCAL_DECLARATION</x:v>
      </x:c>
      <x:c r="C121" t="str">
        <x:v>MASTER_ALL</x:v>
      </x:c>
      <x:c r="D121" t="n">
        <x:v>121</x:v>
      </x:c>
      <x:c r="E121" t="str">
        <x:v>LOCAL-00112223CBMPHCM</x:v>
      </x:c>
      <x:c r="F121" t="str">
        <x:v>00112223cbmphcm</x:v>
      </x:c>
      <x:c r="G121" t="str">
        <x:v>alyna|alynamatnahoaquaduongda</x:v>
      </x:c>
      <x:c r="H121" t="str">
        <x:v>alyna|alynamatnahoaquaduongda</x:v>
      </x:c>
      <x:c r="I121" t="str">
        <x:v>alyna</x:v>
      </x:c>
      <x:c r="J121" t="str">
        <x:v>congtytnhhsanxuatthuongmaixuatnhapkhautaminhquang</x:v>
      </x:c>
      <x:c r="K121" t="str">
        <x:v>chinhanhcongtytnhhsanxuatthuongmaixuatnhapkhautaminhquangnhamaymyphamtaminhquang</x:v>
      </x:c>
      <x:c r="L121" t="str"/>
      <x:c r="M121" t="str">
        <x:v>UNIQUE_BY_CBMP</x:v>
      </x:c>
      <x:c r="N121" s="321" t="n">
        <x:v>1</x:v>
      </x:c>
      <x:c r="O121" t="str">
        <x:v>ALYNA mặt nạ hoa quả dưỡng da</x:v>
      </x:c>
      <x:c r="P121" t="str">
        <x:v>ALYNA</x:v>
      </x:c>
      <x:c r="Q121" t="str">
        <x:v>001122/23/CBMP-HCM</x:v>
      </x:c>
      <x:c r="R121" t="str">
        <x:v>Public verified declaration.</x:v>
      </x:c>
    </x:row>
    <x:row r="122">
      <x:c r="A122" t="str">
        <x:v>EI-00121</x:v>
      </x:c>
      <x:c r="B122" t="str">
        <x:v>LOCAL_DECLARATION</x:v>
      </x:c>
      <x:c r="C122" t="str">
        <x:v>MASTER_ALL</x:v>
      </x:c>
      <x:c r="D122" t="n">
        <x:v>122</x:v>
      </x:c>
      <x:c r="E122" t="str">
        <x:v>LOCAL-00212223CBMPHCM</x:v>
      </x:c>
      <x:c r="F122" t="str">
        <x:v>00212223cbmphcm</x:v>
      </x:c>
      <x:c r="G122" t="str">
        <x:v>alyna|alynamatnahoaquaduongda</x:v>
      </x:c>
      <x:c r="H122" t="str">
        <x:v>alyna|alynamatnahoaquaduongda</x:v>
      </x:c>
      <x:c r="I122" t="str">
        <x:v>alyna</x:v>
      </x:c>
      <x:c r="J122" t="str">
        <x:v>congtytnhhsanxuatthuongmaixuatnhapkhautaminhquang</x:v>
      </x:c>
      <x:c r="K122" t="str">
        <x:v>chinhanhcongtytnhhsanxuatthuongmaixuatnhapkhautaminhquangnhamaymyphamtaminhquang</x:v>
      </x:c>
      <x:c r="L122" t="str"/>
      <x:c r="M122" t="str">
        <x:v>UNIQUE_BY_CBMP</x:v>
      </x:c>
      <x:c r="N122" s="321" t="n">
        <x:v>1</x:v>
      </x:c>
      <x:c r="O122" t="str">
        <x:v>ALYNA mặt nạ hoa quả dưỡng da</x:v>
      </x:c>
      <x:c r="P122" t="str">
        <x:v>ALYNA</x:v>
      </x:c>
      <x:c r="Q122" t="str">
        <x:v>002122/23/CBMP-HCM</x:v>
      </x:c>
      <x:c r="R122" t="str">
        <x:v>Public verified declaration.</x:v>
      </x:c>
    </x:row>
    <x:row r="123">
      <x:c r="A123" t="str">
        <x:v>EI-00122</x:v>
      </x:c>
      <x:c r="B123" t="str">
        <x:v>LOCAL_DECLARATION</x:v>
      </x:c>
      <x:c r="C123" t="str">
        <x:v>MASTER_ALL</x:v>
      </x:c>
      <x:c r="D123" t="n">
        <x:v>123</x:v>
      </x:c>
      <x:c r="E123" t="str">
        <x:v>LOCAL-00212023CBMPHCM</x:v>
      </x:c>
      <x:c r="F123" t="str">
        <x:v>00212023cbmphcm</x:v>
      </x:c>
      <x:c r="G123" t="str">
        <x:v>alyna|alynamatnangoctraiduongda</x:v>
      </x:c>
      <x:c r="H123" t="str">
        <x:v>alyna|alynamatnangoctraiduongda</x:v>
      </x:c>
      <x:c r="I123" t="str">
        <x:v>alyna</x:v>
      </x:c>
      <x:c r="J123" t="str">
        <x:v>congtytnhhsanxuatthuongmaixuatnhapkhautaminhquang</x:v>
      </x:c>
      <x:c r="K123" t="str">
        <x:v>chinhanhcongtytnhhsanxuatthuongmaixuatnhapkhautaminhquangnhamaymyphamtaminhquang</x:v>
      </x:c>
      <x:c r="L123" t="str"/>
      <x:c r="M123" t="str">
        <x:v>UNIQUE_BY_CBMP</x:v>
      </x:c>
      <x:c r="N123" s="321" t="n">
        <x:v>1</x:v>
      </x:c>
      <x:c r="O123" t="str">
        <x:v>ALYNA mặt nạ ngọc trai dưỡng da</x:v>
      </x:c>
      <x:c r="P123" t="str">
        <x:v>ALYNA</x:v>
      </x:c>
      <x:c r="Q123" t="str">
        <x:v>002120/23/CBMP-HCM</x:v>
      </x:c>
      <x:c r="R123" t="str">
        <x:v>Public verified declaration.</x:v>
      </x:c>
    </x:row>
    <x:row r="124">
      <x:c r="A124" t="str">
        <x:v>EI-00123</x:v>
      </x:c>
      <x:c r="B124" t="str">
        <x:v>LOCAL_DECLARATION</x:v>
      </x:c>
      <x:c r="C124" t="str">
        <x:v>MASTER_ALL</x:v>
      </x:c>
      <x:c r="D124" t="n">
        <x:v>124</x:v>
      </x:c>
      <x:c r="E124" t="str">
        <x:v>LOCAL-00212423CBMPHCM</x:v>
      </x:c>
      <x:c r="F124" t="str">
        <x:v>00212423cbmphcm</x:v>
      </x:c>
      <x:c r="G124" t="str">
        <x:v>alyna|alynamatnarongbienduongda</x:v>
      </x:c>
      <x:c r="H124" t="str">
        <x:v>alyna|alynamatnarongbienduongda</x:v>
      </x:c>
      <x:c r="I124" t="str">
        <x:v>alyna</x:v>
      </x:c>
      <x:c r="J124" t="str">
        <x:v>congtytnhhsanxuatthuongmaixuatnhapkhautaminhquang</x:v>
      </x:c>
      <x:c r="K124" t="str">
        <x:v>chinhanhcongtytnhhsanxuatthuongmaixuatnhapkhautaminhquangnhamaymyphamtaminhquang</x:v>
      </x:c>
      <x:c r="L124" t="str"/>
      <x:c r="M124" t="str">
        <x:v>UNIQUE_BY_CBMP</x:v>
      </x:c>
      <x:c r="N124" s="321" t="n">
        <x:v>1</x:v>
      </x:c>
      <x:c r="O124" t="str">
        <x:v>ALYNA mặt nạ rong biển dưỡng da</x:v>
      </x:c>
      <x:c r="P124" t="str">
        <x:v>ALYNA</x:v>
      </x:c>
      <x:c r="Q124" t="str">
        <x:v>002124/23/CBMP-HCM</x:v>
      </x:c>
      <x:c r="R124" t="str">
        <x:v>Public verified declaration.</x:v>
      </x:c>
    </x:row>
    <x:row r="125">
      <x:c r="A125" t="str">
        <x:v>EI-00124</x:v>
      </x:c>
      <x:c r="B125" t="str">
        <x:v>LOCAL_DECLARATION</x:v>
      </x:c>
      <x:c r="C125" t="str">
        <x:v>MASTER_ALL</x:v>
      </x:c>
      <x:c r="D125" t="n">
        <x:v>125</x:v>
      </x:c>
      <x:c r="E125" t="str">
        <x:v>LOCAL-00306123CBMPHCM</x:v>
      </x:c>
      <x:c r="F125" t="str">
        <x:v>00306123cbmphcm</x:v>
      </x:c>
      <x:c r="G125" t="str">
        <x:v>bood|boodkemduongtrangdachongnang</x:v>
      </x:c>
      <x:c r="H125" t="str">
        <x:v>bood|boodkemduongtrangdachongnang</x:v>
      </x:c>
      <x:c r="I125" t="str">
        <x:v>bood</x:v>
      </x:c>
      <x:c r="J125" t="str">
        <x:v>congtytnhhsanxuatthuongmaixuatnhapkhautaminhquang</x:v>
      </x:c>
      <x:c r="K125" t="str">
        <x:v>chinhanhcongtytnhhsanxuatthuongmaixuatnhapkhautaminhquangnhamaymyphamtaminhquang</x:v>
      </x:c>
      <x:c r="L125" t="str"/>
      <x:c r="M125" t="str">
        <x:v>UNIQUE_BY_CBMP</x:v>
      </x:c>
      <x:c r="N125" s="321" t="n">
        <x:v>1</x:v>
      </x:c>
      <x:c r="O125" t="str">
        <x:v>BOOD kem dưỡng trắng da chống nắng</x:v>
      </x:c>
      <x:c r="P125" t="str">
        <x:v>BOOD</x:v>
      </x:c>
      <x:c r="Q125" t="str">
        <x:v>003061/23/CBMP-HCM</x:v>
      </x:c>
      <x:c r="R125" t="str">
        <x:v>Public verified declaration.</x:v>
      </x:c>
    </x:row>
    <x:row r="126">
      <x:c r="A126" t="str">
        <x:v>EI-00125</x:v>
      </x:c>
      <x:c r="B126" t="str">
        <x:v>LOCAL_DECLARATION</x:v>
      </x:c>
      <x:c r="C126" t="str">
        <x:v>MASTER_ALL</x:v>
      </x:c>
      <x:c r="D126" t="n">
        <x:v>126</x:v>
      </x:c>
      <x:c r="E126" t="str">
        <x:v>LOCAL-00305723CBMPHCM</x:v>
      </x:c>
      <x:c r="F126" t="str">
        <x:v>00305723cbmphcm</x:v>
      </x:c>
      <x:c r="G126" t="str">
        <x:v>bood|boodkemtrangdamunchongnang</x:v>
      </x:c>
      <x:c r="H126" t="str">
        <x:v>bood|boodkemtrangdamunchongnang</x:v>
      </x:c>
      <x:c r="I126" t="str">
        <x:v>bood</x:v>
      </x:c>
      <x:c r="J126" t="str">
        <x:v>congtytnhhsanxuatthuongmaixuatnhapkhautaminhquang</x:v>
      </x:c>
      <x:c r="K126" t="str">
        <x:v>chinhanhcongtytnhhsanxuatthuongmaixuatnhapkhautaminhquangnhamaymyphamtaminhquang</x:v>
      </x:c>
      <x:c r="L126" t="str"/>
      <x:c r="M126" t="str">
        <x:v>UNIQUE_BY_CBMP</x:v>
      </x:c>
      <x:c r="N126" s="321" t="n">
        <x:v>1</x:v>
      </x:c>
      <x:c r="O126" t="str">
        <x:v>BOOD kem trắng da mụn chống nắng</x:v>
      </x:c>
      <x:c r="P126" t="str">
        <x:v>BOOD</x:v>
      </x:c>
      <x:c r="Q126" t="str">
        <x:v>003057/23/CBMP-HCM</x:v>
      </x:c>
      <x:c r="R126" t="str">
        <x:v>Public verified declaration.</x:v>
      </x:c>
    </x:row>
    <x:row r="127">
      <x:c r="A127" t="str">
        <x:v>EI-00126</x:v>
      </x:c>
      <x:c r="B127" t="str">
        <x:v>LOCAL_DECLARATION</x:v>
      </x:c>
      <x:c r="C127" t="str">
        <x:v>MASTER_ALL</x:v>
      </x:c>
      <x:c r="D127" t="n">
        <x:v>127</x:v>
      </x:c>
      <x:c r="E127" t="str">
        <x:v>LOCAL-00306023CBMPHCM</x:v>
      </x:c>
      <x:c r="F127" t="str">
        <x:v>00306023cbmphcm</x:v>
      </x:c>
      <x:c r="G127" t="str">
        <x:v>bood|boodkemduongtrangdamunchongnanggiupngualaohoada</x:v>
      </x:c>
      <x:c r="H127" t="str">
        <x:v>bood|boodkemduongtrangdamunchongnanggiupngualaohoada</x:v>
      </x:c>
      <x:c r="I127" t="str">
        <x:v>bood</x:v>
      </x:c>
      <x:c r="J127" t="str">
        <x:v>congtytnhhsanxuatthuongmaixuatnhapkhautaminhquang</x:v>
      </x:c>
      <x:c r="K127" t="str">
        <x:v>chinhanhcongtytnhhsanxuatthuongmaixuatnhapkhautaminhquangnhamaymyphamtaminhquang</x:v>
      </x:c>
      <x:c r="L127" t="str"/>
      <x:c r="M127" t="str">
        <x:v>UNIQUE_BY_CBMP</x:v>
      </x:c>
      <x:c r="N127" s="321" t="n">
        <x:v>1</x:v>
      </x:c>
      <x:c r="O127" t="str">
        <x:v>BOOD kem dưỡng trắng da mụn chống nắng giúp ngừa lão hóa da</x:v>
      </x:c>
      <x:c r="P127" t="str">
        <x:v>BOOD</x:v>
      </x:c>
      <x:c r="Q127" t="str">
        <x:v>003060/23/CBMP-HCM</x:v>
      </x:c>
      <x:c r="R127" t="str">
        <x:v>Public verified declaration.</x:v>
      </x:c>
    </x:row>
    <x:row r="128">
      <x:c r="A128" t="str">
        <x:v>EI-00127</x:v>
      </x:c>
      <x:c r="B128" t="str">
        <x:v>LOCAL_DECLARATION</x:v>
      </x:c>
      <x:c r="C128" t="str">
        <x:v>MASTER_ALL</x:v>
      </x:c>
      <x:c r="D128" t="n">
        <x:v>128</x:v>
      </x:c>
      <x:c r="E128" t="str">
        <x:v>LOCAL-00305923CBMPHCM</x:v>
      </x:c>
      <x:c r="F128" t="str">
        <x:v>00305923cbmphcm</x:v>
      </x:c>
      <x:c r="G128" t="str">
        <x:v>bood|boodkemduongtrangdanamtannhang</x:v>
      </x:c>
      <x:c r="H128" t="str">
        <x:v>bood|boodkemduongtrangdanamtannhang</x:v>
      </x:c>
      <x:c r="I128" t="str">
        <x:v>bood</x:v>
      </x:c>
      <x:c r="J128" t="str">
        <x:v>congtytnhhsanxuatthuongmaixuatnhapkhautaminhquang</x:v>
      </x:c>
      <x:c r="K128" t="str">
        <x:v>chinhanhcongtytnhhsanxuatthuongmaixuatnhapkhautaminhquangnhamaymyphamtaminhquang</x:v>
      </x:c>
      <x:c r="L128" t="str"/>
      <x:c r="M128" t="str">
        <x:v>UNIQUE_BY_CBMP</x:v>
      </x:c>
      <x:c r="N128" s="321" t="n">
        <x:v>1</x:v>
      </x:c>
      <x:c r="O128" t="str">
        <x:v>BOOD kem dưỡng trắng da nám tàn nhang</x:v>
      </x:c>
      <x:c r="P128" t="str">
        <x:v>BOOD</x:v>
      </x:c>
      <x:c r="Q128" t="str">
        <x:v>003059/23/CBMP-HCM</x:v>
      </x:c>
      <x:c r="R128" t="str">
        <x:v>Public verified declaration.</x:v>
      </x:c>
    </x:row>
    <x:row r="129">
      <x:c r="A129" t="str">
        <x:v>EI-00128</x:v>
      </x:c>
      <x:c r="B129" t="str">
        <x:v>LOCAL_DECLARATION</x:v>
      </x:c>
      <x:c r="C129" t="str">
        <x:v>MASTER_ALL</x:v>
      </x:c>
      <x:c r="D129" t="n">
        <x:v>129</x:v>
      </x:c>
      <x:c r="E129" t="str">
        <x:v>LOCAL-00305823CBMPHCM</x:v>
      </x:c>
      <x:c r="F129" t="str">
        <x:v>00305823cbmphcm</x:v>
      </x:c>
      <x:c r="G129" t="str">
        <x:v>bood|boodkemnamtannhangoimoi</x:v>
      </x:c>
      <x:c r="H129" t="str">
        <x:v>bood|boodkemnamtannhangoimoi</x:v>
      </x:c>
      <x:c r="I129" t="str">
        <x:v>bood</x:v>
      </x:c>
      <x:c r="J129" t="str">
        <x:v>congtytnhhsanxuatthuongmaixuatnhapkhautaminhquang</x:v>
      </x:c>
      <x:c r="K129" t="str">
        <x:v>chinhanhcongtytnhhsanxuatthuongmaixuatnhapkhautaminhquangnhamaymyphamtaminhquang</x:v>
      </x:c>
      <x:c r="L129" t="str"/>
      <x:c r="M129" t="str">
        <x:v>UNIQUE_BY_CBMP</x:v>
      </x:c>
      <x:c r="N129" s="321" t="n">
        <x:v>1</x:v>
      </x:c>
      <x:c r="O129" t="str">
        <x:v>BOOD kem nám tàn nhang đồi mồi</x:v>
      </x:c>
      <x:c r="P129" t="str">
        <x:v>BOOD</x:v>
      </x:c>
      <x:c r="Q129" t="str">
        <x:v>003058/23/CBMP-HCM</x:v>
      </x:c>
      <x:c r="R129" t="str">
        <x:v>Public verified declaration.</x:v>
      </x:c>
    </x:row>
    <x:row r="130">
      <x:c r="A130" t="str">
        <x:v>EI-00129</x:v>
      </x:c>
      <x:c r="B130" t="str">
        <x:v>LOCAL_DECLARATION</x:v>
      </x:c>
      <x:c r="C130" t="str">
        <x:v>MASTER_ALL</x:v>
      </x:c>
      <x:c r="D130" t="n">
        <x:v>130</x:v>
      </x:c>
      <x:c r="E130" t="str">
        <x:v>LOCAL-00303723CBMPHCM</x:v>
      </x:c>
      <x:c r="F130" t="str">
        <x:v>00303723cbmphcm</x:v>
      </x:c>
      <x:c r="G130" t="str">
        <x:v>elise|elisekemduongtrangdachongnang</x:v>
      </x:c>
      <x:c r="H130" t="str">
        <x:v>elise|elisekemduongtrangdachongnang</x:v>
      </x:c>
      <x:c r="I130" t="str">
        <x:v>elise</x:v>
      </x:c>
      <x:c r="J130" t="str">
        <x:v>congtytnhhsanxuatthuongmaixuatnhapkhautaminhquang</x:v>
      </x:c>
      <x:c r="K130" t="str">
        <x:v>chinhanhcongtytnhhsanxuatthuongmaixuatnhapkhautaminhquangnhamaymyphamtaminhquang</x:v>
      </x:c>
      <x:c r="L130" t="str"/>
      <x:c r="M130" t="str">
        <x:v>UNIQUE_BY_CBMP</x:v>
      </x:c>
      <x:c r="N130" s="321" t="n">
        <x:v>1</x:v>
      </x:c>
      <x:c r="O130" t="str">
        <x:v>ELISE kem dưỡng trắng da chống nắng</x:v>
      </x:c>
      <x:c r="P130" t="str">
        <x:v>ELISE</x:v>
      </x:c>
      <x:c r="Q130" t="str">
        <x:v>003037/23/CBMP-HCM</x:v>
      </x:c>
      <x:c r="R130" t="str">
        <x:v>Public verified declaration.</x:v>
      </x:c>
    </x:row>
    <x:row r="131">
      <x:c r="A131" t="str">
        <x:v>EI-00130</x:v>
      </x:c>
      <x:c r="B131" t="str">
        <x:v>LOCAL_DECLARATION</x:v>
      </x:c>
      <x:c r="C131" t="str">
        <x:v>MASTER_ALL</x:v>
      </x:c>
      <x:c r="D131" t="n">
        <x:v>131</x:v>
      </x:c>
      <x:c r="E131" t="str">
        <x:v>LOCAL-00303823CBMPHCM</x:v>
      </x:c>
      <x:c r="F131" t="str">
        <x:v>00303823cbmphcm</x:v>
      </x:c>
      <x:c r="G131" t="str">
        <x:v>elise|elisekemtrangdamunchongnang</x:v>
      </x:c>
      <x:c r="H131" t="str">
        <x:v>elise|elisekemtrangdamunchongnang</x:v>
      </x:c>
      <x:c r="I131" t="str">
        <x:v>elise</x:v>
      </x:c>
      <x:c r="J131" t="str">
        <x:v>congtytnhhsanxuatthuongmaixuatnhapkhautaminhquang</x:v>
      </x:c>
      <x:c r="K131" t="str">
        <x:v>chinhanhcongtytnhhsanxuatthuongmaixuatnhapkhautaminhquangnhamaymyphamtaminhquang</x:v>
      </x:c>
      <x:c r="L131" t="str"/>
      <x:c r="M131" t="str">
        <x:v>UNIQUE_BY_CBMP</x:v>
      </x:c>
      <x:c r="N131" s="321" t="n">
        <x:v>1</x:v>
      </x:c>
      <x:c r="O131" t="str">
        <x:v>ELISE kem trắng da mụn chống nắng</x:v>
      </x:c>
      <x:c r="P131" t="str">
        <x:v>ELISE</x:v>
      </x:c>
      <x:c r="Q131" t="str">
        <x:v>003038/23/CBMP-HCM</x:v>
      </x:c>
      <x:c r="R131" t="str">
        <x:v>Public verified declaration.</x:v>
      </x:c>
    </x:row>
    <x:row r="132">
      <x:c r="A132" t="str">
        <x:v>EI-00131</x:v>
      </x:c>
      <x:c r="B132" t="str">
        <x:v>LOCAL_DECLARATION</x:v>
      </x:c>
      <x:c r="C132" t="str">
        <x:v>MASTER_ALL</x:v>
      </x:c>
      <x:c r="D132" t="n">
        <x:v>132</x:v>
      </x:c>
      <x:c r="E132" t="str">
        <x:v>LOCAL-00303923CBMPHCM</x:v>
      </x:c>
      <x:c r="F132" t="str">
        <x:v>00303923cbmphcm</x:v>
      </x:c>
      <x:c r="G132" t="str">
        <x:v>elise|elisekemtrangdamunchongnanggiupngualaohoada</x:v>
      </x:c>
      <x:c r="H132" t="str">
        <x:v>elise|elisekemtrangdamunchongnanggiupngualaohoada</x:v>
      </x:c>
      <x:c r="I132" t="str">
        <x:v>elise</x:v>
      </x:c>
      <x:c r="J132" t="str">
        <x:v>congtytnhhsanxuatthuongmaixuatnhapkhautaminhquang</x:v>
      </x:c>
      <x:c r="K132" t="str">
        <x:v>chinhanhcongtytnhhsanxuatthuongmaixuatnhapkhautaminhquangnhamaymyphamtaminhquang</x:v>
      </x:c>
      <x:c r="L132" t="str"/>
      <x:c r="M132" t="str">
        <x:v>UNIQUE_BY_CBMP</x:v>
      </x:c>
      <x:c r="N132" s="321" t="n">
        <x:v>1</x:v>
      </x:c>
      <x:c r="O132" t="str">
        <x:v>ELISE kem trắng da mụn chống nắng giúp ngừa lão hóa da</x:v>
      </x:c>
      <x:c r="P132" t="str">
        <x:v>ELISE</x:v>
      </x:c>
      <x:c r="Q132" t="str">
        <x:v>003039/23/CBMP-HCM</x:v>
      </x:c>
      <x:c r="R132" t="str">
        <x:v>Public verified declaration.</x:v>
      </x:c>
    </x:row>
    <x:row r="133">
      <x:c r="A133" t="str">
        <x:v>EI-00132</x:v>
      </x:c>
      <x:c r="B133" t="str">
        <x:v>LOCAL_DECLARATION</x:v>
      </x:c>
      <x:c r="C133" t="str">
        <x:v>MASTER_ALL</x:v>
      </x:c>
      <x:c r="D133" t="n">
        <x:v>133</x:v>
      </x:c>
      <x:c r="E133" t="str">
        <x:v>LOCAL-00303523CBMPHCM</x:v>
      </x:c>
      <x:c r="F133" t="str">
        <x:v>00303523cbmphcm</x:v>
      </x:c>
      <x:c r="G133" t="str">
        <x:v>elise|elisekemduongtrangdanamtannhang</x:v>
      </x:c>
      <x:c r="H133" t="str">
        <x:v>elise|elisekemduongtrangdanamtannhang</x:v>
      </x:c>
      <x:c r="I133" t="str">
        <x:v>elise</x:v>
      </x:c>
      <x:c r="J133" t="str">
        <x:v>congtytnhhsanxuatthuongmaixuatnhapkhautaminhquang</x:v>
      </x:c>
      <x:c r="K133" t="str">
        <x:v>chinhanhcongtytnhhsanxuatthuongmaixuatnhapkhautaminhquangnhamaymyphamtaminhquang</x:v>
      </x:c>
      <x:c r="L133" t="str"/>
      <x:c r="M133" t="str">
        <x:v>UNIQUE_BY_CBMP</x:v>
      </x:c>
      <x:c r="N133" s="321" t="n">
        <x:v>1</x:v>
      </x:c>
      <x:c r="O133" t="str">
        <x:v>ELISE kem dưỡng trắng da nám tàn nhang</x:v>
      </x:c>
      <x:c r="P133" t="str">
        <x:v>ELISE</x:v>
      </x:c>
      <x:c r="Q133" t="str">
        <x:v>003035/23/CBMP-HCM</x:v>
      </x:c>
      <x:c r="R133" t="str">
        <x:v>Public verified declaration.</x:v>
      </x:c>
    </x:row>
    <x:row r="134">
      <x:c r="A134" t="str">
        <x:v>EI-00133</x:v>
      </x:c>
      <x:c r="B134" t="str">
        <x:v>LOCAL_DECLARATION</x:v>
      </x:c>
      <x:c r="C134" t="str">
        <x:v>MASTER_ALL</x:v>
      </x:c>
      <x:c r="D134" t="n">
        <x:v>134</x:v>
      </x:c>
      <x:c r="E134" t="str">
        <x:v>LOCAL-00211323CBMPHCM</x:v>
      </x:c>
      <x:c r="F134" t="str">
        <x:v>00211323cbmphcm</x:v>
      </x:c>
      <x:c r="G134" t="str">
        <x:v>elise|elisematnadauduongda</x:v>
      </x:c>
      <x:c r="H134" t="str">
        <x:v>elise|elisematnadauduongda</x:v>
      </x:c>
      <x:c r="I134" t="str">
        <x:v>elise</x:v>
      </x:c>
      <x:c r="J134" t="str">
        <x:v>congtytnhhsanxuatthuongmaixuatnhapkhautaminhquang</x:v>
      </x:c>
      <x:c r="K134" t="str">
        <x:v>chinhanhcongtytnhhsanxuatthuongmaixuatnhapkhautaminhquangnhamaymyphamtaminhquang</x:v>
      </x:c>
      <x:c r="L134" t="str"/>
      <x:c r="M134" t="str">
        <x:v>UNIQUE_BY_CBMP</x:v>
      </x:c>
      <x:c r="N134" s="321" t="n">
        <x:v>1</x:v>
      </x:c>
      <x:c r="O134" t="str">
        <x:v>ELISE mặt nạ dâu dưỡng da</x:v>
      </x:c>
      <x:c r="P134" t="str">
        <x:v>ELISE</x:v>
      </x:c>
      <x:c r="Q134" t="str">
        <x:v>002113/23/CBMP-HCM</x:v>
      </x:c>
      <x:c r="R134" t="str">
        <x:v>Public verified declaration.</x:v>
      </x:c>
    </x:row>
    <x:row r="135">
      <x:c r="A135" t="str">
        <x:v>EI-00134</x:v>
      </x:c>
      <x:c r="B135" t="str">
        <x:v>LOCAL_DECLARATION</x:v>
      </x:c>
      <x:c r="C135" t="str">
        <x:v>MASTER_ALL</x:v>
      </x:c>
      <x:c r="D135" t="n">
        <x:v>135</x:v>
      </x:c>
      <x:c r="E135" t="str">
        <x:v>LOCAL-00046523CBMPHCM</x:v>
      </x:c>
      <x:c r="F135" t="str">
        <x:v>00046523cbmphcm</x:v>
      </x:c>
      <x:c r="G135" t="str">
        <x:v>elise|elisematnadualeoduongda</x:v>
      </x:c>
      <x:c r="H135" t="str">
        <x:v>elise|elisematnadualeoduongda</x:v>
      </x:c>
      <x:c r="I135" t="str">
        <x:v>elise</x:v>
      </x:c>
      <x:c r="J135" t="str">
        <x:v>congtytnhhsanxuatthuongmaixuatnhapkhautaminhquang</x:v>
      </x:c>
      <x:c r="K135" t="str">
        <x:v>chinhanhcongtytnhhsanxuatthuongmaixuatnhapkhautaminhquangnhamaymyphamtaminhquang</x:v>
      </x:c>
      <x:c r="L135" t="str"/>
      <x:c r="M135" t="str">
        <x:v>UNIQUE_BY_CBMP</x:v>
      </x:c>
      <x:c r="N135" s="321" t="n">
        <x:v>1</x:v>
      </x:c>
      <x:c r="O135" t="str">
        <x:v>ELISE mặt nạ dưa leo dưỡng da</x:v>
      </x:c>
      <x:c r="P135" t="str">
        <x:v>ELISE</x:v>
      </x:c>
      <x:c r="Q135" t="str">
        <x:v>000465/23/CBMP-HCM</x:v>
      </x:c>
      <x:c r="R135" t="str">
        <x:v>Public verified declaration.</x:v>
      </x:c>
    </x:row>
    <x:row r="136">
      <x:c r="A136" t="str">
        <x:v>EI-00135</x:v>
      </x:c>
      <x:c r="B136" t="str">
        <x:v>LOCAL_DECLARATION</x:v>
      </x:c>
      <x:c r="C136" t="str">
        <x:v>MASTER_ALL</x:v>
      </x:c>
      <x:c r="D136" t="n">
        <x:v>136</x:v>
      </x:c>
      <x:c r="E136" t="str">
        <x:v>LOCAL-00210923CBMPHCM</x:v>
      </x:c>
      <x:c r="F136" t="str">
        <x:v>00210923cbmphcm</x:v>
      </x:c>
      <x:c r="G136" t="str">
        <x:v>elise|elisematnadualeoduongda</x:v>
      </x:c>
      <x:c r="H136" t="str">
        <x:v>elise|elisematnadualeoduongda</x:v>
      </x:c>
      <x:c r="I136" t="str">
        <x:v>elise</x:v>
      </x:c>
      <x:c r="J136" t="str">
        <x:v>congtytnhhsanxuatthuongmaixuatnhapkhautaminhquang</x:v>
      </x:c>
      <x:c r="K136" t="str">
        <x:v>chinhanhcongtytnhhsanxuatthuongmaixuatnhapkhautaminhquangnhamaymyphamtaminhquang</x:v>
      </x:c>
      <x:c r="L136" t="str"/>
      <x:c r="M136" t="str">
        <x:v>UNIQUE_BY_CBMP</x:v>
      </x:c>
      <x:c r="N136" s="321" t="n">
        <x:v>1</x:v>
      </x:c>
      <x:c r="O136" t="str">
        <x:v>ELISE mặt nạ dưa leo dưỡng da</x:v>
      </x:c>
      <x:c r="P136" t="str">
        <x:v>ELISE</x:v>
      </x:c>
      <x:c r="Q136" t="str">
        <x:v>002109/23/CBMP-HCM</x:v>
      </x:c>
      <x:c r="R136" t="str">
        <x:v>Public verified declaration.</x:v>
      </x:c>
    </x:row>
    <x:row r="137">
      <x:c r="A137" t="str">
        <x:v>EI-00136</x:v>
      </x:c>
      <x:c r="B137" t="str">
        <x:v>LOCAL_DECLARATION</x:v>
      </x:c>
      <x:c r="C137" t="str">
        <x:v>MASTER_ALL</x:v>
      </x:c>
      <x:c r="D137" t="n">
        <x:v>137</x:v>
      </x:c>
      <x:c r="E137" t="str">
        <x:v>LOCAL-00071523CBMPHCM</x:v>
      </x:c>
      <x:c r="F137" t="str">
        <x:v>00071523cbmphcm</x:v>
      </x:c>
      <x:c r="G137" t="str">
        <x:v>elise|elisematnahoaquaduongda</x:v>
      </x:c>
      <x:c r="H137" t="str">
        <x:v>elise|elisematnahoaquaduongda</x:v>
      </x:c>
      <x:c r="I137" t="str">
        <x:v>elise</x:v>
      </x:c>
      <x:c r="J137" t="str">
        <x:v>congtytnhhsanxuatthuongmaixuatnhapkhautaminhquang</x:v>
      </x:c>
      <x:c r="K137" t="str">
        <x:v>chinhanhcongtytnhhsanxuatthuongmaixuatnhapkhautaminhquangnhamaymyphamtaminhquang</x:v>
      </x:c>
      <x:c r="L137" t="str"/>
      <x:c r="M137" t="str">
        <x:v>UNIQUE_BY_CBMP</x:v>
      </x:c>
      <x:c r="N137" s="321" t="n">
        <x:v>1</x:v>
      </x:c>
      <x:c r="O137" t="str">
        <x:v>ELISE mặt nạ hoa quả dưỡng da</x:v>
      </x:c>
      <x:c r="P137" t="str">
        <x:v>ELISE</x:v>
      </x:c>
      <x:c r="Q137" t="str">
        <x:v>000715/23/CBMP-HCM</x:v>
      </x:c>
      <x:c r="R137" t="str">
        <x:v>Public verified declaration.</x:v>
      </x:c>
    </x:row>
    <x:row r="138">
      <x:c r="A138" t="str">
        <x:v>EI-00137</x:v>
      </x:c>
      <x:c r="B138" t="str">
        <x:v>LOCAL_DECLARATION</x:v>
      </x:c>
      <x:c r="C138" t="str">
        <x:v>MASTER_ALL</x:v>
      </x:c>
      <x:c r="D138" t="n">
        <x:v>138</x:v>
      </x:c>
      <x:c r="E138" t="str">
        <x:v>LOCAL-00211023CBMPHCM</x:v>
      </x:c>
      <x:c r="F138" t="str">
        <x:v>00211023cbmphcm</x:v>
      </x:c>
      <x:c r="G138" t="str">
        <x:v>elise|elisematnahoaquaduongda</x:v>
      </x:c>
      <x:c r="H138" t="str">
        <x:v>elise|elisematnahoaquaduongda</x:v>
      </x:c>
      <x:c r="I138" t="str">
        <x:v>elise</x:v>
      </x:c>
      <x:c r="J138" t="str">
        <x:v>congtytnhhsanxuatthuongmaixuatnhapkhautaminhquang</x:v>
      </x:c>
      <x:c r="K138" t="str">
        <x:v>chinhanhcongtytnhhsanxuatthuongmaixuatnhapkhautaminhquangnhamaymyphamtaminhquang</x:v>
      </x:c>
      <x:c r="L138" t="str"/>
      <x:c r="M138" t="str">
        <x:v>UNIQUE_BY_CBMP</x:v>
      </x:c>
      <x:c r="N138" s="321" t="n">
        <x:v>1</x:v>
      </x:c>
      <x:c r="O138" t="str">
        <x:v>ELISE mặt nạ hoa quả dưỡng da</x:v>
      </x:c>
      <x:c r="P138" t="str">
        <x:v>ELISE</x:v>
      </x:c>
      <x:c r="Q138" t="str">
        <x:v>002110/23/CBMP-HCM</x:v>
      </x:c>
      <x:c r="R138" t="str">
        <x:v>Public verified declaration.</x:v>
      </x:c>
    </x:row>
    <x:row r="139">
      <x:c r="A139" t="str">
        <x:v>EI-00138</x:v>
      </x:c>
      <x:c r="B139" t="str">
        <x:v>LOCAL_DECLARATION</x:v>
      </x:c>
      <x:c r="C139" t="str">
        <x:v>MASTER_ALL</x:v>
      </x:c>
      <x:c r="D139" t="n">
        <x:v>139</x:v>
      </x:c>
      <x:c r="E139" t="str">
        <x:v>LOCAL-00211423CBMPHCM</x:v>
      </x:c>
      <x:c r="F139" t="str">
        <x:v>00211423cbmphcm</x:v>
      </x:c>
      <x:c r="G139" t="str">
        <x:v>elise|elisematnangoctraiduongda</x:v>
      </x:c>
      <x:c r="H139" t="str">
        <x:v>elise|elisematnangoctraiduongda</x:v>
      </x:c>
      <x:c r="I139" t="str">
        <x:v>elise</x:v>
      </x:c>
      <x:c r="J139" t="str">
        <x:v>congtytnhhsanxuatthuongmaixuatnhapkhautaminhquang</x:v>
      </x:c>
      <x:c r="K139" t="str">
        <x:v>chinhanhcongtytnhhsanxuatthuongmaixuatnhapkhautaminhquangnhamaymyphamtaminhquang</x:v>
      </x:c>
      <x:c r="L139" t="str"/>
      <x:c r="M139" t="str">
        <x:v>UNIQUE_BY_CBMP</x:v>
      </x:c>
      <x:c r="N139" s="321" t="n">
        <x:v>1</x:v>
      </x:c>
      <x:c r="O139" t="str">
        <x:v>ELISE mặt nạ ngọc trai dưỡng da</x:v>
      </x:c>
      <x:c r="P139" t="str">
        <x:v>ELISE</x:v>
      </x:c>
      <x:c r="Q139" t="str">
        <x:v>002114/23/CBMP-HCM</x:v>
      </x:c>
      <x:c r="R139" t="str">
        <x:v>Public verified declaration.</x:v>
      </x:c>
    </x:row>
    <x:row r="140">
      <x:c r="A140" t="str">
        <x:v>EI-00139</x:v>
      </x:c>
      <x:c r="B140" t="str">
        <x:v>LOCAL_DECLARATION</x:v>
      </x:c>
      <x:c r="C140" t="str">
        <x:v>MASTER_ALL</x:v>
      </x:c>
      <x:c r="D140" t="n">
        <x:v>140</x:v>
      </x:c>
      <x:c r="E140" t="str">
        <x:v>LOCAL-00211723CBMPHCM</x:v>
      </x:c>
      <x:c r="F140" t="str">
        <x:v>00211723cbmphcm</x:v>
      </x:c>
      <x:c r="G140" t="str">
        <x:v>elise|elisematnaocsenduongda</x:v>
      </x:c>
      <x:c r="H140" t="str">
        <x:v>elise|elisematnaocsenduongda</x:v>
      </x:c>
      <x:c r="I140" t="str">
        <x:v>elise</x:v>
      </x:c>
      <x:c r="J140" t="str">
        <x:v>congtytnhhsanxuatthuongmaixuatnhapkhautaminhquang</x:v>
      </x:c>
      <x:c r="K140" t="str">
        <x:v>chinhanhcongtytnhhsanxuatthuongmaixuatnhapkhautaminhquangnhamaymyphamtaminhquang</x:v>
      </x:c>
      <x:c r="L140" t="str"/>
      <x:c r="M140" t="str">
        <x:v>UNIQUE_BY_CBMP</x:v>
      </x:c>
      <x:c r="N140" s="321" t="n">
        <x:v>1</x:v>
      </x:c>
      <x:c r="O140" t="str">
        <x:v>ELISE mặt nạ ốc sên dưỡng da</x:v>
      </x:c>
      <x:c r="P140" t="str">
        <x:v>ELISE</x:v>
      </x:c>
      <x:c r="Q140" t="str">
        <x:v>002117/23/CBMP-HCM</x:v>
      </x:c>
      <x:c r="R140" t="str">
        <x:v>Public verified declaration.</x:v>
      </x:c>
    </x:row>
    <x:row r="141">
      <x:c r="A141" t="str">
        <x:v>EI-00140</x:v>
      </x:c>
      <x:c r="B141" t="str">
        <x:v>LOCAL_DECLARATION</x:v>
      </x:c>
      <x:c r="C141" t="str">
        <x:v>MASTER_ALL</x:v>
      </x:c>
      <x:c r="D141" t="n">
        <x:v>141</x:v>
      </x:c>
      <x:c r="E141" t="str">
        <x:v>LOCAL-00211623CBMPHCM</x:v>
      </x:c>
      <x:c r="F141" t="str">
        <x:v>00211623cbmphcm</x:v>
      </x:c>
      <x:c r="G141" t="str">
        <x:v>elise|elisematnataoduongda</x:v>
      </x:c>
      <x:c r="H141" t="str">
        <x:v>elise|elisematnataoduongda</x:v>
      </x:c>
      <x:c r="I141" t="str">
        <x:v>elise</x:v>
      </x:c>
      <x:c r="J141" t="str">
        <x:v>congtytnhhsanxuatthuongmaixuatnhapkhautaminhquang</x:v>
      </x:c>
      <x:c r="K141" t="str">
        <x:v>chinhanhcongtytnhhsanxuatthuongmaixuatnhapkhautaminhquangnhamaymyphamtaminhquang</x:v>
      </x:c>
      <x:c r="L141" t="str"/>
      <x:c r="M141" t="str">
        <x:v>UNIQUE_BY_CBMP</x:v>
      </x:c>
      <x:c r="N141" s="321" t="n">
        <x:v>1</x:v>
      </x:c>
      <x:c r="O141" t="str">
        <x:v>ELISE mặt nạ táo dưỡng da</x:v>
      </x:c>
      <x:c r="P141" t="str">
        <x:v>ELISE</x:v>
      </x:c>
      <x:c r="Q141" t="str">
        <x:v>002116/23/CBMP-HCM</x:v>
      </x:c>
      <x:c r="R141" t="str">
        <x:v>Public verified declaration.</x:v>
      </x:c>
    </x:row>
    <x:row r="142">
      <x:c r="A142" t="str">
        <x:v>EI-00141</x:v>
      </x:c>
      <x:c r="B142" t="str">
        <x:v>LOCAL_DECLARATION</x:v>
      </x:c>
      <x:c r="C142" t="str">
        <x:v>MASTER_ALL</x:v>
      </x:c>
      <x:c r="D142" t="n">
        <x:v>142</x:v>
      </x:c>
      <x:c r="E142" t="str">
        <x:v>LOCAL-00303623CBMPHCM</x:v>
      </x:c>
      <x:c r="F142" t="str">
        <x:v>00303623cbmphcm</x:v>
      </x:c>
      <x:c r="G142" t="str">
        <x:v>geisha|geishakemduongtrangdachongnang</x:v>
      </x:c>
      <x:c r="H142" t="str">
        <x:v>geisha|geishakemduongtrangdachongnang</x:v>
      </x:c>
      <x:c r="I142" t="str">
        <x:v>geisha</x:v>
      </x:c>
      <x:c r="J142" t="str">
        <x:v>congtytnhhsanxuatthuongmaixuatnhapkhautaminhquang</x:v>
      </x:c>
      <x:c r="K142" t="str">
        <x:v>chinhanhcongtytnhhsanxuatthuongmaixuatnhapkhautaminhquangnhamaymyphamtaminhquang</x:v>
      </x:c>
      <x:c r="L142" t="str"/>
      <x:c r="M142" t="str">
        <x:v>UNIQUE_BY_CBMP</x:v>
      </x:c>
      <x:c r="N142" s="321" t="n">
        <x:v>1</x:v>
      </x:c>
      <x:c r="O142" t="str">
        <x:v>GEISHA kem dưỡng trắng da chống nắng</x:v>
      </x:c>
      <x:c r="P142" t="str">
        <x:v>GEISHA</x:v>
      </x:c>
      <x:c r="Q142" t="str">
        <x:v>003036/23/CBMP-HCM</x:v>
      </x:c>
      <x:c r="R142" t="str">
        <x:v>Public verified declaration.</x:v>
      </x:c>
    </x:row>
    <x:row r="143">
      <x:c r="A143" t="str">
        <x:v>EI-00142</x:v>
      </x:c>
      <x:c r="B143" t="str">
        <x:v>LOCAL_DECLARATION</x:v>
      </x:c>
      <x:c r="C143" t="str">
        <x:v>MASTER_ALL</x:v>
      </x:c>
      <x:c r="D143" t="n">
        <x:v>143</x:v>
      </x:c>
      <x:c r="E143" t="str">
        <x:v>LOCAL-00538623CBMPHCM</x:v>
      </x:c>
      <x:c r="F143" t="str">
        <x:v>00538623cbmphcm</x:v>
      </x:c>
      <x:c r="G143" t="str">
        <x:v>lavi|lavimatnadualeoduongda</x:v>
      </x:c>
      <x:c r="H143" t="str">
        <x:v>lavi|lavimatnadualeoduongda</x:v>
      </x:c>
      <x:c r="I143" t="str">
        <x:v>lavi</x:v>
      </x:c>
      <x:c r="J143" t="str">
        <x:v>congtytnhhsanxuatthuongmaixuatnhapkhautaminhquang</x:v>
      </x:c>
      <x:c r="K143" t="str">
        <x:v>chinhanhcongtytnhhsanxuatthuongmaixuatnhapkhautaminhquangnhamaymyphamtaminhquang</x:v>
      </x:c>
      <x:c r="L143" t="str"/>
      <x:c r="M143" t="str">
        <x:v>UNIQUE_BY_CBMP</x:v>
      </x:c>
      <x:c r="N143" s="321" t="n">
        <x:v>1</x:v>
      </x:c>
      <x:c r="O143" t="str">
        <x:v>LAVI mặt nạ dưa leo dưỡng da</x:v>
      </x:c>
      <x:c r="P143" t="str">
        <x:v>LAVI</x:v>
      </x:c>
      <x:c r="Q143" t="str">
        <x:v>005386/23/CBMP-HCM</x:v>
      </x:c>
      <x:c r="R143" t="str">
        <x:v>Public verified declaration.</x:v>
      </x:c>
    </x:row>
    <x:row r="144">
      <x:c r="A144" t="str">
        <x:v>EI-00143</x:v>
      </x:c>
      <x:c r="B144" t="str">
        <x:v>LOCAL_DECLARATION</x:v>
      </x:c>
      <x:c r="C144" t="str">
        <x:v>MASTER_ALL</x:v>
      </x:c>
      <x:c r="D144" t="n">
        <x:v>144</x:v>
      </x:c>
      <x:c r="E144" t="str">
        <x:v>LOCAL-00345023CBMPHCM</x:v>
      </x:c>
      <x:c r="F144" t="str">
        <x:v>00345023cbmphcm</x:v>
      </x:c>
      <x:c r="G144" t="str">
        <x:v>joejoe|joejoemakeupremover</x:v>
      </x:c>
      <x:c r="H144" t="str">
        <x:v>joejoe|joejoemakeupremover</x:v>
      </x:c>
      <x:c r="I144" t="str">
        <x:v>joejoe</x:v>
      </x:c>
      <x:c r="J144" t="str">
        <x:v>congtytnhhsanxuatthuongmaixuatnhapkhautaminhquang</x:v>
      </x:c>
      <x:c r="K144" t="str">
        <x:v>chinhanhcongtytnhhsanxuatthuongmaixuatnhapkhautaminhquangnhamaymyphamtaminhquang</x:v>
      </x:c>
      <x:c r="L144" t="str"/>
      <x:c r="M144" t="str">
        <x:v>UNIQUE_BY_CBMP</x:v>
      </x:c>
      <x:c r="N144" s="321" t="n">
        <x:v>1</x:v>
      </x:c>
      <x:c r="O144" t="str">
        <x:v>JOEJOE makeup remover</x:v>
      </x:c>
      <x:c r="P144" t="str">
        <x:v>JOEJOE</x:v>
      </x:c>
      <x:c r="Q144" t="str">
        <x:v>003450/23/CBMP-HCM</x:v>
      </x:c>
      <x:c r="R144" t="str">
        <x:v>Public verified declaration.</x:v>
      </x:c>
    </x:row>
    <x:row r="145">
      <x:c r="A145" t="str">
        <x:v>EI-00144</x:v>
      </x:c>
      <x:c r="B145" t="str">
        <x:v>LOCAL_DECLARATION</x:v>
      </x:c>
      <x:c r="C145" t="str">
        <x:v>MASTER_ALL</x:v>
      </x:c>
      <x:c r="D145" t="n">
        <x:v>145</x:v>
      </x:c>
      <x:c r="E145" t="str">
        <x:v>LOCAL-00345123CBMPHCM</x:v>
      </x:c>
      <x:c r="F145" t="str">
        <x:v>00345123cbmphcm</x:v>
      </x:c>
      <x:c r="G145" t="str">
        <x:v>joejoe|joejoerefreshingfacialcleansinggel</x:v>
      </x:c>
      <x:c r="H145" t="str">
        <x:v>joejoe|joejoerefreshingfacialcleansinggel</x:v>
      </x:c>
      <x:c r="I145" t="str">
        <x:v>joejoe</x:v>
      </x:c>
      <x:c r="J145" t="str">
        <x:v>congtytnhhsanxuatthuongmaixuatnhapkhautaminhquang</x:v>
      </x:c>
      <x:c r="K145" t="str">
        <x:v>chinhanhcongtytnhhsanxuatthuongmaixuatnhapkhautaminhquangnhamaymyphamtaminhquang</x:v>
      </x:c>
      <x:c r="L145" t="str"/>
      <x:c r="M145" t="str">
        <x:v>UNIQUE_BY_CBMP</x:v>
      </x:c>
      <x:c r="N145" s="321" t="n">
        <x:v>1</x:v>
      </x:c>
      <x:c r="O145" t="str">
        <x:v>JOEJOE refreshing facial cleansing gel</x:v>
      </x:c>
      <x:c r="P145" t="str">
        <x:v>JOEJOE</x:v>
      </x:c>
      <x:c r="Q145" t="str">
        <x:v>003451/23/CBMP-HCM</x:v>
      </x:c>
      <x:c r="R145" t="str">
        <x:v>Public verified declaration.</x:v>
      </x:c>
    </x:row>
    <x:row r="146">
      <x:c r="A146" t="str">
        <x:v>EI-00145</x:v>
      </x:c>
      <x:c r="B146" t="str">
        <x:v>LOCAL_DECLARATION</x:v>
      </x:c>
      <x:c r="C146" t="str">
        <x:v>MASTER_ALL</x:v>
      </x:c>
      <x:c r="D146" t="n">
        <x:v>146</x:v>
      </x:c>
      <x:c r="E146" t="str">
        <x:v>LOCAL-00345223CBMPHCM</x:v>
      </x:c>
      <x:c r="F146" t="str">
        <x:v>00345223cbmphcm</x:v>
      </x:c>
      <x:c r="G146" t="str">
        <x:v>joejoe|joejoeskintoner</x:v>
      </x:c>
      <x:c r="H146" t="str">
        <x:v>joejoe|joejoeskintoner</x:v>
      </x:c>
      <x:c r="I146" t="str">
        <x:v>joejoe</x:v>
      </x:c>
      <x:c r="J146" t="str">
        <x:v>congtytnhhsanxuatthuongmaixuatnhapkhautaminhquang</x:v>
      </x:c>
      <x:c r="K146" t="str">
        <x:v>chinhanhcongtytnhhsanxuatthuongmaixuatnhapkhautaminhquangnhamaymyphamtaminhquang</x:v>
      </x:c>
      <x:c r="L146" t="str"/>
      <x:c r="M146" t="str">
        <x:v>UNIQUE_BY_CBMP</x:v>
      </x:c>
      <x:c r="N146" s="321" t="n">
        <x:v>1</x:v>
      </x:c>
      <x:c r="O146" t="str">
        <x:v>JOEJOE skin toner</x:v>
      </x:c>
      <x:c r="P146" t="str">
        <x:v>JOEJOE</x:v>
      </x:c>
      <x:c r="Q146" t="str">
        <x:v>003452/23/CBMP-HCM</x:v>
      </x:c>
      <x:c r="R146" t="str">
        <x:v>Public verified declaration.</x:v>
      </x:c>
    </x:row>
    <x:row r="147">
      <x:c r="A147" t="str">
        <x:v>EI-00146</x:v>
      </x:c>
      <x:c r="B147" t="str">
        <x:v>LOCAL_DECLARATION</x:v>
      </x:c>
      <x:c r="C147" t="str">
        <x:v>MASTER_ALL</x:v>
      </x:c>
      <x:c r="D147" t="n">
        <x:v>147</x:v>
      </x:c>
      <x:c r="E147" t="str">
        <x:v>LOCAL-00344923CBMPHCM</x:v>
      </x:c>
      <x:c r="F147" t="str">
        <x:v>00344923cbmphcm</x:v>
      </x:c>
      <x:c r="G147" t="str">
        <x:v>joejoe|joejoemoisturizingserum</x:v>
      </x:c>
      <x:c r="H147" t="str">
        <x:v>joejoe|joejoemoisturizingserum</x:v>
      </x:c>
      <x:c r="I147" t="str">
        <x:v>joejoe</x:v>
      </x:c>
      <x:c r="J147" t="str">
        <x:v>congtytnhhsanxuatthuongmaixuatnhapkhautaminhquang</x:v>
      </x:c>
      <x:c r="K147" t="str">
        <x:v>chinhanhcongtytnhhsanxuatthuongmaixuatnhapkhautaminhquangnhamaymyphamtaminhquang</x:v>
      </x:c>
      <x:c r="L147" t="str"/>
      <x:c r="M147" t="str">
        <x:v>UNIQUE_BY_CBMP</x:v>
      </x:c>
      <x:c r="N147" s="321" t="n">
        <x:v>1</x:v>
      </x:c>
      <x:c r="O147" t="str">
        <x:v>JOEJOE moisturizing serum</x:v>
      </x:c>
      <x:c r="P147" t="str">
        <x:v>JOEJOE</x:v>
      </x:c>
      <x:c r="Q147" t="str">
        <x:v>003449/23/CBMP-HCM</x:v>
      </x:c>
      <x:c r="R147" t="str">
        <x:v>Public verified declaration.</x:v>
      </x:c>
    </x:row>
    <x:row r="148">
      <x:c r="A148" t="str">
        <x:v>EI-00147</x:v>
      </x:c>
      <x:c r="B148" t="str">
        <x:v>LOCAL_DECLARATION</x:v>
      </x:c>
      <x:c r="C148" t="str">
        <x:v>MASTER_ALL</x:v>
      </x:c>
      <x:c r="D148" t="n">
        <x:v>148</x:v>
      </x:c>
      <x:c r="E148" t="str">
        <x:v>LOCAL-00345323CBMPHCM</x:v>
      </x:c>
      <x:c r="F148" t="str">
        <x:v>00345323cbmphcm</x:v>
      </x:c>
      <x:c r="G148" t="str">
        <x:v>joejoe|joejoeradiantwhiteningcream</x:v>
      </x:c>
      <x:c r="H148" t="str">
        <x:v>joejoe|joejoeradiantwhiteningcream</x:v>
      </x:c>
      <x:c r="I148" t="str">
        <x:v>joejoe</x:v>
      </x:c>
      <x:c r="J148" t="str">
        <x:v>congtytnhhsanxuatthuongmaixuatnhapkhautaminhquang</x:v>
      </x:c>
      <x:c r="K148" t="str">
        <x:v>chinhanhcongtytnhhsanxuatthuongmaixuatnhapkhautaminhquangnhamaymyphamtaminhquang</x:v>
      </x:c>
      <x:c r="L148" t="str"/>
      <x:c r="M148" t="str">
        <x:v>UNIQUE_BY_CBMP</x:v>
      </x:c>
      <x:c r="N148" s="321" t="n">
        <x:v>1</x:v>
      </x:c>
      <x:c r="O148" t="str">
        <x:v>JOEJOE radiant whitening cream</x:v>
      </x:c>
      <x:c r="P148" t="str">
        <x:v>JOEJOE</x:v>
      </x:c>
      <x:c r="Q148" t="str">
        <x:v>003453/23/CBMP-HCM</x:v>
      </x:c>
      <x:c r="R148" t="str">
        <x:v>Public verified declaration.</x:v>
      </x:c>
    </x:row>
    <x:row r="149">
      <x:c r="A149" t="str">
        <x:v>EI-00148</x:v>
      </x:c>
      <x:c r="B149" t="str">
        <x:v>LOCAL_DECLARATION</x:v>
      </x:c>
      <x:c r="C149" t="str">
        <x:v>MASTER_ALL</x:v>
      </x:c>
      <x:c r="D149" t="n">
        <x:v>149</x:v>
      </x:c>
      <x:c r="E149" t="str">
        <x:v>LOCAL-00345423CBMPHCM</x:v>
      </x:c>
      <x:c r="F149" t="str">
        <x:v>00345423cbmphcm</x:v>
      </x:c>
      <x:c r="G149" t="str">
        <x:v>joejoe|joejoerefreshingshowergel</x:v>
      </x:c>
      <x:c r="H149" t="str">
        <x:v>joejoe|joejoerefreshingshowergel</x:v>
      </x:c>
      <x:c r="I149" t="str">
        <x:v>joejoe</x:v>
      </x:c>
      <x:c r="J149" t="str">
        <x:v>congtytnhhsanxuatthuongmaixuatnhapkhautaminhquang</x:v>
      </x:c>
      <x:c r="K149" t="str">
        <x:v>chinhanhcongtytnhhsanxuatthuongmaixuatnhapkhautaminhquangnhamaymyphamtaminhquang</x:v>
      </x:c>
      <x:c r="L149" t="str"/>
      <x:c r="M149" t="str">
        <x:v>UNIQUE_BY_CBMP</x:v>
      </x:c>
      <x:c r="N149" s="321" t="n">
        <x:v>1</x:v>
      </x:c>
      <x:c r="O149" t="str">
        <x:v>JOEJOE refreshing shower gel</x:v>
      </x:c>
      <x:c r="P149" t="str">
        <x:v>JOEJOE</x:v>
      </x:c>
      <x:c r="Q149" t="str">
        <x:v>003454/23/CBMP-HCM</x:v>
      </x:c>
      <x:c r="R149" t="str">
        <x:v>Public verified declaration.</x:v>
      </x:c>
    </x:row>
    <x:row r="150">
      <x:c r="A150" t="str">
        <x:v>EI-00149</x:v>
      </x:c>
      <x:c r="B150" t="str">
        <x:v>LOCAL_DECLARATION</x:v>
      </x:c>
      <x:c r="C150" t="str">
        <x:v>MASTER_ALL</x:v>
      </x:c>
      <x:c r="D150" t="n">
        <x:v>150</x:v>
      </x:c>
      <x:c r="E150" t="str">
        <x:v>LOCAL-00410322CBMPHCM</x:v>
      </x:c>
      <x:c r="F150" t="str">
        <x:v>00410322cbmphcm</x:v>
      </x:c>
      <x:c r="G150" t="str">
        <x:v>forher|forherintimatewashphbalanceddungdichvesinhphunu</x:v>
      </x:c>
      <x:c r="H150" t="str">
        <x:v>forher|forherintimatewashphbalanceddungdichvesinhphunu</x:v>
      </x:c>
      <x:c r="I150" t="str">
        <x:v>forher</x:v>
      </x:c>
      <x:c r="J150" t="str">
        <x:v>congtytnhhsanxuatthuongmaixuatnhapkhautaminhquang</x:v>
      </x:c>
      <x:c r="K150" t="str">
        <x:v>chinhanhcongtytnhhsanxuatthuongmaixuatnhapkhautaminhquangnhamaymyphamtaminhquang</x:v>
      </x:c>
      <x:c r="L150" t="str"/>
      <x:c r="M150" t="str">
        <x:v>UNIQUE_BY_CBMP</x:v>
      </x:c>
      <x:c r="N150" s="321" t="n">
        <x:v>1</x:v>
      </x:c>
      <x:c r="O150" t="str">
        <x:v>FOR HER intimate wash - pH - balanced / Dung dịch vệ sinh phụ nữ</x:v>
      </x:c>
      <x:c r="P150" t="str">
        <x:v>FOR HER</x:v>
      </x:c>
      <x:c r="Q150" t="str">
        <x:v>004103/22/CBMP-HCM</x:v>
      </x:c>
      <x:c r="R150" t="str">
        <x:v>Public verified declaration.</x:v>
      </x:c>
    </x:row>
    <x:row r="151">
      <x:c r="A151" t="str">
        <x:v>EI-00150</x:v>
      </x:c>
      <x:c r="B151" t="str">
        <x:v>LOCAL_DECLARATION</x:v>
      </x:c>
      <x:c r="C151" t="str">
        <x:v>MASTER_ALL</x:v>
      </x:c>
      <x:c r="D151" t="n">
        <x:v>151</x:v>
      </x:c>
      <x:c r="E151" t="str">
        <x:v>LOCAL-00043024CBMPHCM</x:v>
      </x:c>
      <x:c r="F151" t="str">
        <x:v>00043024cbmphcm</x:v>
      </x:c>
      <x:c r="G151" t="str">
        <x:v>sacnguyethuong|perfectionsunblockcream</x:v>
      </x:c>
      <x:c r="H151" t="str">
        <x:v>sacnguyethuong|perfectionsunblockcream</x:v>
      </x:c>
      <x:c r="I151" t="str">
        <x:v>sacnguyethuong</x:v>
      </x:c>
      <x:c r="J151" t="str">
        <x:v>congtytnhhthuongmaidichvumyphamucanh</x:v>
      </x:c>
      <x:c r="K151" t="str">
        <x:v>congtycophanduocmyphamhanhtinhxanh</x:v>
      </x:c>
      <x:c r="L151" t="str"/>
      <x:c r="M151" t="str">
        <x:v>UNIQUE_BY_CBMP</x:v>
      </x:c>
      <x:c r="N151" s="321" t="n">
        <x:v>1</x:v>
      </x:c>
      <x:c r="O151" t="str">
        <x:v>Perfection Sunblock Cream</x:v>
      </x:c>
      <x:c r="P151" t="str">
        <x:v>Sắc Nguyệt Hương</x:v>
      </x:c>
      <x:c r="Q151" t="str">
        <x:v>000430/24/CBMP-HCM</x:v>
      </x:c>
      <x:c r="R151" t="str">
        <x:v>Public verified declaration.</x:v>
      </x:c>
    </x:row>
    <x:row r="152">
      <x:c r="A152" t="str">
        <x:v>EI-00151</x:v>
      </x:c>
      <x:c r="B152" t="str">
        <x:v>LOCAL_DECLARATION</x:v>
      </x:c>
      <x:c r="C152" t="str">
        <x:v>MASTER_ALL</x:v>
      </x:c>
      <x:c r="D152" t="n">
        <x:v>152</x:v>
      </x:c>
      <x:c r="E152" t="str">
        <x:v>LOCAL-00043224CBMPHCM</x:v>
      </x:c>
      <x:c r="F152" t="str">
        <x:v>00043224cbmphcm</x:v>
      </x:c>
      <x:c r="G152" t="str">
        <x:v>sacnguyethuong|kemtrangdagiupmonamchongnang</x:v>
      </x:c>
      <x:c r="H152" t="str">
        <x:v>sacnguyethuong|kemtrangdagiupmonamchongnang</x:v>
      </x:c>
      <x:c r="I152" t="str">
        <x:v>sacnguyethuong</x:v>
      </x:c>
      <x:c r="J152" t="str">
        <x:v>congtytnhhthuongmaidichvumyphamucanh</x:v>
      </x:c>
      <x:c r="K152" t="str">
        <x:v>congtycophanduocmyphamhanhtinhxanh</x:v>
      </x:c>
      <x:c r="L152" t="str"/>
      <x:c r="M152" t="str">
        <x:v>UNIQUE_BY_CBMP</x:v>
      </x:c>
      <x:c r="N152" s="321" t="n">
        <x:v>1</x:v>
      </x:c>
      <x:c r="O152" t="str">
        <x:v>Kem trắng da - Giúp mờ nám - Chống nắng</x:v>
      </x:c>
      <x:c r="P152" t="str">
        <x:v>Sắc Nguyệt Hương</x:v>
      </x:c>
      <x:c r="Q152" t="str">
        <x:v>000432/24/CBMP-HCM</x:v>
      </x:c>
      <x:c r="R152" t="str">
        <x:v>Public verified declaration.</x:v>
      </x:c>
    </x:row>
    <x:row r="153">
      <x:c r="A153" t="str">
        <x:v>EI-00152</x:v>
      </x:c>
      <x:c r="B153" t="str">
        <x:v>LOCAL_DECLARATION</x:v>
      </x:c>
      <x:c r="C153" t="str">
        <x:v>MASTER_ALL</x:v>
      </x:c>
      <x:c r="D153" t="n">
        <x:v>153</x:v>
      </x:c>
      <x:c r="E153" t="str">
        <x:v>LOCAL-00119824CBMPHCM</x:v>
      </x:c>
      <x:c r="F153" t="str">
        <x:v>00119824cbmphcm</x:v>
      </x:c>
      <x:c r="G153" t="str">
        <x:v>faceplushoangdungcosmetics|vitaminmilkcleanser</x:v>
      </x:c>
      <x:c r="H153" t="str">
        <x:v>faceplushoangdungcosmetics|vitaminmilkcleanser</x:v>
      </x:c>
      <x:c r="I153" t="str">
        <x:v>faceplushoangdungcosmetics</x:v>
      </x:c>
      <x:c r="J153" t="str">
        <x:v>congtytnhhthuongmaidichvumyphamhoangdung</x:v>
      </x:c>
      <x:c r="K153" t="str">
        <x:v>congtycophanduocmyphamhanhtinhxanh</x:v>
      </x:c>
      <x:c r="L153" t="str"/>
      <x:c r="M153" t="str">
        <x:v>UNIQUE_BY_CBMP</x:v>
      </x:c>
      <x:c r="N153" s="321" t="n">
        <x:v>1</x:v>
      </x:c>
      <x:c r="O153" t="str">
        <x:v>VITAMIN MILK CLEANSER</x:v>
      </x:c>
      <x:c r="P153" t="str">
        <x:v>Faceplus+ HOANGDUNG COSMETICS</x:v>
      </x:c>
      <x:c r="Q153" t="str">
        <x:v>001198/24/CBMP-HCM</x:v>
      </x:c>
      <x:c r="R153" t="str">
        <x:v>Public verified declaration.</x:v>
      </x:c>
    </x:row>
    <x:row r="154">
      <x:c r="A154" t="str">
        <x:v>EI-00153</x:v>
      </x:c>
      <x:c r="B154" t="str">
        <x:v>LOCAL_DECLARATION</x:v>
      </x:c>
      <x:c r="C154" t="str">
        <x:v>MASTER_ALL</x:v>
      </x:c>
      <x:c r="D154" t="n">
        <x:v>154</x:v>
      </x:c>
      <x:c r="E154" t="str">
        <x:v>LOCAL-237022CBMPHCM</x:v>
      </x:c>
      <x:c r="F154" t="str">
        <x:v>237022cbmphcm</x:v>
      </x:c>
      <x:c r="G154" t="str">
        <x:v>yodyphuonganh|suskinwhiteningnightcream</x:v>
      </x:c>
      <x:c r="H154" t="str">
        <x:v>yodyphuonganh|suskinwhiteningnightcream</x:v>
      </x:c>
      <x:c r="I154" t="str">
        <x:v>yodyphuonganh</x:v>
      </x:c>
      <x:c r="J154" t="str">
        <x:v>congtytnhhtmdvthammyyodywhitephuonganh</x:v>
      </x:c>
      <x:c r="K154" t="str">
        <x:v>congtytnhhsanxuatduocmyphamnhathan</x:v>
      </x:c>
      <x:c r="L154" t="str"/>
      <x:c r="M154" t="str">
        <x:v>UNIQUE_BY_CBMP</x:v>
      </x:c>
      <x:c r="N154" s="321" t="n">
        <x:v>1</x:v>
      </x:c>
      <x:c r="O154" t="str">
        <x:v>Su Skin Whitening Night Cream</x:v>
      </x:c>
      <x:c r="P154" t="str">
        <x:v>Yody Phương Anh</x:v>
      </x:c>
      <x:c r="Q154" t="str">
        <x:v>2370/22/CBMP-HCM</x:v>
      </x:c>
      <x:c r="R154" t="str">
        <x:v>Public verified declaration.</x:v>
      </x:c>
    </x:row>
    <x:row r="155">
      <x:c r="A155" t="str">
        <x:v>EI-00154</x:v>
      </x:c>
      <x:c r="B155" t="str">
        <x:v>LOCAL_DECLARATION</x:v>
      </x:c>
      <x:c r="C155" t="str">
        <x:v>MASTER_ALL</x:v>
      </x:c>
      <x:c r="D155" t="n">
        <x:v>155</x:v>
      </x:c>
      <x:c r="E155" t="str">
        <x:v>LOCAL-237122CBMPHCM</x:v>
      </x:c>
      <x:c r="F155" t="str">
        <x:v>237122cbmphcm</x:v>
      </x:c>
      <x:c r="G155" t="str">
        <x:v>yodyphuonganh|serumgiuptaitaoda</x:v>
      </x:c>
      <x:c r="H155" t="str">
        <x:v>yodyphuonganh|serumgiuptaitaoda</x:v>
      </x:c>
      <x:c r="I155" t="str">
        <x:v>yodyphuonganh</x:v>
      </x:c>
      <x:c r="J155" t="str">
        <x:v>congtytnhhtmdvthammyyodywhitephuonganh</x:v>
      </x:c>
      <x:c r="K155" t="str">
        <x:v>congtytnhhsanxuatduocmyphamnhathan</x:v>
      </x:c>
      <x:c r="L155" t="str"/>
      <x:c r="M155" t="str">
        <x:v>UNIQUE_BY_CBMP</x:v>
      </x:c>
      <x:c r="N155" s="321" t="n">
        <x:v>1</x:v>
      </x:c>
      <x:c r="O155" t="str">
        <x:v>Serum giúp tái tạo da</x:v>
      </x:c>
      <x:c r="P155" t="str">
        <x:v>Yody Phương Anh</x:v>
      </x:c>
      <x:c r="Q155" t="str">
        <x:v>2371/22/CBMP-HCM</x:v>
      </x:c>
      <x:c r="R155" t="str">
        <x:v>Public verified declaration.</x:v>
      </x:c>
    </x:row>
    <x:row r="156">
      <x:c r="A156" t="str">
        <x:v>EI-00155</x:v>
      </x:c>
      <x:c r="B156" t="str">
        <x:v>LOCAL_DECLARATION</x:v>
      </x:c>
      <x:c r="C156" t="str">
        <x:v>MASTER_ALL</x:v>
      </x:c>
      <x:c r="D156" t="n">
        <x:v>156</x:v>
      </x:c>
      <x:c r="E156" t="str">
        <x:v>LOCAL-00401522CBMPHCM</x:v>
      </x:c>
      <x:c r="F156" t="str">
        <x:v>00401522cbmphcm</x:v>
      </x:c>
      <x:c r="G156" t="str">
        <x:v>yodyphuonganh|whiteningbodycream</x:v>
      </x:c>
      <x:c r="H156" t="str">
        <x:v>yodyphuonganh|whiteningbodycream</x:v>
      </x:c>
      <x:c r="I156" t="str">
        <x:v>yodyphuonganh</x:v>
      </x:c>
      <x:c r="J156" t="str">
        <x:v>congtytnhhtmdvthammyyodywhitephuonganh</x:v>
      </x:c>
      <x:c r="K156" t="str">
        <x:v>congtytnhhsanxuatduocmyphamnhathan</x:v>
      </x:c>
      <x:c r="L156" t="str"/>
      <x:c r="M156" t="str">
        <x:v>UNIQUE_BY_CBMP</x:v>
      </x:c>
      <x:c r="N156" s="321" t="n">
        <x:v>1</x:v>
      </x:c>
      <x:c r="O156" t="str">
        <x:v>Whitening Body Cream</x:v>
      </x:c>
      <x:c r="P156" t="str">
        <x:v>Yody Phương Anh</x:v>
      </x:c>
      <x:c r="Q156" t="str">
        <x:v>004015/22/CBMP-HCM</x:v>
      </x:c>
      <x:c r="R156" t="str">
        <x:v>Public verified declaration.</x:v>
      </x:c>
    </x:row>
    <x:row r="157">
      <x:c r="A157" t="str">
        <x:v>EI-00156</x:v>
      </x:c>
      <x:c r="B157" t="str">
        <x:v>LOCAL_DECLARATION</x:v>
      </x:c>
      <x:c r="C157" t="str">
        <x:v>MASTER_ALL</x:v>
      </x:c>
      <x:c r="D157" t="n">
        <x:v>157</x:v>
      </x:c>
      <x:c r="E157" t="str">
        <x:v>LOCAL-00440523CBMPHCM</x:v>
      </x:c>
      <x:c r="F157" t="str">
        <x:v>00440523cbmphcm</x:v>
      </x:c>
      <x:c r="G157" t="str">
        <x:v>|daumuuthaiduong</x:v>
      </x:c>
      <x:c r="H157" t="str">
        <x:v>|daumuuthaiduong</x:v>
      </x:c>
      <x:c r="I157" t="str"/>
      <x:c r="J157" t="str">
        <x:v>congtytnhhduocphamaihung</x:v>
      </x:c>
      <x:c r="K157" t="str">
        <x:v>chinhanhcongtytnhhsanxuatthuongmaidichvucontraxuongsanxuat</x:v>
      </x:c>
      <x:c r="L157" t="str"/>
      <x:c r="M157" t="str">
        <x:v>UNIQUE_BY_CBMP</x:v>
      </x:c>
      <x:c r="N157" s="321" t="n">
        <x:v>1</x:v>
      </x:c>
      <x:c r="O157" t="str">
        <x:v>Dầu mù u Thái Dương</x:v>
      </x:c>
      <x:c r="P157" t="str"/>
      <x:c r="Q157" t="str">
        <x:v>004405/23/CBMP-HCM</x:v>
      </x:c>
      <x:c r="R157" t="str">
        <x:v>Public verified declaration.</x:v>
      </x:c>
    </x:row>
    <x:row r="158">
      <x:c r="A158" t="str">
        <x:v>EI-00157</x:v>
      </x:c>
      <x:c r="B158" t="str">
        <x:v>LOCAL_DECLARATION</x:v>
      </x:c>
      <x:c r="C158" t="str">
        <x:v>MASTER_ALL</x:v>
      </x:c>
      <x:c r="D158" t="n">
        <x:v>158</x:v>
      </x:c>
      <x:c r="E158" t="str">
        <x:v>LOCAL-00201325CBMPHCM</x:v>
      </x:c>
      <x:c r="F158" t="str">
        <x:v>00201325cbmphcm</x:v>
      </x:c>
      <x:c r="G158" t="str">
        <x:v>coopselect|coopselectdungdichvesinhphunu</x:v>
      </x:c>
      <x:c r="H158" t="str">
        <x:v>coopselect|coopselectdungdichvesinhphunu</x:v>
      </x:c>
      <x:c r="I158" t="str">
        <x:v>coopselect</x:v>
      </x:c>
      <x:c r="J158" t="str">
        <x:v>congtycophanaututhuongmaitruongduong</x:v>
      </x:c>
      <x:c r="K158" t="str">
        <x:v>chinhanhcongtycophanaututhuongmaitruongduong</x:v>
      </x:c>
      <x:c r="L158" t="str"/>
      <x:c r="M158" t="str">
        <x:v>UNIQUE_BY_CBMP</x:v>
      </x:c>
      <x:c r="N158" s="321" t="n">
        <x:v>1</x:v>
      </x:c>
      <x:c r="O158" t="str">
        <x:v>Coop Select Dung dịch vệ sinh phụ nữ</x:v>
      </x:c>
      <x:c r="P158" t="str">
        <x:v>Coop Select</x:v>
      </x:c>
      <x:c r="Q158" t="str">
        <x:v>002013/25/CBMP-HCM</x:v>
      </x:c>
      <x:c r="R158" t="str">
        <x:v>Public verified declaration.</x:v>
      </x:c>
    </x:row>
    <x:row r="159">
      <x:c r="A159" t="str">
        <x:v>EI-00158</x:v>
      </x:c>
      <x:c r="B159" t="str">
        <x:v>LOCAL_DECLARATION</x:v>
      </x:c>
      <x:c r="C159" t="str">
        <x:v>MASTER_ALL</x:v>
      </x:c>
      <x:c r="D159" t="n">
        <x:v>159</x:v>
      </x:c>
      <x:c r="E159" t="str">
        <x:v>LOCAL-00151322CBMPHCM</x:v>
      </x:c>
      <x:c r="F159" t="str">
        <x:v>00151322cbmphcm</x:v>
      </x:c>
      <x:c r="G159" t="str">
        <x:v>|elitecream3in1care</x:v>
      </x:c>
      <x:c r="H159" t="str">
        <x:v>|elitecream3in1care</x:v>
      </x:c>
      <x:c r="I159" t="str"/>
      <x:c r="J159" t="str">
        <x:v>congtytnhhsanxuatvathuongmainguyenquach</x:v>
      </x:c>
      <x:c r="K159" t="str">
        <x:v>chinhanhcongtytnhhsanxuatvathuongmainguyenquach</x:v>
      </x:c>
      <x:c r="L159" t="str"/>
      <x:c r="M159" t="str">
        <x:v>UNIQUE_BY_CBMP</x:v>
      </x:c>
      <x:c r="N159" s="321" t="n">
        <x:v>1</x:v>
      </x:c>
      <x:c r="O159" t="str">
        <x:v>Élite Cream 3 in 1 Care</x:v>
      </x:c>
      <x:c r="P159" t="str"/>
      <x:c r="Q159" t="str">
        <x:v>001513/22/CBMP-HCM</x:v>
      </x:c>
      <x:c r="R159" t="str">
        <x:v>Public verified declaration.</x:v>
      </x:c>
    </x:row>
    <x:row r="160">
      <x:c r="A160" t="str">
        <x:v>EI-00159</x:v>
      </x:c>
      <x:c r="B160" t="str">
        <x:v>LOCAL_DECLARATION</x:v>
      </x:c>
      <x:c r="C160" t="str">
        <x:v>MASTER_ALL</x:v>
      </x:c>
      <x:c r="D160" t="n">
        <x:v>160</x:v>
      </x:c>
      <x:c r="E160" t="str">
        <x:v>LOCAL-214722CBMPHCM</x:v>
      </x:c>
      <x:c r="F160" t="str">
        <x:v>214722cbmphcm</x:v>
      </x:c>
      <x:c r="G160" t="str">
        <x:v>|kemnguanamtannhangoimoitrangdamylove</x:v>
      </x:c>
      <x:c r="H160" t="str">
        <x:v>|kemnguanamtannhangoimoitrangdamylove</x:v>
      </x:c>
      <x:c r="I160" t="str"/>
      <x:c r="J160" t="str">
        <x:v>congtycophanmyphamlongphungkhang</x:v>
      </x:c>
      <x:c r="K160" t="str">
        <x:v>congtycophanmyphamlongphungkhang</x:v>
      </x:c>
      <x:c r="L160" t="str"/>
      <x:c r="M160" t="str">
        <x:v>UNIQUE_BY_CBMP</x:v>
      </x:c>
      <x:c r="N160" s="321" t="n">
        <x:v>1</x:v>
      </x:c>
      <x:c r="O160" t="str">
        <x:v>Kem ngừa nám, tàn nhang, đồi mồi, trắng da Mylove</x:v>
      </x:c>
      <x:c r="P160" t="str"/>
      <x:c r="Q160" t="str">
        <x:v>2147/22/CBMP-HCM</x:v>
      </x:c>
      <x:c r="R160" t="str">
        <x:v>Public verified declaration.</x:v>
      </x:c>
    </x:row>
    <x:row r="161">
      <x:c r="A161" t="str">
        <x:v>EI-00160</x:v>
      </x:c>
      <x:c r="B161" t="str">
        <x:v>LOCAL_DECLARATION</x:v>
      </x:c>
      <x:c r="C161" t="str">
        <x:v>MASTER_ALL</x:v>
      </x:c>
      <x:c r="D161" t="n">
        <x:v>161</x:v>
      </x:c>
      <x:c r="E161" t="str">
        <x:v>LOCAL-00209423CBMPHCM</x:v>
      </x:c>
      <x:c r="F161" t="str">
        <x:v>00209423cbmphcm</x:v>
      </x:c>
      <x:c r="G161" t="str">
        <x:v>|kemnamtrangdamutromtangiakhang</x:v>
      </x:c>
      <x:c r="H161" t="str">
        <x:v>|kemnamtrangdamutromtangiakhang</x:v>
      </x:c>
      <x:c r="I161" t="str"/>
      <x:c r="J161" t="str">
        <x:v>congtytnhhsanxuatvathuongmaimyphamangduong</x:v>
      </x:c>
      <x:c r="K161" t="str">
        <x:v>chinhanhcongtytnhhsanxuatvathuongmaimyphamangduong</x:v>
      </x:c>
      <x:c r="L161" t="str"/>
      <x:c r="M161" t="str">
        <x:v>UNIQUE_BY_CBMP</x:v>
      </x:c>
      <x:c r="N161" s="321" t="n">
        <x:v>1</x:v>
      </x:c>
      <x:c r="O161" t="str">
        <x:v>Kem nám, trắng da Mủ trôm Tân Gia Khang</x:v>
      </x:c>
      <x:c r="P161" t="str"/>
      <x:c r="Q161" t="str">
        <x:v>002094/23/CBMP-HCM</x:v>
      </x:c>
      <x:c r="R161" t="str">
        <x:v>Public verified declaration.</x:v>
      </x:c>
    </x:row>
    <x:row r="162">
      <x:c r="A162" t="str">
        <x:v>EI-00161</x:v>
      </x:c>
      <x:c r="B162" t="str">
        <x:v>LOCAL_DECLARATION</x:v>
      </x:c>
      <x:c r="C162" t="str">
        <x:v>MASTER_ALL</x:v>
      </x:c>
      <x:c r="D162" t="n">
        <x:v>162</x:v>
      </x:c>
      <x:c r="E162" t="str">
        <x:v>LOCAL-00105323CBMPHCM</x:v>
      </x:c>
      <x:c r="F162" t="str">
        <x:v>00105323cbmphcm</x:v>
      </x:c>
      <x:c r="G162" t="str">
        <x:v>|kemnguanamcaocap</x:v>
      </x:c>
      <x:c r="H162" t="str">
        <x:v>|kemnguanamcaocap</x:v>
      </x:c>
      <x:c r="I162" t="str"/>
      <x:c r="J162" t="str">
        <x:v>congtytnhhsanxuatvathuongmaimyphamangduong</x:v>
      </x:c>
      <x:c r="K162" t="str">
        <x:v>chinhanhcongtytnhhsanxuatvathuongmaimyphamangduong</x:v>
      </x:c>
      <x:c r="L162" t="str"/>
      <x:c r="M162" t="str">
        <x:v>UNIQUE_BY_CBMP</x:v>
      </x:c>
      <x:c r="N162" s="321" t="n">
        <x:v>1</x:v>
      </x:c>
      <x:c r="O162" t="str">
        <x:v>Kem ngừa nám cao cấp</x:v>
      </x:c>
      <x:c r="P162" t="str"/>
      <x:c r="Q162" t="str">
        <x:v>001053/23/CBMP-HCM</x:v>
      </x:c>
      <x:c r="R162" t="str">
        <x:v>Public verified declaration.</x:v>
      </x:c>
    </x:row>
    <x:row r="163">
      <x:c r="A163" t="str">
        <x:v>EI-00162</x:v>
      </x:c>
      <x:c r="B163" t="str">
        <x:v>LOCAL_DECLARATION</x:v>
      </x:c>
      <x:c r="C163" t="str">
        <x:v>MASTER_ALL</x:v>
      </x:c>
      <x:c r="D163" t="n">
        <x:v>163</x:v>
      </x:c>
      <x:c r="E163" t="str">
        <x:v>LOCAL-00104823CBMPHCM</x:v>
      </x:c>
      <x:c r="F163" t="str">
        <x:v>00104823cbmphcm</x:v>
      </x:c>
      <x:c r="G163" t="str">
        <x:v>|kemduongtranggiuptaitaoda</x:v>
      </x:c>
      <x:c r="H163" t="str">
        <x:v>|kemduongtranggiuptaitaoda</x:v>
      </x:c>
      <x:c r="I163" t="str"/>
      <x:c r="J163" t="str">
        <x:v>congtytnhhsanxuatvathuongmaimyphamangduong</x:v>
      </x:c>
      <x:c r="K163" t="str">
        <x:v>chinhanhcongtytnhhsanxuatvathuongmaimyphamangduong</x:v>
      </x:c>
      <x:c r="L163" t="str"/>
      <x:c r="M163" t="str">
        <x:v>UNIQUE_BY_CBMP</x:v>
      </x:c>
      <x:c r="N163" s="321" t="n">
        <x:v>1</x:v>
      </x:c>
      <x:c r="O163" t="str">
        <x:v>Kem dưỡng trắng giúp tái tạo da</x:v>
      </x:c>
      <x:c r="P163" t="str"/>
      <x:c r="Q163" t="str">
        <x:v>001048/23/CBMP-HCM</x:v>
      </x:c>
      <x:c r="R163" t="str">
        <x:v>Public verified declaration.</x:v>
      </x:c>
    </x:row>
    <x:row r="164">
      <x:c r="A164" t="str">
        <x:v>EI-00163</x:v>
      </x:c>
      <x:c r="B164" t="str">
        <x:v>LOCAL_DECLARATION</x:v>
      </x:c>
      <x:c r="C164" t="str">
        <x:v>MASTER_ALL</x:v>
      </x:c>
      <x:c r="D164" t="n">
        <x:v>164</x:v>
      </x:c>
      <x:c r="E164" t="str">
        <x:v>LOCAL-00104723CBMPHCM</x:v>
      </x:c>
      <x:c r="F164" t="str">
        <x:v>00104723cbmphcm</x:v>
      </x:c>
      <x:c r="G164" t="str">
        <x:v>|kemduongtranggiupphuchoida</x:v>
      </x:c>
      <x:c r="H164" t="str">
        <x:v>|kemduongtranggiupphuchoida</x:v>
      </x:c>
      <x:c r="I164" t="str"/>
      <x:c r="J164" t="str">
        <x:v>congtytnhhsanxuatvathuongmaimyphamangduong</x:v>
      </x:c>
      <x:c r="K164" t="str">
        <x:v>chinhanhcongtytnhhsanxuatvathuongmaimyphamangduong</x:v>
      </x:c>
      <x:c r="L164" t="str"/>
      <x:c r="M164" t="str">
        <x:v>UNIQUE_BY_CBMP</x:v>
      </x:c>
      <x:c r="N164" s="321" t="n">
        <x:v>1</x:v>
      </x:c>
      <x:c r="O164" t="str">
        <x:v>Kem dưỡng trắng giúp phục hồi da</x:v>
      </x:c>
      <x:c r="P164" t="str"/>
      <x:c r="Q164" t="str">
        <x:v>001047/23/CBMP-HCM</x:v>
      </x:c>
      <x:c r="R164" t="str">
        <x:v>Public verified declaration.</x:v>
      </x:c>
    </x:row>
    <x:row r="165">
      <x:c r="A165" t="str">
        <x:v>EI-00164</x:v>
      </x:c>
      <x:c r="B165" t="str">
        <x:v>LOCAL_DECLARATION</x:v>
      </x:c>
      <x:c r="C165" t="str">
        <x:v>MASTER_ALL</x:v>
      </x:c>
      <x:c r="D165" t="n">
        <x:v>165</x:v>
      </x:c>
      <x:c r="E165" t="str">
        <x:v>LOCAL-00101123CBMPHCM</x:v>
      </x:c>
      <x:c r="F165" t="str">
        <x:v>00101123cbmphcm</x:v>
      </x:c>
      <x:c r="G165" t="str">
        <x:v>|kemduongtranggiupngualaohoada</x:v>
      </x:c>
      <x:c r="H165" t="str">
        <x:v>|kemduongtranggiupngualaohoada</x:v>
      </x:c>
      <x:c r="I165" t="str"/>
      <x:c r="J165" t="str">
        <x:v>congtytnhhsanxuatvathuongmaimyphamangduong</x:v>
      </x:c>
      <x:c r="K165" t="str">
        <x:v>chinhanhcongtytnhhsanxuatvathuongmaimyphamangduong</x:v>
      </x:c>
      <x:c r="L165" t="str"/>
      <x:c r="M165" t="str">
        <x:v>UNIQUE_BY_CBMP</x:v>
      </x:c>
      <x:c r="N165" s="321" t="n">
        <x:v>1</x:v>
      </x:c>
      <x:c r="O165" t="str">
        <x:v>Kem dưỡng trắng giúp ngừa lão hóa da</x:v>
      </x:c>
      <x:c r="P165" t="str"/>
      <x:c r="Q165" t="str">
        <x:v>001011/23/CBMP-HCM</x:v>
      </x:c>
      <x:c r="R165" t="str">
        <x:v>Public verified declaration.</x:v>
      </x:c>
    </x:row>
    <x:row r="166">
      <x:c r="A166" t="str">
        <x:v>EI-00165</x:v>
      </x:c>
      <x:c r="B166" t="str">
        <x:v>LOCAL_DECLARATION</x:v>
      </x:c>
      <x:c r="C166" t="str">
        <x:v>MASTER_ALL</x:v>
      </x:c>
      <x:c r="D166" t="n">
        <x:v>166</x:v>
      </x:c>
      <x:c r="E166" t="str">
        <x:v>LOCAL-00168023CBMPHCM</x:v>
      </x:c>
      <x:c r="F166" t="str">
        <x:v>00168023cbmphcm</x:v>
      </x:c>
      <x:c r="G166" t="str">
        <x:v>|kemnamtannhangoimoi</x:v>
      </x:c>
      <x:c r="H166" t="str">
        <x:v>|kemnamtannhangoimoi</x:v>
      </x:c>
      <x:c r="I166" t="str"/>
      <x:c r="J166" t="str">
        <x:v>congtytnhhsanxuatvathuongmaimyphamangduong</x:v>
      </x:c>
      <x:c r="K166" t="str">
        <x:v>chinhanhcongtytnhhsanxuatvathuongmaimyphamangduong</x:v>
      </x:c>
      <x:c r="L166" t="str"/>
      <x:c r="M166" t="str">
        <x:v>UNIQUE_BY_CBMP</x:v>
      </x:c>
      <x:c r="N166" s="321" t="n">
        <x:v>1</x:v>
      </x:c>
      <x:c r="O166" t="str">
        <x:v>Kem nám tàn nhang đồi mồi</x:v>
      </x:c>
      <x:c r="P166" t="str"/>
      <x:c r="Q166" t="str">
        <x:v>001680/23/CBMP-HCM</x:v>
      </x:c>
      <x:c r="R166" t="str">
        <x:v>Public verified declaration.</x:v>
      </x:c>
    </x:row>
    <x:row r="167">
      <x:c r="A167" t="str">
        <x:v>EI-00166</x:v>
      </x:c>
      <x:c r="B167" t="str">
        <x:v>LOCAL_DECLARATION</x:v>
      </x:c>
      <x:c r="C167" t="str">
        <x:v>MASTER_ALL</x:v>
      </x:c>
      <x:c r="D167" t="n">
        <x:v>167</x:v>
      </x:c>
      <x:c r="E167" t="str">
        <x:v>LOCAL-00340222CBMPHCM</x:v>
      </x:c>
      <x:c r="F167" t="str">
        <x:v>00340222cbmphcm</x:v>
      </x:c>
      <x:c r="G167" t="str">
        <x:v>lynshao|kemtrangdanguamunmovetthamlynshao</x:v>
      </x:c>
      <x:c r="H167" t="str">
        <x:v>lynshao|kemtrangdanguamunmovetthamlynshao</x:v>
      </x:c>
      <x:c r="I167" t="str">
        <x:v>lynshao</x:v>
      </x:c>
      <x:c r="J167" t="str">
        <x:v>congtycophanmyphamlongphungkhang</x:v>
      </x:c>
      <x:c r="K167" t="str">
        <x:v>congtycophanmyphamlongphungkhang</x:v>
      </x:c>
      <x:c r="L167" t="str"/>
      <x:c r="M167" t="str">
        <x:v>UNIQUE_BY_CBMP</x:v>
      </x:c>
      <x:c r="N167" s="321" t="n">
        <x:v>1</x:v>
      </x:c>
      <x:c r="O167" t="str">
        <x:v>Kem trắng da, ngừa mụn, mờ vết thâm LYNSHAO</x:v>
      </x:c>
      <x:c r="P167" t="str">
        <x:v>LYNSHAO</x:v>
      </x:c>
      <x:c r="Q167" t="str">
        <x:v>003402/22/CBMP-HCM</x:v>
      </x:c>
      <x:c r="R167" t="str">
        <x:v>Public verified declaration.</x:v>
      </x:c>
    </x:row>
    <x:row r="168">
      <x:c r="A168" t="str">
        <x:v>EI-00167</x:v>
      </x:c>
      <x:c r="B168" t="str">
        <x:v>LOCAL_DECLARATION</x:v>
      </x:c>
      <x:c r="C168" t="str">
        <x:v>MASTER_ALL</x:v>
      </x:c>
      <x:c r="D168" t="n">
        <x:v>168</x:v>
      </x:c>
      <x:c r="E168" t="str">
        <x:v>LOCAL-00033022CBMPHCM</x:v>
      </x:c>
      <x:c r="F168" t="str">
        <x:v>00033022cbmphcm</x:v>
      </x:c>
      <x:c r="G168" t="str">
        <x:v>ylang|ylangdaugoiauylangchi</x:v>
      </x:c>
      <x:c r="H168" t="str">
        <x:v>ylang|ylangdaugoiauylangchi</x:v>
      </x:c>
      <x:c r="I168" t="str">
        <x:v>ylang</x:v>
      </x:c>
      <x:c r="J168" t="str">
        <x:v>congtycophannamo</x:v>
      </x:c>
      <x:c r="K168" t="str">
        <x:v>congtycophannamo</x:v>
      </x:c>
      <x:c r="L168" t="str"/>
      <x:c r="M168" t="str">
        <x:v>UNIQUE_BY_CBMP</x:v>
      </x:c>
      <x:c r="N168" s="321" t="n">
        <x:v>1</x:v>
      </x:c>
      <x:c r="O168" t="str">
        <x:v>Y lang Dầu gội đầu Y lang chí</x:v>
      </x:c>
      <x:c r="P168" t="str">
        <x:v>Y lang</x:v>
      </x:c>
      <x:c r="Q168" t="str">
        <x:v>000330/22/CBMP-HCM</x:v>
      </x:c>
      <x:c r="R168" t="str">
        <x:v>Public verified declaration.</x:v>
      </x:c>
    </x:row>
    <x:row r="169">
      <x:c r="A169" t="str">
        <x:v>EI-00168</x:v>
      </x:c>
      <x:c r="B169" t="str">
        <x:v>LOCAL_DECLARATION</x:v>
      </x:c>
      <x:c r="C169" t="str">
        <x:v>MASTER_ALL</x:v>
      </x:c>
      <x:c r="D169" t="n">
        <x:v>169</x:v>
      </x:c>
      <x:c r="E169" t="str">
        <x:v>LOCAL-00105222CBMPHCM</x:v>
      </x:c>
      <x:c r="F169" t="str">
        <x:v>00105222cbmphcm</x:v>
      </x:c>
      <x:c r="G169" t="str">
        <x:v>youngone|kemduongtrangdayoungone</x:v>
      </x:c>
      <x:c r="H169" t="str">
        <x:v>youngone|kemduongtrangdayoungone</x:v>
      </x:c>
      <x:c r="I169" t="str">
        <x:v>youngone</x:v>
      </x:c>
      <x:c r="J169" t="str">
        <x:v>congtytnhhhoamyphamchichi</x:v>
      </x:c>
      <x:c r="K169" t="str">
        <x:v>congtytnhhhoamyphamchichi</x:v>
      </x:c>
      <x:c r="L169" t="str"/>
      <x:c r="M169" t="str">
        <x:v>UNIQUE_BY_CBMP</x:v>
      </x:c>
      <x:c r="N169" s="321" t="n">
        <x:v>1</x:v>
      </x:c>
      <x:c r="O169" t="str">
        <x:v>Kem dưỡng trắng da Young One</x:v>
      </x:c>
      <x:c r="P169" t="str">
        <x:v>Young One</x:v>
      </x:c>
      <x:c r="Q169" t="str">
        <x:v>001052/22/CBMP-HCM</x:v>
      </x:c>
      <x:c r="R169" t="str">
        <x:v>Public verified declaration.</x:v>
      </x:c>
    </x:row>
    <x:row r="170">
      <x:c r="A170" t="str">
        <x:v>EI-00169</x:v>
      </x:c>
      <x:c r="B170" t="str">
        <x:v>LOCAL_DECLARATION</x:v>
      </x:c>
      <x:c r="C170" t="str">
        <x:v>MASTER_ALL</x:v>
      </x:c>
      <x:c r="D170" t="n">
        <x:v>170</x:v>
      </x:c>
      <x:c r="E170" t="str">
        <x:v>LOCAL-00316723CBMPHCM</x:v>
      </x:c>
      <x:c r="F170" t="str">
        <x:v>00316723cbmphcm</x:v>
      </x:c>
      <x:c r="G170" t="str">
        <x:v>intasilk|conditioner</x:v>
      </x:c>
      <x:c r="H170" t="str">
        <x:v>intasilk|conditioner</x:v>
      </x:c>
      <x:c r="I170" t="str">
        <x:v>intasilk</x:v>
      </x:c>
      <x:c r="J170" t="str">
        <x:v>congtytnhhhungongtinh</x:v>
      </x:c>
      <x:c r="K170" t="str">
        <x:v>congtytnhhmyphamdathaolanchinhanh2</x:v>
      </x:c>
      <x:c r="L170" t="str"/>
      <x:c r="M170" t="str">
        <x:v>UNIQUE_BY_CBMP</x:v>
      </x:c>
      <x:c r="N170" s="321" t="n">
        <x:v>1</x:v>
      </x:c>
      <x:c r="O170" t="str">
        <x:v>Conditioner</x:v>
      </x:c>
      <x:c r="P170" t="str">
        <x:v>Intasilk</x:v>
      </x:c>
      <x:c r="Q170" t="str">
        <x:v>003167/23/CBMP-HCM</x:v>
      </x:c>
      <x:c r="R170" t="str">
        <x:v>Public verified declaration.</x:v>
      </x:c>
    </x:row>
    <x:row r="171">
      <x:c r="A171" t="str">
        <x:v>EI-00170</x:v>
      </x:c>
      <x:c r="B171" t="str">
        <x:v>LOCAL_DECLARATION</x:v>
      </x:c>
      <x:c r="C171" t="str">
        <x:v>MASTER_ALL</x:v>
      </x:c>
      <x:c r="D171" t="n">
        <x:v>171</x:v>
      </x:c>
      <x:c r="E171" t="str">
        <x:v>LOCAL-208322CBMPHCM</x:v>
      </x:c>
      <x:c r="F171" t="str">
        <x:v>208322cbmphcm</x:v>
      </x:c>
      <x:c r="G171" t="str">
        <x:v>|nuocsucmienglesgotreem</x:v>
      </x:c>
      <x:c r="H171" t="str">
        <x:v>|nuocsucmienglesgotreem</x:v>
      </x:c>
      <x:c r="I171" t="str"/>
      <x:c r="J171" t="str">
        <x:v>congtycophanellie</x:v>
      </x:c>
      <x:c r="K171" t="str">
        <x:v>congtycophanellie</x:v>
      </x:c>
      <x:c r="L171" t="str"/>
      <x:c r="M171" t="str">
        <x:v>UNIQUE_BY_CBMP</x:v>
      </x:c>
      <x:c r="N171" s="321" t="n">
        <x:v>1</x:v>
      </x:c>
      <x:c r="O171" t="str">
        <x:v>Nước súc miệng Lesgo trẻ em</x:v>
      </x:c>
      <x:c r="P171" t="str"/>
      <x:c r="Q171" t="str">
        <x:v>2083/22/CBMP-HCM</x:v>
      </x:c>
      <x:c r="R171" t="str">
        <x:v>Public verified declaration.</x:v>
      </x:c>
    </x:row>
    <x:row r="172">
      <x:c r="A172" t="str">
        <x:v>EI-00171</x:v>
      </x:c>
      <x:c r="B172" t="str">
        <x:v>LOCAL_DECLARATION</x:v>
      </x:c>
      <x:c r="C172" t="str">
        <x:v>MASTER_ALL</x:v>
      </x:c>
      <x:c r="D172" t="n">
        <x:v>172</x:v>
      </x:c>
      <x:c r="E172" t="str">
        <x:v>LOCAL-00529422CBMPHCM</x:v>
      </x:c>
      <x:c r="F172" t="str">
        <x:v>00529422cbmphcm</x:v>
      </x:c>
      <x:c r="G172" t="str">
        <x:v>|lucci</x:v>
      </x:c>
      <x:c r="H172" t="str">
        <x:v>|lucci</x:v>
      </x:c>
      <x:c r="I172" t="str"/>
      <x:c r="J172" t="str">
        <x:v>congtytnhhmtvsanxuatduocmyphamgamma</x:v>
      </x:c>
      <x:c r="K172" t="str">
        <x:v>chinhanhcongtytnhhmtvsanxuatduocmyphamgamma</x:v>
      </x:c>
      <x:c r="L172" t="str"/>
      <x:c r="M172" t="str">
        <x:v>UNIQUE_BY_CBMP</x:v>
      </x:c>
      <x:c r="N172" s="321" t="n">
        <x:v>1</x:v>
      </x:c>
      <x:c r="O172" t="str">
        <x:v>Lucci</x:v>
      </x:c>
      <x:c r="P172" t="str"/>
      <x:c r="Q172" t="str">
        <x:v>005294/22/CBMP-HCM</x:v>
      </x:c>
      <x:c r="R172" t="str">
        <x:v>Public verified declaration.</x:v>
      </x:c>
    </x:row>
    <x:row r="173">
      <x:c r="A173" t="str">
        <x:v>EI-00172</x:v>
      </x:c>
      <x:c r="B173" t="str">
        <x:v>LOCAL_DECLARATION</x:v>
      </x:c>
      <x:c r="C173" t="str">
        <x:v>MASTER_ALL</x:v>
      </x:c>
      <x:c r="D173" t="n">
        <x:v>173</x:v>
      </x:c>
      <x:c r="E173" t="str">
        <x:v>LOCAL-69524CBMPBD</x:v>
      </x:c>
      <x:c r="F173" t="str">
        <x:v>69524cbmpbd</x:v>
      </x:c>
      <x:c r="G173" t="str">
        <x:v>botanika|nuocruataybaovedasachtaylambepbotanika</x:v>
      </x:c>
      <x:c r="H173" t="str">
        <x:v>botanika|nuocruataybaovedasachtaylambepbotanika</x:v>
      </x:c>
      <x:c r="I173" t="str">
        <x:v>botanika</x:v>
      </x:c>
      <x:c r="J173" t="str">
        <x:v>congtycophanmaricosoutheastasia</x:v>
      </x:c>
      <x:c r="K173" t="str">
        <x:v>congtycophanmaricosoutheastasia</x:v>
      </x:c>
      <x:c r="L173" t="str"/>
      <x:c r="M173" t="str">
        <x:v>UNIQUE_BY_CBMP</x:v>
      </x:c>
      <x:c r="N173" s="321" t="n">
        <x:v>1</x:v>
      </x:c>
      <x:c r="O173" t="str">
        <x:v>NƯỚC RỬA TAY BẢO VỆ DA SẠCH TAY LÀM BẾP BOTANIKA</x:v>
      </x:c>
      <x:c r="P173" t="str">
        <x:v>BOTANIKA</x:v>
      </x:c>
      <x:c r="Q173" t="str">
        <x:v>695/24/CBMP-BD</x:v>
      </x:c>
      <x:c r="R173" t="str">
        <x:v>Public verified declaration.</x:v>
      </x:c>
    </x:row>
    <x:row r="174">
      <x:c r="A174" t="str">
        <x:v>EI-00173</x:v>
      </x:c>
      <x:c r="B174" t="str">
        <x:v>LOCAL_DECLARATION</x:v>
      </x:c>
      <x:c r="C174" t="str">
        <x:v>MASTER_ALL</x:v>
      </x:c>
      <x:c r="D174" t="n">
        <x:v>174</x:v>
      </x:c>
      <x:c r="E174" t="str">
        <x:v>LOCAL-29525CBMPBD</x:v>
      </x:c>
      <x:c r="F174" t="str">
        <x:v>29525cbmpbd</x:v>
      </x:c>
      <x:c r="G174" t="str">
        <x:v>xmenforboss|suatamnuochoaxmenforbossintense</x:v>
      </x:c>
      <x:c r="H174" t="str">
        <x:v>xmenforboss|suatamnuochoaxmenforbossintense</x:v>
      </x:c>
      <x:c r="I174" t="str">
        <x:v>xmenforboss</x:v>
      </x:c>
      <x:c r="J174" t="str">
        <x:v>congtycophanmaricosoutheastasia</x:v>
      </x:c>
      <x:c r="K174" t="str">
        <x:v>congtycophanmaricosoutheastasia</x:v>
      </x:c>
      <x:c r="L174" t="str"/>
      <x:c r="M174" t="str">
        <x:v>UNIQUE_BY_CBMP</x:v>
      </x:c>
      <x:c r="N174" s="321" t="n">
        <x:v>1</x:v>
      </x:c>
      <x:c r="O174" t="str">
        <x:v>SỮA TẮM NƯỚC HOA XMEN FOR BOSS INTENSE</x:v>
      </x:c>
      <x:c r="P174" t="str">
        <x:v>X-MEN FOR BOSS</x:v>
      </x:c>
      <x:c r="Q174" t="str">
        <x:v>295/25/CBMP-BD</x:v>
      </x:c>
      <x:c r="R174" t="str">
        <x:v>Public verified declaration.</x:v>
      </x:c>
    </x:row>
    <x:row r="175">
      <x:c r="A175" t="str">
        <x:v>EI-00174</x:v>
      </x:c>
      <x:c r="B175" t="str">
        <x:v>IMPORT_DECLARATION</x:v>
      </x:c>
      <x:c r="C175" t="str">
        <x:v>IMPORT_DECLARATIONS</x:v>
      </x:c>
      <x:c r="D175" t="n">
        <x:v>2</x:v>
      </x:c>
      <x:c r="E175" t="str">
        <x:v>IMPORT-20783223CBMPQLD</x:v>
      </x:c>
      <x:c r="F175" t="str">
        <x:v>20783223cbmpqld</x:v>
      </x:c>
      <x:c r="G175" t="str">
        <x:v>moi|moibabyskinpowder1</x:v>
      </x:c>
      <x:c r="H175" t="str">
        <x:v>moi|moibabyskinpowder1</x:v>
      </x:c>
      <x:c r="I175" t="str">
        <x:v>moi</x:v>
      </x:c>
      <x:c r="J175" t="str">
        <x:v>congtytnhhmoicosmetics</x:v>
      </x:c>
      <x:c r="K175" t="str"/>
      <x:c r="L175" t="str"/>
      <x:c r="M175" t="str">
        <x:v>UNIQUE_BY_CBMP</x:v>
      </x:c>
      <x:c r="N175" s="321" t="n">
        <x:v>1</x:v>
      </x:c>
      <x:c r="O175" t="str">
        <x:v>M.O.I BABY SKIN POWDER #1</x:v>
      </x:c>
      <x:c r="P175" t="str">
        <x:v>M.O.I</x:v>
      </x:c>
      <x:c r="Q175" t="str">
        <x:v>207832/23/CBMP-QLD</x:v>
      </x:c>
      <x:c r="R175" t="str">
        <x:v>Import tách riêng.</x:v>
      </x:c>
    </x:row>
    <x:row r="176">
      <x:c r="A176" t="str">
        <x:v>EI-00175</x:v>
      </x:c>
      <x:c r="B176" t="str">
        <x:v>IMPORT_DECLARATION</x:v>
      </x:c>
      <x:c r="C176" t="str">
        <x:v>IMPORT_DECLARATIONS</x:v>
      </x:c>
      <x:c r="D176" t="n">
        <x:v>3</x:v>
      </x:c>
      <x:c r="E176" t="str">
        <x:v>IMPORT-22404024CBMPQLD</x:v>
      </x:c>
      <x:c r="F176" t="str">
        <x:v>22404024cbmpqld</x:v>
      </x:c>
      <x:c r="G176" t="str">
        <x:v>moi|moibabyskinpowder2</x:v>
      </x:c>
      <x:c r="H176" t="str">
        <x:v>moi|moibabyskinpowder2</x:v>
      </x:c>
      <x:c r="I176" t="str">
        <x:v>moi</x:v>
      </x:c>
      <x:c r="J176" t="str">
        <x:v>congtytnhhmoicosmetics</x:v>
      </x:c>
      <x:c r="K176" t="str"/>
      <x:c r="L176" t="str"/>
      <x:c r="M176" t="str">
        <x:v>UNIQUE_BY_CBMP</x:v>
      </x:c>
      <x:c r="N176" s="321" t="n">
        <x:v>1</x:v>
      </x:c>
      <x:c r="O176" t="str">
        <x:v>M.O.I Baby Skin Powder #2</x:v>
      </x:c>
      <x:c r="P176" t="str">
        <x:v>M.O.I</x:v>
      </x:c>
      <x:c r="Q176" t="str">
        <x:v>224040/24/CBMP-QLD</x:v>
      </x:c>
      <x:c r="R176" t="str">
        <x:v>Import tách riêng.</x:v>
      </x:c>
    </x:row>
    <x:row r="177">
      <x:c r="A177" t="str">
        <x:v>EI-00176</x:v>
      </x:c>
      <x:c r="B177" t="str">
        <x:v>IMPORT_DECLARATION</x:v>
      </x:c>
      <x:c r="C177" t="str">
        <x:v>IMPORT_DECLARATIONS</x:v>
      </x:c>
      <x:c r="D177" t="n">
        <x:v>4</x:v>
      </x:c>
      <x:c r="E177" t="str">
        <x:v>IMPORT-26102424CBMPQLD</x:v>
      </x:c>
      <x:c r="F177" t="str">
        <x:v>26102424cbmpqld</x:v>
      </x:c>
      <x:c r="G177" t="str">
        <x:v>bioderma|biodermasebiumporerefiner</x:v>
      </x:c>
      <x:c r="H177" t="str">
        <x:v>bioderma|biodermasebiumporerefiner</x:v>
      </x:c>
      <x:c r="I177" t="str">
        <x:v>bioderma</x:v>
      </x:c>
      <x:c r="J177" t="str">
        <x:v>congtytnhhminthacare</x:v>
      </x:c>
      <x:c r="K177" t="str"/>
      <x:c r="L177" t="str"/>
      <x:c r="M177" t="str">
        <x:v>UNIQUE_BY_CBMP</x:v>
      </x:c>
      <x:c r="N177" s="321" t="n">
        <x:v>1</x:v>
      </x:c>
      <x:c r="O177" t="str">
        <x:v>BIODERMA SEBIUM PORE REFINER</x:v>
      </x:c>
      <x:c r="P177" t="str">
        <x:v>BIODERMA</x:v>
      </x:c>
      <x:c r="Q177" t="str">
        <x:v>261024/24/CBMP-QLD</x:v>
      </x:c>
      <x:c r="R177" t="str">
        <x:v>Import tách riêng.</x:v>
      </x:c>
    </x:row>
    <x:row r="178">
      <x:c r="A178" t="str">
        <x:v>EI-00177</x:v>
      </x:c>
      <x:c r="B178" t="str">
        <x:v>IMPORT_DECLARATION</x:v>
      </x:c>
      <x:c r="C178" t="str">
        <x:v>IMPORT_DECLARATIONS</x:v>
      </x:c>
      <x:c r="D178" t="n">
        <x:v>5</x:v>
      </x:c>
      <x:c r="E178" t="str">
        <x:v>IMPORT-28053125CBMPQLD</x:v>
      </x:c>
      <x:c r="F178" t="str">
        <x:v>28053125cbmpqld</x:v>
      </x:c>
      <x:c r="G178" t="str">
        <x:v>bioderma|biodermasebiumsensitive</x:v>
      </x:c>
      <x:c r="H178" t="str">
        <x:v>bioderma|biodermasebiumsensitive</x:v>
      </x:c>
      <x:c r="I178" t="str">
        <x:v>bioderma</x:v>
      </x:c>
      <x:c r="J178" t="str">
        <x:v>congtytnhhminthacare</x:v>
      </x:c>
      <x:c r="K178" t="str"/>
      <x:c r="L178" t="str"/>
      <x:c r="M178" t="str">
        <x:v>UNIQUE_BY_CBMP</x:v>
      </x:c>
      <x:c r="N178" s="321" t="n">
        <x:v>1</x:v>
      </x:c>
      <x:c r="O178" t="str">
        <x:v>BIODERMA SEBIUM SENSITIVE</x:v>
      </x:c>
      <x:c r="P178" t="str">
        <x:v>BIODERMA</x:v>
      </x:c>
      <x:c r="Q178" t="str">
        <x:v>280531/25/CBMP-QLD</x:v>
      </x:c>
      <x:c r="R178" t="str">
        <x:v>Import tách riêng.</x:v>
      </x:c>
    </x:row>
    <x:row r="179">
      <x:c r="A179" t="str">
        <x:v>EI-00178</x:v>
      </x:c>
      <x:c r="B179" t="str">
        <x:v>IMPORT_DECLARATION</x:v>
      </x:c>
      <x:c r="C179" t="str">
        <x:v>IMPORT_DECLARATIONS</x:v>
      </x:c>
      <x:c r="D179" t="n">
        <x:v>6</x:v>
      </x:c>
      <x:c r="E179" t="str">
        <x:v>IMPORT-16310221CBMPQLD</x:v>
      </x:c>
      <x:c r="F179" t="str">
        <x:v>16310221cbmpqld</x:v>
      </x:c>
      <x:c r="G179" t="str">
        <x:v>bioderma|biodermasensibiodefensive</x:v>
      </x:c>
      <x:c r="H179" t="str">
        <x:v>bioderma|biodermasensibiodefensive</x:v>
      </x:c>
      <x:c r="I179" t="str">
        <x:v>bioderma</x:v>
      </x:c>
      <x:c r="J179" t="str">
        <x:v>congtytnhhminthacare</x:v>
      </x:c>
      <x:c r="K179" t="str"/>
      <x:c r="L179" t="str"/>
      <x:c r="M179" t="str">
        <x:v>UNIQUE_BY_CBMP</x:v>
      </x:c>
      <x:c r="N179" s="321" t="n">
        <x:v>1</x:v>
      </x:c>
      <x:c r="O179" t="str">
        <x:v>BIODERMA SENSIBIO DEFENSIVE</x:v>
      </x:c>
      <x:c r="P179" t="str">
        <x:v>BIODERMA</x:v>
      </x:c>
      <x:c r="Q179" t="str">
        <x:v>163102/21/CBMP-QLD</x:v>
      </x:c>
      <x:c r="R179" t="str">
        <x:v>Import tách riêng.</x:v>
      </x:c>
    </x:row>
    <x:row r="180">
      <x:c r="A180" t="str">
        <x:v>EI-00179</x:v>
      </x:c>
      <x:c r="B180" t="str">
        <x:v>IMPORT_DECLARATION</x:v>
      </x:c>
      <x:c r="C180" t="str">
        <x:v>IMPORT_DECLARATIONS</x:v>
      </x:c>
      <x:c r="D180" t="n">
        <x:v>7</x:v>
      </x:c>
      <x:c r="E180" t="str">
        <x:v>IMPORT-23946424CBMPQLD</x:v>
      </x:c>
      <x:c r="F180" t="str">
        <x:v>23946424cbmpqld</x:v>
      </x:c>
      <x:c r="G180" t="str">
        <x:v>bioderma|biodermacicabiocreme</x:v>
      </x:c>
      <x:c r="H180" t="str">
        <x:v>bioderma|biodermacicabiocreme</x:v>
      </x:c>
      <x:c r="I180" t="str">
        <x:v>bioderma</x:v>
      </x:c>
      <x:c r="J180" t="str">
        <x:v>congtytnhhminthacare</x:v>
      </x:c>
      <x:c r="K180" t="str"/>
      <x:c r="L180" t="str"/>
      <x:c r="M180" t="str">
        <x:v>UNIQUE_BY_CBMP</x:v>
      </x:c>
      <x:c r="N180" s="321" t="n">
        <x:v>1</x:v>
      </x:c>
      <x:c r="O180" t="str">
        <x:v>BIODERMA CICABIO CREME+</x:v>
      </x:c>
      <x:c r="P180" t="str">
        <x:v>BIODERMA</x:v>
      </x:c>
      <x:c r="Q180" t="str">
        <x:v>239464/24/CBMP-QLD</x:v>
      </x:c>
      <x:c r="R180" t="str">
        <x:v>Import tách riêng.</x:v>
      </x:c>
    </x:row>
    <x:row r="181">
      <x:c r="A181" t="str">
        <x:v>EI-00180</x:v>
      </x:c>
      <x:c r="B181" t="str">
        <x:v>IMPORT_DECLARATION</x:v>
      </x:c>
      <x:c r="C181" t="str">
        <x:v>IMPORT_DECLARATIONS</x:v>
      </x:c>
      <x:c r="D181" t="n">
        <x:v>8</x:v>
      </x:c>
      <x:c r="E181" t="str">
        <x:v>IMPORT-26277325CBMPQLD</x:v>
      </x:c>
      <x:c r="F181" t="str">
        <x:v>26277325cbmpqld</x:v>
      </x:c>
      <x:c r="G181" t="str">
        <x:v>nuxe|nuxehuileprodigieusemultipurposedryoil</x:v>
      </x:c>
      <x:c r="H181" t="str">
        <x:v>nuxe|nuxehuileprodigieusemultipurposedryoil</x:v>
      </x:c>
      <x:c r="I181" t="str">
        <x:v>nuxe</x:v>
      </x:c>
      <x:c r="J181" t="str">
        <x:v>congtytnhhminthacare</x:v>
      </x:c>
      <x:c r="K181" t="str"/>
      <x:c r="L181" t="str"/>
      <x:c r="M181" t="str">
        <x:v>UNIQUE_BY_CBMP</x:v>
      </x:c>
      <x:c r="N181" s="321" t="n">
        <x:v>1</x:v>
      </x:c>
      <x:c r="O181" t="str">
        <x:v>NUXE HUILE PRODIGIEUSE MULTI-PURPOSE DRY OIL</x:v>
      </x:c>
      <x:c r="P181" t="str">
        <x:v>NUXE</x:v>
      </x:c>
      <x:c r="Q181" t="str">
        <x:v>262773/25/CBMP-QLD</x:v>
      </x:c>
      <x:c r="R181" t="str">
        <x:v>Import tách riêng.</x:v>
      </x:c>
    </x:row>
    <x:row r="182">
      <x:c r="A182" t="str">
        <x:v>EI-00181</x:v>
      </x:c>
      <x:c r="B182" t="str">
        <x:v>IMPORT_DECLARATION</x:v>
      </x:c>
      <x:c r="C182" t="str">
        <x:v>IMPORT_DECLARATIONS</x:v>
      </x:c>
      <x:c r="D182" t="n">
        <x:v>9</x:v>
      </x:c>
      <x:c r="E182" t="str">
        <x:v>IMPORT-21614123CBMPQLD</x:v>
      </x:c>
      <x:c r="F182" t="str">
        <x:v>21614123cbmpqld</x:v>
      </x:c>
      <x:c r="G182" t="str">
        <x:v>nuxe|nuxehuileprodigieusefloralemultipurposedryoil</x:v>
      </x:c>
      <x:c r="H182" t="str">
        <x:v>nuxe|nuxehuileprodigieusefloralemultipurposedryoil</x:v>
      </x:c>
      <x:c r="I182" t="str">
        <x:v>nuxe</x:v>
      </x:c>
      <x:c r="J182" t="str">
        <x:v>congtytnhhminthacare</x:v>
      </x:c>
      <x:c r="K182" t="str"/>
      <x:c r="L182" t="str"/>
      <x:c r="M182" t="str">
        <x:v>UNIQUE_BY_CBMP</x:v>
      </x:c>
      <x:c r="N182" s="321" t="n">
        <x:v>1</x:v>
      </x:c>
      <x:c r="O182" t="str">
        <x:v>NUXE HUILE PRODIGIEUSE FLORALE MULTI-PURPOSE DRY OIL</x:v>
      </x:c>
      <x:c r="P182" t="str">
        <x:v>NUXE</x:v>
      </x:c>
      <x:c r="Q182" t="str">
        <x:v>216141/23/CBMP-QLD</x:v>
      </x:c>
      <x:c r="R182" t="str">
        <x:v>Import tách riêng.</x:v>
      </x:c>
    </x:row>
    <x:row r="183">
      <x:c r="A183" t="str">
        <x:v>EI-00182</x:v>
      </x:c>
      <x:c r="B183" t="str">
        <x:v>IMPORT_DECLARATION</x:v>
      </x:c>
      <x:c r="C183" t="str">
        <x:v>IMPORT_DECLARATIONS</x:v>
      </x:c>
      <x:c r="D183" t="n">
        <x:v>10</x:v>
      </x:c>
      <x:c r="E183" t="str">
        <x:v>IMPORT-30629326CBMPQLD</x:v>
      </x:c>
      <x:c r="F183" t="str">
        <x:v>30629326cbmpqld</x:v>
      </x:c>
      <x:c r="G183" t="str">
        <x:v>nuxe|nuxehuileprodigieuseormultipurposedryoil</x:v>
      </x:c>
      <x:c r="H183" t="str">
        <x:v>nuxe|nuxehuileprodigieuseormultipurposedryoil</x:v>
      </x:c>
      <x:c r="I183" t="str">
        <x:v>nuxe</x:v>
      </x:c>
      <x:c r="J183" t="str">
        <x:v>congtytnhhminthacare</x:v>
      </x:c>
      <x:c r="K183" t="str"/>
      <x:c r="L183" t="str"/>
      <x:c r="M183" t="str">
        <x:v>UNIQUE_BY_CBMP</x:v>
      </x:c>
      <x:c r="N183" s="321" t="n">
        <x:v>1</x:v>
      </x:c>
      <x:c r="O183" t="str">
        <x:v>NUXE HUILE PRODIGIEUSE OR MULTI-PURPOSE DRY OIL</x:v>
      </x:c>
      <x:c r="P183" t="str">
        <x:v>NUXE</x:v>
      </x:c>
      <x:c r="Q183" t="str">
        <x:v>306293/26/CBMP-QLD</x:v>
      </x:c>
      <x:c r="R183" t="str">
        <x:v>Import tách riêng.</x:v>
      </x:c>
    </x:row>
    <x:row r="184">
      <x:c r="A184" t="str">
        <x:v>EI-00183</x:v>
      </x:c>
      <x:c r="B184" t="str">
        <x:v>IMPORT_DECLARATION</x:v>
      </x:c>
      <x:c r="C184" t="str">
        <x:v>IMPORT_DECLARATIONS</x:v>
      </x:c>
      <x:c r="D184" t="n">
        <x:v>11</x:v>
      </x:c>
      <x:c r="E184" t="str">
        <x:v>IMPORT-22468024CBMPQLD</x:v>
      </x:c>
      <x:c r="F184" t="str">
        <x:v>22468024cbmpqld</x:v>
      </x:c>
      <x:c r="G184" t="str">
        <x:v>nuxe|nuxehuileprodigieuseorfloralemultipurposedryoil</x:v>
      </x:c>
      <x:c r="H184" t="str">
        <x:v>nuxe|nuxehuileprodigieuseorfloralemultipurposedryoil</x:v>
      </x:c>
      <x:c r="I184" t="str">
        <x:v>nuxe</x:v>
      </x:c>
      <x:c r="J184" t="str">
        <x:v>congtytnhhminthacare</x:v>
      </x:c>
      <x:c r="K184" t="str"/>
      <x:c r="L184" t="str"/>
      <x:c r="M184" t="str">
        <x:v>UNIQUE_BY_CBMP</x:v>
      </x:c>
      <x:c r="N184" s="321" t="n">
        <x:v>1</x:v>
      </x:c>
      <x:c r="O184" t="str">
        <x:v>NUXE HUILE PRODIGIEUSE OR FLORALE MULTI-PURPOSE DRY OIL</x:v>
      </x:c>
      <x:c r="P184" t="str">
        <x:v>NUXE</x:v>
      </x:c>
      <x:c r="Q184" t="str">
        <x:v>224680/24/CBMP-QLD</x:v>
      </x:c>
      <x:c r="R184" t="str">
        <x:v>Import tách riêng.</x:v>
      </x:c>
    </x:row>
    <x:row r="185">
      <x:c r="A185"/>
      <x:c r="B185"/>
      <x:c r="C185"/>
      <x:c r="D185"/>
      <x:c r="E185"/>
      <x:c r="F185"/>
      <x:c r="G185"/>
      <x:c r="H185"/>
      <x:c r="I185"/>
      <x:c r="J185"/>
      <x:c r="K185"/>
      <x:c r="L185"/>
      <x:c r="M185"/>
      <x:c r="N185" s="321"/>
      <x:c r="O185"/>
      <x:c r="P185"/>
      <x:c r="Q185"/>
      <x:c r="R185"/>
    </x:row>
    <x:row r="186">
      <x:c r="A186"/>
      <x:c r="B186"/>
      <x:c r="C186"/>
      <x:c r="D186"/>
      <x:c r="E186"/>
      <x:c r="F186"/>
      <x:c r="G186"/>
      <x:c r="H186"/>
      <x:c r="I186"/>
      <x:c r="J186"/>
      <x:c r="K186"/>
      <x:c r="L186"/>
      <x:c r="M186"/>
      <x:c r="N186" s="321"/>
      <x:c r="O186"/>
      <x:c r="P186"/>
      <x:c r="Q186"/>
      <x:c r="R186"/>
    </x:row>
    <x:row r="187">
      <x:c r="N187" s="321"/>
    </x:row>
    <x:row r="188">
      <x:c r="N188" s="321"/>
    </x:row>
    <x:row r="189">
      <x:c r="N189" s="321"/>
    </x:row>
    <x:row r="190">
      <x:c r="N190" s="321"/>
    </x:row>
    <x:row r="191">
      <x:c r="N191" s="321"/>
    </x:row>
    <x:row r="192">
      <x:c r="N192" s="321"/>
    </x:row>
    <x:row r="193">
      <x:c r="N193" s="321"/>
    </x:row>
    <x:row r="194">
      <x:c r="N194" s="321"/>
    </x:row>
    <x:row r="195">
      <x:c r="N195" s="321"/>
    </x:row>
    <x:row r="196">
      <x:c r="N196" s="321"/>
    </x:row>
    <x:row r="197">
      <x:c r="N197" s="321"/>
    </x:row>
    <x:row r="198">
      <x:c r="N198" s="321"/>
    </x:row>
    <x:row r="199">
      <x:c r="N199" s="321"/>
    </x:row>
    <x:row r="200">
      <x:c r="N200" s="321"/>
    </x:row>
    <x:row r="201">
      <x:c r="N201" s="321"/>
    </x:row>
    <x:row r="202">
      <x:c r="N202" s="321"/>
    </x:row>
    <x:row r="203">
      <x:c r="N203" s="321"/>
    </x:row>
    <x:row r="204">
      <x:c r="N204" s="321"/>
    </x:row>
    <x:row r="205">
      <x:c r="N205" s="321"/>
    </x:row>
    <x:row r="206">
      <x:c r="N206" s="321"/>
    </x:row>
    <x:row r="207">
      <x:c r="N207" s="321"/>
    </x:row>
    <x:row r="208">
      <x:c r="N208" s="321"/>
    </x:row>
    <x:row r="209">
      <x:c r="N209" s="321"/>
    </x:row>
    <x:row r="210">
      <x:c r="N210" s="321"/>
    </x:row>
    <x:row r="211">
      <x:c r="N211" s="321"/>
    </x:row>
    <x:row r="212">
      <x:c r="N212" s="321"/>
    </x:row>
    <x:row r="213">
      <x:c r="N213" s="321"/>
    </x:row>
    <x:row r="214">
      <x:c r="N214" s="321"/>
    </x:row>
    <x:row r="215">
      <x:c r="N215" s="321"/>
    </x:row>
    <x:row r="216">
      <x:c r="N216" s="321"/>
    </x:row>
    <x:row r="217">
      <x:c r="N217" s="321"/>
    </x:row>
    <x:row r="218">
      <x:c r="N218" s="321"/>
    </x:row>
    <x:row r="219">
      <x:c r="N219" s="321"/>
    </x:row>
    <x:row r="220">
      <x:c r="N220" s="321"/>
    </x:row>
    <x:row r="221">
      <x:c r="N221" s="321"/>
    </x:row>
    <x:row r="222">
      <x:c r="N222" s="321"/>
    </x:row>
    <x:row r="223">
      <x:c r="N223" s="321"/>
    </x:row>
    <x:row r="224">
      <x:c r="N224" s="321"/>
    </x:row>
    <x:row r="225">
      <x:c r="N225" s="321"/>
    </x:row>
    <x:row r="226">
      <x:c r="N226" s="321"/>
    </x:row>
    <x:row r="227">
      <x:c r="N227" s="321"/>
    </x:row>
    <x:row r="228">
      <x:c r="N228" s="321"/>
    </x:row>
    <x:row r="229">
      <x:c r="N229" s="321"/>
    </x:row>
    <x:row r="230">
      <x:c r="N230" s="321"/>
    </x:row>
    <x:row r="231">
      <x:c r="N231" s="321"/>
    </x:row>
    <x:row r="232">
      <x:c r="N232" s="321"/>
    </x:row>
    <x:row r="233">
      <x:c r="N233" s="321"/>
    </x:row>
    <x:row r="234">
      <x:c r="N234" s="321"/>
    </x:row>
    <x:row r="235">
      <x:c r="N235" s="321"/>
    </x:row>
    <x:row r="236">
      <x:c r="N236" s="321"/>
    </x:row>
    <x:row r="237">
      <x:c r="N237" s="321"/>
    </x:row>
    <x:row r="238">
      <x:c r="N238" s="321"/>
    </x:row>
    <x:row r="239">
      <x:c r="N239" s="321"/>
    </x:row>
    <x:row r="240">
      <x:c r="N240" s="321"/>
    </x:row>
    <x:row r="241">
      <x:c r="N241" s="321"/>
    </x:row>
    <x:row r="242">
      <x:c r="N242" s="321"/>
    </x:row>
    <x:row r="243">
      <x:c r="N243" s="321"/>
    </x:row>
    <x:row r="244">
      <x:c r="N244" s="321"/>
    </x:row>
    <x:row r="245">
      <x:c r="N245" s="321"/>
    </x:row>
    <x:row r="246">
      <x:c r="N246" s="321"/>
    </x:row>
    <x:row r="247">
      <x:c r="N247" s="321"/>
    </x:row>
    <x:row r="248">
      <x:c r="N248" s="321"/>
    </x:row>
    <x:row r="249">
      <x:c r="N249" s="321"/>
    </x:row>
    <x:row r="250">
      <x:c r="N250" s="321"/>
    </x:row>
    <x:row r="251">
      <x:c r="N251" s="321"/>
    </x:row>
    <x:row r="252">
      <x:c r="N252" s="321"/>
    </x:row>
    <x:row r="253">
      <x:c r="N253" s="321"/>
    </x:row>
    <x:row r="254">
      <x:c r="N254" s="321"/>
    </x:row>
    <x:row r="255">
      <x:c r="N255" s="321"/>
    </x:row>
    <x:row r="256">
      <x:c r="N256" s="321"/>
    </x:row>
    <x:row r="257">
      <x:c r="N257" s="321"/>
    </x:row>
    <x:row r="258">
      <x:c r="N258" s="321"/>
    </x:row>
    <x:row r="259">
      <x:c r="N259" s="321"/>
    </x:row>
    <x:row r="260">
      <x:c r="N260" s="321"/>
    </x:row>
    <x:row r="261">
      <x:c r="N261" s="321"/>
    </x:row>
    <x:row r="262">
      <x:c r="N262" s="321"/>
    </x:row>
    <x:row r="263">
      <x:c r="N263" s="321"/>
    </x:row>
    <x:row r="264">
      <x:c r="N264" s="321"/>
    </x:row>
    <x:row r="265">
      <x:c r="N265" s="321"/>
    </x:row>
    <x:row r="266">
      <x:c r="N266" s="321"/>
    </x:row>
    <x:row r="267">
      <x:c r="N267" s="321"/>
    </x:row>
    <x:row r="268">
      <x:c r="N268" s="321"/>
    </x:row>
    <x:row r="269">
      <x:c r="N269" s="321"/>
    </x:row>
    <x:row r="270">
      <x:c r="N270" s="321"/>
    </x:row>
    <x:row r="271">
      <x:c r="N271" s="321"/>
    </x:row>
    <x:row r="272">
      <x:c r="N272" s="321"/>
    </x:row>
    <x:row r="273">
      <x:c r="N273" s="321"/>
    </x:row>
    <x:row r="274">
      <x:c r="N274" s="321"/>
    </x:row>
    <x:row r="275">
      <x:c r="N275" s="321"/>
    </x:row>
    <x:row r="276">
      <x:c r="N276" s="321"/>
    </x:row>
    <x:row r="277">
      <x:c r="N277" s="321"/>
    </x:row>
    <x:row r="278">
      <x:c r="N278" s="321"/>
    </x:row>
    <x:row r="279">
      <x:c r="N279" s="321"/>
    </x:row>
    <x:row r="280">
      <x:c r="N280" s="321"/>
    </x:row>
    <x:row r="281">
      <x:c r="N281" s="321"/>
    </x:row>
    <x:row r="282">
      <x:c r="N282" s="321"/>
    </x:row>
    <x:row r="283">
      <x:c r="N283" s="321"/>
    </x:row>
    <x:row r="284">
      <x:c r="N284" s="321"/>
    </x:row>
    <x:row r="285">
      <x:c r="N285" s="321"/>
    </x:row>
    <x:row r="286">
      <x:c r="N286" s="321"/>
    </x:row>
    <x:row r="287">
      <x:c r="N287" s="321"/>
    </x:row>
    <x:row r="288">
      <x:c r="N288" s="321"/>
    </x:row>
    <x:row r="289">
      <x:c r="N289" s="321"/>
    </x:row>
    <x:row r="290">
      <x:c r="N290" s="321"/>
    </x:row>
    <x:row r="291">
      <x:c r="N291" s="321"/>
    </x:row>
    <x:row r="292">
      <x:c r="N292" s="321"/>
    </x:row>
    <x:row r="293">
      <x:c r="N293" s="321"/>
    </x:row>
    <x:row r="294">
      <x:c r="N294" s="321"/>
    </x:row>
    <x:row r="295">
      <x:c r="N295" s="321"/>
    </x:row>
    <x:row r="296">
      <x:c r="N296" s="321"/>
    </x:row>
    <x:row r="297">
      <x:c r="N297" s="321"/>
    </x:row>
    <x:row r="298">
      <x:c r="N298" s="321"/>
    </x:row>
    <x:row r="299">
      <x:c r="N299" s="321"/>
    </x:row>
    <x:row r="300">
      <x:c r="N300" s="321"/>
    </x:row>
    <x:row r="301">
      <x:c r="N301" s="321"/>
    </x:row>
    <x:row r="302">
      <x:c r="N302" s="321"/>
    </x:row>
    <x:row r="303">
      <x:c r="N303" s="321"/>
    </x:row>
    <x:row r="304">
      <x:c r="N304" s="321"/>
    </x:row>
    <x:row r="305">
      <x:c r="N305" s="321"/>
    </x:row>
    <x:row r="306">
      <x:c r="N306" s="321"/>
    </x:row>
    <x:row r="307">
      <x:c r="N307" s="321"/>
    </x:row>
    <x:row r="308">
      <x:c r="N308" s="321"/>
    </x:row>
    <x:row r="309">
      <x:c r="N309" s="321"/>
    </x:row>
    <x:row r="310">
      <x:c r="N310" s="321"/>
    </x:row>
    <x:row r="311">
      <x:c r="N311" s="321"/>
    </x:row>
    <x:row r="312">
      <x:c r="N312" s="321"/>
    </x:row>
    <x:row r="313">
      <x:c r="N313" s="321"/>
    </x:row>
    <x:row r="314">
      <x:c r="N314" s="321"/>
    </x:row>
    <x:row r="315">
      <x:c r="N315" s="321"/>
    </x:row>
    <x:row r="316">
      <x:c r="N316" s="321"/>
    </x:row>
    <x:row r="317">
      <x:c r="N317" s="321"/>
    </x:row>
    <x:row r="318">
      <x:c r="N318" s="321"/>
    </x:row>
    <x:row r="319">
      <x:c r="N319" s="321"/>
    </x:row>
    <x:row r="320">
      <x:c r="N320" s="321"/>
    </x:row>
    <x:row r="321">
      <x:c r="N321" s="321"/>
    </x:row>
    <x:row r="322">
      <x:c r="N322" s="321"/>
    </x:row>
    <x:row r="323">
      <x:c r="N323" s="321"/>
    </x:row>
    <x:row r="324">
      <x:c r="N324" s="321"/>
    </x:row>
    <x:row r="325">
      <x:c r="N325" s="321"/>
    </x:row>
    <x:row r="326">
      <x:c r="N326" s="321"/>
    </x:row>
    <x:row r="327">
      <x:c r="N327" s="321"/>
    </x:row>
    <x:row r="328">
      <x:c r="N328" s="321"/>
    </x:row>
    <x:row r="329">
      <x:c r="N329" s="321"/>
    </x:row>
    <x:row r="330">
      <x:c r="N330" s="321"/>
    </x:row>
    <x:row r="331">
      <x:c r="N331" s="321"/>
    </x:row>
    <x:row r="332">
      <x:c r="N332" s="321"/>
    </x:row>
    <x:row r="333">
      <x:c r="N333" s="321"/>
    </x:row>
    <x:row r="334">
      <x:c r="N334" s="321"/>
    </x:row>
    <x:row r="335">
      <x:c r="N335" s="321"/>
    </x:row>
    <x:row r="336">
      <x:c r="N336" s="321"/>
    </x:row>
    <x:row r="337">
      <x:c r="N337" s="321"/>
    </x:row>
    <x:row r="338">
      <x:c r="N338" s="321"/>
    </x:row>
    <x:row r="339">
      <x:c r="N339" s="321"/>
    </x:row>
    <x:row r="340">
      <x:c r="N340" s="321"/>
    </x:row>
    <x:row r="341">
      <x:c r="N341" s="321"/>
    </x:row>
    <x:row r="342">
      <x:c r="N342" s="321"/>
    </x:row>
    <x:row r="343">
      <x:c r="N343" s="321"/>
    </x:row>
    <x:row r="344">
      <x:c r="N344" s="321"/>
    </x:row>
    <x:row r="345">
      <x:c r="N345" s="321"/>
    </x:row>
    <x:row r="346">
      <x:c r="N346" s="321"/>
    </x:row>
    <x:row r="347">
      <x:c r="N347" s="321"/>
    </x:row>
    <x:row r="348">
      <x:c r="N348" s="321"/>
    </x:row>
    <x:row r="349">
      <x:c r="N349" s="321"/>
    </x:row>
    <x:row r="350">
      <x:c r="N350" s="321"/>
    </x:row>
    <x:row r="351">
      <x:c r="N351" s="321"/>
    </x:row>
    <x:row r="352">
      <x:c r="N352" s="321"/>
    </x:row>
    <x:row r="353">
      <x:c r="N353" s="321"/>
    </x:row>
    <x:row r="354">
      <x:c r="N354" s="321"/>
    </x:row>
    <x:row r="355">
      <x:c r="N355" s="321"/>
    </x:row>
    <x:row r="356">
      <x:c r="N356" s="321"/>
    </x:row>
    <x:row r="357">
      <x:c r="N357" s="321"/>
    </x:row>
    <x:row r="358">
      <x:c r="N358" s="321"/>
    </x:row>
    <x:row r="359">
      <x:c r="N359" s="321"/>
    </x:row>
    <x:row r="360">
      <x:c r="N360" s="321"/>
    </x:row>
    <x:row r="361">
      <x:c r="N361" s="321"/>
    </x:row>
    <x:row r="362">
      <x:c r="N362" s="321"/>
    </x:row>
    <x:row r="363">
      <x:c r="N363" s="321"/>
    </x:row>
    <x:row r="364">
      <x:c r="N364" s="321"/>
    </x:row>
    <x:row r="365">
      <x:c r="N365" s="321"/>
    </x:row>
    <x:row r="366">
      <x:c r="N366" s="321"/>
    </x:row>
    <x:row r="367">
      <x:c r="N367" s="321"/>
    </x:row>
    <x:row r="368">
      <x:c r="N368" s="321"/>
    </x:row>
    <x:row r="369">
      <x:c r="N369" s="321"/>
    </x:row>
    <x:row r="370">
      <x:c r="N370" s="321"/>
    </x:row>
    <x:row r="371">
      <x:c r="N371" s="321"/>
    </x:row>
    <x:row r="372">
      <x:c r="N372" s="321"/>
    </x:row>
    <x:row r="373">
      <x:c r="N373" s="321"/>
    </x:row>
    <x:row r="374">
      <x:c r="N374" s="321"/>
    </x:row>
    <x:row r="375">
      <x:c r="N375" s="321"/>
    </x:row>
    <x:row r="376">
      <x:c r="N376" s="321"/>
    </x:row>
    <x:row r="377">
      <x:c r="N377" s="321"/>
    </x:row>
    <x:row r="378">
      <x:c r="N378" s="321"/>
    </x:row>
    <x:row r="379">
      <x:c r="N379" s="321"/>
    </x:row>
    <x:row r="380">
      <x:c r="N380" s="321"/>
    </x:row>
    <x:row r="381">
      <x:c r="N381" s="321"/>
    </x:row>
    <x:row r="382">
      <x:c r="N382" s="321"/>
    </x:row>
    <x:row r="383">
      <x:c r="N383" s="321"/>
    </x:row>
    <x:row r="384">
      <x:c r="N384" s="321"/>
    </x:row>
    <x:row r="385">
      <x:c r="N385" s="321"/>
    </x:row>
    <x:row r="386">
      <x:c r="N386" s="321"/>
    </x:row>
    <x:row r="387">
      <x:c r="N387" s="321"/>
    </x:row>
    <x:row r="388">
      <x:c r="N388" s="321"/>
    </x:row>
    <x:row r="389">
      <x:c r="N389" s="321"/>
    </x:row>
    <x:row r="390">
      <x:c r="N390" s="321"/>
    </x:row>
    <x:row r="391">
      <x:c r="N391" s="321"/>
    </x:row>
    <x:row r="392">
      <x:c r="N392" s="321"/>
    </x:row>
    <x:row r="393">
      <x:c r="N393" s="321"/>
    </x:row>
    <x:row r="394">
      <x:c r="N394" s="321"/>
    </x:row>
    <x:row r="395">
      <x:c r="N395" s="321"/>
    </x:row>
    <x:row r="396">
      <x:c r="N396" s="321"/>
    </x:row>
    <x:row r="397">
      <x:c r="N397" s="321"/>
    </x:row>
    <x:row r="398">
      <x:c r="N398" s="321"/>
    </x:row>
    <x:row r="399">
      <x:c r="N399" s="321"/>
    </x:row>
    <x:row r="400">
      <x:c r="N400" s="321"/>
    </x:row>
    <x:row r="401">
      <x:c r="N401" s="321"/>
    </x:row>
    <x:row r="402">
      <x:c r="N402" s="321"/>
    </x:row>
    <x:row r="403">
      <x:c r="N403" s="321"/>
    </x:row>
    <x:row r="404">
      <x:c r="N404" s="321"/>
    </x:row>
    <x:row r="405">
      <x:c r="N405" s="321"/>
    </x:row>
    <x:row r="406">
      <x:c r="N406" s="321"/>
    </x:row>
    <x:row r="407">
      <x:c r="N407" s="321"/>
    </x:row>
    <x:row r="408">
      <x:c r="N408" s="321"/>
    </x:row>
    <x:row r="409">
      <x:c r="N409" s="321"/>
    </x:row>
    <x:row r="410">
      <x:c r="N410" s="321"/>
    </x:row>
    <x:row r="411">
      <x:c r="N411" s="321"/>
    </x:row>
    <x:row r="412">
      <x:c r="N412" s="321"/>
    </x:row>
    <x:row r="413">
      <x:c r="N413" s="321"/>
    </x:row>
    <x:row r="414">
      <x:c r="N414" s="321"/>
    </x:row>
    <x:row r="415">
      <x:c r="N415" s="321"/>
    </x:row>
    <x:row r="416">
      <x:c r="N416" s="321"/>
    </x:row>
    <x:row r="417">
      <x:c r="N417" s="321"/>
    </x:row>
    <x:row r="418">
      <x:c r="N418" s="321"/>
    </x:row>
    <x:row r="419">
      <x:c r="N419" s="321"/>
    </x:row>
    <x:row r="420">
      <x:c r="N420" s="321"/>
    </x:row>
    <x:row r="421">
      <x:c r="N421" s="321"/>
    </x:row>
    <x:row r="422">
      <x:c r="N422" s="321"/>
    </x:row>
    <x:row r="423">
      <x:c r="N423" s="321"/>
    </x:row>
    <x:row r="424">
      <x:c r="N424" s="321"/>
    </x:row>
    <x:row r="425">
      <x:c r="N425" s="321"/>
    </x:row>
    <x:row r="426">
      <x:c r="N426" s="321"/>
    </x:row>
    <x:row r="427">
      <x:c r="N427" s="321"/>
    </x:row>
    <x:row r="428">
      <x:c r="N428" s="321"/>
    </x:row>
    <x:row r="429">
      <x:c r="N429" s="321"/>
    </x:row>
    <x:row r="430">
      <x:c r="N430" s="321"/>
    </x:row>
    <x:row r="431">
      <x:c r="N431" s="321"/>
    </x:row>
    <x:row r="432">
      <x:c r="N432" s="321"/>
    </x:row>
    <x:row r="433">
      <x:c r="N433" s="321"/>
    </x:row>
    <x:row r="434">
      <x:c r="N434" s="321"/>
    </x:row>
    <x:row r="435">
      <x:c r="N435" s="321"/>
    </x:row>
    <x:row r="436">
      <x:c r="N436" s="321"/>
    </x:row>
    <x:row r="437">
      <x:c r="N437" s="321"/>
    </x:row>
    <x:row r="438">
      <x:c r="N438" s="321"/>
    </x:row>
    <x:row r="439">
      <x:c r="N439" s="321"/>
    </x:row>
    <x:row r="440">
      <x:c r="N440" s="321"/>
    </x:row>
    <x:row r="441">
      <x:c r="N441" s="321"/>
    </x:row>
    <x:row r="442">
      <x:c r="N442" s="321"/>
    </x:row>
    <x:row r="443">
      <x:c r="N443" s="321"/>
    </x:row>
    <x:row r="444">
      <x:c r="N444" s="321"/>
    </x:row>
    <x:row r="445">
      <x:c r="N445" s="321"/>
    </x:row>
    <x:row r="446">
      <x:c r="N446" s="321"/>
    </x:row>
    <x:row r="447">
      <x:c r="N447" s="321"/>
    </x:row>
    <x:row r="448">
      <x:c r="N448" s="321"/>
    </x:row>
    <x:row r="449">
      <x:c r="N449" s="321"/>
    </x:row>
    <x:row r="450">
      <x:c r="N450" s="321"/>
    </x:row>
    <x:row r="451">
      <x:c r="N451" s="321"/>
    </x:row>
    <x:row r="452">
      <x:c r="N452" s="321"/>
    </x:row>
    <x:row r="453">
      <x:c r="N453" s="321"/>
    </x:row>
    <x:row r="454">
      <x:c r="N454" s="321"/>
    </x:row>
    <x:row r="455">
      <x:c r="N455" s="321"/>
    </x:row>
    <x:row r="456">
      <x:c r="N456" s="321"/>
    </x:row>
    <x:row r="457">
      <x:c r="N457" s="321"/>
    </x:row>
    <x:row r="458">
      <x:c r="N458" s="321"/>
    </x:row>
    <x:row r="459">
      <x:c r="N459" s="321"/>
    </x:row>
    <x:row r="460">
      <x:c r="N460" s="321"/>
    </x:row>
    <x:row r="461">
      <x:c r="N461" s="321"/>
    </x:row>
    <x:row r="462">
      <x:c r="N462" s="321"/>
    </x:row>
    <x:row r="463">
      <x:c r="N463" s="321"/>
    </x:row>
    <x:row r="464">
      <x:c r="N464" s="321"/>
    </x:row>
    <x:row r="465">
      <x:c r="N465" s="321"/>
    </x:row>
    <x:row r="466">
      <x:c r="N466" s="321"/>
    </x:row>
    <x:row r="467">
      <x:c r="N467" s="321"/>
    </x:row>
    <x:row r="468">
      <x:c r="N468" s="321"/>
    </x:row>
    <x:row r="469">
      <x:c r="N469" s="321"/>
    </x:row>
    <x:row r="470">
      <x:c r="N470" s="321"/>
    </x:row>
    <x:row r="471">
      <x:c r="N471" s="321"/>
    </x:row>
    <x:row r="472">
      <x:c r="N472" s="321"/>
    </x:row>
    <x:row r="473">
      <x:c r="N473" s="321"/>
    </x:row>
    <x:row r="474">
      <x:c r="N474" s="321"/>
    </x:row>
    <x:row r="475">
      <x:c r="N475" s="321"/>
    </x:row>
    <x:row r="476">
      <x:c r="N476" s="321"/>
    </x:row>
    <x:row r="477">
      <x:c r="N477" s="321"/>
    </x:row>
    <x:row r="478">
      <x:c r="N478" s="321"/>
    </x:row>
    <x:row r="479">
      <x:c r="N479" s="321"/>
    </x:row>
    <x:row r="480">
      <x:c r="N480" s="321"/>
    </x:row>
    <x:row r="481">
      <x:c r="N481" s="321"/>
    </x:row>
    <x:row r="482">
      <x:c r="N482" s="321"/>
    </x:row>
    <x:row r="483">
      <x:c r="N483" s="321"/>
    </x:row>
    <x:row r="484">
      <x:c r="N484" s="321"/>
    </x:row>
    <x:row r="485">
      <x:c r="N485" s="321"/>
    </x:row>
    <x:row r="486">
      <x:c r="N486" s="321"/>
    </x:row>
    <x:row r="487">
      <x:c r="N487" s="321"/>
    </x:row>
    <x:row r="488">
      <x:c r="N488" s="321"/>
    </x:row>
    <x:row r="489">
      <x:c r="N489" s="321"/>
    </x:row>
    <x:row r="490">
      <x:c r="N490" s="321"/>
    </x:row>
    <x:row r="491">
      <x:c r="N491" s="321"/>
    </x:row>
    <x:row r="492">
      <x:c r="N492" s="321"/>
    </x:row>
    <x:row r="493">
      <x:c r="N493" s="321"/>
    </x:row>
    <x:row r="494">
      <x:c r="N494" s="321"/>
    </x:row>
    <x:row r="495">
      <x:c r="N495" s="321"/>
    </x:row>
    <x:row r="496">
      <x:c r="N496" s="321"/>
    </x:row>
    <x:row r="497">
      <x:c r="N497" s="321"/>
    </x:row>
    <x:row r="498">
      <x:c r="N498" s="321"/>
    </x:row>
    <x:row r="499">
      <x:c r="N499" s="321"/>
    </x:row>
    <x:row r="500">
      <x:c r="N500" s="321"/>
    </x:row>
  </x:sheetData>
  <x:pageMargins left="0.7" right="0.7" top="0.75" bottom="0.75" header="0.3" footer="0.3"/>
</x:worksheet>
</file>

<file path=xl/worksheets/sheet58.xml><?xml version="1.0" encoding="utf-8"?>
<x:worksheet xmlns:x="http://schemas.openxmlformats.org/spreadsheetml/2006/main">
  <x:sheetFormatPr baseColWidth="8" defaultRowHeight="15"/>
  <x:cols>
    <x:col min="1" max="1" width="18" style="91" customWidth="1"/>
    <x:col min="2" max="2" width="14" style="91" customWidth="1"/>
    <x:col min="3" max="3" width="20" style="91" customWidth="1"/>
    <x:col min="4" max="4" width="20" style="91" customWidth="1"/>
    <x:col min="5" max="5" width="22" style="91" customWidth="1"/>
    <x:col min="6" max="6" width="22" style="91" customWidth="1"/>
    <x:col min="7" max="7" width="20" style="91" customWidth="1"/>
    <x:col min="8" max="8" width="48" style="91" customWidth="1"/>
    <x:col min="9" max="9" width="44" style="91" customWidth="1"/>
    <x:col min="10" max="10" width="44" style="91" customWidth="1"/>
    <x:col min="11" max="11" width="22" style="91" customWidth="1"/>
    <x:col min="12" max="12" width="46" style="91" customWidth="1"/>
    <x:col min="13" max="13" width="16" style="91" customWidth="1"/>
    <x:col min="14" max="14" width="24" style="91" customWidth="1"/>
    <x:col min="15" max="15" width="24" style="91" customWidth="1"/>
    <x:col min="16" max="16" width="28" style="91" customWidth="1"/>
    <x:col min="17" max="17" width="18" style="91" customWidth="1"/>
    <x:col min="18" max="18" width="78" style="91" customWidth="1"/>
    <x:col min="19" max="19" width="58" style="91" customWidth="1"/>
  </x:cols>
  <x:sheetData>
    <x:row r="1" s="91" customFormat="1" ht="48" customHeight="1">
      <x:c r="A1" s="282" t="inlineStr">
        <x:is>
          <x:t xml:space="preserve">Channel Listing ID</x:t>
        </x:is>
      </x:c>
      <x:c r="B1" s="282" t="inlineStr">
        <x:is>
          <x:t xml:space="preserve">Ngày kiểm tra</x:t>
        </x:is>
      </x:c>
      <x:c r="C1" s="282" t="inlineStr">
        <x:is>
          <x:t xml:space="preserve">Chuỗi</x:t>
        </x:is>
      </x:c>
      <x:c r="D1" s="282" t="inlineStr">
        <x:is>
          <x:t xml:space="preserve">Loại điểm bán</x:t>
        </x:is>
      </x:c>
      <x:c r="E1" s="282" t="inlineStr">
        <x:is>
          <x:t xml:space="preserve">Khu vực</x:t>
        </x:is>
      </x:c>
      <x:c r="F1" s="282" t="inlineStr">
        <x:is>
          <x:t xml:space="preserve">Evidence Level</x:t>
        </x:is>
      </x:c>
      <x:c r="G1" s="282" t="inlineStr">
        <x:is>
          <x:t xml:space="preserve">Brand</x:t>
        </x:is>
      </x:c>
      <x:c r="H1" s="282" t="inlineStr">
        <x:is>
          <x:t xml:space="preserve">Sản phẩm/SKU</x:t>
        </x:is>
      </x:c>
      <x:c r="I1" s="282" t="inlineStr">
        <x:is>
          <x:t xml:space="preserve">Product Entity Key</x:t>
        </x:is>
      </x:c>
      <x:c r="J1" s="282" t="inlineStr">
        <x:is>
          <x:t xml:space="preserve">Variant Key</x:t>
        </x:is>
      </x:c>
      <x:c r="K1" s="282" t="inlineStr">
        <x:is>
          <x:t xml:space="preserve">Nhóm</x:t>
        </x:is>
      </x:c>
      <x:c r="L1" s="282" t="inlineStr">
        <x:is>
          <x:t xml:space="preserve">Store/Category Signal</x:t>
        </x:is>
      </x:c>
      <x:c r="M1" s="282" t="inlineStr">
        <x:is>
          <x:t xml:space="preserve">Số lượng hiển thị</x:t>
        </x:is>
      </x:c>
      <x:c r="N1" s="282" t="inlineStr">
        <x:is>
          <x:t xml:space="preserve">Legal ID</x:t>
        </x:is>
      </x:c>
      <x:c r="O1" s="282" t="inlineStr">
        <x:is>
          <x:t xml:space="preserve">Số CBMP</x:t>
        </x:is>
      </x:c>
      <x:c r="P1" s="282" t="inlineStr">
        <x:is>
          <x:t xml:space="preserve">Legal Search Status</x:t>
        </x:is>
      </x:c>
      <x:c r="Q1" s="282" t="inlineStr">
        <x:is>
          <x:t xml:space="preserve">Offline Presence</x:t>
        </x:is>
      </x:c>
      <x:c r="R1" s="282" t="inlineStr">
        <x:is>
          <x:t xml:space="preserve">Nguồn</x:t>
        </x:is>
      </x:c>
      <x:c r="S1" s="282" t="inlineStr">
        <x:is>
          <x:t xml:space="preserve">Ghi chú</x:t>
        </x:is>
      </x:c>
      <x:c r="T1" s="272" t="n"/>
      <x:c r="U1" s="272" t="n"/>
      <x:c r="V1" s="272" t="n"/>
      <x:c r="W1" s="272" t="n"/>
      <x:c r="X1" s="272" t="n"/>
      <x:c r="Y1" s="272" t="n"/>
      <x:c r="Z1" s="272" t="n"/>
    </x:row>
    <x:row r="2">
      <x:c r="A2" t="inlineStr">
        <x:is>
          <x:t xml:space="preserve">OFF-0001</x:t>
        </x:is>
      </x:c>
      <x:c r="B2" s="99" t="n">
        <x:v>46247</x:v>
      </x:c>
      <x:c r="C2" t="inlineStr">
        <x:is>
          <x:t xml:space="preserve">Guardian</x:t>
        </x:is>
      </x:c>
      <x:c r="D2" t="inlineStr">
        <x:is>
          <x:t xml:space="preserve">Beauty retail</x:t>
        </x:is>
      </x:c>
      <x:c r="E2" t="inlineStr">
        <x:is>
          <x:t xml:space="preserve">TP.HCM / Việt Nam</x:t>
        </x:is>
      </x:c>
      <x:c r="F2" t="inlineStr">
        <x:is>
          <x:t xml:space="preserve">CATEGORY/CHAIN_SIGNAL</x:t>
        </x:is>
      </x:c>
      <x:c r="H2" t="inlineStr">
        <x:is>
          <x:t xml:space="preserve">Guardian private label – body care; Aloe Vera Gel, Body Wash...</x:t>
        </x:is>
      </x:c>
      <x:c r="I2" t="inlineStr">
        <x:is>
          <x:t xml:space="preserve">|guardianprivatelabelbodycarealoeveragelbodywash</x:t>
        </x:is>
      </x:c>
      <x:c r="J2" t="inlineStr">
        <x:is>
          <x:t xml:space="preserve">|guardianprivatelabelbodycarealoeveragelbodywash</x:t>
        </x:is>
      </x:c>
      <x:c r="L2" t="inlineStr">
        <x:is>
          <x:t xml:space="preserve">Guardian private label – body care; Aloe Vera Gel, Body Wash...</x:t>
        </x:is>
      </x:c>
      <x:c r="M2" t="n">
        <x:v>39</x:v>
      </x:c>
      <x:c r="P2" t="inlineStr">
        <x:is>
          <x:t xml:space="preserve">NOT_SEARCHED_OR_CATEGORY_LEVEL</x:t>
        </x:is>
      </x:c>
      <x:c r="Q2" t="inlineStr">
        <x:is>
          <x:t xml:space="preserve">YES</x:t>
        </x:is>
      </x:c>
      <x:c r="R2" t="inlineStr">
        <x:is>
          <x:t xml:space="preserve">https://www.guardian.com.vn/shopby/guardian.html?brand_id=1%2C1728</x:t>
        </x:is>
      </x:c>
      <x:c r="S2" t="inlineStr">
        <x:is>
          <x:t xml:space="preserve">Có bán chính thức = market signal. Không mặc nhiên coi là đã xác minh công bố.</x:t>
        </x:is>
      </x:c>
    </x:row>
    <x:row r="3">
      <x:c r="A3" t="inlineStr">
        <x:is>
          <x:t xml:space="preserve">OFF-0002</x:t>
        </x:is>
      </x:c>
      <x:c r="B3" s="99" t="n">
        <x:v>46247</x:v>
      </x:c>
      <x:c r="C3" t="inlineStr">
        <x:is>
          <x:t xml:space="preserve">Watsons</x:t>
        </x:is>
      </x:c>
      <x:c r="D3" t="inlineStr">
        <x:is>
          <x:t xml:space="preserve">Beauty retail</x:t>
        </x:is>
      </x:c>
      <x:c r="E3" t="inlineStr">
        <x:is>
          <x:t xml:space="preserve">TP.HCM / Việt Nam</x:t>
        </x:is>
      </x:c>
      <x:c r="F3" t="inlineStr">
        <x:is>
          <x:t xml:space="preserve">CATEGORY/CHAIN_SIGNAL</x:t>
        </x:is>
      </x:c>
      <x:c r="H3" t="inlineStr">
        <x:is>
          <x:t xml:space="preserve">Dầu gội</x:t>
        </x:is>
      </x:c>
      <x:c r="I3" t="inlineStr">
        <x:is>
          <x:t xml:space="preserve">|daugoi</x:t>
        </x:is>
      </x:c>
      <x:c r="J3" t="inlineStr">
        <x:is>
          <x:t xml:space="preserve">|daugoi</x:t>
        </x:is>
      </x:c>
      <x:c r="L3" t="inlineStr">
        <x:is>
          <x:t xml:space="preserve">Dầu gội</x:t>
        </x:is>
      </x:c>
      <x:c r="M3" t="n">
        <x:v>142</x:v>
      </x:c>
      <x:c r="P3" t="inlineStr">
        <x:is>
          <x:t xml:space="preserve">NOT_SEARCHED_OR_CATEGORY_LEVEL</x:t>
        </x:is>
      </x:c>
      <x:c r="Q3" t="inlineStr">
        <x:is>
          <x:t xml:space="preserve">YES</x:t>
        </x:is>
      </x:c>
      <x:c r="R3" t="inlineStr">
        <x:is>
          <x:t xml:space="preserve">https://www.watsons.vn/vi/ch%C4%83m-s%C3%B3c-t%C3%B3c/d%E1%BA%A7u-g%E1%BB%99i/c/0501000</x:t>
        </x:is>
      </x:c>
      <x:c r="S3" t="inlineStr">
        <x:is>
          <x:t xml:space="preserve">Nguồn rất tốt để lập queue reverse lookup theo brand/SKU.</x:t>
        </x:is>
      </x:c>
    </x:row>
    <x:row r="4">
      <x:c r="A4" t="inlineStr">
        <x:is>
          <x:t xml:space="preserve">OFF-0003</x:t>
        </x:is>
      </x:c>
      <x:c r="B4" s="99" t="n">
        <x:v>46247</x:v>
      </x:c>
      <x:c r="C4" t="inlineStr">
        <x:is>
          <x:t xml:space="preserve">Watsons</x:t>
        </x:is>
      </x:c>
      <x:c r="D4" t="inlineStr">
        <x:is>
          <x:t xml:space="preserve">Beauty retail</x:t>
        </x:is>
      </x:c>
      <x:c r="E4" t="inlineStr">
        <x:is>
          <x:t xml:space="preserve">TP.HCM / Việt Nam</x:t>
        </x:is>
      </x:c>
      <x:c r="F4" t="inlineStr">
        <x:is>
          <x:t xml:space="preserve">CATEGORY/CHAIN_SIGNAL</x:t>
        </x:is>
      </x:c>
      <x:c r="H4" t="inlineStr">
        <x:is>
          <x:t xml:space="preserve">Chăm sóc tóc tổng</x:t>
        </x:is>
      </x:c>
      <x:c r="I4" t="inlineStr">
        <x:is>
          <x:t xml:space="preserve">|chamsoctoctong</x:t>
        </x:is>
      </x:c>
      <x:c r="J4" t="inlineStr">
        <x:is>
          <x:t xml:space="preserve">|chamsoctoctong</x:t>
        </x:is>
      </x:c>
      <x:c r="L4" t="inlineStr">
        <x:is>
          <x:t xml:space="preserve">Chăm sóc tóc tổng</x:t>
        </x:is>
      </x:c>
      <x:c r="M4" t="n">
        <x:v>365</x:v>
      </x:c>
      <x:c r="P4" t="inlineStr">
        <x:is>
          <x:t xml:space="preserve">NOT_SEARCHED_OR_CATEGORY_LEVEL</x:t>
        </x:is>
      </x:c>
      <x:c r="Q4" t="inlineStr">
        <x:is>
          <x:t xml:space="preserve">YES</x:t>
        </x:is>
      </x:c>
      <x:c r="R4" t="inlineStr">
        <x:is>
          <x:t xml:space="preserve">https://www.watsons.vn/vi/ch%C4%83m-s%C3%B3c-t%C3%B3c/c/0500000</x:t>
        </x:is>
      </x:c>
      <x:c r="S4" t="inlineStr">
        <x:is>
          <x:t xml:space="preserve">Có thể dùng để đo breadth danh mục và ưu tiên sản phẩm bán thật.</x:t>
        </x:is>
      </x:c>
    </x:row>
    <x:row r="5">
      <x:c r="A5" t="inlineStr">
        <x:is>
          <x:t xml:space="preserve">OFF-0004</x:t>
        </x:is>
      </x:c>
      <x:c r="B5" s="99" t="n">
        <x:v>46247</x:v>
      </x:c>
      <x:c r="C5" t="inlineStr">
        <x:is>
          <x:t xml:space="preserve">Circle K</x:t>
        </x:is>
      </x:c>
      <x:c r="D5" t="inlineStr">
        <x:is>
          <x:t xml:space="preserve">Convenience 24/7</x:t>
        </x:is>
      </x:c>
      <x:c r="E5" t="inlineStr">
        <x:is>
          <x:t xml:space="preserve">TP.HCM / Việt Nam</x:t>
        </x:is>
      </x:c>
      <x:c r="F5" t="inlineStr">
        <x:is>
          <x:t xml:space="preserve">CATEGORY/CHAIN_SIGNAL</x:t>
        </x:is>
      </x:c>
      <x:c r="H5" t="inlineStr">
        <x:is>
          <x:t xml:space="preserve">Hóa mỹ phẩm: chăm sóc cá nhân, mỹ phẩm, chăm sóc da...</x:t>
        </x:is>
      </x:c>
      <x:c r="I5" t="inlineStr">
        <x:is>
          <x:t xml:space="preserve">|hoamyphamchamsoccanhanmyphamchamsocda</x:t>
        </x:is>
      </x:c>
      <x:c r="J5" t="inlineStr">
        <x:is>
          <x:t xml:space="preserve">|hoamyphamchamsoccanhanmyphamchamsocda</x:t>
        </x:is>
      </x:c>
      <x:c r="L5" t="inlineStr">
        <x:is>
          <x:t xml:space="preserve">Hóa mỹ phẩm: chăm sóc cá nhân, mỹ phẩm, chăm sóc da...</x:t>
        </x:is>
      </x:c>
      <x:c r="P5" t="inlineStr">
        <x:is>
          <x:t xml:space="preserve">NOT_SEARCHED_OR_CATEGORY_LEVEL</x:t>
        </x:is>
      </x:c>
      <x:c r="Q5" t="inlineStr">
        <x:is>
          <x:t xml:space="preserve">YES</x:t>
        </x:is>
      </x:c>
      <x:c r="R5" t="inlineStr">
        <x:is>
          <x:t xml:space="preserve">https://www.circlek.com.vn/vi/san-pham-dich-vu/san-pham/</x:t>
        </x:is>
      </x:c>
      <x:c r="S5" t="inlineStr">
        <x:is>
          <x:t xml:space="preserve">Nguồn category-level; cần audit SKU theo cửa hàng hoặc catalogue.</x:t>
        </x:is>
      </x:c>
    </x:row>
    <x:row r="6">
      <x:c r="A6" t="inlineStr">
        <x:is>
          <x:t xml:space="preserve">OFF-0005</x:t>
        </x:is>
      </x:c>
      <x:c r="B6" s="99" t="n">
        <x:v>46247</x:v>
      </x:c>
      <x:c r="C6" t="inlineStr">
        <x:is>
          <x:t xml:space="preserve">MM Mega Market</x:t>
        </x:is>
      </x:c>
      <x:c r="D6" t="inlineStr">
        <x:is>
          <x:t xml:space="preserve">Hypermarket</x:t>
        </x:is>
      </x:c>
      <x:c r="E6" t="inlineStr">
        <x:is>
          <x:t xml:space="preserve">TP.HCM / Việt Nam</x:t>
        </x:is>
      </x:c>
      <x:c r="F6" t="inlineStr">
        <x:is>
          <x:t xml:space="preserve">CATEGORY/CHAIN_SIGNAL</x:t>
        </x:is>
      </x:c>
      <x:c r="H6" t="inlineStr">
        <x:is>
          <x:t xml:space="preserve">Hóa mỹ phẩm / chăm sóc cá nhân</x:t>
        </x:is>
      </x:c>
      <x:c r="I6" t="inlineStr">
        <x:is>
          <x:t xml:space="preserve">|hoamyphamchamsoccanhan</x:t>
        </x:is>
      </x:c>
      <x:c r="J6" t="inlineStr">
        <x:is>
          <x:t xml:space="preserve">|hoamyphamchamsoccanhan</x:t>
        </x:is>
      </x:c>
      <x:c r="L6" t="inlineStr">
        <x:is>
          <x:t xml:space="preserve">Hóa mỹ phẩm / chăm sóc cá nhân</x:t>
        </x:is>
      </x:c>
      <x:c r="P6" t="inlineStr">
        <x:is>
          <x:t xml:space="preserve">NOT_SEARCHED_OR_CATEGORY_LEVEL</x:t>
        </x:is>
      </x:c>
      <x:c r="Q6" t="inlineStr">
        <x:is>
          <x:t xml:space="preserve">YES</x:t>
        </x:is>
      </x:c>
      <x:c r="R6" t="inlineStr">
        <x:is>
          <x:t xml:space="preserve">https://mmvietnam.com/san-pham/hoa-my-pham/</x:t>
        </x:is>
      </x:c>
      <x:c r="S6" t="inlineStr">
        <x:is>
          <x:t xml:space="preserve">MM nêu có tiêu chí đầu vào, rà soát/kiểm tra; có 21 trung tâm phân phối toàn quốc.</x:t>
        </x:is>
      </x:c>
    </x:row>
    <x:row r="7">
      <x:c r="A7" t="inlineStr">
        <x:is>
          <x:t xml:space="preserve">OFF-0006</x:t>
        </x:is>
      </x:c>
      <x:c r="B7" s="99" t="n">
        <x:v>46247</x:v>
      </x:c>
      <x:c r="C7" t="inlineStr">
        <x:is>
          <x:t xml:space="preserve">MINISTOP</x:t>
        </x:is>
      </x:c>
      <x:c r="D7" t="inlineStr">
        <x:is>
          <x:t xml:space="preserve">Convenience 24/7</x:t>
        </x:is>
      </x:c>
      <x:c r="E7" t="inlineStr">
        <x:is>
          <x:t xml:space="preserve">TP.HCM</x:t>
        </x:is>
      </x:c>
      <x:c r="F7" t="inlineStr">
        <x:is>
          <x:t xml:space="preserve">CATEGORY/CHAIN_SIGNAL</x:t>
        </x:is>
      </x:c>
      <x:c r="H7" t="inlineStr">
        <x:is>
          <x:t xml:space="preserve">Hệ thống cửa hàng 24/7</x:t>
        </x:is>
      </x:c>
      <x:c r="I7" t="inlineStr">
        <x:is>
          <x:t xml:space="preserve">|hethongcuahang247</x:t>
        </x:is>
      </x:c>
      <x:c r="J7" t="inlineStr">
        <x:is>
          <x:t xml:space="preserve">|hethongcuahang247</x:t>
        </x:is>
      </x:c>
      <x:c r="L7" t="inlineStr">
        <x:is>
          <x:t xml:space="preserve">Hệ thống cửa hàng 24/7</x:t>
        </x:is>
      </x:c>
      <x:c r="P7" t="inlineStr">
        <x:is>
          <x:t xml:space="preserve">NOT_SEARCHED_OR_CATEGORY_LEVEL</x:t>
        </x:is>
      </x:c>
      <x:c r="Q7" t="inlineStr">
        <x:is>
          <x:t xml:space="preserve">YES</x:t>
        </x:is>
      </x:c>
      <x:c r="R7" t="inlineStr">
        <x:is>
          <x:t xml:space="preserve">https://www.ministop.vn/vi/ms</x:t>
        </x:is>
      </x:c>
      <x:c r="S7" t="inlineStr">
        <x:is>
          <x:t xml:space="preserve">Dùng như location signal; inventory mỹ phẩm cần khảo sát thêm.</x:t>
        </x:is>
      </x:c>
    </x:row>
    <x:row r="8">
      <x:c r="A8" t="inlineStr">
        <x:is>
          <x:t xml:space="preserve">OFF-0007</x:t>
        </x:is>
      </x:c>
      <x:c r="B8" s="99" t="n">
        <x:v>46247</x:v>
      </x:c>
      <x:c r="C8" t="inlineStr">
        <x:is>
          <x:t xml:space="preserve">Guardian</x:t>
        </x:is>
      </x:c>
      <x:c r="D8" t="inlineStr">
        <x:is>
          <x:t xml:space="preserve">Mother &amp; Baby retail</x:t>
        </x:is>
      </x:c>
      <x:c r="E8" t="inlineStr">
        <x:is>
          <x:t xml:space="preserve">TP.HCM / Việt Nam</x:t>
        </x:is>
      </x:c>
      <x:c r="F8" t="inlineStr">
        <x:is>
          <x:t xml:space="preserve">CATEGORY/CHAIN_SIGNAL</x:t>
        </x:is>
      </x:c>
      <x:c r="H8" t="inlineStr">
        <x:is>
          <x:t xml:space="preserve">Mẹ &amp; Bé tổng</x:t>
        </x:is>
      </x:c>
      <x:c r="I8" t="inlineStr">
        <x:is>
          <x:t xml:space="preserve">|mebetong</x:t>
        </x:is>
      </x:c>
      <x:c r="J8" t="inlineStr">
        <x:is>
          <x:t xml:space="preserve">|mebetong</x:t>
        </x:is>
      </x:c>
      <x:c r="L8" t="inlineStr">
        <x:is>
          <x:t xml:space="preserve">Mẹ &amp; Bé tổng</x:t>
        </x:is>
      </x:c>
      <x:c r="M8" t="n">
        <x:v>202</x:v>
      </x:c>
      <x:c r="P8" t="inlineStr">
        <x:is>
          <x:t xml:space="preserve">NOT_SEARCHED_OR_CATEGORY_LEVEL</x:t>
        </x:is>
      </x:c>
      <x:c r="Q8" t="inlineStr">
        <x:is>
          <x:t xml:space="preserve">YES</x:t>
        </x:is>
      </x:c>
      <x:c r="R8" t="inlineStr">
        <x:is>
          <x:t xml:space="preserve">https://www.guardian.com.vn/all-products</x:t>
        </x:is>
      </x:c>
      <x:c r="S8" t="inlineStr">
        <x:is>
          <x:t xml:space="preserve">Guardian hiển thị 202 SP Mẹ &amp; Bé; 106 chăm sóc bé; 31 tắm gội; 24 da/chống nắng; 16 dầu gội bé; 14 răng miệng bé.</x:t>
        </x:is>
      </x:c>
    </x:row>
    <x:row r="9">
      <x:c r="A9" t="inlineStr">
        <x:is>
          <x:t xml:space="preserve">OFF-0008</x:t>
        </x:is>
      </x:c>
      <x:c r="B9" s="99" t="n">
        <x:v>46247</x:v>
      </x:c>
      <x:c r="C9" t="inlineStr">
        <x:is>
          <x:t xml:space="preserve">Guardian</x:t>
        </x:is>
      </x:c>
      <x:c r="D9" t="inlineStr">
        <x:is>
          <x:t xml:space="preserve">Mother &amp; Baby retail</x:t>
        </x:is>
      </x:c>
      <x:c r="E9" t="inlineStr">
        <x:is>
          <x:t xml:space="preserve">TP.HCM / Việt Nam</x:t>
        </x:is>
      </x:c>
      <x:c r="F9" t="inlineStr">
        <x:is>
          <x:t xml:space="preserve">CATEGORY/CHAIN_SIGNAL</x:t>
        </x:is>
      </x:c>
      <x:c r="H9" t="inlineStr">
        <x:is>
          <x:t xml:space="preserve">Guardian private label – chăm sóc bé</x:t>
        </x:is>
      </x:c>
      <x:c r="I9" t="inlineStr">
        <x:is>
          <x:t xml:space="preserve">|guardianprivatelabelchamsocbe</x:t>
        </x:is>
      </x:c>
      <x:c r="J9" t="inlineStr">
        <x:is>
          <x:t xml:space="preserve">|guardianprivatelabelchamsocbe</x:t>
        </x:is>
      </x:c>
      <x:c r="L9" t="inlineStr">
        <x:is>
          <x:t xml:space="preserve">Guardian private label – chăm sóc bé</x:t>
        </x:is>
      </x:c>
      <x:c r="M9" t="n">
        <x:v>9</x:v>
      </x:c>
      <x:c r="P9" t="inlineStr">
        <x:is>
          <x:t xml:space="preserve">NOT_SEARCHED_OR_CATEGORY_LEVEL</x:t>
        </x:is>
      </x:c>
      <x:c r="Q9" t="inlineStr">
        <x:is>
          <x:t xml:space="preserve">YES</x:t>
        </x:is>
      </x:c>
      <x:c r="R9" t="inlineStr">
        <x:is>
          <x:t xml:space="preserve">https://www.guardian.com.vn/doc-quyen-guardian/san-pham-guardian/cham-soc-be.html</x:t>
        </x:is>
      </x:c>
      <x:c r="S9" t="inlineStr">
        <x:is>
          <x:t xml:space="preserve">Có 9 SKU Guardian chăm sóc bé; riêng Head To Toe Wash là hóa mỹ phẩm cần truy số công bố.</x:t>
        </x:is>
      </x:c>
    </x:row>
    <x:row r="10">
      <x:c r="A10" t="inlineStr">
        <x:is>
          <x:t xml:space="preserve">OFF-0009</x:t>
        </x:is>
      </x:c>
      <x:c r="B10" s="99" t="n">
        <x:v>46247</x:v>
      </x:c>
      <x:c r="C10" t="inlineStr">
        <x:is>
          <x:t xml:space="preserve">Watsons</x:t>
        </x:is>
      </x:c>
      <x:c r="D10" t="inlineStr">
        <x:is>
          <x:t xml:space="preserve">Mother &amp; Baby retail</x:t>
        </x:is>
      </x:c>
      <x:c r="E10" t="inlineStr">
        <x:is>
          <x:t xml:space="preserve">TP.HCM / Việt Nam</x:t>
        </x:is>
      </x:c>
      <x:c r="F10" t="inlineStr">
        <x:is>
          <x:t xml:space="preserve">CATEGORY/CHAIN_SIGNAL</x:t>
        </x:is>
      </x:c>
      <x:c r="H10" t="inlineStr">
        <x:is>
          <x:t xml:space="preserve">Trẻ em / Chăm sóc bé</x:t>
        </x:is>
      </x:c>
      <x:c r="I10" t="inlineStr">
        <x:is>
          <x:t xml:space="preserve">|treemchamsocbe</x:t>
        </x:is>
      </x:c>
      <x:c r="J10" t="inlineStr">
        <x:is>
          <x:t xml:space="preserve">|treemchamsocbe</x:t>
        </x:is>
      </x:c>
      <x:c r="L10" t="inlineStr">
        <x:is>
          <x:t xml:space="preserve">Trẻ em / Chăm sóc bé</x:t>
        </x:is>
      </x:c>
      <x:c r="M10" t="n">
        <x:v>44</x:v>
      </x:c>
      <x:c r="P10" t="inlineStr">
        <x:is>
          <x:t xml:space="preserve">NOT_SEARCHED_OR_CATEGORY_LEVEL</x:t>
        </x:is>
      </x:c>
      <x:c r="Q10" t="inlineStr">
        <x:is>
          <x:t xml:space="preserve">YES</x:t>
        </x:is>
      </x:c>
      <x:c r="R10" t="inlineStr">
        <x:is>
          <x:t xml:space="preserve">https://www.watsons.vn/vi/tr%E1%BA%BB-em/c/0600000</x:t>
        </x:is>
      </x:c>
      <x:c r="S10" t="inlineStr">
        <x:is>
          <x:t xml:space="preserve">Có Cetaphil Baby, Lactacyd Baby, Johnson's Baby, Bzu Bzu, Bioré Kids...</x:t>
        </x:is>
      </x:c>
    </x:row>
    <x:row r="11">
      <x:c r="A11" t="inlineStr">
        <x:is>
          <x:t xml:space="preserve">OFF-0010</x:t>
        </x:is>
      </x:c>
      <x:c r="B11" s="99" t="n">
        <x:v>46247</x:v>
      </x:c>
      <x:c r="C11" t="inlineStr">
        <x:is>
          <x:t xml:space="preserve">Watsons</x:t>
        </x:is>
      </x:c>
      <x:c r="D11" t="inlineStr">
        <x:is>
          <x:t xml:space="preserve">Mother &amp; Baby retail</x:t>
        </x:is>
      </x:c>
      <x:c r="E11" t="inlineStr">
        <x:is>
          <x:t xml:space="preserve">TP.HCM / Việt Nam</x:t>
        </x:is>
      </x:c>
      <x:c r="F11" t="inlineStr">
        <x:is>
          <x:t xml:space="preserve">CATEGORY/CHAIN_SIGNAL</x:t>
        </x:is>
      </x:c>
      <x:c r="H11" t="inlineStr">
        <x:is>
          <x:t xml:space="preserve">Tắm gội trẻ em</x:t>
        </x:is>
      </x:c>
      <x:c r="I11" t="inlineStr">
        <x:is>
          <x:t xml:space="preserve">|tamgoitreem</x:t>
        </x:is>
      </x:c>
      <x:c r="J11" t="inlineStr">
        <x:is>
          <x:t xml:space="preserve">|tamgoitreem</x:t>
        </x:is>
      </x:c>
      <x:c r="L11" t="inlineStr">
        <x:is>
          <x:t xml:space="preserve">Tắm gội trẻ em</x:t>
        </x:is>
      </x:c>
      <x:c r="M11" t="n">
        <x:v>17</x:v>
      </x:c>
      <x:c r="P11" t="inlineStr">
        <x:is>
          <x:t xml:space="preserve">NOT_SEARCHED_OR_CATEGORY_LEVEL</x:t>
        </x:is>
      </x:c>
      <x:c r="Q11" t="inlineStr">
        <x:is>
          <x:t xml:space="preserve">YES</x:t>
        </x:is>
      </x:c>
      <x:c r="R11" t="inlineStr">
        <x:is>
          <x:t xml:space="preserve">https://www.watsons.vn/vi/tr%E1%BA%BB-em/t%E1%BA%AFm-g%E1%BB%99i/c/0601001</x:t>
        </x:is>
      </x:c>
      <x:c r="S11" t="inlineStr">
        <x:is>
          <x:t xml:space="preserve">Queue ưu tiên: Cetaphil Baby, Johnson's, Lactacyd, White Rain Kids, Carrie Junior, Sebamed.</x:t>
        </x:is>
      </x:c>
    </x:row>
    <x:row r="12">
      <x:c r="A12" t="inlineStr">
        <x:is>
          <x:t xml:space="preserve">OFF-0011</x:t>
        </x:is>
      </x:c>
      <x:c r="B12" s="99" t="n">
        <x:v>46247</x:v>
      </x:c>
      <x:c r="C12" t="inlineStr">
        <x:is>
          <x:t xml:space="preserve">GS25</x:t>
        </x:is>
      </x:c>
      <x:c r="D12" t="inlineStr">
        <x:is>
          <x:t xml:space="preserve">Convenience 24/7</x:t>
        </x:is>
      </x:c>
      <x:c r="E12" t="inlineStr">
        <x:is>
          <x:t xml:space="preserve">TP.HCM / Việt Nam</x:t>
        </x:is>
      </x:c>
      <x:c r="F12" t="inlineStr">
        <x:is>
          <x:t xml:space="preserve">CATEGORY/CHAIN_SIGNAL</x:t>
        </x:is>
      </x:c>
      <x:c r="H12" t="inlineStr">
        <x:is>
          <x:t xml:space="preserve">Hàng tiêu dùng</x:t>
        </x:is>
      </x:c>
      <x:c r="I12" t="inlineStr">
        <x:is>
          <x:t xml:space="preserve">|hangtieudung</x:t>
        </x:is>
      </x:c>
      <x:c r="J12" t="inlineStr">
        <x:is>
          <x:t xml:space="preserve">|hangtieudung</x:t>
        </x:is>
      </x:c>
      <x:c r="L12" t="inlineStr">
        <x:is>
          <x:t xml:space="preserve">Hàng tiêu dùng</x:t>
        </x:is>
      </x:c>
      <x:c r="P12" t="inlineStr">
        <x:is>
          <x:t xml:space="preserve">NOT_SEARCHED_OR_CATEGORY_LEVEL</x:t>
        </x:is>
      </x:c>
      <x:c r="Q12" t="inlineStr">
        <x:is>
          <x:t xml:space="preserve">YES</x:t>
        </x:is>
      </x:c>
      <x:c r="R12" t="inlineStr">
        <x:is>
          <x:t xml:space="preserve">https://gs25.com.vn/san-pham/product/</x:t>
        </x:is>
      </x:c>
      <x:c r="S12" t="inlineStr">
        <x:is>
          <x:t xml:space="preserve">Trang sản phẩm chính thức có nhóm Hàng tiêu dùng; chưa đủ dữ liệu công khai để tách SKU mỹ phẩm.</x:t>
        </x:is>
      </x:c>
    </x:row>
    <x:row r="13">
      <x:c r="A13" t="inlineStr">
        <x:is>
          <x:t xml:space="preserve">OFF-0012</x:t>
        </x:is>
      </x:c>
      <x:c r="B13" s="99" t="n">
        <x:v>46247</x:v>
      </x:c>
      <x:c r="C13" t="inlineStr">
        <x:is>
          <x:t xml:space="preserve">WinMart</x:t>
        </x:is>
      </x:c>
      <x:c r="D13" t="inlineStr">
        <x:is>
          <x:t xml:space="preserve">Supermarket</x:t>
        </x:is>
      </x:c>
      <x:c r="E13" t="inlineStr">
        <x:is>
          <x:t xml:space="preserve">TP.HCM / Việt Nam</x:t>
        </x:is>
      </x:c>
      <x:c r="F13" t="inlineStr">
        <x:is>
          <x:t xml:space="preserve">CATEGORY/CHAIN_SIGNAL</x:t>
        </x:is>
      </x:c>
      <x:c r="H13" t="inlineStr">
        <x:is>
          <x:t xml:space="preserve">Chăm Sóc Cá Nhân</x:t>
        </x:is>
      </x:c>
      <x:c r="I13" t="inlineStr">
        <x:is>
          <x:t xml:space="preserve">|chamsoccanhan</x:t>
        </x:is>
      </x:c>
      <x:c r="J13" t="inlineStr">
        <x:is>
          <x:t xml:space="preserve">|chamsoccanhan</x:t>
        </x:is>
      </x:c>
      <x:c r="L13" t="inlineStr">
        <x:is>
          <x:t xml:space="preserve">Chăm Sóc Cá Nhân</x:t>
        </x:is>
      </x:c>
      <x:c r="P13" t="inlineStr">
        <x:is>
          <x:t xml:space="preserve">NOT_SEARCHED_OR_CATEGORY_LEVEL</x:t>
        </x:is>
      </x:c>
      <x:c r="Q13" t="inlineStr">
        <x:is>
          <x:t xml:space="preserve">YES</x:t>
        </x:is>
      </x:c>
      <x:c r="R13" t="inlineStr">
        <x:is>
          <x:t xml:space="preserve">https://winmart.vn/cham-soc-ca-nhan--c11</x:t>
        </x:is>
      </x:c>
      <x:c r="S13" t="inlineStr">
        <x:is>
          <x:t xml:space="preserve">Trang ngành chính thức; inventory có thể phụ thuộc cửa hàng/khu vực.</x:t>
        </x:is>
      </x:c>
    </x:row>
    <x:row r="14">
      <x:c r="A14" t="inlineStr">
        <x:is>
          <x:t xml:space="preserve">OFF-0013</x:t>
        </x:is>
      </x:c>
      <x:c r="B14" s="99" t="n">
        <x:v>46247</x:v>
      </x:c>
      <x:c r="C14" t="inlineStr">
        <x:is>
          <x:t xml:space="preserve">WinMart</x:t>
        </x:is>
      </x:c>
      <x:c r="D14" t="inlineStr">
        <x:is>
          <x:t xml:space="preserve">Supermarket</x:t>
        </x:is>
      </x:c>
      <x:c r="E14" t="inlineStr">
        <x:is>
          <x:t xml:space="preserve">TP.HCM / Việt Nam</x:t>
        </x:is>
      </x:c>
      <x:c r="F14" t="inlineStr">
        <x:is>
          <x:t xml:space="preserve">CATEGORY/CHAIN_SIGNAL</x:t>
        </x:is>
      </x:c>
      <x:c r="H14" t="inlineStr">
        <x:is>
          <x:t xml:space="preserve">Chăm Sóc Da</x:t>
        </x:is>
      </x:c>
      <x:c r="I14" t="inlineStr">
        <x:is>
          <x:t xml:space="preserve">|chamsocda</x:t>
        </x:is>
      </x:c>
      <x:c r="J14" t="inlineStr">
        <x:is>
          <x:t xml:space="preserve">|chamsocda</x:t>
        </x:is>
      </x:c>
      <x:c r="L14" t="inlineStr">
        <x:is>
          <x:t xml:space="preserve">Chăm Sóc Da</x:t>
        </x:is>
      </x:c>
      <x:c r="P14" t="inlineStr">
        <x:is>
          <x:t xml:space="preserve">NOT_SEARCHED_OR_CATEGORY_LEVEL</x:t>
        </x:is>
      </x:c>
      <x:c r="Q14" t="inlineStr">
        <x:is>
          <x:t xml:space="preserve">YES</x:t>
        </x:is>
      </x:c>
      <x:c r="R14" t="inlineStr">
        <x:is>
          <x:t xml:space="preserve">https://winmart.vn/cham-soc-da--c0146</x:t>
        </x:is>
      </x:c>
      <x:c r="S14" t="inlineStr">
        <x:is>
          <x:t xml:space="preserve">Trang ngành chính thức; dùng như tín hiệu kênh, chưa dùng làm declaration.</x:t>
        </x:is>
      </x:c>
    </x:row>
    <x:row r="15">
      <x:c r="B15" s="99" t="n"/>
    </x:row>
    <x:row r="16">
      <x:c r="B16" s="99" t="n"/>
    </x:row>
    <x:row r="17">
      <x:c r="B17" s="99" t="n"/>
    </x:row>
    <x:row r="18">
      <x:c r="B18" s="99" t="n"/>
    </x:row>
    <x:row r="19">
      <x:c r="B19" s="99" t="n"/>
    </x:row>
    <x:row r="20">
      <x:c r="B20" s="99" t="n"/>
    </x:row>
    <x:row r="21">
      <x:c r="B21" s="99" t="n"/>
    </x:row>
    <x:row r="22">
      <x:c r="B22" s="99" t="n"/>
    </x:row>
    <x:row r="23">
      <x:c r="B23" s="99" t="n"/>
    </x:row>
    <x:row r="24">
      <x:c r="B24" s="99" t="n"/>
    </x:row>
    <x:row r="25">
      <x:c r="B25" s="99" t="n"/>
    </x:row>
    <x:row r="26">
      <x:c r="B26" s="99" t="n"/>
    </x:row>
    <x:row r="27">
      <x:c r="B27" s="99" t="n"/>
    </x:row>
    <x:row r="28">
      <x:c r="B28" s="99" t="n"/>
    </x:row>
    <x:row r="29">
      <x:c r="B29" s="99" t="n"/>
    </x:row>
    <x:row r="30">
      <x:c r="B30" s="99" t="n"/>
    </x:row>
    <x:row r="31">
      <x:c r="B31" s="99" t="n"/>
    </x:row>
    <x:row r="32">
      <x:c r="B32" s="99" t="n"/>
    </x:row>
    <x:row r="33">
      <x:c r="B33" s="99" t="n"/>
    </x:row>
    <x:row r="34">
      <x:c r="B34" s="99" t="n"/>
    </x:row>
    <x:row r="35">
      <x:c r="B35" s="99" t="n"/>
    </x:row>
    <x:row r="36">
      <x:c r="B36" s="99" t="n"/>
    </x:row>
    <x:row r="37">
      <x:c r="B37" s="99" t="n"/>
    </x:row>
    <x:row r="38">
      <x:c r="B38" s="99" t="n"/>
    </x:row>
    <x:row r="39">
      <x:c r="B39" s="99" t="n"/>
    </x:row>
    <x:row r="40">
      <x:c r="B40" s="99" t="n"/>
    </x:row>
    <x:row r="41">
      <x:c r="B41" s="99" t="n"/>
    </x:row>
    <x:row r="42">
      <x:c r="B42" s="99" t="n"/>
    </x:row>
    <x:row r="43">
      <x:c r="B43" s="99" t="n"/>
    </x:row>
    <x:row r="44">
      <x:c r="B44" s="99" t="n"/>
    </x:row>
    <x:row r="45">
      <x:c r="B45" s="99" t="n"/>
    </x:row>
    <x:row r="46">
      <x:c r="B46" s="99" t="n"/>
    </x:row>
    <x:row r="47">
      <x:c r="B47" s="99" t="n"/>
    </x:row>
    <x:row r="48">
      <x:c r="B48" s="99" t="n"/>
    </x:row>
    <x:row r="49">
      <x:c r="B49" s="99" t="n"/>
    </x:row>
    <x:row r="50">
      <x:c r="B50" s="99" t="n"/>
    </x:row>
    <x:row r="51">
      <x:c r="B51" s="99" t="n"/>
    </x:row>
    <x:row r="52">
      <x:c r="B52" s="99" t="n"/>
    </x:row>
    <x:row r="53">
      <x:c r="B53" s="99" t="n"/>
    </x:row>
    <x:row r="54">
      <x:c r="B54" s="99" t="n"/>
    </x:row>
    <x:row r="55">
      <x:c r="B55" s="99" t="n"/>
    </x:row>
    <x:row r="56">
      <x:c r="B56" s="99" t="n"/>
    </x:row>
    <x:row r="57">
      <x:c r="B57" s="99" t="n"/>
    </x:row>
    <x:row r="58">
      <x:c r="B58" s="99" t="n"/>
    </x:row>
    <x:row r="59">
      <x:c r="B59" s="99" t="n"/>
    </x:row>
    <x:row r="60">
      <x:c r="B60" s="99" t="n"/>
    </x:row>
    <x:row r="61">
      <x:c r="B61" s="99" t="n"/>
    </x:row>
    <x:row r="62">
      <x:c r="B62" s="99" t="n"/>
    </x:row>
    <x:row r="63">
      <x:c r="B63" s="99" t="n"/>
    </x:row>
    <x:row r="64">
      <x:c r="B64" s="99" t="n"/>
    </x:row>
    <x:row r="65">
      <x:c r="B65" s="99" t="n"/>
    </x:row>
    <x:row r="66">
      <x:c r="B66" s="99" t="n"/>
    </x:row>
    <x:row r="67">
      <x:c r="B67" s="99" t="n"/>
    </x:row>
    <x:row r="68">
      <x:c r="B68" s="99" t="n"/>
    </x:row>
    <x:row r="69">
      <x:c r="B69" s="99" t="n"/>
    </x:row>
    <x:row r="70">
      <x:c r="B70" s="99" t="n"/>
    </x:row>
    <x:row r="71">
      <x:c r="B71" s="99" t="n"/>
    </x:row>
    <x:row r="72">
      <x:c r="B72" s="99" t="n"/>
    </x:row>
    <x:row r="73">
      <x:c r="B73" s="99" t="n"/>
    </x:row>
    <x:row r="74">
      <x:c r="B74" s="99" t="n"/>
    </x:row>
    <x:row r="75">
      <x:c r="B75" s="99" t="n"/>
    </x:row>
    <x:row r="76">
      <x:c r="B76" s="99" t="n"/>
    </x:row>
    <x:row r="77">
      <x:c r="B77" s="99" t="n"/>
    </x:row>
    <x:row r="78">
      <x:c r="B78" s="99" t="n"/>
    </x:row>
    <x:row r="79">
      <x:c r="B79" s="99" t="n"/>
    </x:row>
    <x:row r="80">
      <x:c r="B80" s="99" t="n"/>
    </x:row>
    <x:row r="81">
      <x:c r="B81" s="99" t="n"/>
    </x:row>
    <x:row r="82">
      <x:c r="B82" s="99" t="n"/>
    </x:row>
    <x:row r="83">
      <x:c r="B83" s="99" t="n"/>
    </x:row>
    <x:row r="84">
      <x:c r="B84" s="99" t="n"/>
    </x:row>
    <x:row r="85">
      <x:c r="B85" s="99" t="n"/>
    </x:row>
    <x:row r="86">
      <x:c r="B86" s="99" t="n"/>
    </x:row>
    <x:row r="87">
      <x:c r="B87" s="99" t="n"/>
    </x:row>
    <x:row r="88">
      <x:c r="B88" s="99" t="n"/>
    </x:row>
    <x:row r="89">
      <x:c r="B89" s="99" t="n"/>
    </x:row>
    <x:row r="90">
      <x:c r="B90" s="99" t="n"/>
    </x:row>
    <x:row r="91">
      <x:c r="B91" s="99" t="n"/>
    </x:row>
    <x:row r="92">
      <x:c r="B92" s="99" t="n"/>
    </x:row>
    <x:row r="93">
      <x:c r="B93" s="99" t="n"/>
    </x:row>
    <x:row r="94">
      <x:c r="B94" s="99" t="n"/>
    </x:row>
    <x:row r="95">
      <x:c r="B95" s="99" t="n"/>
    </x:row>
    <x:row r="96">
      <x:c r="B96" s="99" t="n"/>
    </x:row>
    <x:row r="97">
      <x:c r="B97" s="99" t="n"/>
    </x:row>
    <x:row r="98">
      <x:c r="B98" s="99" t="n"/>
    </x:row>
    <x:row r="99">
      <x:c r="B99" s="99" t="n"/>
    </x:row>
    <x:row r="100">
      <x:c r="B100" s="99" t="n"/>
    </x:row>
    <x:row r="101">
      <x:c r="B101" s="99" t="n"/>
    </x:row>
    <x:row r="102">
      <x:c r="B102" s="99" t="n"/>
    </x:row>
    <x:row r="103">
      <x:c r="B103" s="99" t="n"/>
    </x:row>
    <x:row r="104">
      <x:c r="B104" s="99" t="n"/>
    </x:row>
    <x:row r="105">
      <x:c r="B105" s="99" t="n"/>
    </x:row>
    <x:row r="106">
      <x:c r="B106" s="99" t="n"/>
    </x:row>
    <x:row r="107">
      <x:c r="B107" s="99" t="n"/>
    </x:row>
    <x:row r="108">
      <x:c r="B108" s="99" t="n"/>
    </x:row>
    <x:row r="109">
      <x:c r="B109" s="99" t="n"/>
    </x:row>
    <x:row r="110">
      <x:c r="B110" s="99" t="n"/>
    </x:row>
    <x:row r="111">
      <x:c r="B111" s="99" t="n"/>
    </x:row>
    <x:row r="112">
      <x:c r="B112" s="99" t="n"/>
    </x:row>
    <x:row r="113">
      <x:c r="B113" s="99" t="n"/>
    </x:row>
    <x:row r="114">
      <x:c r="B114" s="99" t="n"/>
    </x:row>
    <x:row r="115">
      <x:c r="B115" s="99" t="n"/>
    </x:row>
    <x:row r="116">
      <x:c r="B116" s="99" t="n"/>
    </x:row>
    <x:row r="117">
      <x:c r="B117" s="99" t="n"/>
    </x:row>
    <x:row r="118">
      <x:c r="B118" s="99" t="n"/>
    </x:row>
    <x:row r="119">
      <x:c r="B119" s="99" t="n"/>
    </x:row>
    <x:row r="120">
      <x:c r="B120" s="99" t="n"/>
    </x:row>
    <x:row r="121">
      <x:c r="B121" s="99" t="n"/>
    </x:row>
    <x:row r="122">
      <x:c r="B122" s="99" t="n"/>
    </x:row>
    <x:row r="123">
      <x:c r="B123" s="99" t="n"/>
    </x:row>
    <x:row r="124">
      <x:c r="B124" s="99" t="n"/>
    </x:row>
    <x:row r="125">
      <x:c r="B125" s="99" t="n"/>
    </x:row>
    <x:row r="126">
      <x:c r="B126" s="99" t="n"/>
    </x:row>
    <x:row r="127">
      <x:c r="B127" s="99" t="n"/>
    </x:row>
    <x:row r="128">
      <x:c r="B128" s="99" t="n"/>
    </x:row>
    <x:row r="129">
      <x:c r="B129" s="99" t="n"/>
    </x:row>
    <x:row r="130">
      <x:c r="B130" s="99" t="n"/>
    </x:row>
    <x:row r="131">
      <x:c r="B131" s="99" t="n"/>
    </x:row>
    <x:row r="132">
      <x:c r="B132" s="99" t="n"/>
    </x:row>
    <x:row r="133">
      <x:c r="B133" s="99" t="n"/>
    </x:row>
    <x:row r="134">
      <x:c r="B134" s="99" t="n"/>
    </x:row>
    <x:row r="135">
      <x:c r="B135" s="99" t="n"/>
    </x:row>
    <x:row r="136">
      <x:c r="B136" s="99" t="n"/>
    </x:row>
    <x:row r="137">
      <x:c r="B137" s="99" t="n"/>
    </x:row>
    <x:row r="138">
      <x:c r="B138" s="99" t="n"/>
    </x:row>
    <x:row r="139">
      <x:c r="B139" s="99" t="n"/>
    </x:row>
    <x:row r="140">
      <x:c r="B140" s="99" t="n"/>
    </x:row>
    <x:row r="141">
      <x:c r="B141" s="99" t="n"/>
    </x:row>
    <x:row r="142">
      <x:c r="B142" s="99" t="n"/>
    </x:row>
    <x:row r="143">
      <x:c r="B143" s="99" t="n"/>
    </x:row>
    <x:row r="144">
      <x:c r="B144" s="99" t="n"/>
    </x:row>
    <x:row r="145">
      <x:c r="B145" s="99" t="n"/>
    </x:row>
    <x:row r="146">
      <x:c r="B146" s="99" t="n"/>
    </x:row>
    <x:row r="147">
      <x:c r="B147" s="99" t="n"/>
    </x:row>
    <x:row r="148">
      <x:c r="B148" s="99" t="n"/>
    </x:row>
    <x:row r="149">
      <x:c r="B149" s="99" t="n"/>
    </x:row>
    <x:row r="150">
      <x:c r="B150" s="99" t="n"/>
    </x:row>
    <x:row r="151">
      <x:c r="B151" s="99" t="n"/>
    </x:row>
    <x:row r="152">
      <x:c r="B152" s="99" t="n"/>
    </x:row>
    <x:row r="153">
      <x:c r="B153" s="99" t="n"/>
    </x:row>
    <x:row r="154">
      <x:c r="B154" s="99" t="n"/>
    </x:row>
    <x:row r="155">
      <x:c r="B155" s="99" t="n"/>
    </x:row>
    <x:row r="156">
      <x:c r="B156" s="99" t="n"/>
    </x:row>
    <x:row r="157">
      <x:c r="B157" s="99" t="n"/>
    </x:row>
    <x:row r="158">
      <x:c r="B158" s="99" t="n"/>
    </x:row>
    <x:row r="159">
      <x:c r="B159" s="99" t="n"/>
    </x:row>
    <x:row r="160">
      <x:c r="B160" s="99" t="n"/>
    </x:row>
    <x:row r="161">
      <x:c r="B161" s="99" t="n"/>
    </x:row>
    <x:row r="162">
      <x:c r="B162" s="99" t="n"/>
    </x:row>
    <x:row r="163">
      <x:c r="B163" s="99" t="n"/>
    </x:row>
    <x:row r="164">
      <x:c r="B164" s="99" t="n"/>
    </x:row>
    <x:row r="165">
      <x:c r="B165" s="99" t="n"/>
    </x:row>
    <x:row r="166">
      <x:c r="B166" s="99" t="n"/>
    </x:row>
    <x:row r="167">
      <x:c r="B167" s="99" t="n"/>
    </x:row>
    <x:row r="168">
      <x:c r="B168" s="99" t="n"/>
    </x:row>
    <x:row r="169">
      <x:c r="B169" s="99" t="n"/>
    </x:row>
    <x:row r="170">
      <x:c r="B170" s="99" t="n"/>
    </x:row>
    <x:row r="171">
      <x:c r="B171" s="99" t="n"/>
    </x:row>
    <x:row r="172">
      <x:c r="B172" s="99" t="n"/>
    </x:row>
    <x:row r="173">
      <x:c r="B173" s="99" t="n"/>
    </x:row>
    <x:row r="174">
      <x:c r="B174" s="99" t="n"/>
    </x:row>
    <x:row r="175">
      <x:c r="B175" s="99" t="n"/>
    </x:row>
    <x:row r="176">
      <x:c r="B176" s="99" t="n"/>
    </x:row>
    <x:row r="177">
      <x:c r="B177" s="99" t="n"/>
    </x:row>
    <x:row r="178">
      <x:c r="B178" s="99" t="n"/>
    </x:row>
    <x:row r="179">
      <x:c r="B179" s="99" t="n"/>
    </x:row>
    <x:row r="180">
      <x:c r="B180" s="99" t="n"/>
    </x:row>
    <x:row r="181">
      <x:c r="B181" s="99" t="n"/>
    </x:row>
    <x:row r="182">
      <x:c r="B182" s="99" t="n"/>
    </x:row>
    <x:row r="183">
      <x:c r="B183" s="99" t="n"/>
    </x:row>
    <x:row r="184">
      <x:c r="B184" s="99" t="n"/>
    </x:row>
    <x:row r="185">
      <x:c r="B185" s="99" t="n"/>
    </x:row>
    <x:row r="186">
      <x:c r="B186" s="99" t="n"/>
    </x:row>
    <x:row r="187">
      <x:c r="B187" s="99" t="n"/>
    </x:row>
    <x:row r="188">
      <x:c r="B188" s="99" t="n"/>
    </x:row>
    <x:row r="189">
      <x:c r="B189" s="99" t="n"/>
    </x:row>
    <x:row r="190">
      <x:c r="B190" s="99" t="n"/>
    </x:row>
    <x:row r="191">
      <x:c r="B191" s="99" t="n"/>
    </x:row>
    <x:row r="192">
      <x:c r="B192" s="99" t="n"/>
    </x:row>
    <x:row r="193">
      <x:c r="B193" s="99" t="n"/>
    </x:row>
    <x:row r="194">
      <x:c r="B194" s="99" t="n"/>
    </x:row>
    <x:row r="195">
      <x:c r="B195" s="99" t="n"/>
    </x:row>
    <x:row r="196">
      <x:c r="B196" s="99" t="n"/>
    </x:row>
    <x:row r="197">
      <x:c r="B197" s="99" t="n"/>
    </x:row>
    <x:row r="198">
      <x:c r="B198" s="99" t="n"/>
    </x:row>
    <x:row r="199">
      <x:c r="B199" s="99" t="n"/>
    </x:row>
    <x:row r="200">
      <x:c r="B200" s="99" t="n"/>
    </x:row>
    <x:row r="201">
      <x:c r="B201" s="99" t="n"/>
    </x:row>
    <x:row r="202">
      <x:c r="B202" s="99" t="n"/>
    </x:row>
    <x:row r="203">
      <x:c r="B203" s="99" t="n"/>
    </x:row>
    <x:row r="204">
      <x:c r="B204" s="99" t="n"/>
    </x:row>
    <x:row r="205">
      <x:c r="B205" s="99" t="n"/>
    </x:row>
    <x:row r="206">
      <x:c r="B206" s="99" t="n"/>
    </x:row>
    <x:row r="207">
      <x:c r="B207" s="99" t="n"/>
    </x:row>
    <x:row r="208">
      <x:c r="B208" s="99" t="n"/>
    </x:row>
    <x:row r="209">
      <x:c r="B209" s="99" t="n"/>
    </x:row>
    <x:row r="210">
      <x:c r="B210" s="99" t="n"/>
    </x:row>
    <x:row r="211">
      <x:c r="B211" s="99" t="n"/>
    </x:row>
    <x:row r="212">
      <x:c r="B212" s="99" t="n"/>
    </x:row>
    <x:row r="213">
      <x:c r="B213" s="99" t="n"/>
    </x:row>
    <x:row r="214">
      <x:c r="B214" s="99" t="n"/>
    </x:row>
    <x:row r="215">
      <x:c r="B215" s="99" t="n"/>
    </x:row>
    <x:row r="216">
      <x:c r="B216" s="99" t="n"/>
    </x:row>
    <x:row r="217">
      <x:c r="B217" s="99" t="n"/>
    </x:row>
    <x:row r="218">
      <x:c r="B218" s="99" t="n"/>
    </x:row>
    <x:row r="219">
      <x:c r="B219" s="99" t="n"/>
    </x:row>
    <x:row r="220">
      <x:c r="B220" s="99" t="n"/>
    </x:row>
    <x:row r="221">
      <x:c r="B221" s="99" t="n"/>
    </x:row>
    <x:row r="222">
      <x:c r="B222" s="99" t="n"/>
    </x:row>
    <x:row r="223">
      <x:c r="B223" s="99" t="n"/>
    </x:row>
    <x:row r="224">
      <x:c r="B224" s="99" t="n"/>
    </x:row>
    <x:row r="225">
      <x:c r="B225" s="99" t="n"/>
    </x:row>
    <x:row r="226">
      <x:c r="B226" s="99" t="n"/>
    </x:row>
    <x:row r="227">
      <x:c r="B227" s="99" t="n"/>
    </x:row>
    <x:row r="228">
      <x:c r="B228" s="99" t="n"/>
    </x:row>
    <x:row r="229">
      <x:c r="B229" s="99" t="n"/>
    </x:row>
    <x:row r="230">
      <x:c r="B230" s="99" t="n"/>
    </x:row>
    <x:row r="231">
      <x:c r="B231" s="99" t="n"/>
    </x:row>
    <x:row r="232">
      <x:c r="B232" s="99" t="n"/>
    </x:row>
    <x:row r="233">
      <x:c r="B233" s="99" t="n"/>
    </x:row>
    <x:row r="234">
      <x:c r="B234" s="99" t="n"/>
    </x:row>
    <x:row r="235">
      <x:c r="B235" s="99" t="n"/>
    </x:row>
    <x:row r="236">
      <x:c r="B236" s="99" t="n"/>
    </x:row>
    <x:row r="237">
      <x:c r="B237" s="99" t="n"/>
    </x:row>
    <x:row r="238">
      <x:c r="B238" s="99" t="n"/>
    </x:row>
    <x:row r="239">
      <x:c r="B239" s="99" t="n"/>
    </x:row>
    <x:row r="240">
      <x:c r="B240" s="99" t="n"/>
    </x:row>
    <x:row r="241">
      <x:c r="B241" s="99" t="n"/>
    </x:row>
    <x:row r="242">
      <x:c r="B242" s="99" t="n"/>
    </x:row>
    <x:row r="243">
      <x:c r="B243" s="99" t="n"/>
    </x:row>
    <x:row r="244">
      <x:c r="B244" s="99" t="n"/>
    </x:row>
    <x:row r="245">
      <x:c r="B245" s="99" t="n"/>
    </x:row>
    <x:row r="246">
      <x:c r="B246" s="99" t="n"/>
    </x:row>
    <x:row r="247">
      <x:c r="B247" s="99" t="n"/>
    </x:row>
    <x:row r="248">
      <x:c r="B248" s="99" t="n"/>
    </x:row>
    <x:row r="249">
      <x:c r="B249" s="99" t="n"/>
    </x:row>
    <x:row r="250">
      <x:c r="B250" s="99" t="n"/>
    </x:row>
    <x:row r="251">
      <x:c r="B251" s="99" t="n"/>
    </x:row>
    <x:row r="252">
      <x:c r="B252" s="99" t="n"/>
    </x:row>
    <x:row r="253">
      <x:c r="B253" s="99" t="n"/>
    </x:row>
    <x:row r="254">
      <x:c r="B254" s="99" t="n"/>
    </x:row>
    <x:row r="255">
      <x:c r="B255" s="99" t="n"/>
    </x:row>
    <x:row r="256">
      <x:c r="B256" s="99" t="n"/>
    </x:row>
    <x:row r="257">
      <x:c r="B257" s="99" t="n"/>
    </x:row>
    <x:row r="258">
      <x:c r="B258" s="99" t="n"/>
    </x:row>
    <x:row r="259">
      <x:c r="B259" s="99" t="n"/>
    </x:row>
    <x:row r="260">
      <x:c r="B260" s="99" t="n"/>
    </x:row>
    <x:row r="261">
      <x:c r="B261" s="99" t="n"/>
    </x:row>
    <x:row r="262">
      <x:c r="B262" s="99" t="n"/>
    </x:row>
    <x:row r="263">
      <x:c r="B263" s="99" t="n"/>
    </x:row>
    <x:row r="264">
      <x:c r="B264" s="99" t="n"/>
    </x:row>
    <x:row r="265">
      <x:c r="B265" s="99" t="n"/>
    </x:row>
    <x:row r="266">
      <x:c r="B266" s="99" t="n"/>
    </x:row>
    <x:row r="267">
      <x:c r="B267" s="99" t="n"/>
    </x:row>
    <x:row r="268">
      <x:c r="B268" s="99" t="n"/>
    </x:row>
    <x:row r="269">
      <x:c r="B269" s="99" t="n"/>
    </x:row>
    <x:row r="270">
      <x:c r="B270" s="99" t="n"/>
    </x:row>
    <x:row r="271">
      <x:c r="B271" s="99" t="n"/>
    </x:row>
    <x:row r="272">
      <x:c r="B272" s="99" t="n"/>
    </x:row>
    <x:row r="273">
      <x:c r="B273" s="99" t="n"/>
    </x:row>
    <x:row r="274">
      <x:c r="B274" s="99" t="n"/>
    </x:row>
    <x:row r="275">
      <x:c r="B275" s="99" t="n"/>
    </x:row>
    <x:row r="276">
      <x:c r="B276" s="99" t="n"/>
    </x:row>
    <x:row r="277">
      <x:c r="B277" s="99" t="n"/>
    </x:row>
    <x:row r="278">
      <x:c r="B278" s="99" t="n"/>
    </x:row>
    <x:row r="279">
      <x:c r="B279" s="99" t="n"/>
    </x:row>
    <x:row r="280">
      <x:c r="B280" s="99" t="n"/>
    </x:row>
    <x:row r="281">
      <x:c r="B281" s="99" t="n"/>
    </x:row>
    <x:row r="282">
      <x:c r="B282" s="99" t="n"/>
    </x:row>
    <x:row r="283">
      <x:c r="B283" s="99" t="n"/>
    </x:row>
    <x:row r="284">
      <x:c r="B284" s="99" t="n"/>
    </x:row>
    <x:row r="285">
      <x:c r="B285" s="99" t="n"/>
    </x:row>
    <x:row r="286">
      <x:c r="B286" s="99" t="n"/>
    </x:row>
    <x:row r="287">
      <x:c r="B287" s="99" t="n"/>
    </x:row>
    <x:row r="288">
      <x:c r="B288" s="99" t="n"/>
    </x:row>
    <x:row r="289">
      <x:c r="B289" s="99" t="n"/>
    </x:row>
    <x:row r="290">
      <x:c r="B290" s="99" t="n"/>
    </x:row>
    <x:row r="291">
      <x:c r="B291" s="99" t="n"/>
    </x:row>
    <x:row r="292">
      <x:c r="B292" s="99" t="n"/>
    </x:row>
    <x:row r="293">
      <x:c r="B293" s="99" t="n"/>
    </x:row>
    <x:row r="294">
      <x:c r="B294" s="99" t="n"/>
    </x:row>
    <x:row r="295">
      <x:c r="B295" s="99" t="n"/>
    </x:row>
    <x:row r="296">
      <x:c r="B296" s="99" t="n"/>
    </x:row>
    <x:row r="297">
      <x:c r="B297" s="99" t="n"/>
    </x:row>
    <x:row r="298">
      <x:c r="B298" s="99" t="n"/>
    </x:row>
    <x:row r="299">
      <x:c r="B299" s="99" t="n"/>
    </x:row>
    <x:row r="300">
      <x:c r="B300" s="99" t="n"/>
    </x:row>
    <x:row r="301">
      <x:c r="B301" s="99" t="n"/>
    </x:row>
    <x:row r="302">
      <x:c r="B302" s="99" t="n"/>
    </x:row>
    <x:row r="303">
      <x:c r="B303" s="99" t="n"/>
    </x:row>
    <x:row r="304">
      <x:c r="B304" s="99" t="n"/>
    </x:row>
    <x:row r="305">
      <x:c r="B305" s="99" t="n"/>
    </x:row>
    <x:row r="306">
      <x:c r="B306" s="99" t="n"/>
    </x:row>
    <x:row r="307">
      <x:c r="B307" s="99" t="n"/>
    </x:row>
    <x:row r="308">
      <x:c r="B308" s="99" t="n"/>
    </x:row>
    <x:row r="309">
      <x:c r="B309" s="99" t="n"/>
    </x:row>
    <x:row r="310">
      <x:c r="B310" s="99" t="n"/>
    </x:row>
    <x:row r="311">
      <x:c r="B311" s="99" t="n"/>
    </x:row>
    <x:row r="312">
      <x:c r="B312" s="99" t="n"/>
    </x:row>
    <x:row r="313">
      <x:c r="B313" s="99" t="n"/>
    </x:row>
    <x:row r="314">
      <x:c r="B314" s="99" t="n"/>
    </x:row>
    <x:row r="315">
      <x:c r="B315" s="99" t="n"/>
    </x:row>
    <x:row r="316">
      <x:c r="B316" s="99" t="n"/>
    </x:row>
    <x:row r="317">
      <x:c r="B317" s="99" t="n"/>
    </x:row>
    <x:row r="318">
      <x:c r="B318" s="99" t="n"/>
    </x:row>
    <x:row r="319">
      <x:c r="B319" s="99" t="n"/>
    </x:row>
    <x:row r="320">
      <x:c r="B320" s="99" t="n"/>
    </x:row>
    <x:row r="321">
      <x:c r="B321" s="99" t="n"/>
    </x:row>
    <x:row r="322">
      <x:c r="B322" s="99" t="n"/>
    </x:row>
    <x:row r="323">
      <x:c r="B323" s="99" t="n"/>
    </x:row>
    <x:row r="324">
      <x:c r="B324" s="99" t="n"/>
    </x:row>
    <x:row r="325">
      <x:c r="B325" s="99" t="n"/>
    </x:row>
    <x:row r="326">
      <x:c r="B326" s="99" t="n"/>
    </x:row>
    <x:row r="327">
      <x:c r="B327" s="99" t="n"/>
    </x:row>
    <x:row r="328">
      <x:c r="B328" s="99" t="n"/>
    </x:row>
    <x:row r="329">
      <x:c r="B329" s="99" t="n"/>
    </x:row>
    <x:row r="330">
      <x:c r="B330" s="99" t="n"/>
    </x:row>
    <x:row r="331">
      <x:c r="B331" s="99" t="n"/>
    </x:row>
    <x:row r="332">
      <x:c r="B332" s="99" t="n"/>
    </x:row>
    <x:row r="333">
      <x:c r="B333" s="99" t="n"/>
    </x:row>
    <x:row r="334">
      <x:c r="B334" s="99" t="n"/>
    </x:row>
    <x:row r="335">
      <x:c r="B335" s="99" t="n"/>
    </x:row>
    <x:row r="336">
      <x:c r="B336" s="99" t="n"/>
    </x:row>
    <x:row r="337">
      <x:c r="B337" s="99" t="n"/>
    </x:row>
    <x:row r="338">
      <x:c r="B338" s="99" t="n"/>
    </x:row>
    <x:row r="339">
      <x:c r="B339" s="99" t="n"/>
    </x:row>
    <x:row r="340">
      <x:c r="B340" s="99" t="n"/>
    </x:row>
    <x:row r="341">
      <x:c r="B341" s="99" t="n"/>
    </x:row>
    <x:row r="342">
      <x:c r="B342" s="99" t="n"/>
    </x:row>
    <x:row r="343">
      <x:c r="B343" s="99" t="n"/>
    </x:row>
    <x:row r="344">
      <x:c r="B344" s="99" t="n"/>
    </x:row>
    <x:row r="345">
      <x:c r="B345" s="99" t="n"/>
    </x:row>
    <x:row r="346">
      <x:c r="B346" s="99" t="n"/>
    </x:row>
    <x:row r="347">
      <x:c r="B347" s="99" t="n"/>
    </x:row>
    <x:row r="348">
      <x:c r="B348" s="99" t="n"/>
    </x:row>
    <x:row r="349">
      <x:c r="B349" s="99" t="n"/>
    </x:row>
    <x:row r="350">
      <x:c r="B350" s="99" t="n"/>
    </x:row>
    <x:row r="351">
      <x:c r="B351" s="99" t="n"/>
    </x:row>
    <x:row r="352">
      <x:c r="B352" s="99" t="n"/>
    </x:row>
    <x:row r="353">
      <x:c r="B353" s="99" t="n"/>
    </x:row>
    <x:row r="354">
      <x:c r="B354" s="99" t="n"/>
    </x:row>
    <x:row r="355">
      <x:c r="B355" s="99" t="n"/>
    </x:row>
    <x:row r="356">
      <x:c r="B356" s="99" t="n"/>
    </x:row>
    <x:row r="357">
      <x:c r="B357" s="99" t="n"/>
    </x:row>
    <x:row r="358">
      <x:c r="B358" s="99" t="n"/>
    </x:row>
    <x:row r="359">
      <x:c r="B359" s="99" t="n"/>
    </x:row>
    <x:row r="360">
      <x:c r="B360" s="99" t="n"/>
    </x:row>
    <x:row r="361">
      <x:c r="B361" s="99" t="n"/>
    </x:row>
    <x:row r="362">
      <x:c r="B362" s="99" t="n"/>
    </x:row>
    <x:row r="363">
      <x:c r="B363" s="99" t="n"/>
    </x:row>
    <x:row r="364">
      <x:c r="B364" s="99" t="n"/>
    </x:row>
    <x:row r="365">
      <x:c r="B365" s="99" t="n"/>
    </x:row>
    <x:row r="366">
      <x:c r="B366" s="99" t="n"/>
    </x:row>
    <x:row r="367">
      <x:c r="B367" s="99" t="n"/>
    </x:row>
    <x:row r="368">
      <x:c r="B368" s="99" t="n"/>
    </x:row>
    <x:row r="369">
      <x:c r="B369" s="99" t="n"/>
    </x:row>
    <x:row r="370">
      <x:c r="B370" s="99" t="n"/>
    </x:row>
    <x:row r="371">
      <x:c r="B371" s="99" t="n"/>
    </x:row>
    <x:row r="372">
      <x:c r="B372" s="99" t="n"/>
    </x:row>
    <x:row r="373">
      <x:c r="B373" s="99" t="n"/>
    </x:row>
    <x:row r="374">
      <x:c r="B374" s="99" t="n"/>
    </x:row>
    <x:row r="375">
      <x:c r="B375" s="99" t="n"/>
    </x:row>
    <x:row r="376">
      <x:c r="B376" s="99" t="n"/>
    </x:row>
    <x:row r="377">
      <x:c r="B377" s="99" t="n"/>
    </x:row>
    <x:row r="378">
      <x:c r="B378" s="99" t="n"/>
    </x:row>
    <x:row r="379">
      <x:c r="B379" s="99" t="n"/>
    </x:row>
    <x:row r="380">
      <x:c r="B380" s="99" t="n"/>
    </x:row>
    <x:row r="381">
      <x:c r="B381" s="99" t="n"/>
    </x:row>
    <x:row r="382">
      <x:c r="B382" s="99" t="n"/>
    </x:row>
    <x:row r="383">
      <x:c r="B383" s="99" t="n"/>
    </x:row>
    <x:row r="384">
      <x:c r="B384" s="99" t="n"/>
    </x:row>
    <x:row r="385">
      <x:c r="B385" s="99" t="n"/>
    </x:row>
    <x:row r="386">
      <x:c r="B386" s="99" t="n"/>
    </x:row>
    <x:row r="387">
      <x:c r="B387" s="99" t="n"/>
    </x:row>
    <x:row r="388">
      <x:c r="B388" s="99" t="n"/>
    </x:row>
    <x:row r="389">
      <x:c r="B389" s="99" t="n"/>
    </x:row>
    <x:row r="390">
      <x:c r="B390" s="99" t="n"/>
    </x:row>
    <x:row r="391">
      <x:c r="B391" s="99" t="n"/>
    </x:row>
    <x:row r="392">
      <x:c r="B392" s="99" t="n"/>
    </x:row>
    <x:row r="393">
      <x:c r="B393" s="99" t="n"/>
    </x:row>
    <x:row r="394">
      <x:c r="B394" s="99" t="n"/>
    </x:row>
    <x:row r="395">
      <x:c r="B395" s="99" t="n"/>
    </x:row>
    <x:row r="396">
      <x:c r="B396" s="99" t="n"/>
    </x:row>
    <x:row r="397">
      <x:c r="B397" s="99" t="n"/>
    </x:row>
    <x:row r="398">
      <x:c r="B398" s="99" t="n"/>
    </x:row>
    <x:row r="399">
      <x:c r="B399" s="99" t="n"/>
    </x:row>
    <x:row r="400">
      <x:c r="B400" s="99" t="n"/>
    </x:row>
    <x:row r="401">
      <x:c r="B401" s="99" t="n"/>
    </x:row>
    <x:row r="402">
      <x:c r="B402" s="99" t="n"/>
    </x:row>
    <x:row r="403">
      <x:c r="B403" s="99" t="n"/>
    </x:row>
    <x:row r="404">
      <x:c r="B404" s="99" t="n"/>
    </x:row>
    <x:row r="405">
      <x:c r="B405" s="99" t="n"/>
    </x:row>
    <x:row r="406">
      <x:c r="B406" s="99" t="n"/>
    </x:row>
    <x:row r="407">
      <x:c r="B407" s="99" t="n"/>
    </x:row>
    <x:row r="408">
      <x:c r="B408" s="99" t="n"/>
    </x:row>
    <x:row r="409">
      <x:c r="B409" s="99" t="n"/>
    </x:row>
    <x:row r="410">
      <x:c r="B410" s="99" t="n"/>
    </x:row>
    <x:row r="411">
      <x:c r="B411" s="99" t="n"/>
    </x:row>
    <x:row r="412">
      <x:c r="B412" s="99" t="n"/>
    </x:row>
    <x:row r="413">
      <x:c r="B413" s="99" t="n"/>
    </x:row>
    <x:row r="414">
      <x:c r="B414" s="99" t="n"/>
    </x:row>
    <x:row r="415">
      <x:c r="B415" s="99" t="n"/>
    </x:row>
    <x:row r="416">
      <x:c r="B416" s="99" t="n"/>
    </x:row>
    <x:row r="417">
      <x:c r="B417" s="99" t="n"/>
    </x:row>
    <x:row r="418">
      <x:c r="B418" s="99" t="n"/>
    </x:row>
    <x:row r="419">
      <x:c r="B419" s="99" t="n"/>
    </x:row>
    <x:row r="420">
      <x:c r="B420" s="99" t="n"/>
    </x:row>
    <x:row r="421">
      <x:c r="B421" s="99" t="n"/>
    </x:row>
    <x:row r="422">
      <x:c r="B422" s="99" t="n"/>
    </x:row>
    <x:row r="423">
      <x:c r="B423" s="99" t="n"/>
    </x:row>
    <x:row r="424">
      <x:c r="B424" s="99" t="n"/>
    </x:row>
    <x:row r="425">
      <x:c r="B425" s="99" t="n"/>
    </x:row>
    <x:row r="426">
      <x:c r="B426" s="99" t="n"/>
    </x:row>
    <x:row r="427">
      <x:c r="B427" s="99" t="n"/>
    </x:row>
    <x:row r="428">
      <x:c r="B428" s="99" t="n"/>
    </x:row>
    <x:row r="429">
      <x:c r="B429" s="99" t="n"/>
    </x:row>
    <x:row r="430">
      <x:c r="B430" s="99" t="n"/>
    </x:row>
    <x:row r="431">
      <x:c r="B431" s="99" t="n"/>
    </x:row>
    <x:row r="432">
      <x:c r="B432" s="99" t="n"/>
    </x:row>
    <x:row r="433">
      <x:c r="B433" s="99" t="n"/>
    </x:row>
    <x:row r="434">
      <x:c r="B434" s="99" t="n"/>
    </x:row>
    <x:row r="435">
      <x:c r="B435" s="99" t="n"/>
    </x:row>
    <x:row r="436">
      <x:c r="B436" s="99" t="n"/>
    </x:row>
    <x:row r="437">
      <x:c r="B437" s="99" t="n"/>
    </x:row>
    <x:row r="438">
      <x:c r="B438" s="99" t="n"/>
    </x:row>
    <x:row r="439">
      <x:c r="B439" s="99" t="n"/>
    </x:row>
    <x:row r="440">
      <x:c r="B440" s="99" t="n"/>
    </x:row>
    <x:row r="441">
      <x:c r="B441" s="99" t="n"/>
    </x:row>
    <x:row r="442">
      <x:c r="B442" s="99" t="n"/>
    </x:row>
    <x:row r="443">
      <x:c r="B443" s="99" t="n"/>
    </x:row>
    <x:row r="444">
      <x:c r="B444" s="99" t="n"/>
    </x:row>
    <x:row r="445">
      <x:c r="B445" s="99" t="n"/>
    </x:row>
    <x:row r="446">
      <x:c r="B446" s="99" t="n"/>
    </x:row>
    <x:row r="447">
      <x:c r="B447" s="99" t="n"/>
    </x:row>
    <x:row r="448">
      <x:c r="B448" s="99" t="n"/>
    </x:row>
    <x:row r="449">
      <x:c r="B449" s="99" t="n"/>
    </x:row>
    <x:row r="450">
      <x:c r="B450" s="99" t="n"/>
    </x:row>
    <x:row r="451">
      <x:c r="B451" s="99" t="n"/>
    </x:row>
    <x:row r="452">
      <x:c r="B452" s="99" t="n"/>
    </x:row>
    <x:row r="453">
      <x:c r="B453" s="99" t="n"/>
    </x:row>
    <x:row r="454">
      <x:c r="B454" s="99" t="n"/>
    </x:row>
    <x:row r="455">
      <x:c r="B455" s="99" t="n"/>
    </x:row>
    <x:row r="456">
      <x:c r="B456" s="99" t="n"/>
    </x:row>
    <x:row r="457">
      <x:c r="B457" s="99" t="n"/>
    </x:row>
    <x:row r="458">
      <x:c r="B458" s="99" t="n"/>
    </x:row>
    <x:row r="459">
      <x:c r="B459" s="99" t="n"/>
    </x:row>
    <x:row r="460">
      <x:c r="B460" s="99" t="n"/>
    </x:row>
    <x:row r="461">
      <x:c r="B461" s="99" t="n"/>
    </x:row>
    <x:row r="462">
      <x:c r="B462" s="99" t="n"/>
    </x:row>
    <x:row r="463">
      <x:c r="B463" s="99" t="n"/>
    </x:row>
    <x:row r="464">
      <x:c r="B464" s="99" t="n"/>
    </x:row>
    <x:row r="465">
      <x:c r="B465" s="99" t="n"/>
    </x:row>
    <x:row r="466">
      <x:c r="B466" s="99" t="n"/>
    </x:row>
    <x:row r="467">
      <x:c r="B467" s="99" t="n"/>
    </x:row>
    <x:row r="468">
      <x:c r="B468" s="99" t="n"/>
    </x:row>
    <x:row r="469">
      <x:c r="B469" s="99" t="n"/>
    </x:row>
    <x:row r="470">
      <x:c r="B470" s="99" t="n"/>
    </x:row>
    <x:row r="471">
      <x:c r="B471" s="99" t="n"/>
    </x:row>
    <x:row r="472">
      <x:c r="B472" s="99" t="n"/>
    </x:row>
    <x:row r="473">
      <x:c r="B473" s="99" t="n"/>
    </x:row>
    <x:row r="474">
      <x:c r="B474" s="99" t="n"/>
    </x:row>
    <x:row r="475">
      <x:c r="B475" s="99" t="n"/>
    </x:row>
    <x:row r="476">
      <x:c r="B476" s="99" t="n"/>
    </x:row>
    <x:row r="477">
      <x:c r="B477" s="99" t="n"/>
    </x:row>
    <x:row r="478">
      <x:c r="B478" s="99" t="n"/>
    </x:row>
    <x:row r="479">
      <x:c r="B479" s="99" t="n"/>
    </x:row>
    <x:row r="480">
      <x:c r="B480" s="99" t="n"/>
    </x:row>
    <x:row r="481">
      <x:c r="B481" s="99" t="n"/>
    </x:row>
    <x:row r="482">
      <x:c r="B482" s="99" t="n"/>
    </x:row>
    <x:row r="483">
      <x:c r="B483" s="99" t="n"/>
    </x:row>
    <x:row r="484">
      <x:c r="B484" s="99" t="n"/>
    </x:row>
    <x:row r="485">
      <x:c r="B485" s="99" t="n"/>
    </x:row>
    <x:row r="486">
      <x:c r="B486" s="99" t="n"/>
    </x:row>
    <x:row r="487">
      <x:c r="B487" s="99" t="n"/>
    </x:row>
    <x:row r="488">
      <x:c r="B488" s="99" t="n"/>
    </x:row>
    <x:row r="489">
      <x:c r="B489" s="99" t="n"/>
    </x:row>
    <x:row r="490">
      <x:c r="B490" s="99" t="n"/>
    </x:row>
    <x:row r="491">
      <x:c r="B491" s="99" t="n"/>
    </x:row>
    <x:row r="492">
      <x:c r="B492" s="99" t="n"/>
    </x:row>
    <x:row r="493">
      <x:c r="B493" s="99" t="n"/>
    </x:row>
    <x:row r="494">
      <x:c r="B494" s="99" t="n"/>
    </x:row>
    <x:row r="495">
      <x:c r="B495" s="99" t="n"/>
    </x:row>
    <x:row r="496">
      <x:c r="B496" s="99" t="n"/>
    </x:row>
    <x:row r="497">
      <x:c r="B497" s="99" t="n"/>
    </x:row>
    <x:row r="498">
      <x:c r="B498" s="99" t="n"/>
    </x:row>
    <x:row r="499">
      <x:c r="B499" s="99" t="n"/>
    </x:row>
    <x:row r="500">
      <x:c r="B500" s="99" t="n"/>
    </x:row>
  </x:sheetData>
  <x:pageMargins left="0.7" right="0.7" top="0.75" bottom="0.75" header="0.3" footer="0.3"/>
</x:worksheet>
</file>

<file path=xl/worksheets/sheet59.xml><?xml version="1.0" encoding="utf-8"?>
<x:worksheet xmlns:x="http://schemas.openxmlformats.org/spreadsheetml/2006/main">
  <x:sheetFormatPr baseColWidth="8" defaultRowHeight="15"/>
  <x:cols>
    <x:col min="1" max="1" width="18" style="91" customWidth="1"/>
    <x:col min="2" max="2" width="14" style="91" customWidth="1"/>
    <x:col min="3" max="3" width="22" style="91" customWidth="1"/>
    <x:col min="4" max="4" width="22" style="91" customWidth="1"/>
    <x:col min="5" max="5" width="22" style="91" customWidth="1"/>
    <x:col min="6" max="6" width="22" style="91" customWidth="1"/>
    <x:col min="7" max="7" width="20" style="91" customWidth="1"/>
    <x:col min="8" max="8" width="48" style="91" customWidth="1"/>
    <x:col min="9" max="9" width="44" style="91" customWidth="1"/>
    <x:col min="10" max="10" width="44" style="91" customWidth="1"/>
    <x:col min="11" max="11" width="22" style="91" customWidth="1"/>
    <x:col min="12" max="12" width="78" style="91" customWidth="1"/>
    <x:col min="13" max="13" width="22" style="91" customWidth="1"/>
    <x:col min="14" max="14" width="14" style="91" customWidth="1"/>
    <x:col min="15" max="15" width="26" style="91" customWidth="1"/>
    <x:col min="16" max="16" width="26" style="91" customWidth="1"/>
    <x:col min="17" max="17" width="24" style="91" customWidth="1"/>
    <x:col min="18" max="18" width="24" style="91" customWidth="1"/>
    <x:col min="19" max="19" width="28" style="91" customWidth="1"/>
    <x:col min="20" max="20" width="78" style="91" customWidth="1"/>
    <x:col min="21" max="21" width="58" style="91" customWidth="1"/>
  </x:cols>
  <x:sheetData>
    <x:row r="1" s="91" customFormat="1" ht="48" customHeight="1">
      <x:c r="A1" s="283" t="inlineStr">
        <x:is>
          <x:t xml:space="preserve">Channel Listing ID</x:t>
        </x:is>
      </x:c>
      <x:c r="B1" s="283" t="inlineStr">
        <x:is>
          <x:t xml:space="preserve">Ngày kiểm tra</x:t>
        </x:is>
      </x:c>
      <x:c r="C1" s="283" t="inlineStr">
        <x:is>
          <x:t xml:space="preserve">Platform/Website</x:t>
        </x:is>
      </x:c>
      <x:c r="D1" s="283" t="inlineStr">
        <x:is>
          <x:t xml:space="preserve">Seller/Chain</x:t>
        </x:is>
      </x:c>
      <x:c r="E1" s="283" t="inlineStr">
        <x:is>
          <x:t xml:space="preserve">Listing Type</x:t>
        </x:is>
      </x:c>
      <x:c r="F1" s="283" t="inlineStr">
        <x:is>
          <x:t xml:space="preserve">Khu vực</x:t>
        </x:is>
      </x:c>
      <x:c r="G1" s="283" t="inlineStr">
        <x:is>
          <x:t xml:space="preserve">Brand</x:t>
        </x:is>
      </x:c>
      <x:c r="H1" s="283" t="inlineStr">
        <x:is>
          <x:t xml:space="preserve">Sản phẩm/SKU</x:t>
        </x:is>
      </x:c>
      <x:c r="I1" s="283" t="inlineStr">
        <x:is>
          <x:t xml:space="preserve">Product Entity Key</x:t>
        </x:is>
      </x:c>
      <x:c r="J1" s="283" t="inlineStr">
        <x:is>
          <x:t xml:space="preserve">Variant Key</x:t>
        </x:is>
      </x:c>
      <x:c r="K1" s="283" t="inlineStr">
        <x:is>
          <x:t xml:space="preserve">Nhóm</x:t>
        </x:is>
      </x:c>
      <x:c r="L1" s="283" t="inlineStr">
        <x:is>
          <x:t xml:space="preserve">Listing URL</x:t>
        </x:is>
      </x:c>
      <x:c r="M1" s="283" t="inlineStr">
        <x:is>
          <x:t xml:space="preserve">Seller SKU/Barcode</x:t>
        </x:is>
      </x:c>
      <x:c r="N1" s="283" t="inlineStr">
        <x:is>
          <x:t xml:space="preserve">Giá</x:t>
        </x:is>
      </x:c>
      <x:c r="O1" s="283" t="inlineStr">
        <x:is>
          <x:t xml:space="preserve">Sold/Review Signal</x:t>
        </x:is>
      </x:c>
      <x:c r="P1" s="283" t="inlineStr">
        <x:is>
          <x:t xml:space="preserve">License/Compliance Signal</x:t>
        </x:is>
      </x:c>
      <x:c r="Q1" s="283" t="inlineStr">
        <x:is>
          <x:t xml:space="preserve">Legal ID</x:t>
        </x:is>
      </x:c>
      <x:c r="R1" s="283" t="inlineStr">
        <x:is>
          <x:t xml:space="preserve">Số CBMP</x:t>
        </x:is>
      </x:c>
      <x:c r="S1" s="283" t="inlineStr">
        <x:is>
          <x:t xml:space="preserve">Legal Search Status</x:t>
        </x:is>
      </x:c>
      <x:c r="T1" s="283" t="inlineStr">
        <x:is>
          <x:t xml:space="preserve">Nguồn</x:t>
        </x:is>
      </x:c>
      <x:c r="U1" s="283" t="inlineStr">
        <x:is>
          <x:t xml:space="preserve">Ghi chú</x:t>
        </x:is>
      </x:c>
      <x:c r="V1" s="272" t="n"/>
      <x:c r="W1" s="272" t="n"/>
      <x:c r="X1" s="272" t="n"/>
      <x:c r="Y1" s="272" t="n"/>
      <x:c r="Z1" s="272" t="n"/>
    </x:row>
    <x:row r="2">
      <x:c r="A2" t="inlineStr">
        <x:is>
          <x:t xml:space="preserve">ON-0001</x:t>
        </x:is>
      </x:c>
      <x:c r="B2" s="99" t="n">
        <x:v>46247</x:v>
      </x:c>
      <x:c r="C2" t="inlineStr">
        <x:is>
          <x:t xml:space="preserve">Guardian</x:t>
        </x:is>
      </x:c>
      <x:c r="D2" t="inlineStr">
        <x:is>
          <x:t xml:space="preserve">Guardian</x:t>
        </x:is>
      </x:c>
      <x:c r="E2" t="inlineStr">
        <x:is>
          <x:t xml:space="preserve">Beauty retail</x:t>
        </x:is>
      </x:c>
      <x:c r="F2" t="inlineStr">
        <x:is>
          <x:t xml:space="preserve">TP.HCM / Việt Nam</x:t>
        </x:is>
      </x:c>
      <x:c r="H2" t="inlineStr">
        <x:is>
          <x:t xml:space="preserve">Guardian private label – body care; Aloe Vera Gel, Body Wash...</x:t>
        </x:is>
      </x:c>
      <x:c r="I2" t="inlineStr">
        <x:is>
          <x:t xml:space="preserve">|guardianprivatelabelbodycarealoeveragelbodywash</x:t>
        </x:is>
      </x:c>
      <x:c r="J2" t="inlineStr">
        <x:is>
          <x:t xml:space="preserve">|guardianprivatelabelbodycarealoeveragelbodywash</x:t>
        </x:is>
      </x:c>
      <x:c r="L2" t="inlineStr">
        <x:is>
          <x:t xml:space="preserve">https://www.guardian.com.vn/shopby/guardian.html?brand_id=1%2C1728</x:t>
        </x:is>
      </x:c>
      <x:c r="P2" t="inlineStr">
        <x:is>
          <x:t xml:space="preserve">PUBLIC_ONLINE_CATALOG</x:t>
        </x:is>
      </x:c>
      <x:c r="S2" t="inlineStr">
        <x:is>
          <x:t xml:space="preserve">NOT_SEARCHED_OR_CATEGORY_LEVEL</x:t>
        </x:is>
      </x:c>
      <x:c r="T2" t="inlineStr">
        <x:is>
          <x:t xml:space="preserve">https://www.guardian.com.vn/shopby/guardian.html?brand_id=1%2C1728</x:t>
        </x:is>
      </x:c>
      <x:c r="U2" t="inlineStr">
        <x:is>
          <x:t xml:space="preserve">Có bán chính thức = market signal. Không mặc nhiên coi là đã xác minh công bố.</x:t>
        </x:is>
      </x:c>
    </x:row>
    <x:row r="3">
      <x:c r="A3" t="inlineStr">
        <x:is>
          <x:t xml:space="preserve">ON-0002</x:t>
        </x:is>
      </x:c>
      <x:c r="B3" s="99" t="n">
        <x:v>46247</x:v>
      </x:c>
      <x:c r="C3" t="inlineStr">
        <x:is>
          <x:t xml:space="preserve">Watsons</x:t>
        </x:is>
      </x:c>
      <x:c r="D3" t="inlineStr">
        <x:is>
          <x:t xml:space="preserve">Watsons</x:t>
        </x:is>
      </x:c>
      <x:c r="E3" t="inlineStr">
        <x:is>
          <x:t xml:space="preserve">Beauty retail</x:t>
        </x:is>
      </x:c>
      <x:c r="F3" t="inlineStr">
        <x:is>
          <x:t xml:space="preserve">TP.HCM / Việt Nam</x:t>
        </x:is>
      </x:c>
      <x:c r="H3" t="inlineStr">
        <x:is>
          <x:t xml:space="preserve">Dầu gội</x:t>
        </x:is>
      </x:c>
      <x:c r="I3" t="inlineStr">
        <x:is>
          <x:t xml:space="preserve">|daugoi</x:t>
        </x:is>
      </x:c>
      <x:c r="J3" t="inlineStr">
        <x:is>
          <x:t xml:space="preserve">|daugoi</x:t>
        </x:is>
      </x:c>
      <x:c r="L3" t="inlineStr">
        <x:is>
          <x:t xml:space="preserve">https://www.watsons.vn/vi/ch%C4%83m-s%C3%B3c-t%C3%B3c/d%E1%BA%A7u-g%E1%BB%99i/c/0501000</x:t>
        </x:is>
      </x:c>
      <x:c r="P3" t="inlineStr">
        <x:is>
          <x:t xml:space="preserve">PUBLIC_ONLINE_CATALOG</x:t>
        </x:is>
      </x:c>
      <x:c r="S3" t="inlineStr">
        <x:is>
          <x:t xml:space="preserve">NOT_SEARCHED_OR_CATEGORY_LEVEL</x:t>
        </x:is>
      </x:c>
      <x:c r="T3" t="inlineStr">
        <x:is>
          <x:t xml:space="preserve">https://www.watsons.vn/vi/ch%C4%83m-s%C3%B3c-t%C3%B3c/d%E1%BA%A7u-g%E1%BB%99i/c/0501000</x:t>
        </x:is>
      </x:c>
      <x:c r="U3" t="inlineStr">
        <x:is>
          <x:t xml:space="preserve">Nguồn rất tốt để lập queue reverse lookup theo brand/SKU.</x:t>
        </x:is>
      </x:c>
    </x:row>
    <x:row r="4">
      <x:c r="A4" t="inlineStr">
        <x:is>
          <x:t xml:space="preserve">ON-0003</x:t>
        </x:is>
      </x:c>
      <x:c r="B4" s="99" t="n">
        <x:v>46247</x:v>
      </x:c>
      <x:c r="C4" t="inlineStr">
        <x:is>
          <x:t xml:space="preserve">Watsons</x:t>
        </x:is>
      </x:c>
      <x:c r="D4" t="inlineStr">
        <x:is>
          <x:t xml:space="preserve">Watsons</x:t>
        </x:is>
      </x:c>
      <x:c r="E4" t="inlineStr">
        <x:is>
          <x:t xml:space="preserve">Beauty retail</x:t>
        </x:is>
      </x:c>
      <x:c r="F4" t="inlineStr">
        <x:is>
          <x:t xml:space="preserve">TP.HCM / Việt Nam</x:t>
        </x:is>
      </x:c>
      <x:c r="H4" t="inlineStr">
        <x:is>
          <x:t xml:space="preserve">Chăm sóc tóc tổng</x:t>
        </x:is>
      </x:c>
      <x:c r="I4" t="inlineStr">
        <x:is>
          <x:t xml:space="preserve">|chamsoctoctong</x:t>
        </x:is>
      </x:c>
      <x:c r="J4" t="inlineStr">
        <x:is>
          <x:t xml:space="preserve">|chamsoctoctong</x:t>
        </x:is>
      </x:c>
      <x:c r="L4" t="inlineStr">
        <x:is>
          <x:t xml:space="preserve">https://www.watsons.vn/vi/ch%C4%83m-s%C3%B3c-t%C3%B3c/c/0500000</x:t>
        </x:is>
      </x:c>
      <x:c r="P4" t="inlineStr">
        <x:is>
          <x:t xml:space="preserve">PUBLIC_ONLINE_CATALOG</x:t>
        </x:is>
      </x:c>
      <x:c r="S4" t="inlineStr">
        <x:is>
          <x:t xml:space="preserve">NOT_SEARCHED_OR_CATEGORY_LEVEL</x:t>
        </x:is>
      </x:c>
      <x:c r="T4" t="inlineStr">
        <x:is>
          <x:t xml:space="preserve">https://www.watsons.vn/vi/ch%C4%83m-s%C3%B3c-t%C3%B3c/c/0500000</x:t>
        </x:is>
      </x:c>
      <x:c r="U4" t="inlineStr">
        <x:is>
          <x:t xml:space="preserve">Có thể dùng để đo breadth danh mục và ưu tiên sản phẩm bán thật.</x:t>
        </x:is>
      </x:c>
    </x:row>
    <x:row r="5">
      <x:c r="A5" t="inlineStr">
        <x:is>
          <x:t xml:space="preserve">ON-0004</x:t>
        </x:is>
      </x:c>
      <x:c r="B5" s="99" t="n">
        <x:v>46247</x:v>
      </x:c>
      <x:c r="C5" t="inlineStr">
        <x:is>
          <x:t xml:space="preserve">TikTok Shop Việt Nam</x:t>
        </x:is>
      </x:c>
      <x:c r="D5" t="inlineStr">
        <x:is>
          <x:t xml:space="preserve">TikTok Shop Việt Nam</x:t>
        </x:is>
      </x:c>
      <x:c r="E5" t="inlineStr">
        <x:is>
          <x:t xml:space="preserve">E-commerce</x:t>
        </x:is>
      </x:c>
      <x:c r="F5" t="inlineStr">
        <x:is>
          <x:t xml:space="preserve">Toàn quốc</x:t>
        </x:is>
      </x:c>
      <x:c r="H5" t="inlineStr">
        <x:is>
          <x:t xml:space="preserve">Mỹ phẩm – thuộc tính giấy phép sản phẩm</x:t>
        </x:is>
      </x:c>
      <x:c r="I5" t="inlineStr">
        <x:is>
          <x:t xml:space="preserve">|myphamthuoctinhgiayphepsanpham</x:t>
        </x:is>
      </x:c>
      <x:c r="J5" t="inlineStr">
        <x:is>
          <x:t xml:space="preserve">|myphamthuoctinhgiayphepsanpham</x:t>
        </x:is>
      </x:c>
      <x:c r="L5" t="inlineStr">
        <x:is>
          <x:t xml:space="preserve">https://seller-vn.tiktok.com/university/essay?anchor_link=EC4200CA&amp;course_type=1&amp;from=search&amp;identity=1&amp;knowledge_id=5985153894614801&amp;role=1</x:t>
        </x:is>
      </x:c>
      <x:c r="P5" t="inlineStr">
        <x:is>
          <x:t xml:space="preserve">PLATFORM_ENFORCED</x:t>
        </x:is>
      </x:c>
      <x:c r="S5" t="inlineStr">
        <x:is>
          <x:t xml:space="preserve">NOT_SEARCHED_OR_CATEGORY_LEVEL</x:t>
        </x:is>
      </x:c>
      <x:c r="T5" t="inlineStr">
        <x:is>
          <x:t xml:space="preserve">https://seller-vn.tiktok.com/university/essay?anchor_link=EC4200CA&amp;course_type=1&amp;from=search&amp;identity=1&amp;knowledge_id=5985153894614801&amp;role=1</x:t>
        </x:is>
      </x:c>
      <x:c r="U5" t="inlineStr">
        <x:is>
          <x:t xml:space="preserve">Từ 20/03/2026, ngành Mỹ phẩm phải khai loại giấy phép, số đăng ký, ngày cấp, nơi cấp.</x:t>
        </x:is>
      </x:c>
    </x:row>
    <x:row r="6">
      <x:c r="A6" t="inlineStr">
        <x:is>
          <x:t xml:space="preserve">ON-0005</x:t>
        </x:is>
      </x:c>
      <x:c r="B6" s="99" t="n">
        <x:v>46247</x:v>
      </x:c>
      <x:c r="C6" t="inlineStr">
        <x:is>
          <x:t xml:space="preserve">TikTok Shop Việt Nam</x:t>
        </x:is>
      </x:c>
      <x:c r="D6" t="inlineStr">
        <x:is>
          <x:t xml:space="preserve">TikTok Shop Việt Nam</x:t>
        </x:is>
      </x:c>
      <x:c r="E6" t="inlineStr">
        <x:is>
          <x:t xml:space="preserve">E-commerce</x:t>
        </x:is>
      </x:c>
      <x:c r="F6" t="inlineStr">
        <x:is>
          <x:t xml:space="preserve">Toàn quốc</x:t>
        </x:is>
      </x:c>
      <x:c r="H6" t="inlineStr">
        <x:is>
          <x:t xml:space="preserve">Beauty &amp; Personal Care – restricted products</x:t>
        </x:is>
      </x:c>
      <x:c r="I6" t="inlineStr">
        <x:is>
          <x:t xml:space="preserve">|beautypersonalcarerestrictedproducts</x:t>
        </x:is>
      </x:c>
      <x:c r="J6" t="inlineStr">
        <x:is>
          <x:t xml:space="preserve">|beautypersonalcarerestrictedproducts</x:t>
        </x:is>
      </x:c>
      <x:c r="L6" t="inlineStr">
        <x:is>
          <x:t xml:space="preserve">https://seller-vn.tiktok.com/university/essay?default_language=en&amp;knowledge_id=7179954358388497</x:t>
        </x:is>
      </x:c>
      <x:c r="P6" t="inlineStr">
        <x:is>
          <x:t xml:space="preserve">PLATFORM_ENFORCED</x:t>
        </x:is>
      </x:c>
      <x:c r="S6" t="inlineStr">
        <x:is>
          <x:t xml:space="preserve">NOT_SEARCHED_OR_CATEGORY_LEVEL</x:t>
        </x:is>
      </x:c>
      <x:c r="T6" t="inlineStr">
        <x:is>
          <x:t xml:space="preserve">https://seller-vn.tiktok.com/university/essay?default_language=en&amp;knowledge_id=7179954358388497</x:t>
        </x:is>
      </x:c>
      <x:c r="U6" t="inlineStr">
        <x:is>
          <x:t xml:space="preserve">Chính sách 14/07/2026: mỹ phẩm có thể phải nộp tài liệu chứng minh tuân thủ.</x:t>
        </x:is>
      </x:c>
    </x:row>
    <x:row r="7">
      <x:c r="A7" t="inlineStr">
        <x:is>
          <x:t xml:space="preserve">ON-0006</x:t>
        </x:is>
      </x:c>
      <x:c r="B7" s="99" t="n">
        <x:v>46247</x:v>
      </x:c>
      <x:c r="C7" t="inlineStr">
        <x:is>
          <x:t xml:space="preserve">Guardian</x:t>
        </x:is>
      </x:c>
      <x:c r="D7" t="inlineStr">
        <x:is>
          <x:t xml:space="preserve">Guardian</x:t>
        </x:is>
      </x:c>
      <x:c r="E7" t="inlineStr">
        <x:is>
          <x:t xml:space="preserve">Mother &amp; Baby retail</x:t>
        </x:is>
      </x:c>
      <x:c r="F7" t="inlineStr">
        <x:is>
          <x:t xml:space="preserve">TP.HCM / Việt Nam</x:t>
        </x:is>
      </x:c>
      <x:c r="H7" t="inlineStr">
        <x:is>
          <x:t xml:space="preserve">Mẹ &amp; Bé tổng</x:t>
        </x:is>
      </x:c>
      <x:c r="I7" t="inlineStr">
        <x:is>
          <x:t xml:space="preserve">|mebetong</x:t>
        </x:is>
      </x:c>
      <x:c r="J7" t="inlineStr">
        <x:is>
          <x:t xml:space="preserve">|mebetong</x:t>
        </x:is>
      </x:c>
      <x:c r="L7" t="inlineStr">
        <x:is>
          <x:t xml:space="preserve">https://www.guardian.com.vn/all-products</x:t>
        </x:is>
      </x:c>
      <x:c r="P7" t="inlineStr">
        <x:is>
          <x:t xml:space="preserve">PUBLIC_ONLINE_CATALOG</x:t>
        </x:is>
      </x:c>
      <x:c r="S7" t="inlineStr">
        <x:is>
          <x:t xml:space="preserve">NOT_SEARCHED_OR_CATEGORY_LEVEL</x:t>
        </x:is>
      </x:c>
      <x:c r="T7" t="inlineStr">
        <x:is>
          <x:t xml:space="preserve">https://www.guardian.com.vn/all-products</x:t>
        </x:is>
      </x:c>
      <x:c r="U7" t="inlineStr">
        <x:is>
          <x:t xml:space="preserve">Guardian hiển thị 202 SP Mẹ &amp; Bé; 106 chăm sóc bé; 31 tắm gội; 24 da/chống nắng; 16 dầu gội bé; 14 răng miệng bé.</x:t>
        </x:is>
      </x:c>
    </x:row>
    <x:row r="8">
      <x:c r="A8" t="inlineStr">
        <x:is>
          <x:t xml:space="preserve">ON-0007</x:t>
        </x:is>
      </x:c>
      <x:c r="B8" s="99" t="n">
        <x:v>46247</x:v>
      </x:c>
      <x:c r="C8" t="inlineStr">
        <x:is>
          <x:t xml:space="preserve">Guardian</x:t>
        </x:is>
      </x:c>
      <x:c r="D8" t="inlineStr">
        <x:is>
          <x:t xml:space="preserve">Guardian</x:t>
        </x:is>
      </x:c>
      <x:c r="E8" t="inlineStr">
        <x:is>
          <x:t xml:space="preserve">Mother &amp; Baby retail</x:t>
        </x:is>
      </x:c>
      <x:c r="F8" t="inlineStr">
        <x:is>
          <x:t xml:space="preserve">TP.HCM / Việt Nam</x:t>
        </x:is>
      </x:c>
      <x:c r="H8" t="inlineStr">
        <x:is>
          <x:t xml:space="preserve">Guardian private label – chăm sóc bé</x:t>
        </x:is>
      </x:c>
      <x:c r="I8" t="inlineStr">
        <x:is>
          <x:t xml:space="preserve">|guardianprivatelabelchamsocbe</x:t>
        </x:is>
      </x:c>
      <x:c r="J8" t="inlineStr">
        <x:is>
          <x:t xml:space="preserve">|guardianprivatelabelchamsocbe</x:t>
        </x:is>
      </x:c>
      <x:c r="L8" t="inlineStr">
        <x:is>
          <x:t xml:space="preserve">https://www.guardian.com.vn/doc-quyen-guardian/san-pham-guardian/cham-soc-be.html</x:t>
        </x:is>
      </x:c>
      <x:c r="P8" t="inlineStr">
        <x:is>
          <x:t xml:space="preserve">PUBLIC_ONLINE_CATALOG</x:t>
        </x:is>
      </x:c>
      <x:c r="S8" t="inlineStr">
        <x:is>
          <x:t xml:space="preserve">NOT_SEARCHED_OR_CATEGORY_LEVEL</x:t>
        </x:is>
      </x:c>
      <x:c r="T8" t="inlineStr">
        <x:is>
          <x:t xml:space="preserve">https://www.guardian.com.vn/doc-quyen-guardian/san-pham-guardian/cham-soc-be.html</x:t>
        </x:is>
      </x:c>
      <x:c r="U8" t="inlineStr">
        <x:is>
          <x:t xml:space="preserve">Có 9 SKU Guardian chăm sóc bé; riêng Head To Toe Wash là hóa mỹ phẩm cần truy số công bố.</x:t>
        </x:is>
      </x:c>
    </x:row>
    <x:row r="9">
      <x:c r="A9" t="inlineStr">
        <x:is>
          <x:t xml:space="preserve">ON-0008</x:t>
        </x:is>
      </x:c>
      <x:c r="B9" s="99" t="n">
        <x:v>46247</x:v>
      </x:c>
      <x:c r="C9" t="inlineStr">
        <x:is>
          <x:t xml:space="preserve">Watsons</x:t>
        </x:is>
      </x:c>
      <x:c r="D9" t="inlineStr">
        <x:is>
          <x:t xml:space="preserve">Watsons</x:t>
        </x:is>
      </x:c>
      <x:c r="E9" t="inlineStr">
        <x:is>
          <x:t xml:space="preserve">Mother &amp; Baby retail</x:t>
        </x:is>
      </x:c>
      <x:c r="F9" t="inlineStr">
        <x:is>
          <x:t xml:space="preserve">TP.HCM / Việt Nam</x:t>
        </x:is>
      </x:c>
      <x:c r="H9" t="inlineStr">
        <x:is>
          <x:t xml:space="preserve">Trẻ em / Chăm sóc bé</x:t>
        </x:is>
      </x:c>
      <x:c r="I9" t="inlineStr">
        <x:is>
          <x:t xml:space="preserve">|treemchamsocbe</x:t>
        </x:is>
      </x:c>
      <x:c r="J9" t="inlineStr">
        <x:is>
          <x:t xml:space="preserve">|treemchamsocbe</x:t>
        </x:is>
      </x:c>
      <x:c r="L9" t="inlineStr">
        <x:is>
          <x:t xml:space="preserve">https://www.watsons.vn/vi/tr%E1%BA%BB-em/c/0600000</x:t>
        </x:is>
      </x:c>
      <x:c r="P9" t="inlineStr">
        <x:is>
          <x:t xml:space="preserve">PUBLIC_ONLINE_CATALOG</x:t>
        </x:is>
      </x:c>
      <x:c r="S9" t="inlineStr">
        <x:is>
          <x:t xml:space="preserve">NOT_SEARCHED_OR_CATEGORY_LEVEL</x:t>
        </x:is>
      </x:c>
      <x:c r="T9" t="inlineStr">
        <x:is>
          <x:t xml:space="preserve">https://www.watsons.vn/vi/tr%E1%BA%BB-em/c/0600000</x:t>
        </x:is>
      </x:c>
      <x:c r="U9" t="inlineStr">
        <x:is>
          <x:t xml:space="preserve">Có Cetaphil Baby, Lactacyd Baby, Johnson's Baby, Bzu Bzu, Bioré Kids...</x:t>
        </x:is>
      </x:c>
    </x:row>
    <x:row r="10">
      <x:c r="A10" t="inlineStr">
        <x:is>
          <x:t xml:space="preserve">ON-0009</x:t>
        </x:is>
      </x:c>
      <x:c r="B10" s="99" t="n">
        <x:v>46247</x:v>
      </x:c>
      <x:c r="C10" t="inlineStr">
        <x:is>
          <x:t xml:space="preserve">Watsons</x:t>
        </x:is>
      </x:c>
      <x:c r="D10" t="inlineStr">
        <x:is>
          <x:t xml:space="preserve">Watsons</x:t>
        </x:is>
      </x:c>
      <x:c r="E10" t="inlineStr">
        <x:is>
          <x:t xml:space="preserve">Mother &amp; Baby retail</x:t>
        </x:is>
      </x:c>
      <x:c r="F10" t="inlineStr">
        <x:is>
          <x:t xml:space="preserve">TP.HCM / Việt Nam</x:t>
        </x:is>
      </x:c>
      <x:c r="H10" t="inlineStr">
        <x:is>
          <x:t xml:space="preserve">Tắm gội trẻ em</x:t>
        </x:is>
      </x:c>
      <x:c r="I10" t="inlineStr">
        <x:is>
          <x:t xml:space="preserve">|tamgoitreem</x:t>
        </x:is>
      </x:c>
      <x:c r="J10" t="inlineStr">
        <x:is>
          <x:t xml:space="preserve">|tamgoitreem</x:t>
        </x:is>
      </x:c>
      <x:c r="L10" t="inlineStr">
        <x:is>
          <x:t xml:space="preserve">https://www.watsons.vn/vi/tr%E1%BA%BB-em/t%E1%BA%AFm-g%E1%BB%99i/c/0601001</x:t>
        </x:is>
      </x:c>
      <x:c r="P10" t="inlineStr">
        <x:is>
          <x:t xml:space="preserve">PUBLIC_ONLINE_CATALOG</x:t>
        </x:is>
      </x:c>
      <x:c r="S10" t="inlineStr">
        <x:is>
          <x:t xml:space="preserve">NOT_SEARCHED_OR_CATEGORY_LEVEL</x:t>
        </x:is>
      </x:c>
      <x:c r="T10" t="inlineStr">
        <x:is>
          <x:t xml:space="preserve">https://www.watsons.vn/vi/tr%E1%BA%BB-em/t%E1%BA%AFm-g%E1%BB%99i/c/0601001</x:t>
        </x:is>
      </x:c>
      <x:c r="U10" t="inlineStr">
        <x:is>
          <x:t xml:space="preserve">Queue ưu tiên: Cetaphil Baby, Johnson's, Lactacyd, White Rain Kids, Carrie Junior, Sebamed.</x:t>
        </x:is>
      </x:c>
    </x:row>
    <x:row r="11">
      <x:c r="A11" t="inlineStr">
        <x:is>
          <x:t xml:space="preserve">ON-0010</x:t>
        </x:is>
      </x:c>
      <x:c r="B11" s="99" t="n">
        <x:v>46247</x:v>
      </x:c>
      <x:c r="C11" t="inlineStr">
        <x:is>
          <x:t xml:space="preserve">WinMart</x:t>
        </x:is>
      </x:c>
      <x:c r="D11" t="inlineStr">
        <x:is>
          <x:t xml:space="preserve">WinMart</x:t>
        </x:is>
      </x:c>
      <x:c r="E11" t="inlineStr">
        <x:is>
          <x:t xml:space="preserve">Supermarket</x:t>
        </x:is>
      </x:c>
      <x:c r="F11" t="inlineStr">
        <x:is>
          <x:t xml:space="preserve">TP.HCM / Việt Nam</x:t>
        </x:is>
      </x:c>
      <x:c r="H11" t="inlineStr">
        <x:is>
          <x:t xml:space="preserve">Chăm Sóc Cá Nhân</x:t>
        </x:is>
      </x:c>
      <x:c r="I11" t="inlineStr">
        <x:is>
          <x:t xml:space="preserve">|chamsoccanhan</x:t>
        </x:is>
      </x:c>
      <x:c r="J11" t="inlineStr">
        <x:is>
          <x:t xml:space="preserve">|chamsoccanhan</x:t>
        </x:is>
      </x:c>
      <x:c r="L11" t="inlineStr">
        <x:is>
          <x:t xml:space="preserve">https://winmart.vn/cham-soc-ca-nhan--c11</x:t>
        </x:is>
      </x:c>
      <x:c r="P11" t="inlineStr">
        <x:is>
          <x:t xml:space="preserve">PUBLIC_ONLINE_CATALOG</x:t>
        </x:is>
      </x:c>
      <x:c r="S11" t="inlineStr">
        <x:is>
          <x:t xml:space="preserve">NOT_SEARCHED_OR_CATEGORY_LEVEL</x:t>
        </x:is>
      </x:c>
      <x:c r="T11" t="inlineStr">
        <x:is>
          <x:t xml:space="preserve">https://winmart.vn/cham-soc-ca-nhan--c11</x:t>
        </x:is>
      </x:c>
      <x:c r="U11" t="inlineStr">
        <x:is>
          <x:t xml:space="preserve">Trang ngành chính thức; inventory có thể phụ thuộc cửa hàng/khu vực.</x:t>
        </x:is>
      </x:c>
    </x:row>
    <x:row r="12">
      <x:c r="A12" t="inlineStr">
        <x:is>
          <x:t xml:space="preserve">ON-0011</x:t>
        </x:is>
      </x:c>
      <x:c r="B12" s="99" t="n">
        <x:v>46247</x:v>
      </x:c>
      <x:c r="C12" t="inlineStr">
        <x:is>
          <x:t xml:space="preserve">WinMart</x:t>
        </x:is>
      </x:c>
      <x:c r="D12" t="inlineStr">
        <x:is>
          <x:t xml:space="preserve">WinMart</x:t>
        </x:is>
      </x:c>
      <x:c r="E12" t="inlineStr">
        <x:is>
          <x:t xml:space="preserve">Supermarket</x:t>
        </x:is>
      </x:c>
      <x:c r="F12" t="inlineStr">
        <x:is>
          <x:t xml:space="preserve">TP.HCM / Việt Nam</x:t>
        </x:is>
      </x:c>
      <x:c r="H12" t="inlineStr">
        <x:is>
          <x:t xml:space="preserve">Chăm Sóc Da</x:t>
        </x:is>
      </x:c>
      <x:c r="I12" t="inlineStr">
        <x:is>
          <x:t xml:space="preserve">|chamsocda</x:t>
        </x:is>
      </x:c>
      <x:c r="J12" t="inlineStr">
        <x:is>
          <x:t xml:space="preserve">|chamsocda</x:t>
        </x:is>
      </x:c>
      <x:c r="L12" t="inlineStr">
        <x:is>
          <x:t xml:space="preserve">https://winmart.vn/cham-soc-da--c0146</x:t>
        </x:is>
      </x:c>
      <x:c r="P12" t="inlineStr">
        <x:is>
          <x:t xml:space="preserve">PUBLIC_ONLINE_CATALOG</x:t>
        </x:is>
      </x:c>
      <x:c r="S12" t="inlineStr">
        <x:is>
          <x:t xml:space="preserve">NOT_SEARCHED_OR_CATEGORY_LEVEL</x:t>
        </x:is>
      </x:c>
      <x:c r="T12" t="inlineStr">
        <x:is>
          <x:t xml:space="preserve">https://winmart.vn/cham-soc-da--c0146</x:t>
        </x:is>
      </x:c>
      <x:c r="U12" t="inlineStr">
        <x:is>
          <x:t xml:space="preserve">Trang ngành chính thức; dùng như tín hiệu kênh, chưa dùng làm declaration.</x:t>
        </x:is>
      </x:c>
    </x:row>
    <x:row r="13">
      <x:c r="B13" s="99" t="n"/>
    </x:row>
    <x:row r="14">
      <x:c r="B14" s="99" t="n"/>
    </x:row>
    <x:row r="15">
      <x:c r="B15" s="99" t="n"/>
    </x:row>
    <x:row r="16">
      <x:c r="B16" s="99" t="n"/>
    </x:row>
    <x:row r="17">
      <x:c r="B17" s="99" t="n"/>
    </x:row>
    <x:row r="18">
      <x:c r="B18" s="99" t="n"/>
    </x:row>
    <x:row r="19">
      <x:c r="B19" s="99" t="n"/>
    </x:row>
    <x:row r="20">
      <x:c r="B20" s="99" t="n"/>
    </x:row>
    <x:row r="21">
      <x:c r="B21" s="99" t="n"/>
    </x:row>
    <x:row r="22">
      <x:c r="B22" s="99" t="n"/>
    </x:row>
    <x:row r="23">
      <x:c r="B23" s="99" t="n"/>
    </x:row>
    <x:row r="24">
      <x:c r="B24" s="99" t="n"/>
    </x:row>
    <x:row r="25">
      <x:c r="B25" s="99" t="n"/>
    </x:row>
    <x:row r="26">
      <x:c r="B26" s="99" t="n"/>
    </x:row>
    <x:row r="27">
      <x:c r="B27" s="99" t="n"/>
    </x:row>
    <x:row r="28">
      <x:c r="B28" s="99" t="n"/>
    </x:row>
    <x:row r="29">
      <x:c r="B29" s="99" t="n"/>
    </x:row>
    <x:row r="30">
      <x:c r="B30" s="99" t="n"/>
    </x:row>
    <x:row r="31">
      <x:c r="B31" s="99" t="n"/>
    </x:row>
    <x:row r="32">
      <x:c r="B32" s="99" t="n"/>
    </x:row>
    <x:row r="33">
      <x:c r="B33" s="99" t="n"/>
    </x:row>
    <x:row r="34">
      <x:c r="B34" s="99" t="n"/>
    </x:row>
    <x:row r="35">
      <x:c r="B35" s="99" t="n"/>
    </x:row>
    <x:row r="36">
      <x:c r="B36" s="99" t="n"/>
    </x:row>
    <x:row r="37">
      <x:c r="B37" s="99" t="n"/>
    </x:row>
    <x:row r="38">
      <x:c r="B38" s="99" t="n"/>
    </x:row>
    <x:row r="39">
      <x:c r="B39" s="99" t="n"/>
    </x:row>
    <x:row r="40">
      <x:c r="B40" s="99" t="n"/>
    </x:row>
    <x:row r="41">
      <x:c r="B41" s="99" t="n"/>
    </x:row>
    <x:row r="42">
      <x:c r="B42" s="99" t="n"/>
    </x:row>
    <x:row r="43">
      <x:c r="B43" s="99" t="n"/>
    </x:row>
    <x:row r="44">
      <x:c r="B44" s="99" t="n"/>
    </x:row>
    <x:row r="45">
      <x:c r="B45" s="99" t="n"/>
    </x:row>
    <x:row r="46">
      <x:c r="B46" s="99" t="n"/>
    </x:row>
    <x:row r="47">
      <x:c r="B47" s="99" t="n"/>
    </x:row>
    <x:row r="48">
      <x:c r="B48" s="99" t="n"/>
    </x:row>
    <x:row r="49">
      <x:c r="B49" s="99" t="n"/>
    </x:row>
    <x:row r="50">
      <x:c r="B50" s="99" t="n"/>
    </x:row>
    <x:row r="51">
      <x:c r="B51" s="99" t="n"/>
    </x:row>
    <x:row r="52">
      <x:c r="B52" s="99" t="n"/>
    </x:row>
    <x:row r="53">
      <x:c r="B53" s="99" t="n"/>
    </x:row>
    <x:row r="54">
      <x:c r="B54" s="99" t="n"/>
    </x:row>
    <x:row r="55">
      <x:c r="B55" s="99" t="n"/>
    </x:row>
    <x:row r="56">
      <x:c r="B56" s="99" t="n"/>
    </x:row>
    <x:row r="57">
      <x:c r="B57" s="99" t="n"/>
    </x:row>
    <x:row r="58">
      <x:c r="B58" s="99" t="n"/>
    </x:row>
    <x:row r="59">
      <x:c r="B59" s="99" t="n"/>
    </x:row>
    <x:row r="60">
      <x:c r="B60" s="99" t="n"/>
    </x:row>
    <x:row r="61">
      <x:c r="B61" s="99" t="n"/>
    </x:row>
    <x:row r="62">
      <x:c r="B62" s="99" t="n"/>
    </x:row>
    <x:row r="63">
      <x:c r="B63" s="99" t="n"/>
    </x:row>
    <x:row r="64">
      <x:c r="B64" s="99" t="n"/>
    </x:row>
    <x:row r="65">
      <x:c r="B65" s="99" t="n"/>
    </x:row>
    <x:row r="66">
      <x:c r="B66" s="99" t="n"/>
    </x:row>
    <x:row r="67">
      <x:c r="B67" s="99" t="n"/>
    </x:row>
    <x:row r="68">
      <x:c r="B68" s="99" t="n"/>
    </x:row>
    <x:row r="69">
      <x:c r="B69" s="99" t="n"/>
    </x:row>
    <x:row r="70">
      <x:c r="B70" s="99" t="n"/>
    </x:row>
    <x:row r="71">
      <x:c r="B71" s="99" t="n"/>
    </x:row>
    <x:row r="72">
      <x:c r="B72" s="99" t="n"/>
    </x:row>
    <x:row r="73">
      <x:c r="B73" s="99" t="n"/>
    </x:row>
    <x:row r="74">
      <x:c r="B74" s="99" t="n"/>
    </x:row>
    <x:row r="75">
      <x:c r="B75" s="99" t="n"/>
    </x:row>
    <x:row r="76">
      <x:c r="B76" s="99" t="n"/>
    </x:row>
    <x:row r="77">
      <x:c r="B77" s="99" t="n"/>
    </x:row>
    <x:row r="78">
      <x:c r="B78" s="99" t="n"/>
    </x:row>
    <x:row r="79">
      <x:c r="B79" s="99" t="n"/>
    </x:row>
    <x:row r="80">
      <x:c r="B80" s="99" t="n"/>
    </x:row>
    <x:row r="81">
      <x:c r="B81" s="99" t="n"/>
    </x:row>
    <x:row r="82">
      <x:c r="B82" s="99" t="n"/>
    </x:row>
    <x:row r="83">
      <x:c r="B83" s="99" t="n"/>
    </x:row>
    <x:row r="84">
      <x:c r="B84" s="99" t="n"/>
    </x:row>
    <x:row r="85">
      <x:c r="B85" s="99" t="n"/>
    </x:row>
    <x:row r="86">
      <x:c r="B86" s="99" t="n"/>
    </x:row>
    <x:row r="87">
      <x:c r="B87" s="99" t="n"/>
    </x:row>
    <x:row r="88">
      <x:c r="B88" s="99" t="n"/>
    </x:row>
    <x:row r="89">
      <x:c r="B89" s="99" t="n"/>
    </x:row>
    <x:row r="90">
      <x:c r="B90" s="99" t="n"/>
    </x:row>
    <x:row r="91">
      <x:c r="B91" s="99" t="n"/>
    </x:row>
    <x:row r="92">
      <x:c r="B92" s="99" t="n"/>
    </x:row>
    <x:row r="93">
      <x:c r="B93" s="99" t="n"/>
    </x:row>
    <x:row r="94">
      <x:c r="B94" s="99" t="n"/>
    </x:row>
    <x:row r="95">
      <x:c r="B95" s="99" t="n"/>
    </x:row>
    <x:row r="96">
      <x:c r="B96" s="99" t="n"/>
    </x:row>
    <x:row r="97">
      <x:c r="B97" s="99" t="n"/>
    </x:row>
    <x:row r="98">
      <x:c r="B98" s="99" t="n"/>
    </x:row>
    <x:row r="99">
      <x:c r="B99" s="99" t="n"/>
    </x:row>
    <x:row r="100">
      <x:c r="B100" s="99" t="n"/>
    </x:row>
    <x:row r="101">
      <x:c r="B101" s="99" t="n"/>
    </x:row>
    <x:row r="102">
      <x:c r="B102" s="99" t="n"/>
    </x:row>
    <x:row r="103">
      <x:c r="B103" s="99" t="n"/>
    </x:row>
    <x:row r="104">
      <x:c r="B104" s="99" t="n"/>
    </x:row>
    <x:row r="105">
      <x:c r="B105" s="99" t="n"/>
    </x:row>
    <x:row r="106">
      <x:c r="B106" s="99" t="n"/>
    </x:row>
    <x:row r="107">
      <x:c r="B107" s="99" t="n"/>
    </x:row>
    <x:row r="108">
      <x:c r="B108" s="99" t="n"/>
    </x:row>
    <x:row r="109">
      <x:c r="B109" s="99" t="n"/>
    </x:row>
    <x:row r="110">
      <x:c r="B110" s="99" t="n"/>
    </x:row>
    <x:row r="111">
      <x:c r="B111" s="99" t="n"/>
    </x:row>
    <x:row r="112">
      <x:c r="B112" s="99" t="n"/>
    </x:row>
    <x:row r="113">
      <x:c r="B113" s="99" t="n"/>
    </x:row>
    <x:row r="114">
      <x:c r="B114" s="99" t="n"/>
    </x:row>
    <x:row r="115">
      <x:c r="B115" s="99" t="n"/>
    </x:row>
    <x:row r="116">
      <x:c r="B116" s="99" t="n"/>
    </x:row>
    <x:row r="117">
      <x:c r="B117" s="99" t="n"/>
    </x:row>
    <x:row r="118">
      <x:c r="B118" s="99" t="n"/>
    </x:row>
    <x:row r="119">
      <x:c r="B119" s="99" t="n"/>
    </x:row>
    <x:row r="120">
      <x:c r="B120" s="99" t="n"/>
    </x:row>
    <x:row r="121">
      <x:c r="B121" s="99" t="n"/>
    </x:row>
    <x:row r="122">
      <x:c r="B122" s="99" t="n"/>
    </x:row>
    <x:row r="123">
      <x:c r="B123" s="99" t="n"/>
    </x:row>
    <x:row r="124">
      <x:c r="B124" s="99" t="n"/>
    </x:row>
    <x:row r="125">
      <x:c r="B125" s="99" t="n"/>
    </x:row>
    <x:row r="126">
      <x:c r="B126" s="99" t="n"/>
    </x:row>
    <x:row r="127">
      <x:c r="B127" s="99" t="n"/>
    </x:row>
    <x:row r="128">
      <x:c r="B128" s="99" t="n"/>
    </x:row>
    <x:row r="129">
      <x:c r="B129" s="99" t="n"/>
    </x:row>
    <x:row r="130">
      <x:c r="B130" s="99" t="n"/>
    </x:row>
    <x:row r="131">
      <x:c r="B131" s="99" t="n"/>
    </x:row>
    <x:row r="132">
      <x:c r="B132" s="99" t="n"/>
    </x:row>
    <x:row r="133">
      <x:c r="B133" s="99" t="n"/>
    </x:row>
    <x:row r="134">
      <x:c r="B134" s="99" t="n"/>
    </x:row>
    <x:row r="135">
      <x:c r="B135" s="99" t="n"/>
    </x:row>
    <x:row r="136">
      <x:c r="B136" s="99" t="n"/>
    </x:row>
    <x:row r="137">
      <x:c r="B137" s="99" t="n"/>
    </x:row>
    <x:row r="138">
      <x:c r="B138" s="99" t="n"/>
    </x:row>
    <x:row r="139">
      <x:c r="B139" s="99" t="n"/>
    </x:row>
    <x:row r="140">
      <x:c r="B140" s="99" t="n"/>
    </x:row>
    <x:row r="141">
      <x:c r="B141" s="99" t="n"/>
    </x:row>
    <x:row r="142">
      <x:c r="B142" s="99" t="n"/>
    </x:row>
    <x:row r="143">
      <x:c r="B143" s="99" t="n"/>
    </x:row>
    <x:row r="144">
      <x:c r="B144" s="99" t="n"/>
    </x:row>
    <x:row r="145">
      <x:c r="B145" s="99" t="n"/>
    </x:row>
    <x:row r="146">
      <x:c r="B146" s="99" t="n"/>
    </x:row>
    <x:row r="147">
      <x:c r="B147" s="99" t="n"/>
    </x:row>
    <x:row r="148">
      <x:c r="B148" s="99" t="n"/>
    </x:row>
    <x:row r="149">
      <x:c r="B149" s="99" t="n"/>
    </x:row>
    <x:row r="150">
      <x:c r="B150" s="99" t="n"/>
    </x:row>
    <x:row r="151">
      <x:c r="B151" s="99" t="n"/>
    </x:row>
    <x:row r="152">
      <x:c r="B152" s="99" t="n"/>
    </x:row>
    <x:row r="153">
      <x:c r="B153" s="99" t="n"/>
    </x:row>
    <x:row r="154">
      <x:c r="B154" s="99" t="n"/>
    </x:row>
    <x:row r="155">
      <x:c r="B155" s="99" t="n"/>
    </x:row>
    <x:row r="156">
      <x:c r="B156" s="99" t="n"/>
    </x:row>
    <x:row r="157">
      <x:c r="B157" s="99" t="n"/>
    </x:row>
    <x:row r="158">
      <x:c r="B158" s="99" t="n"/>
    </x:row>
    <x:row r="159">
      <x:c r="B159" s="99" t="n"/>
    </x:row>
    <x:row r="160">
      <x:c r="B160" s="99" t="n"/>
    </x:row>
    <x:row r="161">
      <x:c r="B161" s="99" t="n"/>
    </x:row>
    <x:row r="162">
      <x:c r="B162" s="99" t="n"/>
    </x:row>
    <x:row r="163">
      <x:c r="B163" s="99" t="n"/>
    </x:row>
    <x:row r="164">
      <x:c r="B164" s="99" t="n"/>
    </x:row>
    <x:row r="165">
      <x:c r="B165" s="99" t="n"/>
    </x:row>
    <x:row r="166">
      <x:c r="B166" s="99" t="n"/>
    </x:row>
    <x:row r="167">
      <x:c r="B167" s="99" t="n"/>
    </x:row>
    <x:row r="168">
      <x:c r="B168" s="99" t="n"/>
    </x:row>
    <x:row r="169">
      <x:c r="B169" s="99" t="n"/>
    </x:row>
    <x:row r="170">
      <x:c r="B170" s="99" t="n"/>
    </x:row>
    <x:row r="171">
      <x:c r="B171" s="99" t="n"/>
    </x:row>
    <x:row r="172">
      <x:c r="B172" s="99" t="n"/>
    </x:row>
    <x:row r="173">
      <x:c r="B173" s="99" t="n"/>
    </x:row>
    <x:row r="174">
      <x:c r="B174" s="99" t="n"/>
    </x:row>
    <x:row r="175">
      <x:c r="B175" s="99" t="n"/>
    </x:row>
    <x:row r="176">
      <x:c r="B176" s="99" t="n"/>
    </x:row>
    <x:row r="177">
      <x:c r="B177" s="99" t="n"/>
    </x:row>
    <x:row r="178">
      <x:c r="B178" s="99" t="n"/>
    </x:row>
    <x:row r="179">
      <x:c r="B179" s="99" t="n"/>
    </x:row>
    <x:row r="180">
      <x:c r="B180" s="99" t="n"/>
    </x:row>
    <x:row r="181">
      <x:c r="B181" s="99" t="n"/>
    </x:row>
    <x:row r="182">
      <x:c r="B182" s="99" t="n"/>
    </x:row>
    <x:row r="183">
      <x:c r="B183" s="99" t="n"/>
    </x:row>
    <x:row r="184">
      <x:c r="B184" s="99" t="n"/>
    </x:row>
    <x:row r="185">
      <x:c r="B185" s="99" t="n"/>
    </x:row>
    <x:row r="186">
      <x:c r="B186" s="99" t="n"/>
    </x:row>
    <x:row r="187">
      <x:c r="B187" s="99" t="n"/>
    </x:row>
    <x:row r="188">
      <x:c r="B188" s="99" t="n"/>
    </x:row>
    <x:row r="189">
      <x:c r="B189" s="99" t="n"/>
    </x:row>
    <x:row r="190">
      <x:c r="B190" s="99" t="n"/>
    </x:row>
    <x:row r="191">
      <x:c r="B191" s="99" t="n"/>
    </x:row>
    <x:row r="192">
      <x:c r="B192" s="99" t="n"/>
    </x:row>
    <x:row r="193">
      <x:c r="B193" s="99" t="n"/>
    </x:row>
    <x:row r="194">
      <x:c r="B194" s="99" t="n"/>
    </x:row>
    <x:row r="195">
      <x:c r="B195" s="99" t="n"/>
    </x:row>
    <x:row r="196">
      <x:c r="B196" s="99" t="n"/>
    </x:row>
    <x:row r="197">
      <x:c r="B197" s="99" t="n"/>
    </x:row>
    <x:row r="198">
      <x:c r="B198" s="99" t="n"/>
    </x:row>
    <x:row r="199">
      <x:c r="B199" s="99" t="n"/>
    </x:row>
    <x:row r="200">
      <x:c r="B200" s="99" t="n"/>
    </x:row>
    <x:row r="201">
      <x:c r="B201" s="99" t="n"/>
    </x:row>
    <x:row r="202">
      <x:c r="B202" s="99" t="n"/>
    </x:row>
    <x:row r="203">
      <x:c r="B203" s="99" t="n"/>
    </x:row>
    <x:row r="204">
      <x:c r="B204" s="99" t="n"/>
    </x:row>
    <x:row r="205">
      <x:c r="B205" s="99" t="n"/>
    </x:row>
    <x:row r="206">
      <x:c r="B206" s="99" t="n"/>
    </x:row>
    <x:row r="207">
      <x:c r="B207" s="99" t="n"/>
    </x:row>
    <x:row r="208">
      <x:c r="B208" s="99" t="n"/>
    </x:row>
    <x:row r="209">
      <x:c r="B209" s="99" t="n"/>
    </x:row>
    <x:row r="210">
      <x:c r="B210" s="99" t="n"/>
    </x:row>
    <x:row r="211">
      <x:c r="B211" s="99" t="n"/>
    </x:row>
    <x:row r="212">
      <x:c r="B212" s="99" t="n"/>
    </x:row>
    <x:row r="213">
      <x:c r="B213" s="99" t="n"/>
    </x:row>
    <x:row r="214">
      <x:c r="B214" s="99" t="n"/>
    </x:row>
    <x:row r="215">
      <x:c r="B215" s="99" t="n"/>
    </x:row>
    <x:row r="216">
      <x:c r="B216" s="99" t="n"/>
    </x:row>
    <x:row r="217">
      <x:c r="B217" s="99" t="n"/>
    </x:row>
    <x:row r="218">
      <x:c r="B218" s="99" t="n"/>
    </x:row>
    <x:row r="219">
      <x:c r="B219" s="99" t="n"/>
    </x:row>
    <x:row r="220">
      <x:c r="B220" s="99" t="n"/>
    </x:row>
    <x:row r="221">
      <x:c r="B221" s="99" t="n"/>
    </x:row>
    <x:row r="222">
      <x:c r="B222" s="99" t="n"/>
    </x:row>
    <x:row r="223">
      <x:c r="B223" s="99" t="n"/>
    </x:row>
    <x:row r="224">
      <x:c r="B224" s="99" t="n"/>
    </x:row>
    <x:row r="225">
      <x:c r="B225" s="99" t="n"/>
    </x:row>
    <x:row r="226">
      <x:c r="B226" s="99" t="n"/>
    </x:row>
    <x:row r="227">
      <x:c r="B227" s="99" t="n"/>
    </x:row>
    <x:row r="228">
      <x:c r="B228" s="99" t="n"/>
    </x:row>
    <x:row r="229">
      <x:c r="B229" s="99" t="n"/>
    </x:row>
    <x:row r="230">
      <x:c r="B230" s="99" t="n"/>
    </x:row>
    <x:row r="231">
      <x:c r="B231" s="99" t="n"/>
    </x:row>
    <x:row r="232">
      <x:c r="B232" s="99" t="n"/>
    </x:row>
    <x:row r="233">
      <x:c r="B233" s="99" t="n"/>
    </x:row>
    <x:row r="234">
      <x:c r="B234" s="99" t="n"/>
    </x:row>
    <x:row r="235">
      <x:c r="B235" s="99" t="n"/>
    </x:row>
    <x:row r="236">
      <x:c r="B236" s="99" t="n"/>
    </x:row>
    <x:row r="237">
      <x:c r="B237" s="99" t="n"/>
    </x:row>
    <x:row r="238">
      <x:c r="B238" s="99" t="n"/>
    </x:row>
    <x:row r="239">
      <x:c r="B239" s="99" t="n"/>
    </x:row>
    <x:row r="240">
      <x:c r="B240" s="99" t="n"/>
    </x:row>
    <x:row r="241">
      <x:c r="B241" s="99" t="n"/>
    </x:row>
    <x:row r="242">
      <x:c r="B242" s="99" t="n"/>
    </x:row>
    <x:row r="243">
      <x:c r="B243" s="99" t="n"/>
    </x:row>
    <x:row r="244">
      <x:c r="B244" s="99" t="n"/>
    </x:row>
    <x:row r="245">
      <x:c r="B245" s="99" t="n"/>
    </x:row>
    <x:row r="246">
      <x:c r="B246" s="99" t="n"/>
    </x:row>
    <x:row r="247">
      <x:c r="B247" s="99" t="n"/>
    </x:row>
    <x:row r="248">
      <x:c r="B248" s="99" t="n"/>
    </x:row>
    <x:row r="249">
      <x:c r="B249" s="99" t="n"/>
    </x:row>
    <x:row r="250">
      <x:c r="B250" s="99" t="n"/>
    </x:row>
    <x:row r="251">
      <x:c r="B251" s="99" t="n"/>
    </x:row>
    <x:row r="252">
      <x:c r="B252" s="99" t="n"/>
    </x:row>
    <x:row r="253">
      <x:c r="B253" s="99" t="n"/>
    </x:row>
    <x:row r="254">
      <x:c r="B254" s="99" t="n"/>
    </x:row>
    <x:row r="255">
      <x:c r="B255" s="99" t="n"/>
    </x:row>
    <x:row r="256">
      <x:c r="B256" s="99" t="n"/>
    </x:row>
    <x:row r="257">
      <x:c r="B257" s="99" t="n"/>
    </x:row>
    <x:row r="258">
      <x:c r="B258" s="99" t="n"/>
    </x:row>
    <x:row r="259">
      <x:c r="B259" s="99" t="n"/>
    </x:row>
    <x:row r="260">
      <x:c r="B260" s="99" t="n"/>
    </x:row>
    <x:row r="261">
      <x:c r="B261" s="99" t="n"/>
    </x:row>
    <x:row r="262">
      <x:c r="B262" s="99" t="n"/>
    </x:row>
    <x:row r="263">
      <x:c r="B263" s="99" t="n"/>
    </x:row>
    <x:row r="264">
      <x:c r="B264" s="99" t="n"/>
    </x:row>
    <x:row r="265">
      <x:c r="B265" s="99" t="n"/>
    </x:row>
    <x:row r="266">
      <x:c r="B266" s="99" t="n"/>
    </x:row>
    <x:row r="267">
      <x:c r="B267" s="99" t="n"/>
    </x:row>
    <x:row r="268">
      <x:c r="B268" s="99" t="n"/>
    </x:row>
    <x:row r="269">
      <x:c r="B269" s="99" t="n"/>
    </x:row>
    <x:row r="270">
      <x:c r="B270" s="99" t="n"/>
    </x:row>
    <x:row r="271">
      <x:c r="B271" s="99" t="n"/>
    </x:row>
    <x:row r="272">
      <x:c r="B272" s="99" t="n"/>
    </x:row>
    <x:row r="273">
      <x:c r="B273" s="99" t="n"/>
    </x:row>
    <x:row r="274">
      <x:c r="B274" s="99" t="n"/>
    </x:row>
    <x:row r="275">
      <x:c r="B275" s="99" t="n"/>
    </x:row>
    <x:row r="276">
      <x:c r="B276" s="99" t="n"/>
    </x:row>
    <x:row r="277">
      <x:c r="B277" s="99" t="n"/>
    </x:row>
    <x:row r="278">
      <x:c r="B278" s="99" t="n"/>
    </x:row>
    <x:row r="279">
      <x:c r="B279" s="99" t="n"/>
    </x:row>
    <x:row r="280">
      <x:c r="B280" s="99" t="n"/>
    </x:row>
    <x:row r="281">
      <x:c r="B281" s="99" t="n"/>
    </x:row>
    <x:row r="282">
      <x:c r="B282" s="99" t="n"/>
    </x:row>
    <x:row r="283">
      <x:c r="B283" s="99" t="n"/>
    </x:row>
    <x:row r="284">
      <x:c r="B284" s="99" t="n"/>
    </x:row>
    <x:row r="285">
      <x:c r="B285" s="99" t="n"/>
    </x:row>
    <x:row r="286">
      <x:c r="B286" s="99" t="n"/>
    </x:row>
    <x:row r="287">
      <x:c r="B287" s="99" t="n"/>
    </x:row>
    <x:row r="288">
      <x:c r="B288" s="99" t="n"/>
    </x:row>
    <x:row r="289">
      <x:c r="B289" s="99" t="n"/>
    </x:row>
    <x:row r="290">
      <x:c r="B290" s="99" t="n"/>
    </x:row>
    <x:row r="291">
      <x:c r="B291" s="99" t="n"/>
    </x:row>
    <x:row r="292">
      <x:c r="B292" s="99" t="n"/>
    </x:row>
    <x:row r="293">
      <x:c r="B293" s="99" t="n"/>
    </x:row>
    <x:row r="294">
      <x:c r="B294" s="99" t="n"/>
    </x:row>
    <x:row r="295">
      <x:c r="B295" s="99" t="n"/>
    </x:row>
    <x:row r="296">
      <x:c r="B296" s="99" t="n"/>
    </x:row>
    <x:row r="297">
      <x:c r="B297" s="99" t="n"/>
    </x:row>
    <x:row r="298">
      <x:c r="B298" s="99" t="n"/>
    </x:row>
    <x:row r="299">
      <x:c r="B299" s="99" t="n"/>
    </x:row>
    <x:row r="300">
      <x:c r="B300" s="99" t="n"/>
    </x:row>
    <x:row r="301">
      <x:c r="B301" s="99" t="n"/>
    </x:row>
    <x:row r="302">
      <x:c r="B302" s="99" t="n"/>
    </x:row>
    <x:row r="303">
      <x:c r="B303" s="99" t="n"/>
    </x:row>
    <x:row r="304">
      <x:c r="B304" s="99" t="n"/>
    </x:row>
    <x:row r="305">
      <x:c r="B305" s="99" t="n"/>
    </x:row>
    <x:row r="306">
      <x:c r="B306" s="99" t="n"/>
    </x:row>
    <x:row r="307">
      <x:c r="B307" s="99" t="n"/>
    </x:row>
    <x:row r="308">
      <x:c r="B308" s="99" t="n"/>
    </x:row>
    <x:row r="309">
      <x:c r="B309" s="99" t="n"/>
    </x:row>
    <x:row r="310">
      <x:c r="B310" s="99" t="n"/>
    </x:row>
    <x:row r="311">
      <x:c r="B311" s="99" t="n"/>
    </x:row>
    <x:row r="312">
      <x:c r="B312" s="99" t="n"/>
    </x:row>
    <x:row r="313">
      <x:c r="B313" s="99" t="n"/>
    </x:row>
    <x:row r="314">
      <x:c r="B314" s="99" t="n"/>
    </x:row>
    <x:row r="315">
      <x:c r="B315" s="99" t="n"/>
    </x:row>
    <x:row r="316">
      <x:c r="B316" s="99" t="n"/>
    </x:row>
    <x:row r="317">
      <x:c r="B317" s="99" t="n"/>
    </x:row>
    <x:row r="318">
      <x:c r="B318" s="99" t="n"/>
    </x:row>
    <x:row r="319">
      <x:c r="B319" s="99" t="n"/>
    </x:row>
    <x:row r="320">
      <x:c r="B320" s="99" t="n"/>
    </x:row>
    <x:row r="321">
      <x:c r="B321" s="99" t="n"/>
    </x:row>
    <x:row r="322">
      <x:c r="B322" s="99" t="n"/>
    </x:row>
    <x:row r="323">
      <x:c r="B323" s="99" t="n"/>
    </x:row>
    <x:row r="324">
      <x:c r="B324" s="99" t="n"/>
    </x:row>
    <x:row r="325">
      <x:c r="B325" s="99" t="n"/>
    </x:row>
    <x:row r="326">
      <x:c r="B326" s="99" t="n"/>
    </x:row>
    <x:row r="327">
      <x:c r="B327" s="99" t="n"/>
    </x:row>
    <x:row r="328">
      <x:c r="B328" s="99" t="n"/>
    </x:row>
    <x:row r="329">
      <x:c r="B329" s="99" t="n"/>
    </x:row>
    <x:row r="330">
      <x:c r="B330" s="99" t="n"/>
    </x:row>
    <x:row r="331">
      <x:c r="B331" s="99" t="n"/>
    </x:row>
    <x:row r="332">
      <x:c r="B332" s="99" t="n"/>
    </x:row>
    <x:row r="333">
      <x:c r="B333" s="99" t="n"/>
    </x:row>
    <x:row r="334">
      <x:c r="B334" s="99" t="n"/>
    </x:row>
    <x:row r="335">
      <x:c r="B335" s="99" t="n"/>
    </x:row>
    <x:row r="336">
      <x:c r="B336" s="99" t="n"/>
    </x:row>
    <x:row r="337">
      <x:c r="B337" s="99" t="n"/>
    </x:row>
    <x:row r="338">
      <x:c r="B338" s="99" t="n"/>
    </x:row>
    <x:row r="339">
      <x:c r="B339" s="99" t="n"/>
    </x:row>
    <x:row r="340">
      <x:c r="B340" s="99" t="n"/>
    </x:row>
    <x:row r="341">
      <x:c r="B341" s="99" t="n"/>
    </x:row>
    <x:row r="342">
      <x:c r="B342" s="99" t="n"/>
    </x:row>
    <x:row r="343">
      <x:c r="B343" s="99" t="n"/>
    </x:row>
    <x:row r="344">
      <x:c r="B344" s="99" t="n"/>
    </x:row>
    <x:row r="345">
      <x:c r="B345" s="99" t="n"/>
    </x:row>
    <x:row r="346">
      <x:c r="B346" s="99" t="n"/>
    </x:row>
    <x:row r="347">
      <x:c r="B347" s="99" t="n"/>
    </x:row>
    <x:row r="348">
      <x:c r="B348" s="99" t="n"/>
    </x:row>
    <x:row r="349">
      <x:c r="B349" s="99" t="n"/>
    </x:row>
    <x:row r="350">
      <x:c r="B350" s="99" t="n"/>
    </x:row>
    <x:row r="351">
      <x:c r="B351" s="99" t="n"/>
    </x:row>
    <x:row r="352">
      <x:c r="B352" s="99" t="n"/>
    </x:row>
    <x:row r="353">
      <x:c r="B353" s="99" t="n"/>
    </x:row>
    <x:row r="354">
      <x:c r="B354" s="99" t="n"/>
    </x:row>
    <x:row r="355">
      <x:c r="B355" s="99" t="n"/>
    </x:row>
    <x:row r="356">
      <x:c r="B356" s="99" t="n"/>
    </x:row>
    <x:row r="357">
      <x:c r="B357" s="99" t="n"/>
    </x:row>
    <x:row r="358">
      <x:c r="B358" s="99" t="n"/>
    </x:row>
    <x:row r="359">
      <x:c r="B359" s="99" t="n"/>
    </x:row>
    <x:row r="360">
      <x:c r="B360" s="99" t="n"/>
    </x:row>
    <x:row r="361">
      <x:c r="B361" s="99" t="n"/>
    </x:row>
    <x:row r="362">
      <x:c r="B362" s="99" t="n"/>
    </x:row>
    <x:row r="363">
      <x:c r="B363" s="99" t="n"/>
    </x:row>
    <x:row r="364">
      <x:c r="B364" s="99" t="n"/>
    </x:row>
    <x:row r="365">
      <x:c r="B365" s="99" t="n"/>
    </x:row>
    <x:row r="366">
      <x:c r="B366" s="99" t="n"/>
    </x:row>
    <x:row r="367">
      <x:c r="B367" s="99" t="n"/>
    </x:row>
    <x:row r="368">
      <x:c r="B368" s="99" t="n"/>
    </x:row>
    <x:row r="369">
      <x:c r="B369" s="99" t="n"/>
    </x:row>
    <x:row r="370">
      <x:c r="B370" s="99" t="n"/>
    </x:row>
    <x:row r="371">
      <x:c r="B371" s="99" t="n"/>
    </x:row>
    <x:row r="372">
      <x:c r="B372" s="99" t="n"/>
    </x:row>
    <x:row r="373">
      <x:c r="B373" s="99" t="n"/>
    </x:row>
    <x:row r="374">
      <x:c r="B374" s="99" t="n"/>
    </x:row>
    <x:row r="375">
      <x:c r="B375" s="99" t="n"/>
    </x:row>
    <x:row r="376">
      <x:c r="B376" s="99" t="n"/>
    </x:row>
    <x:row r="377">
      <x:c r="B377" s="99" t="n"/>
    </x:row>
    <x:row r="378">
      <x:c r="B378" s="99" t="n"/>
    </x:row>
    <x:row r="379">
      <x:c r="B379" s="99" t="n"/>
    </x:row>
    <x:row r="380">
      <x:c r="B380" s="99" t="n"/>
    </x:row>
    <x:row r="381">
      <x:c r="B381" s="99" t="n"/>
    </x:row>
    <x:row r="382">
      <x:c r="B382" s="99" t="n"/>
    </x:row>
    <x:row r="383">
      <x:c r="B383" s="99" t="n"/>
    </x:row>
    <x:row r="384">
      <x:c r="B384" s="99" t="n"/>
    </x:row>
    <x:row r="385">
      <x:c r="B385" s="99" t="n"/>
    </x:row>
    <x:row r="386">
      <x:c r="B386" s="99" t="n"/>
    </x:row>
    <x:row r="387">
      <x:c r="B387" s="99" t="n"/>
    </x:row>
    <x:row r="388">
      <x:c r="B388" s="99" t="n"/>
    </x:row>
    <x:row r="389">
      <x:c r="B389" s="99" t="n"/>
    </x:row>
    <x:row r="390">
      <x:c r="B390" s="99" t="n"/>
    </x:row>
    <x:row r="391">
      <x:c r="B391" s="99" t="n"/>
    </x:row>
    <x:row r="392">
      <x:c r="B392" s="99" t="n"/>
    </x:row>
    <x:row r="393">
      <x:c r="B393" s="99" t="n"/>
    </x:row>
    <x:row r="394">
      <x:c r="B394" s="99" t="n"/>
    </x:row>
    <x:row r="395">
      <x:c r="B395" s="99" t="n"/>
    </x:row>
    <x:row r="396">
      <x:c r="B396" s="99" t="n"/>
    </x:row>
    <x:row r="397">
      <x:c r="B397" s="99" t="n"/>
    </x:row>
    <x:row r="398">
      <x:c r="B398" s="99" t="n"/>
    </x:row>
    <x:row r="399">
      <x:c r="B399" s="99" t="n"/>
    </x:row>
    <x:row r="400">
      <x:c r="B400" s="99" t="n"/>
    </x:row>
    <x:row r="401">
      <x:c r="B401" s="99" t="n"/>
    </x:row>
    <x:row r="402">
      <x:c r="B402" s="99" t="n"/>
    </x:row>
    <x:row r="403">
      <x:c r="B403" s="99" t="n"/>
    </x:row>
    <x:row r="404">
      <x:c r="B404" s="99" t="n"/>
    </x:row>
    <x:row r="405">
      <x:c r="B405" s="99" t="n"/>
    </x:row>
    <x:row r="406">
      <x:c r="B406" s="99" t="n"/>
    </x:row>
    <x:row r="407">
      <x:c r="B407" s="99" t="n"/>
    </x:row>
    <x:row r="408">
      <x:c r="B408" s="99" t="n"/>
    </x:row>
    <x:row r="409">
      <x:c r="B409" s="99" t="n"/>
    </x:row>
    <x:row r="410">
      <x:c r="B410" s="99" t="n"/>
    </x:row>
    <x:row r="411">
      <x:c r="B411" s="99" t="n"/>
    </x:row>
    <x:row r="412">
      <x:c r="B412" s="99" t="n"/>
    </x:row>
    <x:row r="413">
      <x:c r="B413" s="99" t="n"/>
    </x:row>
    <x:row r="414">
      <x:c r="B414" s="99" t="n"/>
    </x:row>
    <x:row r="415">
      <x:c r="B415" s="99" t="n"/>
    </x:row>
    <x:row r="416">
      <x:c r="B416" s="99" t="n"/>
    </x:row>
    <x:row r="417">
      <x:c r="B417" s="99" t="n"/>
    </x:row>
    <x:row r="418">
      <x:c r="B418" s="99" t="n"/>
    </x:row>
    <x:row r="419">
      <x:c r="B419" s="99" t="n"/>
    </x:row>
    <x:row r="420">
      <x:c r="B420" s="99" t="n"/>
    </x:row>
    <x:row r="421">
      <x:c r="B421" s="99" t="n"/>
    </x:row>
    <x:row r="422">
      <x:c r="B422" s="99" t="n"/>
    </x:row>
    <x:row r="423">
      <x:c r="B423" s="99" t="n"/>
    </x:row>
    <x:row r="424">
      <x:c r="B424" s="99" t="n"/>
    </x:row>
    <x:row r="425">
      <x:c r="B425" s="99" t="n"/>
    </x:row>
    <x:row r="426">
      <x:c r="B426" s="99" t="n"/>
    </x:row>
    <x:row r="427">
      <x:c r="B427" s="99" t="n"/>
    </x:row>
    <x:row r="428">
      <x:c r="B428" s="99" t="n"/>
    </x:row>
    <x:row r="429">
      <x:c r="B429" s="99" t="n"/>
    </x:row>
    <x:row r="430">
      <x:c r="B430" s="99" t="n"/>
    </x:row>
    <x:row r="431">
      <x:c r="B431" s="99" t="n"/>
    </x:row>
    <x:row r="432">
      <x:c r="B432" s="99" t="n"/>
    </x:row>
    <x:row r="433">
      <x:c r="B433" s="99" t="n"/>
    </x:row>
    <x:row r="434">
      <x:c r="B434" s="99" t="n"/>
    </x:row>
    <x:row r="435">
      <x:c r="B435" s="99" t="n"/>
    </x:row>
    <x:row r="436">
      <x:c r="B436" s="99" t="n"/>
    </x:row>
    <x:row r="437">
      <x:c r="B437" s="99" t="n"/>
    </x:row>
    <x:row r="438">
      <x:c r="B438" s="99" t="n"/>
    </x:row>
    <x:row r="439">
      <x:c r="B439" s="99" t="n"/>
    </x:row>
    <x:row r="440">
      <x:c r="B440" s="99" t="n"/>
    </x:row>
    <x:row r="441">
      <x:c r="B441" s="99" t="n"/>
    </x:row>
    <x:row r="442">
      <x:c r="B442" s="99" t="n"/>
    </x:row>
    <x:row r="443">
      <x:c r="B443" s="99" t="n"/>
    </x:row>
    <x:row r="444">
      <x:c r="B444" s="99" t="n"/>
    </x:row>
    <x:row r="445">
      <x:c r="B445" s="99" t="n"/>
    </x:row>
    <x:row r="446">
      <x:c r="B446" s="99" t="n"/>
    </x:row>
    <x:row r="447">
      <x:c r="B447" s="99" t="n"/>
    </x:row>
    <x:row r="448">
      <x:c r="B448" s="99" t="n"/>
    </x:row>
    <x:row r="449">
      <x:c r="B449" s="99" t="n"/>
    </x:row>
    <x:row r="450">
      <x:c r="B450" s="99" t="n"/>
    </x:row>
    <x:row r="451">
      <x:c r="B451" s="99" t="n"/>
    </x:row>
    <x:row r="452">
      <x:c r="B452" s="99" t="n"/>
    </x:row>
    <x:row r="453">
      <x:c r="B453" s="99" t="n"/>
    </x:row>
    <x:row r="454">
      <x:c r="B454" s="99" t="n"/>
    </x:row>
    <x:row r="455">
      <x:c r="B455" s="99" t="n"/>
    </x:row>
    <x:row r="456">
      <x:c r="B456" s="99" t="n"/>
    </x:row>
    <x:row r="457">
      <x:c r="B457" s="99" t="n"/>
    </x:row>
    <x:row r="458">
      <x:c r="B458" s="99" t="n"/>
    </x:row>
    <x:row r="459">
      <x:c r="B459" s="99" t="n"/>
    </x:row>
    <x:row r="460">
      <x:c r="B460" s="99" t="n"/>
    </x:row>
    <x:row r="461">
      <x:c r="B461" s="99" t="n"/>
    </x:row>
    <x:row r="462">
      <x:c r="B462" s="99" t="n"/>
    </x:row>
    <x:row r="463">
      <x:c r="B463" s="99" t="n"/>
    </x:row>
    <x:row r="464">
      <x:c r="B464" s="99" t="n"/>
    </x:row>
    <x:row r="465">
      <x:c r="B465" s="99" t="n"/>
    </x:row>
    <x:row r="466">
      <x:c r="B466" s="99" t="n"/>
    </x:row>
    <x:row r="467">
      <x:c r="B467" s="99" t="n"/>
    </x:row>
    <x:row r="468">
      <x:c r="B468" s="99" t="n"/>
    </x:row>
    <x:row r="469">
      <x:c r="B469" s="99" t="n"/>
    </x:row>
    <x:row r="470">
      <x:c r="B470" s="99" t="n"/>
    </x:row>
    <x:row r="471">
      <x:c r="B471" s="99" t="n"/>
    </x:row>
    <x:row r="472">
      <x:c r="B472" s="99" t="n"/>
    </x:row>
    <x:row r="473">
      <x:c r="B473" s="99" t="n"/>
    </x:row>
    <x:row r="474">
      <x:c r="B474" s="99" t="n"/>
    </x:row>
    <x:row r="475">
      <x:c r="B475" s="99" t="n"/>
    </x:row>
    <x:row r="476">
      <x:c r="B476" s="99" t="n"/>
    </x:row>
    <x:row r="477">
      <x:c r="B477" s="99" t="n"/>
    </x:row>
    <x:row r="478">
      <x:c r="B478" s="99" t="n"/>
    </x:row>
    <x:row r="479">
      <x:c r="B479" s="99" t="n"/>
    </x:row>
    <x:row r="480">
      <x:c r="B480" s="99" t="n"/>
    </x:row>
    <x:row r="481">
      <x:c r="B481" s="99" t="n"/>
    </x:row>
    <x:row r="482">
      <x:c r="B482" s="99" t="n"/>
    </x:row>
    <x:row r="483">
      <x:c r="B483" s="99" t="n"/>
    </x:row>
    <x:row r="484">
      <x:c r="B484" s="99" t="n"/>
    </x:row>
    <x:row r="485">
      <x:c r="B485" s="99" t="n"/>
    </x:row>
    <x:row r="486">
      <x:c r="B486" s="99" t="n"/>
    </x:row>
    <x:row r="487">
      <x:c r="B487" s="99" t="n"/>
    </x:row>
    <x:row r="488">
      <x:c r="B488" s="99" t="n"/>
    </x:row>
    <x:row r="489">
      <x:c r="B489" s="99" t="n"/>
    </x:row>
    <x:row r="490">
      <x:c r="B490" s="99" t="n"/>
    </x:row>
    <x:row r="491">
      <x:c r="B491" s="99" t="n"/>
    </x:row>
    <x:row r="492">
      <x:c r="B492" s="99" t="n"/>
    </x:row>
    <x:row r="493">
      <x:c r="B493" s="99" t="n"/>
    </x:row>
    <x:row r="494">
      <x:c r="B494" s="99" t="n"/>
    </x:row>
    <x:row r="495">
      <x:c r="B495" s="99" t="n"/>
    </x:row>
    <x:row r="496">
      <x:c r="B496" s="99" t="n"/>
    </x:row>
    <x:row r="497">
      <x:c r="B497" s="99" t="n"/>
    </x:row>
    <x:row r="498">
      <x:c r="B498" s="99" t="n"/>
    </x:row>
    <x:row r="499">
      <x:c r="B499" s="99" t="n"/>
    </x:row>
    <x:row r="500">
      <x:c r="B500" s="99" t="n"/>
    </x:row>
  </x:sheetData>
  <x:pageMargins left="0.7" right="0.7" top="0.75" bottom="0.75" header="0.3" footer="0.3"/>
</x:worksheet>
</file>

<file path=xl/worksheets/sheet60.xml><?xml version="1.0" encoding="utf-8"?>
<x:worksheet xmlns:x="http://schemas.openxmlformats.org/spreadsheetml/2006/main">
  <x:sheetFormatPr baseColWidth="8" defaultRowHeight="15"/>
  <x:cols>
    <x:col min="1" max="1" width="14" style="91" customWidth="1"/>
    <x:col min="2" max="2" width="10" style="91" customWidth="1"/>
    <x:col min="3" max="3" width="14" style="91" customWidth="1"/>
    <x:col min="4" max="4" width="18" style="91" customWidth="1"/>
    <x:col min="5" max="5" width="50" style="91" customWidth="1"/>
    <x:col min="6" max="6" width="24" style="91" customWidth="1"/>
    <x:col min="7" max="7" width="46" style="91" customWidth="1"/>
    <x:col min="8" max="8" width="46" style="91" customWidth="1"/>
    <x:col min="9" max="9" width="20" style="91" customWidth="1"/>
    <x:col min="10" max="10" width="38" style="91" customWidth="1"/>
    <x:col min="11" max="11" width="38" style="91" customWidth="1"/>
    <x:col min="12" max="12" width="16" style="91" customWidth="1"/>
    <x:col min="13" max="13" width="16" style="91" customWidth="1"/>
    <x:col min="14" max="14" width="16" style="91" customWidth="1"/>
    <x:col min="15" max="15" width="24" style="91" customWidth="1"/>
    <x:col min="16" max="16" width="24" style="91" customWidth="1"/>
    <x:col min="17" max="17" width="42" style="91" customWidth="1"/>
    <x:col min="18" max="18" width="14" style="91" customWidth="1"/>
    <x:col min="19" max="19" width="76" style="91" customWidth="1"/>
    <x:col min="20" max="20" width="76" style="91" customWidth="1"/>
    <x:col min="21" max="21" width="48" style="91" customWidth="1"/>
    <x:col min="22" max="22" width="62" style="91" customWidth="1"/>
  </x:cols>
  <x:sheetData>
    <x:row r="1" s="91" customFormat="1" ht="48" customHeight="1">
      <x:c r="A1" s="284" t="inlineStr">
        <x:is>
          <x:t xml:space="preserve">Queue ID</x:t>
        </x:is>
      </x:c>
      <x:c r="B1" s="284" t="inlineStr">
        <x:is>
          <x:t xml:space="preserve">Priority</x:t>
        </x:is>
      </x:c>
      <x:c r="C1" s="284" t="inlineStr">
        <x:is>
          <x:t xml:space="preserve">First Seen</x:t>
        </x:is>
      </x:c>
      <x:c r="D1" s="284" t="inlineStr">
        <x:is>
          <x:t xml:space="preserve">Brand</x:t>
        </x:is>
      </x:c>
      <x:c r="E1" s="284" t="inlineStr">
        <x:is>
          <x:t xml:space="preserve">Sản phẩm/SKU</x:t>
        </x:is>
      </x:c>
      <x:c r="F1" s="284" t="inlineStr">
        <x:is>
          <x:t xml:space="preserve">Nhóm</x:t>
        </x:is>
      </x:c>
      <x:c r="G1" s="284" t="inlineStr">
        <x:is>
          <x:t xml:space="preserve">Product Entity Key</x:t>
        </x:is>
      </x:c>
      <x:c r="H1" s="284" t="inlineStr">
        <x:is>
          <x:t xml:space="preserve">Variant Key</x:t>
        </x:is>
      </x:c>
      <x:c r="I1" s="284" t="inlineStr">
        <x:is>
          <x:t xml:space="preserve">Domestic/Import Guess</x:t>
        </x:is>
      </x:c>
      <x:c r="J1" s="284" t="inlineStr">
        <x:is>
          <x:t xml:space="preserve">Responsible Company Guess</x:t>
        </x:is>
      </x:c>
      <x:c r="K1" s="284" t="inlineStr">
        <x:is>
          <x:t xml:space="preserve">Factory Guess</x:t>
        </x:is>
      </x:c>
      <x:c r="L1" s="284" t="inlineStr">
        <x:is>
          <x:t xml:space="preserve">Offline Signal Count</x:t>
        </x:is>
      </x:c>
      <x:c r="M1" s="284" t="inlineStr">
        <x:is>
          <x:t xml:space="preserve">Online Signal Count</x:t>
        </x:is>
      </x:c>
      <x:c r="N1" s="284" t="inlineStr">
        <x:is>
          <x:t xml:space="preserve">Total Market Signals</x:t>
        </x:is>
      </x:c>
      <x:c r="O1" s="284" t="inlineStr">
        <x:is>
          <x:t xml:space="preserve">Legal Search Status</x:t>
        </x:is>
      </x:c>
      <x:c r="P1" s="284" t="inlineStr">
        <x:is>
          <x:t xml:space="preserve">Số CBMP Found</x:t>
        </x:is>
      </x:c>
      <x:c r="Q1" s="284" t="inlineStr">
        <x:is>
          <x:t xml:space="preserve">Legal Route</x:t>
        </x:is>
      </x:c>
      <x:c r="R1" s="284" t="inlineStr">
        <x:is>
          <x:t xml:space="preserve">Last Checked</x:t>
        </x:is>
      </x:c>
      <x:c r="S1" s="284" t="inlineStr">
        <x:is>
          <x:t xml:space="preserve">Nguồn thị trường</x:t>
        </x:is>
      </x:c>
      <x:c r="T1" s="284" t="inlineStr">
        <x:is>
          <x:t xml:space="preserve">Nguồn pháp lý</x:t>
        </x:is>
      </x:c>
      <x:c r="U1" s="284" t="inlineStr">
        <x:is>
          <x:t xml:space="preserve">Kết luận tạm</x:t>
        </x:is>
      </x:c>
      <x:c r="V1" s="284" t="inlineStr">
        <x:is>
          <x:t xml:space="preserve">Next Action</x:t>
        </x:is>
      </x:c>
      <x:c r="W1" s="272" t="n"/>
      <x:c r="X1" s="272" t="n"/>
      <x:c r="Y1" s="272" t="n"/>
      <x:c r="Z1" s="272" t="n"/>
    </x:row>
    <x:row r="2">
      <x:c r="A2" t="inlineStr">
        <x:is>
          <x:t xml:space="preserve">MISS-0001</x:t>
        </x:is>
      </x:c>
      <x:c r="B2" t="inlineStr">
        <x:is>
          <x:t xml:space="preserve">A++</x:t>
        </x:is>
      </x:c>
      <x:c r="C2" s="99" t="n">
        <x:v>46247</x:v>
      </x:c>
      <x:c r="D2" t="inlineStr">
        <x:is>
          <x:t xml:space="preserve">CETAPHIL</x:t>
        </x:is>
      </x:c>
      <x:c r="E2" t="inlineStr">
        <x:is>
          <x:t xml:space="preserve">Cetaphil Baby Organic Calendula 400ml</x:t>
        </x:is>
      </x:c>
      <x:c r="F2" t="inlineStr">
        <x:is>
          <x:t xml:space="preserve">Sữa tắm/Gel tắm</x:t>
        </x:is>
      </x:c>
      <x:c r="G2" t="inlineStr">
        <x:is>
          <x:t xml:space="preserve">cetaphil|cetaphilbabyorganiccalendula400ml</x:t>
        </x:is>
      </x:c>
      <x:c r="H2" t="inlineStr">
        <x:is>
          <x:t xml:space="preserve">cetaphil|cetaphilbabyorganiccalendula400ml</x:t>
        </x:is>
      </x:c>
      <x:c r="I2" t="inlineStr">
        <x:is>
          <x:t xml:space="preserve">IMPORT_LIKELY</x:t>
        </x:is>
      </x:c>
      <x:c r="L2" t="n">
        <x:v>1</x:v>
      </x:c>
      <x:c r="M2" t="n">
        <x:v>1</x:v>
      </x:c>
      <x:c r="N2" t="n">
        <x:v>2</x:v>
      </x:c>
      <x:c r="O2" t="inlineStr">
        <x:is>
          <x:t xml:space="preserve">NOT_FOUND_YET</x:t>
        </x:is>
      </x:c>
      <x:c r="Q2" t="inlineStr">
        <x:is>
          <x:t xml:space="preserve">Khả năng nhập khẩu → Cục QLD</x:t>
        </x:is>
      </x:c>
      <x:c r="R2" s="99" t="n">
        <x:v>46247</x:v>
      </x:c>
      <x:c r="S2" t="inlineStr">
        <x:is>
          <x:t xml:space="preserve">https://www.watsons.vn/vi/tr%E1%BA%BB-em/c/0600000</x:t>
        </x:is>
      </x:c>
      <x:c r="U2" t="inlineStr">
        <x:is>
          <x:t xml:space="preserve">CHƯA TÌM THẤY CÔNG BỐ – KHÔNG KẾT LUẬN VI PHẠM</x:t>
        </x:is>
      </x:c>
      <x:c r="V2" t="inlineStr">
        <x:is>
          <x:t xml:space="preserve">Truy theo brand + tên sản phẩm + công ty/nhà SX; kiểm tra cả CBMP tỉnh và CBMP-QLD.</x:t>
        </x:is>
      </x:c>
    </x:row>
    <x:row r="3">
      <x:c r="A3" t="inlineStr">
        <x:is>
          <x:t xml:space="preserve">MISS-0002</x:t>
        </x:is>
      </x:c>
      <x:c r="B3" t="inlineStr">
        <x:is>
          <x:t xml:space="preserve">A++</x:t>
        </x:is>
      </x:c>
      <x:c r="C3" s="99" t="n">
        <x:v>46247</x:v>
      </x:c>
      <x:c r="D3" t="inlineStr">
        <x:is>
          <x:t xml:space="preserve">CETAPHIL</x:t>
        </x:is>
      </x:c>
      <x:c r="E3" t="inlineStr">
        <x:is>
          <x:t xml:space="preserve">Cetaphil Baby Daily Lotion 400ml</x:t>
        </x:is>
      </x:c>
      <x:c r="F3" t="inlineStr">
        <x:is>
          <x:t xml:space="preserve">Kem dưỡng da</x:t>
        </x:is>
      </x:c>
      <x:c r="G3" t="inlineStr">
        <x:is>
          <x:t xml:space="preserve">cetaphil|cetaphilbabydailylotion400ml</x:t>
        </x:is>
      </x:c>
      <x:c r="H3" t="inlineStr">
        <x:is>
          <x:t xml:space="preserve">cetaphil|cetaphilbabydailylotion400ml</x:t>
        </x:is>
      </x:c>
      <x:c r="I3" t="inlineStr">
        <x:is>
          <x:t xml:space="preserve">IMPORT_LIKELY</x:t>
        </x:is>
      </x:c>
      <x:c r="L3" t="n">
        <x:v>1</x:v>
      </x:c>
      <x:c r="M3" t="n">
        <x:v>1</x:v>
      </x:c>
      <x:c r="N3" t="n">
        <x:v>2</x:v>
      </x:c>
      <x:c r="O3" t="inlineStr">
        <x:is>
          <x:t xml:space="preserve">NOT_FOUND_YET</x:t>
        </x:is>
      </x:c>
      <x:c r="Q3" t="inlineStr">
        <x:is>
          <x:t xml:space="preserve">Khả năng nhập khẩu → Cục QLD</x:t>
        </x:is>
      </x:c>
      <x:c r="R3" s="99" t="n">
        <x:v>46247</x:v>
      </x:c>
      <x:c r="S3" t="inlineStr">
        <x:is>
          <x:t xml:space="preserve">https://www.watsons.vn/vi/top-b%C3%A1n-ch%E1%BA%A1y-d%C3%A0nh-cho-baby/c/1000002054</x:t>
        </x:is>
      </x:c>
      <x:c r="U3" t="inlineStr">
        <x:is>
          <x:t xml:space="preserve">CHƯA TÌM THẤY CÔNG BỐ – KHÔNG KẾT LUẬN VI PHẠM</x:t>
        </x:is>
      </x:c>
      <x:c r="V3" t="inlineStr">
        <x:is>
          <x:t xml:space="preserve">Truy theo brand + tên sản phẩm + công ty/nhà SX; kiểm tra cả CBMP tỉnh và CBMP-QLD.</x:t>
        </x:is>
      </x:c>
    </x:row>
    <x:row r="4">
      <x:c r="A4" t="inlineStr">
        <x:is>
          <x:t xml:space="preserve">MISS-0003</x:t>
        </x:is>
      </x:c>
      <x:c r="B4" t="inlineStr">
        <x:is>
          <x:t xml:space="preserve">A++</x:t>
        </x:is>
      </x:c>
      <x:c r="C4" s="99" t="n">
        <x:v>46247</x:v>
      </x:c>
      <x:c r="D4" t="inlineStr">
        <x:is>
          <x:t xml:space="preserve">CETAPHIL</x:t>
        </x:is>
      </x:c>
      <x:c r="E4" t="inlineStr">
        <x:is>
          <x:t xml:space="preserve">Cetaphil Baby Shampoo 200ml</x:t>
        </x:is>
      </x:c>
      <x:c r="F4" t="inlineStr">
        <x:is>
          <x:t xml:space="preserve">Dầu gội</x:t>
        </x:is>
      </x:c>
      <x:c r="G4" t="inlineStr">
        <x:is>
          <x:t xml:space="preserve">cetaphil|cetaphilbabyshampoo200ml</x:t>
        </x:is>
      </x:c>
      <x:c r="H4" t="inlineStr">
        <x:is>
          <x:t xml:space="preserve">cetaphil|cetaphilbabyshampoo200ml</x:t>
        </x:is>
      </x:c>
      <x:c r="I4" t="inlineStr">
        <x:is>
          <x:t xml:space="preserve">IMPORT_LIKELY</x:t>
        </x:is>
      </x:c>
      <x:c r="L4" t="n">
        <x:v>1</x:v>
      </x:c>
      <x:c r="M4" t="n">
        <x:v>1</x:v>
      </x:c>
      <x:c r="N4" t="n">
        <x:v>2</x:v>
      </x:c>
      <x:c r="O4" t="inlineStr">
        <x:is>
          <x:t xml:space="preserve">NOT_FOUND_YET</x:t>
        </x:is>
      </x:c>
      <x:c r="Q4" t="inlineStr">
        <x:is>
          <x:t xml:space="preserve">Khả năng nhập khẩu → Cục QLD</x:t>
        </x:is>
      </x:c>
      <x:c r="R4" s="99" t="n">
        <x:v>46247</x:v>
      </x:c>
      <x:c r="S4" t="inlineStr">
        <x:is>
          <x:t xml:space="preserve">https://www.watsons.vn/vi/tr%E1%BA%BB-em/t%E1%BA%AFm-g%E1%BB%99i/c/0601001</x:t>
        </x:is>
      </x:c>
      <x:c r="U4" t="inlineStr">
        <x:is>
          <x:t xml:space="preserve">CHƯA TÌM THẤY CÔNG BỐ – KHÔNG KẾT LUẬN VI PHẠM</x:t>
        </x:is>
      </x:c>
      <x:c r="V4" t="inlineStr">
        <x:is>
          <x:t xml:space="preserve">Truy theo brand + tên sản phẩm + công ty/nhà SX; kiểm tra cả CBMP tỉnh và CBMP-QLD.</x:t>
        </x:is>
      </x:c>
    </x:row>
    <x:row r="5">
      <x:c r="A5" t="inlineStr">
        <x:is>
          <x:t xml:space="preserve">MISS-0004</x:t>
        </x:is>
      </x:c>
      <x:c r="B5" t="inlineStr">
        <x:is>
          <x:t xml:space="preserve">A++</x:t>
        </x:is>
      </x:c>
      <x:c r="C5" s="99" t="n">
        <x:v>46247</x:v>
      </x:c>
      <x:c r="D5" t="inlineStr">
        <x:is>
          <x:t xml:space="preserve">JOHNSON'S</x:t>
        </x:is>
      </x:c>
      <x:c r="E5" t="inlineStr">
        <x:is>
          <x:t xml:space="preserve">Johnson's Baby Massage Oil 200ml</x:t>
        </x:is>
      </x:c>
      <x:c r="F5" t="inlineStr">
        <x:is>
          <x:t xml:space="preserve">Kem body/Dưỡng thể</x:t>
        </x:is>
      </x:c>
      <x:c r="G5" t="inlineStr">
        <x:is>
          <x:t xml:space="preserve">johnsons|johnsonsbabymassageoil200ml</x:t>
        </x:is>
      </x:c>
      <x:c r="H5" t="inlineStr">
        <x:is>
          <x:t xml:space="preserve">johnsons|johnsonsbabymassageoil200ml</x:t>
        </x:is>
      </x:c>
      <x:c r="I5" t="inlineStr">
        <x:is>
          <x:t xml:space="preserve">IMPORT_LIKELY</x:t>
        </x:is>
      </x:c>
      <x:c r="L5" t="n">
        <x:v>1</x:v>
      </x:c>
      <x:c r="M5" t="n">
        <x:v>1</x:v>
      </x:c>
      <x:c r="N5" t="n">
        <x:v>2</x:v>
      </x:c>
      <x:c r="O5" t="inlineStr">
        <x:is>
          <x:t xml:space="preserve">NOT_FOUND_YET</x:t>
        </x:is>
      </x:c>
      <x:c r="Q5" t="inlineStr">
        <x:is>
          <x:t xml:space="preserve">Cần xác định nội địa hay nhập khẩu theo SKU</x:t>
        </x:is>
      </x:c>
      <x:c r="R5" s="99" t="n">
        <x:v>46247</x:v>
      </x:c>
      <x:c r="S5" t="inlineStr">
        <x:is>
          <x:t xml:space="preserve">https://www.watsons.vn/vi/tr%E1%BA%BB-em/c/0600000</x:t>
        </x:is>
      </x:c>
      <x:c r="U5" t="inlineStr">
        <x:is>
          <x:t xml:space="preserve">CHƯA TÌM THẤY CÔNG BỐ – KHÔNG KẾT LUẬN VI PHẠM</x:t>
        </x:is>
      </x:c>
      <x:c r="V5" t="inlineStr">
        <x:is>
          <x:t xml:space="preserve">Truy theo brand + tên sản phẩm + công ty/nhà SX; kiểm tra cả CBMP tỉnh và CBMP-QLD.</x:t>
        </x:is>
      </x:c>
    </x:row>
    <x:row r="6">
      <x:c r="A6" t="inlineStr">
        <x:is>
          <x:t xml:space="preserve">MISS-0005</x:t>
        </x:is>
      </x:c>
      <x:c r="B6" t="inlineStr">
        <x:is>
          <x:t xml:space="preserve">A++</x:t>
        </x:is>
      </x:c>
      <x:c r="C6" s="99" t="n">
        <x:v>46247</x:v>
      </x:c>
      <x:c r="D6" t="inlineStr">
        <x:is>
          <x:t xml:space="preserve">JOHNSON'S</x:t>
        </x:is>
      </x:c>
      <x:c r="E6" t="inlineStr">
        <x:is>
          <x:t xml:space="preserve">Johnson's Milk &amp; Rice Baby Bath 500ml</x:t>
        </x:is>
      </x:c>
      <x:c r="F6" t="inlineStr">
        <x:is>
          <x:t xml:space="preserve">Sữa tắm/Gel tắm</x:t>
        </x:is>
      </x:c>
      <x:c r="G6" t="inlineStr">
        <x:is>
          <x:t xml:space="preserve">johnsons|johnsonsmilkricebabybath500ml</x:t>
        </x:is>
      </x:c>
      <x:c r="H6" t="inlineStr">
        <x:is>
          <x:t xml:space="preserve">johnsons|johnsonsmilkricebabybath500ml</x:t>
        </x:is>
      </x:c>
      <x:c r="I6" t="inlineStr">
        <x:is>
          <x:t xml:space="preserve">IMPORT_LIKELY</x:t>
        </x:is>
      </x:c>
      <x:c r="L6" t="n">
        <x:v>1</x:v>
      </x:c>
      <x:c r="M6" t="n">
        <x:v>1</x:v>
      </x:c>
      <x:c r="N6" t="n">
        <x:v>2</x:v>
      </x:c>
      <x:c r="O6" t="inlineStr">
        <x:is>
          <x:t xml:space="preserve">NOT_FOUND_YET</x:t>
        </x:is>
      </x:c>
      <x:c r="Q6" t="inlineStr">
        <x:is>
          <x:t xml:space="preserve">Cần xác định nội địa hay nhập khẩu theo SKU</x:t>
        </x:is>
      </x:c>
      <x:c r="R6" s="99" t="n">
        <x:v>46247</x:v>
      </x:c>
      <x:c r="S6" t="inlineStr">
        <x:is>
          <x:t xml:space="preserve">https://www.watsons.vn/vi/tr%E1%BA%BB-em/t%E1%BA%AFm-g%E1%BB%99i/c/0601001</x:t>
        </x:is>
      </x:c>
      <x:c r="U6" t="inlineStr">
        <x:is>
          <x:t xml:space="preserve">CHƯA TÌM THẤY CÔNG BỐ – KHÔNG KẾT LUẬN VI PHẠM</x:t>
        </x:is>
      </x:c>
      <x:c r="V6" t="inlineStr">
        <x:is>
          <x:t xml:space="preserve">Truy theo brand + tên sản phẩm + công ty/nhà SX; kiểm tra cả CBMP tỉnh và CBMP-QLD.</x:t>
        </x:is>
      </x:c>
    </x:row>
    <x:row r="7">
      <x:c r="A7" t="inlineStr">
        <x:is>
          <x:t xml:space="preserve">MISS-0006</x:t>
        </x:is>
      </x:c>
      <x:c r="B7" t="inlineStr">
        <x:is>
          <x:t xml:space="preserve">A++</x:t>
        </x:is>
      </x:c>
      <x:c r="C7" s="99" t="n">
        <x:v>46247</x:v>
      </x:c>
      <x:c r="D7" t="inlineStr">
        <x:is>
          <x:t xml:space="preserve">LACTACYD</x:t>
        </x:is>
      </x:c>
      <x:c r="E7" t="inlineStr">
        <x:is>
          <x:t xml:space="preserve">Lactacyd Milky 500ml</x:t>
        </x:is>
      </x:c>
      <x:c r="F7" t="inlineStr">
        <x:is>
          <x:t xml:space="preserve">Sữa tắm/Gel tắm</x:t>
        </x:is>
      </x:c>
      <x:c r="G7" t="inlineStr">
        <x:is>
          <x:t xml:space="preserve">lactacyd|lactacydmilky500ml</x:t>
        </x:is>
      </x:c>
      <x:c r="H7" t="inlineStr">
        <x:is>
          <x:t xml:space="preserve">lactacyd|lactacydmilky500ml</x:t>
        </x:is>
      </x:c>
      <x:c r="I7" t="inlineStr">
        <x:is>
          <x:t xml:space="preserve">UNKNOWN</x:t>
        </x:is>
      </x:c>
      <x:c r="L7" t="n">
        <x:v>1</x:v>
      </x:c>
      <x:c r="M7" t="n">
        <x:v>1</x:v>
      </x:c>
      <x:c r="N7" t="n">
        <x:v>2</x:v>
      </x:c>
      <x:c r="O7" t="inlineStr">
        <x:is>
          <x:t xml:space="preserve">NOT_FOUND_YET</x:t>
        </x:is>
      </x:c>
      <x:c r="Q7" t="inlineStr">
        <x:is>
          <x:t xml:space="preserve">Cần xác định nơi sản xuất</x:t>
        </x:is>
      </x:c>
      <x:c r="R7" s="99" t="n">
        <x:v>46247</x:v>
      </x:c>
      <x:c r="S7" t="inlineStr">
        <x:is>
          <x:t xml:space="preserve">https://www.watsons.vn/vi/tr%E1%BA%BB-em/c/0600000</x:t>
        </x:is>
      </x:c>
      <x:c r="U7" t="inlineStr">
        <x:is>
          <x:t xml:space="preserve">CHƯA TÌM THẤY CÔNG BỐ – KHÔNG KẾT LUẬN VI PHẠM</x:t>
        </x:is>
      </x:c>
      <x:c r="V7" t="inlineStr">
        <x:is>
          <x:t xml:space="preserve">Truy theo brand + tên sản phẩm + công ty/nhà SX; kiểm tra cả CBMP tỉnh và CBMP-QLD.</x:t>
        </x:is>
      </x:c>
    </x:row>
    <x:row r="8">
      <x:c r="A8" t="inlineStr">
        <x:is>
          <x:t xml:space="preserve">MISS-0007</x:t>
        </x:is>
      </x:c>
      <x:c r="B8" t="inlineStr">
        <x:is>
          <x:t xml:space="preserve">A++</x:t>
        </x:is>
      </x:c>
      <x:c r="C8" s="99" t="n">
        <x:v>46247</x:v>
      </x:c>
      <x:c r="D8" t="inlineStr">
        <x:is>
          <x:t xml:space="preserve">LACTACYD</x:t>
        </x:is>
      </x:c>
      <x:c r="E8" t="inlineStr">
        <x:is>
          <x:t xml:space="preserve">Lactacyd Baby Gentle Care 500ml</x:t>
        </x:is>
      </x:c>
      <x:c r="F8" t="inlineStr">
        <x:is>
          <x:t xml:space="preserve">Sữa tắm/Gel tắm</x:t>
        </x:is>
      </x:c>
      <x:c r="G8" t="inlineStr">
        <x:is>
          <x:t xml:space="preserve">lactacyd|lactacydbabygentlecare500ml</x:t>
        </x:is>
      </x:c>
      <x:c r="H8" t="inlineStr">
        <x:is>
          <x:t xml:space="preserve">lactacyd|lactacydbabygentlecare500ml</x:t>
        </x:is>
      </x:c>
      <x:c r="I8" t="inlineStr">
        <x:is>
          <x:t xml:space="preserve">UNKNOWN</x:t>
        </x:is>
      </x:c>
      <x:c r="L8" t="n">
        <x:v>1</x:v>
      </x:c>
      <x:c r="M8" t="n">
        <x:v>1</x:v>
      </x:c>
      <x:c r="N8" t="n">
        <x:v>2</x:v>
      </x:c>
      <x:c r="O8" t="inlineStr">
        <x:is>
          <x:t xml:space="preserve">NOT_FOUND_YET</x:t>
        </x:is>
      </x:c>
      <x:c r="Q8" t="inlineStr">
        <x:is>
          <x:t xml:space="preserve">Cần xác định nơi sản xuất</x:t>
        </x:is>
      </x:c>
      <x:c r="R8" s="99" t="n">
        <x:v>46247</x:v>
      </x:c>
      <x:c r="S8" t="inlineStr">
        <x:is>
          <x:t xml:space="preserve">https://www.watsons.vn/vi/tr%E1%BA%BB-em/t%E1%BA%AFm-g%E1%BB%99i/c/0601001</x:t>
        </x:is>
      </x:c>
      <x:c r="U8" t="inlineStr">
        <x:is>
          <x:t xml:space="preserve">CHƯA TÌM THẤY CÔNG BỐ – KHÔNG KẾT LUẬN VI PHẠM</x:t>
        </x:is>
      </x:c>
      <x:c r="V8" t="inlineStr">
        <x:is>
          <x:t xml:space="preserve">Truy theo brand + tên sản phẩm + công ty/nhà SX; kiểm tra cả CBMP tỉnh và CBMP-QLD.</x:t>
        </x:is>
      </x:c>
    </x:row>
    <x:row r="9">
      <x:c r="A9" t="inlineStr">
        <x:is>
          <x:t xml:space="preserve">MISS-0008</x:t>
        </x:is>
      </x:c>
      <x:c r="B9" t="inlineStr">
        <x:is>
          <x:t xml:space="preserve">A++</x:t>
        </x:is>
      </x:c>
      <x:c r="C9" s="99" t="n">
        <x:v>46247</x:v>
      </x:c>
      <x:c r="D9" t="inlineStr">
        <x:is>
          <x:t xml:space="preserve">BIORE</x:t>
        </x:is>
      </x:c>
      <x:c r="E9" t="inlineStr">
        <x:is>
          <x:t xml:space="preserve">Biore UV Kids Pure Milk SPF50+ PA+++ 70ml</x:t>
        </x:is>
      </x:c>
      <x:c r="F9" t="inlineStr">
        <x:is>
          <x:t xml:space="preserve">Kem chống nắng</x:t>
        </x:is>
      </x:c>
      <x:c r="G9" t="inlineStr">
        <x:is>
          <x:t xml:space="preserve">biore|bioreuvkidspuremilkspf50pa70ml</x:t>
        </x:is>
      </x:c>
      <x:c r="H9" t="inlineStr">
        <x:is>
          <x:t xml:space="preserve">biore|bioreuvkidspuremilkspf50pa70ml</x:t>
        </x:is>
      </x:c>
      <x:c r="I9" t="inlineStr">
        <x:is>
          <x:t xml:space="preserve">IMPORT_LIKELY</x:t>
        </x:is>
      </x:c>
      <x:c r="L9" t="n">
        <x:v>1</x:v>
      </x:c>
      <x:c r="M9" t="n">
        <x:v>1</x:v>
      </x:c>
      <x:c r="N9" t="n">
        <x:v>2</x:v>
      </x:c>
      <x:c r="O9" t="inlineStr">
        <x:is>
          <x:t xml:space="preserve">NOT_FOUND_YET</x:t>
        </x:is>
      </x:c>
      <x:c r="Q9" t="inlineStr">
        <x:is>
          <x:t xml:space="preserve">Khả năng nhập khẩu hoặc local manufacture cần xác minh</x:t>
        </x:is>
      </x:c>
      <x:c r="R9" s="99" t="n">
        <x:v>46247</x:v>
      </x:c>
      <x:c r="S9" t="inlineStr">
        <x:is>
          <x:t xml:space="preserve">https://www.watsons.vn/vi/tr%E1%BA%BB-em/c/0600000</x:t>
        </x:is>
      </x:c>
      <x:c r="U9" t="inlineStr">
        <x:is>
          <x:t xml:space="preserve">CHƯA TÌM THẤY CÔNG BỐ – KHÔNG KẾT LUẬN VI PHẠM</x:t>
        </x:is>
      </x:c>
      <x:c r="V9" t="inlineStr">
        <x:is>
          <x:t xml:space="preserve">Truy theo brand + tên sản phẩm + công ty/nhà SX; kiểm tra cả CBMP tỉnh và CBMP-QLD.</x:t>
        </x:is>
      </x:c>
    </x:row>
    <x:row r="10">
      <x:c r="A10" t="inlineStr">
        <x:is>
          <x:t xml:space="preserve">MISS-0009</x:t>
        </x:is>
      </x:c>
      <x:c r="B10" t="inlineStr">
        <x:is>
          <x:t xml:space="preserve">A</x:t>
        </x:is>
      </x:c>
      <x:c r="C10" s="99" t="n">
        <x:v>46247</x:v>
      </x:c>
      <x:c r="D10" t="inlineStr">
        <x:is>
          <x:t xml:space="preserve">BZU BZU</x:t>
        </x:is>
      </x:c>
      <x:c r="E10" t="inlineStr">
        <x:is>
          <x:t xml:space="preserve">Head-To-Toe Baby Wash Oat &amp; Milk 600ml</x:t>
        </x:is>
      </x:c>
      <x:c r="F10" t="inlineStr">
        <x:is>
          <x:t xml:space="preserve">Sữa tắm/Gel tắm</x:t>
        </x:is>
      </x:c>
      <x:c r="G10" t="inlineStr">
        <x:is>
          <x:t xml:space="preserve">bzubzu|headtotoebabywashoatmilk600ml</x:t>
        </x:is>
      </x:c>
      <x:c r="H10" t="inlineStr">
        <x:is>
          <x:t xml:space="preserve">bzubzu|headtotoebabywashoatmilk600ml</x:t>
        </x:is>
      </x:c>
      <x:c r="I10" t="inlineStr">
        <x:is>
          <x:t xml:space="preserve">IMPORT_LIKELY</x:t>
        </x:is>
      </x:c>
      <x:c r="L10" t="n">
        <x:v>1</x:v>
      </x:c>
      <x:c r="M10" t="n">
        <x:v>1</x:v>
      </x:c>
      <x:c r="N10" t="n">
        <x:v>2</x:v>
      </x:c>
      <x:c r="O10" t="inlineStr">
        <x:is>
          <x:t xml:space="preserve">NOT_FOUND_YET</x:t>
        </x:is>
      </x:c>
      <x:c r="Q10" t="inlineStr">
        <x:is>
          <x:t xml:space="preserve">Khả năng nhập khẩu → Cục QLD</x:t>
        </x:is>
      </x:c>
      <x:c r="R10" s="99" t="n">
        <x:v>46247</x:v>
      </x:c>
      <x:c r="S10" t="inlineStr">
        <x:is>
          <x:t xml:space="preserve">https://www.watsons.vn/vi/tr%E1%BA%BB-em/c/0600000</x:t>
        </x:is>
      </x:c>
      <x:c r="U10" t="inlineStr">
        <x:is>
          <x:t xml:space="preserve">CHƯA TÌM THẤY CÔNG BỐ – KHÔNG KẾT LUẬN VI PHẠM</x:t>
        </x:is>
      </x:c>
      <x:c r="V10" t="inlineStr">
        <x:is>
          <x:t xml:space="preserve">Truy theo brand + tên sản phẩm + công ty/nhà SX; kiểm tra cả CBMP tỉnh và CBMP-QLD.</x:t>
        </x:is>
      </x:c>
    </x:row>
    <x:row r="11">
      <x:c r="A11" t="inlineStr">
        <x:is>
          <x:t xml:space="preserve">MISS-0010</x:t>
        </x:is>
      </x:c>
      <x:c r="B11" t="inlineStr">
        <x:is>
          <x:t xml:space="preserve">A</x:t>
        </x:is>
      </x:c>
      <x:c r="C11" s="99" t="n">
        <x:v>46247</x:v>
      </x:c>
      <x:c r="D11" t="inlineStr">
        <x:is>
          <x:t xml:space="preserve">WHITE RAIN</x:t>
        </x:is>
      </x:c>
      <x:c r="E11" t="inlineStr">
        <x:is>
          <x:t xml:space="preserve">Kids 3 In 1 Strawberry Splash 354ml</x:t>
        </x:is>
      </x:c>
      <x:c r="F11" t="inlineStr">
        <x:is>
          <x:t xml:space="preserve">Sữa tắm/Gel tắm</x:t>
        </x:is>
      </x:c>
      <x:c r="G11" t="inlineStr">
        <x:is>
          <x:t xml:space="preserve">whiterain|kids3in1strawberrysplash354ml</x:t>
        </x:is>
      </x:c>
      <x:c r="H11" t="inlineStr">
        <x:is>
          <x:t xml:space="preserve">whiterain|kids3in1strawberrysplash354ml</x:t>
        </x:is>
      </x:c>
      <x:c r="I11" t="inlineStr">
        <x:is>
          <x:t xml:space="preserve">IMPORT_LIKELY</x:t>
        </x:is>
      </x:c>
      <x:c r="L11" t="n">
        <x:v>1</x:v>
      </x:c>
      <x:c r="M11" t="n">
        <x:v>1</x:v>
      </x:c>
      <x:c r="N11" t="n">
        <x:v>2</x:v>
      </x:c>
      <x:c r="O11" t="inlineStr">
        <x:is>
          <x:t xml:space="preserve">NOT_FOUND_YET</x:t>
        </x:is>
      </x:c>
      <x:c r="Q11" t="inlineStr">
        <x:is>
          <x:t xml:space="preserve">Khả năng nhập khẩu → Cục QLD</x:t>
        </x:is>
      </x:c>
      <x:c r="R11" s="99" t="n">
        <x:v>46247</x:v>
      </x:c>
      <x:c r="S11" t="inlineStr">
        <x:is>
          <x:t xml:space="preserve">https://www.watsons.vn/vi/tr%E1%BA%BB-em/t%E1%BA%AFm-g%E1%BB%99i/c/0601001</x:t>
        </x:is>
      </x:c>
      <x:c r="U11" t="inlineStr">
        <x:is>
          <x:t xml:space="preserve">CHƯA TÌM THẤY CÔNG BỐ – KHÔNG KẾT LUẬN VI PHẠM</x:t>
        </x:is>
      </x:c>
      <x:c r="V11" t="inlineStr">
        <x:is>
          <x:t xml:space="preserve">Truy theo brand + tên sản phẩm + công ty/nhà SX; kiểm tra cả CBMP tỉnh và CBMP-QLD.</x:t>
        </x:is>
      </x:c>
    </x:row>
    <x:row r="12">
      <x:c r="A12" t="inlineStr">
        <x:is>
          <x:t xml:space="preserve">MISS-0011</x:t>
        </x:is>
      </x:c>
      <x:c r="B12" t="inlineStr">
        <x:is>
          <x:t xml:space="preserve">A</x:t>
        </x:is>
      </x:c>
      <x:c r="C12" s="99" t="n">
        <x:v>46247</x:v>
      </x:c>
      <x:c r="D12" t="inlineStr">
        <x:is>
          <x:t xml:space="preserve">CARRIE JUNIOR</x:t>
        </x:is>
      </x:c>
      <x:c r="E12" t="inlineStr">
        <x:is>
          <x:t xml:space="preserve">Groovy Grapeberry 700g</x:t>
        </x:is>
      </x:c>
      <x:c r="F12" t="inlineStr">
        <x:is>
          <x:t xml:space="preserve">Sữa tắm/Gel tắm</x:t>
        </x:is>
      </x:c>
      <x:c r="G12" t="inlineStr">
        <x:is>
          <x:t xml:space="preserve">carriejunior|groovygrapeberry700g</x:t>
        </x:is>
      </x:c>
      <x:c r="H12" t="inlineStr">
        <x:is>
          <x:t xml:space="preserve">carriejunior|groovygrapeberry700g</x:t>
        </x:is>
      </x:c>
      <x:c r="I12" t="inlineStr">
        <x:is>
          <x:t xml:space="preserve">UNKNOWN</x:t>
        </x:is>
      </x:c>
      <x:c r="L12" t="n">
        <x:v>1</x:v>
      </x:c>
      <x:c r="M12" t="n">
        <x:v>1</x:v>
      </x:c>
      <x:c r="N12" t="n">
        <x:v>2</x:v>
      </x:c>
      <x:c r="O12" t="inlineStr">
        <x:is>
          <x:t xml:space="preserve">NOT_FOUND_YET</x:t>
        </x:is>
      </x:c>
      <x:c r="Q12" t="inlineStr">
        <x:is>
          <x:t xml:space="preserve">Cần xác định tuyến pháp lý</x:t>
        </x:is>
      </x:c>
      <x:c r="R12" s="99" t="n">
        <x:v>46247</x:v>
      </x:c>
      <x:c r="S12" t="inlineStr">
        <x:is>
          <x:t xml:space="preserve">https://www.watsons.vn/vi/tr%E1%BA%BB-em/t%E1%BA%AFm-g%E1%BB%99i/c/0601001</x:t>
        </x:is>
      </x:c>
      <x:c r="U12" t="inlineStr">
        <x:is>
          <x:t xml:space="preserve">CHƯA TÌM THẤY CÔNG BỐ – KHÔNG KẾT LUẬN VI PHẠM</x:t>
        </x:is>
      </x:c>
      <x:c r="V12" t="inlineStr">
        <x:is>
          <x:t xml:space="preserve">Truy theo brand + tên sản phẩm + công ty/nhà SX; kiểm tra cả CBMP tỉnh và CBMP-QLD.</x:t>
        </x:is>
      </x:c>
    </x:row>
    <x:row r="13">
      <x:c r="A13" t="inlineStr">
        <x:is>
          <x:t xml:space="preserve">MISS-0012</x:t>
        </x:is>
      </x:c>
      <x:c r="B13" t="inlineStr">
        <x:is>
          <x:t xml:space="preserve">A</x:t>
        </x:is>
      </x:c>
      <x:c r="C13" s="99" t="n">
        <x:v>46247</x:v>
      </x:c>
      <x:c r="D13" t="inlineStr">
        <x:is>
          <x:t xml:space="preserve">SEBAMED</x:t>
        </x:is>
      </x:c>
      <x:c r="E13" t="inlineStr">
        <x:is>
          <x:t xml:space="preserve">Baby Gentle Wash 200ml</x:t>
        </x:is>
      </x:c>
      <x:c r="F13" t="inlineStr">
        <x:is>
          <x:t xml:space="preserve">Sữa tắm/Gel tắm</x:t>
        </x:is>
      </x:c>
      <x:c r="G13" t="inlineStr">
        <x:is>
          <x:t xml:space="preserve">sebamed|babygentlewash200ml</x:t>
        </x:is>
      </x:c>
      <x:c r="H13" t="inlineStr">
        <x:is>
          <x:t xml:space="preserve">sebamed|babygentlewash200ml</x:t>
        </x:is>
      </x:c>
      <x:c r="I13" t="inlineStr">
        <x:is>
          <x:t xml:space="preserve">IMPORT_LIKELY</x:t>
        </x:is>
      </x:c>
      <x:c r="L13" t="n">
        <x:v>1</x:v>
      </x:c>
      <x:c r="M13" t="n">
        <x:v>1</x:v>
      </x:c>
      <x:c r="N13" t="n">
        <x:v>2</x:v>
      </x:c>
      <x:c r="O13" t="inlineStr">
        <x:is>
          <x:t xml:space="preserve">NOT_FOUND_YET</x:t>
        </x:is>
      </x:c>
      <x:c r="Q13" t="inlineStr">
        <x:is>
          <x:t xml:space="preserve">Khả năng nhập khẩu → Cục QLD</x:t>
        </x:is>
      </x:c>
      <x:c r="R13" s="99" t="n">
        <x:v>46247</x:v>
      </x:c>
      <x:c r="S13" t="inlineStr">
        <x:is>
          <x:t xml:space="preserve">https://www.watsons.vn/vi/tr%E1%BA%BB-em/t%E1%BA%AFm-g%E1%BB%99i/c/0601001</x:t>
        </x:is>
      </x:c>
      <x:c r="U13" t="inlineStr">
        <x:is>
          <x:t xml:space="preserve">CHƯA TÌM THẤY CÔNG BỐ – KHÔNG KẾT LUẬN VI PHẠM</x:t>
        </x:is>
      </x:c>
      <x:c r="V13" t="inlineStr">
        <x:is>
          <x:t xml:space="preserve">Truy theo brand + tên sản phẩm + công ty/nhà SX; kiểm tra cả CBMP tỉnh và CBMP-QLD.</x:t>
        </x:is>
      </x:c>
    </x:row>
    <x:row r="14">
      <x:c r="A14" t="inlineStr">
        <x:is>
          <x:t xml:space="preserve">MISS-0013</x:t>
        </x:is>
      </x:c>
      <x:c r="B14" t="inlineStr">
        <x:is>
          <x:t xml:space="preserve">A++</x:t>
        </x:is>
      </x:c>
      <x:c r="C14" s="99" t="n">
        <x:v>46247</x:v>
      </x:c>
      <x:c r="D14" t="inlineStr">
        <x:is>
          <x:t xml:space="preserve">GUARDIAN</x:t>
        </x:is>
      </x:c>
      <x:c r="E14" t="inlineStr">
        <x:is>
          <x:t xml:space="preserve">Guardian Kids Head To Toe Wash Strawberry 750ml</x:t>
        </x:is>
      </x:c>
      <x:c r="F14" t="inlineStr">
        <x:is>
          <x:t xml:space="preserve">Sữa tắm/Gel tắm</x:t>
        </x:is>
      </x:c>
      <x:c r="G14" t="inlineStr">
        <x:is>
          <x:t xml:space="preserve">guardian|guardiankidsheadtotoewashstrawberry750ml</x:t>
        </x:is>
      </x:c>
      <x:c r="H14" t="inlineStr">
        <x:is>
          <x:t xml:space="preserve">guardian|guardiankidsheadtotoewashstrawberry750ml</x:t>
        </x:is>
      </x:c>
      <x:c r="I14" t="inlineStr">
        <x:is>
          <x:t xml:space="preserve">UNKNOWN</x:t>
        </x:is>
      </x:c>
      <x:c r="L14" t="n">
        <x:v>1</x:v>
      </x:c>
      <x:c r="M14" t="n">
        <x:v>1</x:v>
      </x:c>
      <x:c r="N14" t="n">
        <x:v>2</x:v>
      </x:c>
      <x:c r="O14" t="inlineStr">
        <x:is>
          <x:t xml:space="preserve">NOT_FOUND_YET</x:t>
        </x:is>
      </x:c>
      <x:c r="Q14" t="inlineStr">
        <x:is>
          <x:t xml:space="preserve">Cần xác định nhà SX/xuất xứ → tuyến pháp lý</x:t>
        </x:is>
      </x:c>
      <x:c r="R14" s="99" t="n">
        <x:v>46247</x:v>
      </x:c>
      <x:c r="S14" t="inlineStr">
        <x:is>
          <x:t xml:space="preserve">https://www.guardian.com.vn/doc-quyen-guardian/san-pham-guardian/cham-soc-be.html</x:t>
        </x:is>
      </x:c>
      <x:c r="U14" t="inlineStr">
        <x:is>
          <x:t xml:space="preserve">CHƯA TÌM THẤY CÔNG BỐ – KHÔNG KẾT LUẬN VI PHẠM</x:t>
        </x:is>
      </x:c>
      <x:c r="V14" t="inlineStr">
        <x:is>
          <x:t xml:space="preserve">Truy theo brand + tên sản phẩm + công ty/nhà SX; kiểm tra cả CBMP tỉnh và CBMP-QLD.</x:t>
        </x:is>
      </x:c>
    </x:row>
    <x:row r="15">
      <x:c r="A15" t="inlineStr">
        <x:is>
          <x:t xml:space="preserve">MISS-0014</x:t>
        </x:is>
      </x:c>
      <x:c r="B15" t="inlineStr">
        <x:is>
          <x:t xml:space="preserve">A++</x:t>
        </x:is>
      </x:c>
      <x:c r="C15" s="99" t="n">
        <x:v>46247</x:v>
      </x:c>
      <x:c r="D15" t="inlineStr">
        <x:is>
          <x:t xml:space="preserve">GUARDIAN</x:t>
        </x:is>
      </x:c>
      <x:c r="E15" t="inlineStr">
        <x:is>
          <x:t xml:space="preserve">Guardian Kids Head To Toe Wash Orange 750ml</x:t>
        </x:is>
      </x:c>
      <x:c r="F15" t="inlineStr">
        <x:is>
          <x:t xml:space="preserve">Sữa tắm/Gel tắm</x:t>
        </x:is>
      </x:c>
      <x:c r="G15" t="inlineStr">
        <x:is>
          <x:t xml:space="preserve">guardian|guardiankidsheadtotoewashorange750ml</x:t>
        </x:is>
      </x:c>
      <x:c r="H15" t="inlineStr">
        <x:is>
          <x:t xml:space="preserve">guardian|guardiankidsheadtotoewashorange750ml</x:t>
        </x:is>
      </x:c>
      <x:c r="I15" t="inlineStr">
        <x:is>
          <x:t xml:space="preserve">UNKNOWN</x:t>
        </x:is>
      </x:c>
      <x:c r="L15" t="n">
        <x:v>1</x:v>
      </x:c>
      <x:c r="M15" t="n">
        <x:v>1</x:v>
      </x:c>
      <x:c r="N15" t="n">
        <x:v>2</x:v>
      </x:c>
      <x:c r="O15" t="inlineStr">
        <x:is>
          <x:t xml:space="preserve">NOT_FOUND_YET</x:t>
        </x:is>
      </x:c>
      <x:c r="Q15" t="inlineStr">
        <x:is>
          <x:t xml:space="preserve">Cần xác định nhà SX/xuất xứ → tuyến pháp lý</x:t>
        </x:is>
      </x:c>
      <x:c r="R15" s="99" t="n">
        <x:v>46247</x:v>
      </x:c>
      <x:c r="S15" t="inlineStr">
        <x:is>
          <x:t xml:space="preserve">https://www.guardian.com.vn/khuyen-mai-3/cham-soc-co-the-be.html</x:t>
        </x:is>
      </x:c>
      <x:c r="U15" t="inlineStr">
        <x:is>
          <x:t xml:space="preserve">CHƯA TÌM THẤY CÔNG BỐ – KHÔNG KẾT LUẬN VI PHẠM</x:t>
        </x:is>
      </x:c>
      <x:c r="V15" t="inlineStr">
        <x:is>
          <x:t xml:space="preserve">Truy theo brand + tên sản phẩm + công ty/nhà SX; kiểm tra cả CBMP tỉnh và CBMP-QLD.</x:t>
        </x:is>
      </x:c>
    </x:row>
    <x:row r="16">
      <x:c r="C16" s="99" t="n"/>
      <x:c r="R16" s="99" t="n"/>
    </x:row>
    <x:row r="17">
      <x:c r="C17" s="99" t="n"/>
      <x:c r="R17" s="99" t="n"/>
    </x:row>
    <x:row r="18">
      <x:c r="C18" s="99" t="n"/>
      <x:c r="R18" s="99" t="n"/>
    </x:row>
    <x:row r="19">
      <x:c r="C19" s="99" t="n"/>
      <x:c r="R19" s="99" t="n"/>
    </x:row>
    <x:row r="20">
      <x:c r="C20" s="99" t="n"/>
      <x:c r="R20" s="99" t="n"/>
    </x:row>
    <x:row r="21">
      <x:c r="C21" s="99" t="n"/>
      <x:c r="R21" s="99" t="n"/>
    </x:row>
    <x:row r="22">
      <x:c r="C22" s="99" t="n"/>
      <x:c r="R22" s="99" t="n"/>
    </x:row>
    <x:row r="23">
      <x:c r="C23" s="99" t="n"/>
      <x:c r="R23" s="99" t="n"/>
    </x:row>
    <x:row r="24">
      <x:c r="C24" s="99" t="n"/>
      <x:c r="R24" s="99" t="n"/>
    </x:row>
    <x:row r="25">
      <x:c r="C25" s="99" t="n"/>
      <x:c r="R25" s="99" t="n"/>
    </x:row>
    <x:row r="26">
      <x:c r="C26" s="99" t="n"/>
      <x:c r="R26" s="99" t="n"/>
    </x:row>
    <x:row r="27">
      <x:c r="C27" s="99" t="n"/>
      <x:c r="R27" s="99" t="n"/>
    </x:row>
    <x:row r="28">
      <x:c r="C28" s="99" t="n"/>
      <x:c r="R28" s="99" t="n"/>
    </x:row>
    <x:row r="29">
      <x:c r="C29" s="99" t="n"/>
      <x:c r="R29" s="99" t="n"/>
    </x:row>
    <x:row r="30">
      <x:c r="C30" s="99" t="n"/>
      <x:c r="R30" s="99" t="n"/>
    </x:row>
    <x:row r="31">
      <x:c r="C31" s="99" t="n"/>
      <x:c r="R31" s="99" t="n"/>
    </x:row>
    <x:row r="32">
      <x:c r="C32" s="99" t="n"/>
      <x:c r="R32" s="99" t="n"/>
    </x:row>
    <x:row r="33">
      <x:c r="C33" s="99" t="n"/>
      <x:c r="R33" s="99" t="n"/>
    </x:row>
    <x:row r="34">
      <x:c r="C34" s="99" t="n"/>
      <x:c r="R34" s="99" t="n"/>
    </x:row>
    <x:row r="35">
      <x:c r="C35" s="99" t="n"/>
      <x:c r="R35" s="99" t="n"/>
    </x:row>
    <x:row r="36">
      <x:c r="C36" s="99" t="n"/>
      <x:c r="R36" s="99" t="n"/>
    </x:row>
    <x:row r="37">
      <x:c r="C37" s="99" t="n"/>
      <x:c r="R37" s="99" t="n"/>
    </x:row>
    <x:row r="38">
      <x:c r="C38" s="99" t="n"/>
      <x:c r="R38" s="99" t="n"/>
    </x:row>
    <x:row r="39">
      <x:c r="C39" s="99" t="n"/>
      <x:c r="R39" s="99" t="n"/>
    </x:row>
    <x:row r="40">
      <x:c r="C40" s="99" t="n"/>
      <x:c r="R40" s="99" t="n"/>
    </x:row>
    <x:row r="41">
      <x:c r="C41" s="99" t="n"/>
      <x:c r="R41" s="99" t="n"/>
    </x:row>
    <x:row r="42">
      <x:c r="C42" s="99" t="n"/>
      <x:c r="R42" s="99" t="n"/>
    </x:row>
    <x:row r="43">
      <x:c r="C43" s="99" t="n"/>
      <x:c r="R43" s="99" t="n"/>
    </x:row>
    <x:row r="44">
      <x:c r="C44" s="99" t="n"/>
      <x:c r="R44" s="99" t="n"/>
    </x:row>
    <x:row r="45">
      <x:c r="C45" s="99" t="n"/>
      <x:c r="R45" s="99" t="n"/>
    </x:row>
    <x:row r="46">
      <x:c r="C46" s="99" t="n"/>
      <x:c r="R46" s="99" t="n"/>
    </x:row>
    <x:row r="47">
      <x:c r="C47" s="99" t="n"/>
      <x:c r="R47" s="99" t="n"/>
    </x:row>
    <x:row r="48">
      <x:c r="C48" s="99" t="n"/>
      <x:c r="R48" s="99" t="n"/>
    </x:row>
    <x:row r="49">
      <x:c r="C49" s="99" t="n"/>
      <x:c r="R49" s="99" t="n"/>
    </x:row>
    <x:row r="50">
      <x:c r="C50" s="99" t="n"/>
      <x:c r="R50" s="99" t="n"/>
    </x:row>
    <x:row r="51">
      <x:c r="C51" s="99" t="n"/>
      <x:c r="R51" s="99" t="n"/>
    </x:row>
    <x:row r="52">
      <x:c r="C52" s="99" t="n"/>
      <x:c r="R52" s="99" t="n"/>
    </x:row>
    <x:row r="53">
      <x:c r="C53" s="99" t="n"/>
      <x:c r="R53" s="99" t="n"/>
    </x:row>
    <x:row r="54">
      <x:c r="C54" s="99" t="n"/>
      <x:c r="R54" s="99" t="n"/>
    </x:row>
    <x:row r="55">
      <x:c r="C55" s="99" t="n"/>
      <x:c r="R55" s="99" t="n"/>
    </x:row>
    <x:row r="56">
      <x:c r="C56" s="99" t="n"/>
      <x:c r="R56" s="99" t="n"/>
    </x:row>
    <x:row r="57">
      <x:c r="C57" s="99" t="n"/>
      <x:c r="R57" s="99" t="n"/>
    </x:row>
    <x:row r="58">
      <x:c r="C58" s="99" t="n"/>
      <x:c r="R58" s="99" t="n"/>
    </x:row>
    <x:row r="59">
      <x:c r="C59" s="99" t="n"/>
      <x:c r="R59" s="99" t="n"/>
    </x:row>
    <x:row r="60">
      <x:c r="C60" s="99" t="n"/>
      <x:c r="R60" s="99" t="n"/>
    </x:row>
    <x:row r="61">
      <x:c r="C61" s="99" t="n"/>
      <x:c r="R61" s="99" t="n"/>
    </x:row>
    <x:row r="62">
      <x:c r="C62" s="99" t="n"/>
      <x:c r="R62" s="99" t="n"/>
    </x:row>
    <x:row r="63">
      <x:c r="C63" s="99" t="n"/>
      <x:c r="R63" s="99" t="n"/>
    </x:row>
    <x:row r="64">
      <x:c r="C64" s="99" t="n"/>
      <x:c r="R64" s="99" t="n"/>
    </x:row>
    <x:row r="65">
      <x:c r="C65" s="99" t="n"/>
      <x:c r="R65" s="99" t="n"/>
    </x:row>
    <x:row r="66">
      <x:c r="C66" s="99" t="n"/>
      <x:c r="R66" s="99" t="n"/>
    </x:row>
    <x:row r="67">
      <x:c r="C67" s="99" t="n"/>
      <x:c r="R67" s="99" t="n"/>
    </x:row>
    <x:row r="68">
      <x:c r="C68" s="99" t="n"/>
      <x:c r="R68" s="99" t="n"/>
    </x:row>
    <x:row r="69">
      <x:c r="C69" s="99" t="n"/>
      <x:c r="R69" s="99" t="n"/>
    </x:row>
    <x:row r="70">
      <x:c r="C70" s="99" t="n"/>
      <x:c r="R70" s="99" t="n"/>
    </x:row>
    <x:row r="71">
      <x:c r="C71" s="99" t="n"/>
      <x:c r="R71" s="99" t="n"/>
    </x:row>
    <x:row r="72">
      <x:c r="C72" s="99" t="n"/>
      <x:c r="R72" s="99" t="n"/>
    </x:row>
    <x:row r="73">
      <x:c r="C73" s="99" t="n"/>
      <x:c r="R73" s="99" t="n"/>
    </x:row>
    <x:row r="74">
      <x:c r="C74" s="99" t="n"/>
      <x:c r="R74" s="99" t="n"/>
    </x:row>
    <x:row r="75">
      <x:c r="C75" s="99" t="n"/>
      <x:c r="R75" s="99" t="n"/>
    </x:row>
    <x:row r="76">
      <x:c r="C76" s="99" t="n"/>
      <x:c r="R76" s="99" t="n"/>
    </x:row>
    <x:row r="77">
      <x:c r="C77" s="99" t="n"/>
      <x:c r="R77" s="99" t="n"/>
    </x:row>
    <x:row r="78">
      <x:c r="C78" s="99" t="n"/>
      <x:c r="R78" s="99" t="n"/>
    </x:row>
    <x:row r="79">
      <x:c r="C79" s="99" t="n"/>
      <x:c r="R79" s="99" t="n"/>
    </x:row>
    <x:row r="80">
      <x:c r="C80" s="99" t="n"/>
      <x:c r="R80" s="99" t="n"/>
    </x:row>
    <x:row r="81">
      <x:c r="C81" s="99" t="n"/>
      <x:c r="R81" s="99" t="n"/>
    </x:row>
    <x:row r="82">
      <x:c r="C82" s="99" t="n"/>
      <x:c r="R82" s="99" t="n"/>
    </x:row>
    <x:row r="83">
      <x:c r="C83" s="99" t="n"/>
      <x:c r="R83" s="99" t="n"/>
    </x:row>
    <x:row r="84">
      <x:c r="C84" s="99" t="n"/>
      <x:c r="R84" s="99" t="n"/>
    </x:row>
    <x:row r="85">
      <x:c r="C85" s="99" t="n"/>
      <x:c r="R85" s="99" t="n"/>
    </x:row>
    <x:row r="86">
      <x:c r="C86" s="99" t="n"/>
      <x:c r="R86" s="99" t="n"/>
    </x:row>
    <x:row r="87">
      <x:c r="C87" s="99" t="n"/>
      <x:c r="R87" s="99" t="n"/>
    </x:row>
    <x:row r="88">
      <x:c r="C88" s="99" t="n"/>
      <x:c r="R88" s="99" t="n"/>
    </x:row>
    <x:row r="89">
      <x:c r="C89" s="99" t="n"/>
      <x:c r="R89" s="99" t="n"/>
    </x:row>
    <x:row r="90">
      <x:c r="C90" s="99" t="n"/>
      <x:c r="R90" s="99" t="n"/>
    </x:row>
    <x:row r="91">
      <x:c r="C91" s="99" t="n"/>
      <x:c r="R91" s="99" t="n"/>
    </x:row>
    <x:row r="92">
      <x:c r="C92" s="99" t="n"/>
      <x:c r="R92" s="99" t="n"/>
    </x:row>
    <x:row r="93">
      <x:c r="C93" s="99" t="n"/>
      <x:c r="R93" s="99" t="n"/>
    </x:row>
    <x:row r="94">
      <x:c r="C94" s="99" t="n"/>
      <x:c r="R94" s="99" t="n"/>
    </x:row>
    <x:row r="95">
      <x:c r="C95" s="99" t="n"/>
      <x:c r="R95" s="99" t="n"/>
    </x:row>
    <x:row r="96">
      <x:c r="C96" s="99" t="n"/>
      <x:c r="R96" s="99" t="n"/>
    </x:row>
    <x:row r="97">
      <x:c r="C97" s="99" t="n"/>
      <x:c r="R97" s="99" t="n"/>
    </x:row>
    <x:row r="98">
      <x:c r="C98" s="99" t="n"/>
      <x:c r="R98" s="99" t="n"/>
    </x:row>
    <x:row r="99">
      <x:c r="C99" s="99" t="n"/>
      <x:c r="R99" s="99" t="n"/>
    </x:row>
    <x:row r="100">
      <x:c r="C100" s="99" t="n"/>
      <x:c r="R100" s="99" t="n"/>
    </x:row>
    <x:row r="101">
      <x:c r="C101" s="99" t="n"/>
      <x:c r="R101" s="99" t="n"/>
    </x:row>
    <x:row r="102">
      <x:c r="C102" s="99" t="n"/>
      <x:c r="R102" s="99" t="n"/>
    </x:row>
    <x:row r="103">
      <x:c r="C103" s="99" t="n"/>
      <x:c r="R103" s="99" t="n"/>
    </x:row>
    <x:row r="104">
      <x:c r="C104" s="99" t="n"/>
      <x:c r="R104" s="99" t="n"/>
    </x:row>
    <x:row r="105">
      <x:c r="C105" s="99" t="n"/>
      <x:c r="R105" s="99" t="n"/>
    </x:row>
    <x:row r="106">
      <x:c r="C106" s="99" t="n"/>
      <x:c r="R106" s="99" t="n"/>
    </x:row>
    <x:row r="107">
      <x:c r="C107" s="99" t="n"/>
      <x:c r="R107" s="99" t="n"/>
    </x:row>
    <x:row r="108">
      <x:c r="C108" s="99" t="n"/>
      <x:c r="R108" s="99" t="n"/>
    </x:row>
    <x:row r="109">
      <x:c r="C109" s="99" t="n"/>
      <x:c r="R109" s="99" t="n"/>
    </x:row>
    <x:row r="110">
      <x:c r="C110" s="99" t="n"/>
      <x:c r="R110" s="99" t="n"/>
    </x:row>
    <x:row r="111">
      <x:c r="C111" s="99" t="n"/>
      <x:c r="R111" s="99" t="n"/>
    </x:row>
    <x:row r="112">
      <x:c r="C112" s="99" t="n"/>
      <x:c r="R112" s="99" t="n"/>
    </x:row>
    <x:row r="113">
      <x:c r="C113" s="99" t="n"/>
      <x:c r="R113" s="99" t="n"/>
    </x:row>
    <x:row r="114">
      <x:c r="C114" s="99" t="n"/>
      <x:c r="R114" s="99" t="n"/>
    </x:row>
    <x:row r="115">
      <x:c r="C115" s="99" t="n"/>
      <x:c r="R115" s="99" t="n"/>
    </x:row>
    <x:row r="116">
      <x:c r="C116" s="99" t="n"/>
      <x:c r="R116" s="99" t="n"/>
    </x:row>
    <x:row r="117">
      <x:c r="C117" s="99" t="n"/>
      <x:c r="R117" s="99" t="n"/>
    </x:row>
    <x:row r="118">
      <x:c r="C118" s="99" t="n"/>
      <x:c r="R118" s="99" t="n"/>
    </x:row>
    <x:row r="119">
      <x:c r="C119" s="99" t="n"/>
      <x:c r="R119" s="99" t="n"/>
    </x:row>
    <x:row r="120">
      <x:c r="C120" s="99" t="n"/>
      <x:c r="R120" s="99" t="n"/>
    </x:row>
    <x:row r="121">
      <x:c r="C121" s="99" t="n"/>
      <x:c r="R121" s="99" t="n"/>
    </x:row>
    <x:row r="122">
      <x:c r="C122" s="99" t="n"/>
      <x:c r="R122" s="99" t="n"/>
    </x:row>
    <x:row r="123">
      <x:c r="C123" s="99" t="n"/>
      <x:c r="R123" s="99" t="n"/>
    </x:row>
    <x:row r="124">
      <x:c r="C124" s="99" t="n"/>
      <x:c r="R124" s="99" t="n"/>
    </x:row>
    <x:row r="125">
      <x:c r="C125" s="99" t="n"/>
      <x:c r="R125" s="99" t="n"/>
    </x:row>
    <x:row r="126">
      <x:c r="C126" s="99" t="n"/>
      <x:c r="R126" s="99" t="n"/>
    </x:row>
    <x:row r="127">
      <x:c r="C127" s="99" t="n"/>
      <x:c r="R127" s="99" t="n"/>
    </x:row>
    <x:row r="128">
      <x:c r="C128" s="99" t="n"/>
      <x:c r="R128" s="99" t="n"/>
    </x:row>
    <x:row r="129">
      <x:c r="C129" s="99" t="n"/>
      <x:c r="R129" s="99" t="n"/>
    </x:row>
    <x:row r="130">
      <x:c r="C130" s="99" t="n"/>
      <x:c r="R130" s="99" t="n"/>
    </x:row>
    <x:row r="131">
      <x:c r="C131" s="99" t="n"/>
      <x:c r="R131" s="99" t="n"/>
    </x:row>
    <x:row r="132">
      <x:c r="C132" s="99" t="n"/>
      <x:c r="R132" s="99" t="n"/>
    </x:row>
    <x:row r="133">
      <x:c r="C133" s="99" t="n"/>
      <x:c r="R133" s="99" t="n"/>
    </x:row>
    <x:row r="134">
      <x:c r="C134" s="99" t="n"/>
      <x:c r="R134" s="99" t="n"/>
    </x:row>
    <x:row r="135">
      <x:c r="C135" s="99" t="n"/>
      <x:c r="R135" s="99" t="n"/>
    </x:row>
    <x:row r="136">
      <x:c r="C136" s="99" t="n"/>
      <x:c r="R136" s="99" t="n"/>
    </x:row>
    <x:row r="137">
      <x:c r="C137" s="99" t="n"/>
      <x:c r="R137" s="99" t="n"/>
    </x:row>
    <x:row r="138">
      <x:c r="C138" s="99" t="n"/>
      <x:c r="R138" s="99" t="n"/>
    </x:row>
    <x:row r="139">
      <x:c r="C139" s="99" t="n"/>
      <x:c r="R139" s="99" t="n"/>
    </x:row>
    <x:row r="140">
      <x:c r="C140" s="99" t="n"/>
      <x:c r="R140" s="99" t="n"/>
    </x:row>
    <x:row r="141">
      <x:c r="C141" s="99" t="n"/>
      <x:c r="R141" s="99" t="n"/>
    </x:row>
    <x:row r="142">
      <x:c r="C142" s="99" t="n"/>
      <x:c r="R142" s="99" t="n"/>
    </x:row>
    <x:row r="143">
      <x:c r="C143" s="99" t="n"/>
      <x:c r="R143" s="99" t="n"/>
    </x:row>
    <x:row r="144">
      <x:c r="C144" s="99" t="n"/>
      <x:c r="R144" s="99" t="n"/>
    </x:row>
    <x:row r="145">
      <x:c r="C145" s="99" t="n"/>
      <x:c r="R145" s="99" t="n"/>
    </x:row>
    <x:row r="146">
      <x:c r="C146" s="99" t="n"/>
      <x:c r="R146" s="99" t="n"/>
    </x:row>
    <x:row r="147">
      <x:c r="C147" s="99" t="n"/>
      <x:c r="R147" s="99" t="n"/>
    </x:row>
    <x:row r="148">
      <x:c r="C148" s="99" t="n"/>
      <x:c r="R148" s="99" t="n"/>
    </x:row>
    <x:row r="149">
      <x:c r="C149" s="99" t="n"/>
      <x:c r="R149" s="99" t="n"/>
    </x:row>
    <x:row r="150">
      <x:c r="C150" s="99" t="n"/>
      <x:c r="R150" s="99" t="n"/>
    </x:row>
    <x:row r="151">
      <x:c r="C151" s="99" t="n"/>
      <x:c r="R151" s="99" t="n"/>
    </x:row>
    <x:row r="152">
      <x:c r="C152" s="99" t="n"/>
      <x:c r="R152" s="99" t="n"/>
    </x:row>
    <x:row r="153">
      <x:c r="C153" s="99" t="n"/>
      <x:c r="R153" s="99" t="n"/>
    </x:row>
    <x:row r="154">
      <x:c r="C154" s="99" t="n"/>
      <x:c r="R154" s="99" t="n"/>
    </x:row>
    <x:row r="155">
      <x:c r="C155" s="99" t="n"/>
      <x:c r="R155" s="99" t="n"/>
    </x:row>
    <x:row r="156">
      <x:c r="C156" s="99" t="n"/>
      <x:c r="R156" s="99" t="n"/>
    </x:row>
    <x:row r="157">
      <x:c r="C157" s="99" t="n"/>
      <x:c r="R157" s="99" t="n"/>
    </x:row>
    <x:row r="158">
      <x:c r="C158" s="99" t="n"/>
      <x:c r="R158" s="99" t="n"/>
    </x:row>
    <x:row r="159">
      <x:c r="C159" s="99" t="n"/>
      <x:c r="R159" s="99" t="n"/>
    </x:row>
    <x:row r="160">
      <x:c r="C160" s="99" t="n"/>
      <x:c r="R160" s="99" t="n"/>
    </x:row>
    <x:row r="161">
      <x:c r="C161" s="99" t="n"/>
      <x:c r="R161" s="99" t="n"/>
    </x:row>
    <x:row r="162">
      <x:c r="C162" s="99" t="n"/>
      <x:c r="R162" s="99" t="n"/>
    </x:row>
    <x:row r="163">
      <x:c r="C163" s="99" t="n"/>
      <x:c r="R163" s="99" t="n"/>
    </x:row>
    <x:row r="164">
      <x:c r="C164" s="99" t="n"/>
      <x:c r="R164" s="99" t="n"/>
    </x:row>
    <x:row r="165">
      <x:c r="C165" s="99" t="n"/>
      <x:c r="R165" s="99" t="n"/>
    </x:row>
    <x:row r="166">
      <x:c r="C166" s="99" t="n"/>
      <x:c r="R166" s="99" t="n"/>
    </x:row>
    <x:row r="167">
      <x:c r="C167" s="99" t="n"/>
      <x:c r="R167" s="99" t="n"/>
    </x:row>
    <x:row r="168">
      <x:c r="C168" s="99" t="n"/>
      <x:c r="R168" s="99" t="n"/>
    </x:row>
    <x:row r="169">
      <x:c r="C169" s="99" t="n"/>
      <x:c r="R169" s="99" t="n"/>
    </x:row>
    <x:row r="170">
      <x:c r="C170" s="99" t="n"/>
      <x:c r="R170" s="99" t="n"/>
    </x:row>
    <x:row r="171">
      <x:c r="C171" s="99" t="n"/>
      <x:c r="R171" s="99" t="n"/>
    </x:row>
    <x:row r="172">
      <x:c r="C172" s="99" t="n"/>
      <x:c r="R172" s="99" t="n"/>
    </x:row>
    <x:row r="173">
      <x:c r="C173" s="99" t="n"/>
      <x:c r="R173" s="99" t="n"/>
    </x:row>
    <x:row r="174">
      <x:c r="C174" s="99" t="n"/>
      <x:c r="R174" s="99" t="n"/>
    </x:row>
    <x:row r="175">
      <x:c r="C175" s="99" t="n"/>
      <x:c r="R175" s="99" t="n"/>
    </x:row>
    <x:row r="176">
      <x:c r="C176" s="99" t="n"/>
      <x:c r="R176" s="99" t="n"/>
    </x:row>
    <x:row r="177">
      <x:c r="C177" s="99" t="n"/>
      <x:c r="R177" s="99" t="n"/>
    </x:row>
    <x:row r="178">
      <x:c r="C178" s="99" t="n"/>
      <x:c r="R178" s="99" t="n"/>
    </x:row>
    <x:row r="179">
      <x:c r="C179" s="99" t="n"/>
      <x:c r="R179" s="99" t="n"/>
    </x:row>
    <x:row r="180">
      <x:c r="C180" s="99" t="n"/>
      <x:c r="R180" s="99" t="n"/>
    </x:row>
    <x:row r="181">
      <x:c r="C181" s="99" t="n"/>
      <x:c r="R181" s="99" t="n"/>
    </x:row>
    <x:row r="182">
      <x:c r="C182" s="99" t="n"/>
      <x:c r="R182" s="99" t="n"/>
    </x:row>
    <x:row r="183">
      <x:c r="C183" s="99" t="n"/>
      <x:c r="R183" s="99" t="n"/>
    </x:row>
    <x:row r="184">
      <x:c r="C184" s="99" t="n"/>
      <x:c r="R184" s="99" t="n"/>
    </x:row>
    <x:row r="185">
      <x:c r="C185" s="99" t="n"/>
      <x:c r="R185" s="99" t="n"/>
    </x:row>
    <x:row r="186">
      <x:c r="C186" s="99" t="n"/>
      <x:c r="R186" s="99" t="n"/>
    </x:row>
    <x:row r="187">
      <x:c r="C187" s="99" t="n"/>
      <x:c r="R187" s="99" t="n"/>
    </x:row>
    <x:row r="188">
      <x:c r="C188" s="99" t="n"/>
      <x:c r="R188" s="99" t="n"/>
    </x:row>
    <x:row r="189">
      <x:c r="C189" s="99" t="n"/>
      <x:c r="R189" s="99" t="n"/>
    </x:row>
    <x:row r="190">
      <x:c r="C190" s="99" t="n"/>
      <x:c r="R190" s="99" t="n"/>
    </x:row>
    <x:row r="191">
      <x:c r="C191" s="99" t="n"/>
      <x:c r="R191" s="99" t="n"/>
    </x:row>
    <x:row r="192">
      <x:c r="C192" s="99" t="n"/>
      <x:c r="R192" s="99" t="n"/>
    </x:row>
    <x:row r="193">
      <x:c r="C193" s="99" t="n"/>
      <x:c r="R193" s="99" t="n"/>
    </x:row>
    <x:row r="194">
      <x:c r="C194" s="99" t="n"/>
      <x:c r="R194" s="99" t="n"/>
    </x:row>
    <x:row r="195">
      <x:c r="C195" s="99" t="n"/>
      <x:c r="R195" s="99" t="n"/>
    </x:row>
    <x:row r="196">
      <x:c r="C196" s="99" t="n"/>
      <x:c r="R196" s="99" t="n"/>
    </x:row>
    <x:row r="197">
      <x:c r="C197" s="99" t="n"/>
      <x:c r="R197" s="99" t="n"/>
    </x:row>
    <x:row r="198">
      <x:c r="C198" s="99" t="n"/>
      <x:c r="R198" s="99" t="n"/>
    </x:row>
    <x:row r="199">
      <x:c r="C199" s="99" t="n"/>
      <x:c r="R199" s="99" t="n"/>
    </x:row>
    <x:row r="200">
      <x:c r="C200" s="99" t="n"/>
      <x:c r="R200" s="99" t="n"/>
    </x:row>
    <x:row r="201">
      <x:c r="C201" s="99" t="n"/>
      <x:c r="R201" s="99" t="n"/>
    </x:row>
    <x:row r="202">
      <x:c r="C202" s="99" t="n"/>
      <x:c r="R202" s="99" t="n"/>
    </x:row>
    <x:row r="203">
      <x:c r="C203" s="99" t="n"/>
      <x:c r="R203" s="99" t="n"/>
    </x:row>
    <x:row r="204">
      <x:c r="C204" s="99" t="n"/>
      <x:c r="R204" s="99" t="n"/>
    </x:row>
    <x:row r="205">
      <x:c r="C205" s="99" t="n"/>
      <x:c r="R205" s="99" t="n"/>
    </x:row>
    <x:row r="206">
      <x:c r="C206" s="99" t="n"/>
      <x:c r="R206" s="99" t="n"/>
    </x:row>
    <x:row r="207">
      <x:c r="C207" s="99" t="n"/>
      <x:c r="R207" s="99" t="n"/>
    </x:row>
    <x:row r="208">
      <x:c r="C208" s="99" t="n"/>
      <x:c r="R208" s="99" t="n"/>
    </x:row>
    <x:row r="209">
      <x:c r="C209" s="99" t="n"/>
      <x:c r="R209" s="99" t="n"/>
    </x:row>
    <x:row r="210">
      <x:c r="C210" s="99" t="n"/>
      <x:c r="R210" s="99" t="n"/>
    </x:row>
    <x:row r="211">
      <x:c r="C211" s="99" t="n"/>
      <x:c r="R211" s="99" t="n"/>
    </x:row>
    <x:row r="212">
      <x:c r="C212" s="99" t="n"/>
      <x:c r="R212" s="99" t="n"/>
    </x:row>
    <x:row r="213">
      <x:c r="C213" s="99" t="n"/>
      <x:c r="R213" s="99" t="n"/>
    </x:row>
    <x:row r="214">
      <x:c r="C214" s="99" t="n"/>
      <x:c r="R214" s="99" t="n"/>
    </x:row>
    <x:row r="215">
      <x:c r="C215" s="99" t="n"/>
      <x:c r="R215" s="99" t="n"/>
    </x:row>
    <x:row r="216">
      <x:c r="C216" s="99" t="n"/>
      <x:c r="R216" s="99" t="n"/>
    </x:row>
    <x:row r="217">
      <x:c r="C217" s="99" t="n"/>
      <x:c r="R217" s="99" t="n"/>
    </x:row>
    <x:row r="218">
      <x:c r="C218" s="99" t="n"/>
      <x:c r="R218" s="99" t="n"/>
    </x:row>
    <x:row r="219">
      <x:c r="C219" s="99" t="n"/>
      <x:c r="R219" s="99" t="n"/>
    </x:row>
    <x:row r="220">
      <x:c r="C220" s="99" t="n"/>
      <x:c r="R220" s="99" t="n"/>
    </x:row>
    <x:row r="221">
      <x:c r="C221" s="99" t="n"/>
      <x:c r="R221" s="99" t="n"/>
    </x:row>
    <x:row r="222">
      <x:c r="C222" s="99" t="n"/>
      <x:c r="R222" s="99" t="n"/>
    </x:row>
    <x:row r="223">
      <x:c r="C223" s="99" t="n"/>
      <x:c r="R223" s="99" t="n"/>
    </x:row>
    <x:row r="224">
      <x:c r="C224" s="99" t="n"/>
      <x:c r="R224" s="99" t="n"/>
    </x:row>
    <x:row r="225">
      <x:c r="C225" s="99" t="n"/>
      <x:c r="R225" s="99" t="n"/>
    </x:row>
    <x:row r="226">
      <x:c r="C226" s="99" t="n"/>
      <x:c r="R226" s="99" t="n"/>
    </x:row>
    <x:row r="227">
      <x:c r="C227" s="99" t="n"/>
      <x:c r="R227" s="99" t="n"/>
    </x:row>
    <x:row r="228">
      <x:c r="C228" s="99" t="n"/>
      <x:c r="R228" s="99" t="n"/>
    </x:row>
    <x:row r="229">
      <x:c r="C229" s="99" t="n"/>
      <x:c r="R229" s="99" t="n"/>
    </x:row>
    <x:row r="230">
      <x:c r="C230" s="99" t="n"/>
      <x:c r="R230" s="99" t="n"/>
    </x:row>
    <x:row r="231">
      <x:c r="C231" s="99" t="n"/>
      <x:c r="R231" s="99" t="n"/>
    </x:row>
    <x:row r="232">
      <x:c r="C232" s="99" t="n"/>
      <x:c r="R232" s="99" t="n"/>
    </x:row>
    <x:row r="233">
      <x:c r="C233" s="99" t="n"/>
      <x:c r="R233" s="99" t="n"/>
    </x:row>
    <x:row r="234">
      <x:c r="C234" s="99" t="n"/>
      <x:c r="R234" s="99" t="n"/>
    </x:row>
    <x:row r="235">
      <x:c r="C235" s="99" t="n"/>
      <x:c r="R235" s="99" t="n"/>
    </x:row>
    <x:row r="236">
      <x:c r="C236" s="99" t="n"/>
      <x:c r="R236" s="99" t="n"/>
    </x:row>
    <x:row r="237">
      <x:c r="C237" s="99" t="n"/>
      <x:c r="R237" s="99" t="n"/>
    </x:row>
    <x:row r="238">
      <x:c r="C238" s="99" t="n"/>
      <x:c r="R238" s="99" t="n"/>
    </x:row>
    <x:row r="239">
      <x:c r="C239" s="99" t="n"/>
      <x:c r="R239" s="99" t="n"/>
    </x:row>
    <x:row r="240">
      <x:c r="C240" s="99" t="n"/>
      <x:c r="R240" s="99" t="n"/>
    </x:row>
    <x:row r="241">
      <x:c r="C241" s="99" t="n"/>
      <x:c r="R241" s="99" t="n"/>
    </x:row>
    <x:row r="242">
      <x:c r="C242" s="99" t="n"/>
      <x:c r="R242" s="99" t="n"/>
    </x:row>
    <x:row r="243">
      <x:c r="C243" s="99" t="n"/>
      <x:c r="R243" s="99" t="n"/>
    </x:row>
    <x:row r="244">
      <x:c r="C244" s="99" t="n"/>
      <x:c r="R244" s="99" t="n"/>
    </x:row>
    <x:row r="245">
      <x:c r="C245" s="99" t="n"/>
      <x:c r="R245" s="99" t="n"/>
    </x:row>
    <x:row r="246">
      <x:c r="C246" s="99" t="n"/>
      <x:c r="R246" s="99" t="n"/>
    </x:row>
    <x:row r="247">
      <x:c r="C247" s="99" t="n"/>
      <x:c r="R247" s="99" t="n"/>
    </x:row>
    <x:row r="248">
      <x:c r="C248" s="99" t="n"/>
      <x:c r="R248" s="99" t="n"/>
    </x:row>
    <x:row r="249">
      <x:c r="C249" s="99" t="n"/>
      <x:c r="R249" s="99" t="n"/>
    </x:row>
    <x:row r="250">
      <x:c r="C250" s="99" t="n"/>
      <x:c r="R250" s="99" t="n"/>
    </x:row>
    <x:row r="251">
      <x:c r="C251" s="99" t="n"/>
      <x:c r="R251" s="99" t="n"/>
    </x:row>
    <x:row r="252">
      <x:c r="C252" s="99" t="n"/>
      <x:c r="R252" s="99" t="n"/>
    </x:row>
    <x:row r="253">
      <x:c r="C253" s="99" t="n"/>
      <x:c r="R253" s="99" t="n"/>
    </x:row>
    <x:row r="254">
      <x:c r="C254" s="99" t="n"/>
      <x:c r="R254" s="99" t="n"/>
    </x:row>
    <x:row r="255">
      <x:c r="C255" s="99" t="n"/>
      <x:c r="R255" s="99" t="n"/>
    </x:row>
    <x:row r="256">
      <x:c r="C256" s="99" t="n"/>
      <x:c r="R256" s="99" t="n"/>
    </x:row>
    <x:row r="257">
      <x:c r="C257" s="99" t="n"/>
      <x:c r="R257" s="99" t="n"/>
    </x:row>
    <x:row r="258">
      <x:c r="C258" s="99" t="n"/>
      <x:c r="R258" s="99" t="n"/>
    </x:row>
    <x:row r="259">
      <x:c r="C259" s="99" t="n"/>
      <x:c r="R259" s="99" t="n"/>
    </x:row>
    <x:row r="260">
      <x:c r="C260" s="99" t="n"/>
      <x:c r="R260" s="99" t="n"/>
    </x:row>
    <x:row r="261">
      <x:c r="C261" s="99" t="n"/>
      <x:c r="R261" s="99" t="n"/>
    </x:row>
    <x:row r="262">
      <x:c r="C262" s="99" t="n"/>
      <x:c r="R262" s="99" t="n"/>
    </x:row>
    <x:row r="263">
      <x:c r="C263" s="99" t="n"/>
      <x:c r="R263" s="99" t="n"/>
    </x:row>
    <x:row r="264">
      <x:c r="C264" s="99" t="n"/>
      <x:c r="R264" s="99" t="n"/>
    </x:row>
    <x:row r="265">
      <x:c r="C265" s="99" t="n"/>
      <x:c r="R265" s="99" t="n"/>
    </x:row>
    <x:row r="266">
      <x:c r="C266" s="99" t="n"/>
      <x:c r="R266" s="99" t="n"/>
    </x:row>
    <x:row r="267">
      <x:c r="C267" s="99" t="n"/>
      <x:c r="R267" s="99" t="n"/>
    </x:row>
    <x:row r="268">
      <x:c r="C268" s="99" t="n"/>
      <x:c r="R268" s="99" t="n"/>
    </x:row>
    <x:row r="269">
      <x:c r="C269" s="99" t="n"/>
      <x:c r="R269" s="99" t="n"/>
    </x:row>
    <x:row r="270">
      <x:c r="C270" s="99" t="n"/>
      <x:c r="R270" s="99" t="n"/>
    </x:row>
    <x:row r="271">
      <x:c r="C271" s="99" t="n"/>
      <x:c r="R271" s="99" t="n"/>
    </x:row>
    <x:row r="272">
      <x:c r="C272" s="99" t="n"/>
      <x:c r="R272" s="99" t="n"/>
    </x:row>
    <x:row r="273">
      <x:c r="C273" s="99" t="n"/>
      <x:c r="R273" s="99" t="n"/>
    </x:row>
    <x:row r="274">
      <x:c r="C274" s="99" t="n"/>
      <x:c r="R274" s="99" t="n"/>
    </x:row>
    <x:row r="275">
      <x:c r="C275" s="99" t="n"/>
      <x:c r="R275" s="99" t="n"/>
    </x:row>
    <x:row r="276">
      <x:c r="C276" s="99" t="n"/>
      <x:c r="R276" s="99" t="n"/>
    </x:row>
    <x:row r="277">
      <x:c r="C277" s="99" t="n"/>
      <x:c r="R277" s="99" t="n"/>
    </x:row>
    <x:row r="278">
      <x:c r="C278" s="99" t="n"/>
      <x:c r="R278" s="99" t="n"/>
    </x:row>
    <x:row r="279">
      <x:c r="C279" s="99" t="n"/>
      <x:c r="R279" s="99" t="n"/>
    </x:row>
    <x:row r="280">
      <x:c r="C280" s="99" t="n"/>
      <x:c r="R280" s="99" t="n"/>
    </x:row>
    <x:row r="281">
      <x:c r="C281" s="99" t="n"/>
      <x:c r="R281" s="99" t="n"/>
    </x:row>
    <x:row r="282">
      <x:c r="C282" s="99" t="n"/>
      <x:c r="R282" s="99" t="n"/>
    </x:row>
    <x:row r="283">
      <x:c r="C283" s="99" t="n"/>
      <x:c r="R283" s="99" t="n"/>
    </x:row>
    <x:row r="284">
      <x:c r="C284" s="99" t="n"/>
      <x:c r="R284" s="99" t="n"/>
    </x:row>
    <x:row r="285">
      <x:c r="C285" s="99" t="n"/>
      <x:c r="R285" s="99" t="n"/>
    </x:row>
    <x:row r="286">
      <x:c r="C286" s="99" t="n"/>
      <x:c r="R286" s="99" t="n"/>
    </x:row>
    <x:row r="287">
      <x:c r="C287" s="99" t="n"/>
      <x:c r="R287" s="99" t="n"/>
    </x:row>
    <x:row r="288">
      <x:c r="C288" s="99" t="n"/>
      <x:c r="R288" s="99" t="n"/>
    </x:row>
    <x:row r="289">
      <x:c r="C289" s="99" t="n"/>
      <x:c r="R289" s="99" t="n"/>
    </x:row>
    <x:row r="290">
      <x:c r="C290" s="99" t="n"/>
      <x:c r="R290" s="99" t="n"/>
    </x:row>
    <x:row r="291">
      <x:c r="C291" s="99" t="n"/>
      <x:c r="R291" s="99" t="n"/>
    </x:row>
    <x:row r="292">
      <x:c r="C292" s="99" t="n"/>
      <x:c r="R292" s="99" t="n"/>
    </x:row>
    <x:row r="293">
      <x:c r="C293" s="99" t="n"/>
      <x:c r="R293" s="99" t="n"/>
    </x:row>
    <x:row r="294">
      <x:c r="C294" s="99" t="n"/>
      <x:c r="R294" s="99" t="n"/>
    </x:row>
    <x:row r="295">
      <x:c r="C295" s="99" t="n"/>
      <x:c r="R295" s="99" t="n"/>
    </x:row>
    <x:row r="296">
      <x:c r="C296" s="99" t="n"/>
      <x:c r="R296" s="99" t="n"/>
    </x:row>
    <x:row r="297">
      <x:c r="C297" s="99" t="n"/>
      <x:c r="R297" s="99" t="n"/>
    </x:row>
    <x:row r="298">
      <x:c r="C298" s="99" t="n"/>
      <x:c r="R298" s="99" t="n"/>
    </x:row>
    <x:row r="299">
      <x:c r="C299" s="99" t="n"/>
      <x:c r="R299" s="99" t="n"/>
    </x:row>
    <x:row r="300">
      <x:c r="C300" s="99" t="n"/>
      <x:c r="R300" s="99" t="n"/>
    </x:row>
    <x:row r="301">
      <x:c r="C301" s="99" t="n"/>
      <x:c r="R301" s="99" t="n"/>
    </x:row>
    <x:row r="302">
      <x:c r="C302" s="99" t="n"/>
      <x:c r="R302" s="99" t="n"/>
    </x:row>
    <x:row r="303">
      <x:c r="C303" s="99" t="n"/>
      <x:c r="R303" s="99" t="n"/>
    </x:row>
    <x:row r="304">
      <x:c r="C304" s="99" t="n"/>
      <x:c r="R304" s="99" t="n"/>
    </x:row>
    <x:row r="305">
      <x:c r="C305" s="99" t="n"/>
      <x:c r="R305" s="99" t="n"/>
    </x:row>
    <x:row r="306">
      <x:c r="C306" s="99" t="n"/>
      <x:c r="R306" s="99" t="n"/>
    </x:row>
    <x:row r="307">
      <x:c r="C307" s="99" t="n"/>
      <x:c r="R307" s="99" t="n"/>
    </x:row>
    <x:row r="308">
      <x:c r="C308" s="99" t="n"/>
      <x:c r="R308" s="99" t="n"/>
    </x:row>
    <x:row r="309">
      <x:c r="C309" s="99" t="n"/>
      <x:c r="R309" s="99" t="n"/>
    </x:row>
    <x:row r="310">
      <x:c r="C310" s="99" t="n"/>
      <x:c r="R310" s="99" t="n"/>
    </x:row>
    <x:row r="311">
      <x:c r="C311" s="99" t="n"/>
      <x:c r="R311" s="99" t="n"/>
    </x:row>
    <x:row r="312">
      <x:c r="C312" s="99" t="n"/>
      <x:c r="R312" s="99" t="n"/>
    </x:row>
    <x:row r="313">
      <x:c r="C313" s="99" t="n"/>
      <x:c r="R313" s="99" t="n"/>
    </x:row>
    <x:row r="314">
      <x:c r="C314" s="99" t="n"/>
      <x:c r="R314" s="99" t="n"/>
    </x:row>
    <x:row r="315">
      <x:c r="C315" s="99" t="n"/>
      <x:c r="R315" s="99" t="n"/>
    </x:row>
    <x:row r="316">
      <x:c r="C316" s="99" t="n"/>
      <x:c r="R316" s="99" t="n"/>
    </x:row>
    <x:row r="317">
      <x:c r="C317" s="99" t="n"/>
      <x:c r="R317" s="99" t="n"/>
    </x:row>
    <x:row r="318">
      <x:c r="C318" s="99" t="n"/>
      <x:c r="R318" s="99" t="n"/>
    </x:row>
    <x:row r="319">
      <x:c r="C319" s="99" t="n"/>
      <x:c r="R319" s="99" t="n"/>
    </x:row>
    <x:row r="320">
      <x:c r="C320" s="99" t="n"/>
      <x:c r="R320" s="99" t="n"/>
    </x:row>
    <x:row r="321">
      <x:c r="C321" s="99" t="n"/>
      <x:c r="R321" s="99" t="n"/>
    </x:row>
    <x:row r="322">
      <x:c r="C322" s="99" t="n"/>
      <x:c r="R322" s="99" t="n"/>
    </x:row>
    <x:row r="323">
      <x:c r="C323" s="99" t="n"/>
      <x:c r="R323" s="99" t="n"/>
    </x:row>
    <x:row r="324">
      <x:c r="C324" s="99" t="n"/>
      <x:c r="R324" s="99" t="n"/>
    </x:row>
    <x:row r="325">
      <x:c r="C325" s="99" t="n"/>
      <x:c r="R325" s="99" t="n"/>
    </x:row>
    <x:row r="326">
      <x:c r="C326" s="99" t="n"/>
      <x:c r="R326" s="99" t="n"/>
    </x:row>
    <x:row r="327">
      <x:c r="C327" s="99" t="n"/>
      <x:c r="R327" s="99" t="n"/>
    </x:row>
    <x:row r="328">
      <x:c r="C328" s="99" t="n"/>
      <x:c r="R328" s="99" t="n"/>
    </x:row>
    <x:row r="329">
      <x:c r="C329" s="99" t="n"/>
      <x:c r="R329" s="99" t="n"/>
    </x:row>
    <x:row r="330">
      <x:c r="C330" s="99" t="n"/>
      <x:c r="R330" s="99" t="n"/>
    </x:row>
    <x:row r="331">
      <x:c r="C331" s="99" t="n"/>
      <x:c r="R331" s="99" t="n"/>
    </x:row>
    <x:row r="332">
      <x:c r="C332" s="99" t="n"/>
      <x:c r="R332" s="99" t="n"/>
    </x:row>
    <x:row r="333">
      <x:c r="C333" s="99" t="n"/>
      <x:c r="R333" s="99" t="n"/>
    </x:row>
    <x:row r="334">
      <x:c r="C334" s="99" t="n"/>
      <x:c r="R334" s="99" t="n"/>
    </x:row>
    <x:row r="335">
      <x:c r="C335" s="99" t="n"/>
      <x:c r="R335" s="99" t="n"/>
    </x:row>
    <x:row r="336">
      <x:c r="C336" s="99" t="n"/>
      <x:c r="R336" s="99" t="n"/>
    </x:row>
    <x:row r="337">
      <x:c r="C337" s="99" t="n"/>
      <x:c r="R337" s="99" t="n"/>
    </x:row>
    <x:row r="338">
      <x:c r="C338" s="99" t="n"/>
      <x:c r="R338" s="99" t="n"/>
    </x:row>
    <x:row r="339">
      <x:c r="C339" s="99" t="n"/>
      <x:c r="R339" s="99" t="n"/>
    </x:row>
    <x:row r="340">
      <x:c r="C340" s="99" t="n"/>
      <x:c r="R340" s="99" t="n"/>
    </x:row>
    <x:row r="341">
      <x:c r="C341" s="99" t="n"/>
      <x:c r="R341" s="99" t="n"/>
    </x:row>
    <x:row r="342">
      <x:c r="C342" s="99" t="n"/>
      <x:c r="R342" s="99" t="n"/>
    </x:row>
    <x:row r="343">
      <x:c r="C343" s="99" t="n"/>
      <x:c r="R343" s="99" t="n"/>
    </x:row>
    <x:row r="344">
      <x:c r="C344" s="99" t="n"/>
      <x:c r="R344" s="99" t="n"/>
    </x:row>
    <x:row r="345">
      <x:c r="C345" s="99" t="n"/>
      <x:c r="R345" s="99" t="n"/>
    </x:row>
    <x:row r="346">
      <x:c r="C346" s="99" t="n"/>
      <x:c r="R346" s="99" t="n"/>
    </x:row>
    <x:row r="347">
      <x:c r="C347" s="99" t="n"/>
      <x:c r="R347" s="99" t="n"/>
    </x:row>
    <x:row r="348">
      <x:c r="C348" s="99" t="n"/>
      <x:c r="R348" s="99" t="n"/>
    </x:row>
    <x:row r="349">
      <x:c r="C349" s="99" t="n"/>
      <x:c r="R349" s="99" t="n"/>
    </x:row>
    <x:row r="350">
      <x:c r="C350" s="99" t="n"/>
      <x:c r="R350" s="99" t="n"/>
    </x:row>
    <x:row r="351">
      <x:c r="C351" s="99" t="n"/>
      <x:c r="R351" s="99" t="n"/>
    </x:row>
    <x:row r="352">
      <x:c r="C352" s="99" t="n"/>
      <x:c r="R352" s="99" t="n"/>
    </x:row>
    <x:row r="353">
      <x:c r="C353" s="99" t="n"/>
      <x:c r="R353" s="99" t="n"/>
    </x:row>
    <x:row r="354">
      <x:c r="C354" s="99" t="n"/>
      <x:c r="R354" s="99" t="n"/>
    </x:row>
    <x:row r="355">
      <x:c r="C355" s="99" t="n"/>
      <x:c r="R355" s="99" t="n"/>
    </x:row>
    <x:row r="356">
      <x:c r="C356" s="99" t="n"/>
      <x:c r="R356" s="99" t="n"/>
    </x:row>
    <x:row r="357">
      <x:c r="C357" s="99" t="n"/>
      <x:c r="R357" s="99" t="n"/>
    </x:row>
    <x:row r="358">
      <x:c r="C358" s="99" t="n"/>
      <x:c r="R358" s="99" t="n"/>
    </x:row>
    <x:row r="359">
      <x:c r="C359" s="99" t="n"/>
      <x:c r="R359" s="99" t="n"/>
    </x:row>
    <x:row r="360">
      <x:c r="C360" s="99" t="n"/>
      <x:c r="R360" s="99" t="n"/>
    </x:row>
    <x:row r="361">
      <x:c r="C361" s="99" t="n"/>
      <x:c r="R361" s="99" t="n"/>
    </x:row>
    <x:row r="362">
      <x:c r="C362" s="99" t="n"/>
      <x:c r="R362" s="99" t="n"/>
    </x:row>
    <x:row r="363">
      <x:c r="C363" s="99" t="n"/>
      <x:c r="R363" s="99" t="n"/>
    </x:row>
    <x:row r="364">
      <x:c r="C364" s="99" t="n"/>
      <x:c r="R364" s="99" t="n"/>
    </x:row>
    <x:row r="365">
      <x:c r="C365" s="99" t="n"/>
      <x:c r="R365" s="99" t="n"/>
    </x:row>
    <x:row r="366">
      <x:c r="C366" s="99" t="n"/>
      <x:c r="R366" s="99" t="n"/>
    </x:row>
    <x:row r="367">
      <x:c r="C367" s="99" t="n"/>
      <x:c r="R367" s="99" t="n"/>
    </x:row>
    <x:row r="368">
      <x:c r="C368" s="99" t="n"/>
      <x:c r="R368" s="99" t="n"/>
    </x:row>
    <x:row r="369">
      <x:c r="C369" s="99" t="n"/>
      <x:c r="R369" s="99" t="n"/>
    </x:row>
    <x:row r="370">
      <x:c r="C370" s="99" t="n"/>
      <x:c r="R370" s="99" t="n"/>
    </x:row>
    <x:row r="371">
      <x:c r="C371" s="99" t="n"/>
      <x:c r="R371" s="99" t="n"/>
    </x:row>
    <x:row r="372">
      <x:c r="C372" s="99" t="n"/>
      <x:c r="R372" s="99" t="n"/>
    </x:row>
    <x:row r="373">
      <x:c r="C373" s="99" t="n"/>
      <x:c r="R373" s="99" t="n"/>
    </x:row>
    <x:row r="374">
      <x:c r="C374" s="99" t="n"/>
      <x:c r="R374" s="99" t="n"/>
    </x:row>
    <x:row r="375">
      <x:c r="C375" s="99" t="n"/>
      <x:c r="R375" s="99" t="n"/>
    </x:row>
    <x:row r="376">
      <x:c r="C376" s="99" t="n"/>
      <x:c r="R376" s="99" t="n"/>
    </x:row>
    <x:row r="377">
      <x:c r="C377" s="99" t="n"/>
      <x:c r="R377" s="99" t="n"/>
    </x:row>
    <x:row r="378">
      <x:c r="C378" s="99" t="n"/>
      <x:c r="R378" s="99" t="n"/>
    </x:row>
    <x:row r="379">
      <x:c r="C379" s="99" t="n"/>
      <x:c r="R379" s="99" t="n"/>
    </x:row>
    <x:row r="380">
      <x:c r="C380" s="99" t="n"/>
      <x:c r="R380" s="99" t="n"/>
    </x:row>
    <x:row r="381">
      <x:c r="C381" s="99" t="n"/>
      <x:c r="R381" s="99" t="n"/>
    </x:row>
    <x:row r="382">
      <x:c r="C382" s="99" t="n"/>
      <x:c r="R382" s="99" t="n"/>
    </x:row>
    <x:row r="383">
      <x:c r="C383" s="99" t="n"/>
      <x:c r="R383" s="99" t="n"/>
    </x:row>
    <x:row r="384">
      <x:c r="C384" s="99" t="n"/>
      <x:c r="R384" s="99" t="n"/>
    </x:row>
    <x:row r="385">
      <x:c r="C385" s="99" t="n"/>
      <x:c r="R385" s="99" t="n"/>
    </x:row>
    <x:row r="386">
      <x:c r="C386" s="99" t="n"/>
      <x:c r="R386" s="99" t="n"/>
    </x:row>
    <x:row r="387">
      <x:c r="C387" s="99" t="n"/>
      <x:c r="R387" s="99" t="n"/>
    </x:row>
    <x:row r="388">
      <x:c r="C388" s="99" t="n"/>
      <x:c r="R388" s="99" t="n"/>
    </x:row>
    <x:row r="389">
      <x:c r="C389" s="99" t="n"/>
      <x:c r="R389" s="99" t="n"/>
    </x:row>
    <x:row r="390">
      <x:c r="C390" s="99" t="n"/>
      <x:c r="R390" s="99" t="n"/>
    </x:row>
    <x:row r="391">
      <x:c r="C391" s="99" t="n"/>
      <x:c r="R391" s="99" t="n"/>
    </x:row>
    <x:row r="392">
      <x:c r="C392" s="99" t="n"/>
      <x:c r="R392" s="99" t="n"/>
    </x:row>
    <x:row r="393">
      <x:c r="C393" s="99" t="n"/>
      <x:c r="R393" s="99" t="n"/>
    </x:row>
    <x:row r="394">
      <x:c r="C394" s="99" t="n"/>
      <x:c r="R394" s="99" t="n"/>
    </x:row>
    <x:row r="395">
      <x:c r="C395" s="99" t="n"/>
      <x:c r="R395" s="99" t="n"/>
    </x:row>
    <x:row r="396">
      <x:c r="C396" s="99" t="n"/>
      <x:c r="R396" s="99" t="n"/>
    </x:row>
    <x:row r="397">
      <x:c r="C397" s="99" t="n"/>
      <x:c r="R397" s="99" t="n"/>
    </x:row>
    <x:row r="398">
      <x:c r="C398" s="99" t="n"/>
      <x:c r="R398" s="99" t="n"/>
    </x:row>
    <x:row r="399">
      <x:c r="C399" s="99" t="n"/>
      <x:c r="R399" s="99" t="n"/>
    </x:row>
    <x:row r="400">
      <x:c r="C400" s="99" t="n"/>
      <x:c r="R400" s="99" t="n"/>
    </x:row>
    <x:row r="401">
      <x:c r="C401" s="99" t="n"/>
      <x:c r="R401" s="99" t="n"/>
    </x:row>
    <x:row r="402">
      <x:c r="C402" s="99" t="n"/>
      <x:c r="R402" s="99" t="n"/>
    </x:row>
    <x:row r="403">
      <x:c r="C403" s="99" t="n"/>
      <x:c r="R403" s="99" t="n"/>
    </x:row>
    <x:row r="404">
      <x:c r="C404" s="99" t="n"/>
      <x:c r="R404" s="99" t="n"/>
    </x:row>
    <x:row r="405">
      <x:c r="C405" s="99" t="n"/>
      <x:c r="R405" s="99" t="n"/>
    </x:row>
    <x:row r="406">
      <x:c r="C406" s="99" t="n"/>
      <x:c r="R406" s="99" t="n"/>
    </x:row>
    <x:row r="407">
      <x:c r="C407" s="99" t="n"/>
      <x:c r="R407" s="99" t="n"/>
    </x:row>
    <x:row r="408">
      <x:c r="C408" s="99" t="n"/>
      <x:c r="R408" s="99" t="n"/>
    </x:row>
    <x:row r="409">
      <x:c r="C409" s="99" t="n"/>
      <x:c r="R409" s="99" t="n"/>
    </x:row>
    <x:row r="410">
      <x:c r="C410" s="99" t="n"/>
      <x:c r="R410" s="99" t="n"/>
    </x:row>
    <x:row r="411">
      <x:c r="C411" s="99" t="n"/>
      <x:c r="R411" s="99" t="n"/>
    </x:row>
    <x:row r="412">
      <x:c r="C412" s="99" t="n"/>
      <x:c r="R412" s="99" t="n"/>
    </x:row>
    <x:row r="413">
      <x:c r="C413" s="99" t="n"/>
      <x:c r="R413" s="99" t="n"/>
    </x:row>
    <x:row r="414">
      <x:c r="C414" s="99" t="n"/>
      <x:c r="R414" s="99" t="n"/>
    </x:row>
    <x:row r="415">
      <x:c r="C415" s="99" t="n"/>
      <x:c r="R415" s="99" t="n"/>
    </x:row>
    <x:row r="416">
      <x:c r="C416" s="99" t="n"/>
      <x:c r="R416" s="99" t="n"/>
    </x:row>
    <x:row r="417">
      <x:c r="C417" s="99" t="n"/>
      <x:c r="R417" s="99" t="n"/>
    </x:row>
    <x:row r="418">
      <x:c r="C418" s="99" t="n"/>
      <x:c r="R418" s="99" t="n"/>
    </x:row>
    <x:row r="419">
      <x:c r="C419" s="99" t="n"/>
      <x:c r="R419" s="99" t="n"/>
    </x:row>
    <x:row r="420">
      <x:c r="C420" s="99" t="n"/>
      <x:c r="R420" s="99" t="n"/>
    </x:row>
    <x:row r="421">
      <x:c r="C421" s="99" t="n"/>
      <x:c r="R421" s="99" t="n"/>
    </x:row>
    <x:row r="422">
      <x:c r="C422" s="99" t="n"/>
      <x:c r="R422" s="99" t="n"/>
    </x:row>
    <x:row r="423">
      <x:c r="C423" s="99" t="n"/>
      <x:c r="R423" s="99" t="n"/>
    </x:row>
    <x:row r="424">
      <x:c r="C424" s="99" t="n"/>
      <x:c r="R424" s="99" t="n"/>
    </x:row>
    <x:row r="425">
      <x:c r="C425" s="99" t="n"/>
      <x:c r="R425" s="99" t="n"/>
    </x:row>
    <x:row r="426">
      <x:c r="C426" s="99" t="n"/>
      <x:c r="R426" s="99" t="n"/>
    </x:row>
    <x:row r="427">
      <x:c r="C427" s="99" t="n"/>
      <x:c r="R427" s="99" t="n"/>
    </x:row>
    <x:row r="428">
      <x:c r="C428" s="99" t="n"/>
      <x:c r="R428" s="99" t="n"/>
    </x:row>
    <x:row r="429">
      <x:c r="C429" s="99" t="n"/>
      <x:c r="R429" s="99" t="n"/>
    </x:row>
    <x:row r="430">
      <x:c r="C430" s="99" t="n"/>
      <x:c r="R430" s="99" t="n"/>
    </x:row>
    <x:row r="431">
      <x:c r="C431" s="99" t="n"/>
      <x:c r="R431" s="99" t="n"/>
    </x:row>
    <x:row r="432">
      <x:c r="C432" s="99" t="n"/>
      <x:c r="R432" s="99" t="n"/>
    </x:row>
    <x:row r="433">
      <x:c r="C433" s="99" t="n"/>
      <x:c r="R433" s="99" t="n"/>
    </x:row>
    <x:row r="434">
      <x:c r="C434" s="99" t="n"/>
      <x:c r="R434" s="99" t="n"/>
    </x:row>
    <x:row r="435">
      <x:c r="C435" s="99" t="n"/>
      <x:c r="R435" s="99" t="n"/>
    </x:row>
    <x:row r="436">
      <x:c r="C436" s="99" t="n"/>
      <x:c r="R436" s="99" t="n"/>
    </x:row>
    <x:row r="437">
      <x:c r="C437" s="99" t="n"/>
      <x:c r="R437" s="99" t="n"/>
    </x:row>
    <x:row r="438">
      <x:c r="C438" s="99" t="n"/>
      <x:c r="R438" s="99" t="n"/>
    </x:row>
    <x:row r="439">
      <x:c r="C439" s="99" t="n"/>
      <x:c r="R439" s="99" t="n"/>
    </x:row>
    <x:row r="440">
      <x:c r="C440" s="99" t="n"/>
      <x:c r="R440" s="99" t="n"/>
    </x:row>
    <x:row r="441">
      <x:c r="C441" s="99" t="n"/>
      <x:c r="R441" s="99" t="n"/>
    </x:row>
    <x:row r="442">
      <x:c r="C442" s="99" t="n"/>
      <x:c r="R442" s="99" t="n"/>
    </x:row>
    <x:row r="443">
      <x:c r="C443" s="99" t="n"/>
      <x:c r="R443" s="99" t="n"/>
    </x:row>
    <x:row r="444">
      <x:c r="C444" s="99" t="n"/>
      <x:c r="R444" s="99" t="n"/>
    </x:row>
    <x:row r="445">
      <x:c r="C445" s="99" t="n"/>
      <x:c r="R445" s="99" t="n"/>
    </x:row>
    <x:row r="446">
      <x:c r="C446" s="99" t="n"/>
      <x:c r="R446" s="99" t="n"/>
    </x:row>
    <x:row r="447">
      <x:c r="C447" s="99" t="n"/>
      <x:c r="R447" s="99" t="n"/>
    </x:row>
    <x:row r="448">
      <x:c r="C448" s="99" t="n"/>
      <x:c r="R448" s="99" t="n"/>
    </x:row>
    <x:row r="449">
      <x:c r="C449" s="99" t="n"/>
      <x:c r="R449" s="99" t="n"/>
    </x:row>
    <x:row r="450">
      <x:c r="C450" s="99" t="n"/>
      <x:c r="R450" s="99" t="n"/>
    </x:row>
    <x:row r="451">
      <x:c r="C451" s="99" t="n"/>
      <x:c r="R451" s="99" t="n"/>
    </x:row>
    <x:row r="452">
      <x:c r="C452" s="99" t="n"/>
      <x:c r="R452" s="99" t="n"/>
    </x:row>
    <x:row r="453">
      <x:c r="C453" s="99" t="n"/>
      <x:c r="R453" s="99" t="n"/>
    </x:row>
    <x:row r="454">
      <x:c r="C454" s="99" t="n"/>
      <x:c r="R454" s="99" t="n"/>
    </x:row>
    <x:row r="455">
      <x:c r="C455" s="99" t="n"/>
      <x:c r="R455" s="99" t="n"/>
    </x:row>
    <x:row r="456">
      <x:c r="C456" s="99" t="n"/>
      <x:c r="R456" s="99" t="n"/>
    </x:row>
    <x:row r="457">
      <x:c r="C457" s="99" t="n"/>
      <x:c r="R457" s="99" t="n"/>
    </x:row>
    <x:row r="458">
      <x:c r="C458" s="99" t="n"/>
      <x:c r="R458" s="99" t="n"/>
    </x:row>
    <x:row r="459">
      <x:c r="C459" s="99" t="n"/>
      <x:c r="R459" s="99" t="n"/>
    </x:row>
    <x:row r="460">
      <x:c r="C460" s="99" t="n"/>
      <x:c r="R460" s="99" t="n"/>
    </x:row>
    <x:row r="461">
      <x:c r="C461" s="99" t="n"/>
      <x:c r="R461" s="99" t="n"/>
    </x:row>
    <x:row r="462">
      <x:c r="C462" s="99" t="n"/>
      <x:c r="R462" s="99" t="n"/>
    </x:row>
    <x:row r="463">
      <x:c r="C463" s="99" t="n"/>
      <x:c r="R463" s="99" t="n"/>
    </x:row>
    <x:row r="464">
      <x:c r="C464" s="99" t="n"/>
      <x:c r="R464" s="99" t="n"/>
    </x:row>
    <x:row r="465">
      <x:c r="C465" s="99" t="n"/>
      <x:c r="R465" s="99" t="n"/>
    </x:row>
    <x:row r="466">
      <x:c r="C466" s="99" t="n"/>
      <x:c r="R466" s="99" t="n"/>
    </x:row>
    <x:row r="467">
      <x:c r="C467" s="99" t="n"/>
      <x:c r="R467" s="99" t="n"/>
    </x:row>
    <x:row r="468">
      <x:c r="C468" s="99" t="n"/>
      <x:c r="R468" s="99" t="n"/>
    </x:row>
    <x:row r="469">
      <x:c r="C469" s="99" t="n"/>
      <x:c r="R469" s="99" t="n"/>
    </x:row>
    <x:row r="470">
      <x:c r="C470" s="99" t="n"/>
      <x:c r="R470" s="99" t="n"/>
    </x:row>
    <x:row r="471">
      <x:c r="C471" s="99" t="n"/>
      <x:c r="R471" s="99" t="n"/>
    </x:row>
    <x:row r="472">
      <x:c r="C472" s="99" t="n"/>
      <x:c r="R472" s="99" t="n"/>
    </x:row>
    <x:row r="473">
      <x:c r="C473" s="99" t="n"/>
      <x:c r="R473" s="99" t="n"/>
    </x:row>
    <x:row r="474">
      <x:c r="C474" s="99" t="n"/>
      <x:c r="R474" s="99" t="n"/>
    </x:row>
    <x:row r="475">
      <x:c r="C475" s="99" t="n"/>
      <x:c r="R475" s="99" t="n"/>
    </x:row>
    <x:row r="476">
      <x:c r="C476" s="99" t="n"/>
      <x:c r="R476" s="99" t="n"/>
    </x:row>
    <x:row r="477">
      <x:c r="C477" s="99" t="n"/>
      <x:c r="R477" s="99" t="n"/>
    </x:row>
    <x:row r="478">
      <x:c r="C478" s="99" t="n"/>
      <x:c r="R478" s="99" t="n"/>
    </x:row>
    <x:row r="479">
      <x:c r="C479" s="99" t="n"/>
      <x:c r="R479" s="99" t="n"/>
    </x:row>
    <x:row r="480">
      <x:c r="C480" s="99" t="n"/>
      <x:c r="R480" s="99" t="n"/>
    </x:row>
    <x:row r="481">
      <x:c r="C481" s="99" t="n"/>
      <x:c r="R481" s="99" t="n"/>
    </x:row>
    <x:row r="482">
      <x:c r="C482" s="99" t="n"/>
      <x:c r="R482" s="99" t="n"/>
    </x:row>
    <x:row r="483">
      <x:c r="C483" s="99" t="n"/>
      <x:c r="R483" s="99" t="n"/>
    </x:row>
    <x:row r="484">
      <x:c r="C484" s="99" t="n"/>
      <x:c r="R484" s="99" t="n"/>
    </x:row>
    <x:row r="485">
      <x:c r="C485" s="99" t="n"/>
      <x:c r="R485" s="99" t="n"/>
    </x:row>
    <x:row r="486">
      <x:c r="C486" s="99" t="n"/>
      <x:c r="R486" s="99" t="n"/>
    </x:row>
    <x:row r="487">
      <x:c r="C487" s="99" t="n"/>
      <x:c r="R487" s="99" t="n"/>
    </x:row>
    <x:row r="488">
      <x:c r="C488" s="99" t="n"/>
      <x:c r="R488" s="99" t="n"/>
    </x:row>
    <x:row r="489">
      <x:c r="C489" s="99" t="n"/>
      <x:c r="R489" s="99" t="n"/>
    </x:row>
    <x:row r="490">
      <x:c r="C490" s="99" t="n"/>
      <x:c r="R490" s="99" t="n"/>
    </x:row>
    <x:row r="491">
      <x:c r="C491" s="99" t="n"/>
      <x:c r="R491" s="99" t="n"/>
    </x:row>
    <x:row r="492">
      <x:c r="C492" s="99" t="n"/>
      <x:c r="R492" s="99" t="n"/>
    </x:row>
    <x:row r="493">
      <x:c r="C493" s="99" t="n"/>
      <x:c r="R493" s="99" t="n"/>
    </x:row>
    <x:row r="494">
      <x:c r="C494" s="99" t="n"/>
      <x:c r="R494" s="99" t="n"/>
    </x:row>
    <x:row r="495">
      <x:c r="C495" s="99" t="n"/>
      <x:c r="R495" s="99" t="n"/>
    </x:row>
    <x:row r="496">
      <x:c r="C496" s="99" t="n"/>
      <x:c r="R496" s="99" t="n"/>
    </x:row>
    <x:row r="497">
      <x:c r="C497" s="99" t="n"/>
      <x:c r="R497" s="99" t="n"/>
    </x:row>
    <x:row r="498">
      <x:c r="C498" s="99" t="n"/>
      <x:c r="R498" s="99" t="n"/>
    </x:row>
    <x:row r="499">
      <x:c r="C499" s="99" t="n"/>
      <x:c r="R499" s="99" t="n"/>
    </x:row>
    <x:row r="500">
      <x:c r="C500" s="99" t="n"/>
      <x:c r="R500" s="99" t="n"/>
    </x:row>
  </x:sheetData>
  <x:pageMargins left="0.7" right="0.7" top="0.75" bottom="0.75" header="0.3" footer="0.3"/>
</x:worksheet>
</file>

<file path=xl/worksheets/sheet61.xml><?xml version="1.0" encoding="utf-8"?>
<x:worksheet xmlns:x="http://schemas.openxmlformats.org/spreadsheetml/2006/main">
  <x:sheetFormatPr baseColWidth="8" defaultRowHeight="15"/>
  <x:cols>
    <x:col min="1" max="1" width="12" style="91" customWidth="1"/>
    <x:col min="2" max="2" width="34" style="91" customWidth="1"/>
    <x:col min="3" max="3" width="54" style="91" customWidth="1"/>
    <x:col min="4" max="4" width="30" style="91" customWidth="1"/>
    <x:col min="5" max="5" width="22" style="91" customWidth="1"/>
    <x:col min="6" max="6" width="28" style="91" customWidth="1"/>
    <x:col min="7" max="7" width="28" style="91" customWidth="1"/>
    <x:col min="8" max="8" width="48" style="91" customWidth="1"/>
    <x:col min="9" max="9" width="48" style="91" customWidth="1"/>
    <x:col min="10" max="10" width="22" style="91" customWidth="1"/>
    <x:col min="11" max="11" width="56" style="91" customWidth="1"/>
    <x:col min="12" max="12" width="20" style="91" customWidth="1"/>
    <x:col min="13" max="13" width="68" style="91" customWidth="1"/>
    <x:col min="15" max="15" width="54" style="91" customWidth="1"/>
    <x:col min="16" max="16" width="18" style="91" customWidth="1"/>
    <x:col min="17" max="17" width="18" style="91" customWidth="1"/>
    <x:col min="18" max="18" width="44" style="91" customWidth="1"/>
  </x:cols>
  <x:sheetData>
    <x:row r="1" s="91" customFormat="1" ht="48" customHeight="1">
      <x:c r="A1" s="285" t="inlineStr">
        <x:is>
          <x:t xml:space="preserve">REL_ID</x:t>
        </x:is>
      </x:c>
      <x:c r="B1" s="285" t="inlineStr">
        <x:is>
          <x:t xml:space="preserve">Factory Key</x:t>
        </x:is>
      </x:c>
      <x:c r="C1" s="285" t="inlineStr">
        <x:is>
          <x:t xml:space="preserve">Nhà sản xuất/Nhà máy</x:t>
        </x:is>
      </x:c>
      <x:c r="D1" s="285" t="inlineStr">
        <x:is>
          <x:t xml:space="preserve">Brand Key</x:t>
        </x:is>
      </x:c>
      <x:c r="E1" s="285" t="inlineStr">
        <x:is>
          <x:t xml:space="preserve">Thương hiệu</x:t>
        </x:is>
      </x:c>
      <x:c r="F1" s="285" t="inlineStr">
        <x:is>
          <x:t xml:space="preserve">Legal ID</x:t>
        </x:is>
      </x:c>
      <x:c r="G1" s="285" t="inlineStr">
        <x:is>
          <x:t xml:space="preserve">Số CBMP</x:t>
        </x:is>
      </x:c>
      <x:c r="H1" s="285" t="inlineStr">
        <x:is>
          <x:t xml:space="preserve">Tên sản phẩm</x:t>
        </x:is>
      </x:c>
      <x:c r="I1" s="285" t="inlineStr">
        <x:is>
          <x:t xml:space="preserve">Công ty chịu trách nhiệm</x:t>
        </x:is>
      </x:c>
      <x:c r="J1" s="285" t="inlineStr">
        <x:is>
          <x:t xml:space="preserve">Tỉnh/TP nguồn</x:t>
        </x:is>
      </x:c>
      <x:c r="K1" s="285" t="inlineStr">
        <x:is>
          <x:t xml:space="preserve">Relationship Key</x:t>
        </x:is>
      </x:c>
      <x:c r="L1" s="285" t="inlineStr">
        <x:is>
          <x:t xml:space="preserve">Trạng thái</x:t>
        </x:is>
      </x:c>
      <x:c r="M1" s="285" t="inlineStr">
        <x:is>
          <x:t xml:space="preserve">Ghi chú</x:t>
        </x:is>
      </x:c>
      <x:c r="N1" s="272" t="n"/>
      <x:c r="O1" s="445" t="str">
        <x:v>TOP FACTORY – NORMALIZED ENTITY</x:v>
      </x:c>
      <x:c r="P1" s="445" t="str">
        <x:v>Legal/Product Relations</x:v>
      </x:c>
      <x:c r="Q1" s="445" t="str">
        <x:v>Unique Brands</x:v>
      </x:c>
      <x:c r="R1" s="445" t="str">
        <x:v>Canonical/QA Note</x:v>
      </x:c>
      <x:c r="S1" s="272" t="n"/>
      <x:c r="T1" s="272" t="n"/>
      <x:c r="U1" s="272" t="n"/>
      <x:c r="V1" s="272" t="n"/>
      <x:c r="W1" s="272" t="n"/>
      <x:c r="X1" s="272" t="n"/>
      <x:c r="Y1" s="272" t="n"/>
      <x:c r="Z1" s="272" t="n"/>
    </x:row>
    <x:row r="2">
      <x:c r="A2" t="str">
        <x:v>FB-00001</x:v>
      </x:c>
      <x:c r="B2" t="str">
        <x:v>congtycophanmaricosoutheastasia</x:v>
      </x:c>
      <x:c r="C2" t="str">
        <x:v>CÔNG TY CỔ PHẦN MARICO SOUTH EAST ASIA</x:v>
      </x:c>
      <x:c r="D2" t="str">
        <x:v>silknshine</x:v>
      </x:c>
      <x:c r="E2" t="str">
        <x:v>silk-n shine</x:v>
      </x:c>
      <x:c r="F2" t="str">
        <x:v>LOCAL-00625CBMPBD</x:v>
      </x:c>
      <x:c r="G2" t="str">
        <x:v>006/25/CBMP-BD</x:v>
      </x:c>
      <x:c r="H2" t="str">
        <x:v>silk-n shine. HAIR TREATMENT ALOE VERA</x:v>
      </x:c>
      <x:c r="I2" t="str">
        <x:v>CÔNG TY CỔ PHẦN MARICO SOUTH EAST ASIA</x:v>
      </x:c>
      <x:c r="J2" t="str">
        <x:v>TP. Hồ Chí Minh</x:v>
      </x:c>
      <x:c r="K2" t="str">
        <x:v>congtycophanmaricosoutheastasia|silknshine|00625cbmpbd</x:v>
      </x:c>
      <x:c r="L2" t="str">
        <x:v>VERIFIED_RELATION</x:v>
      </x:c>
      <x:c r="M2" t="str">
        <x:v>Factory ↔ Brand ↔ declaration.</x:v>
      </x:c>
      <x:c r="O2" t="str">
        <x:v>Chi nhánh Công ty TNHH Sản xuất Thương mại Xuất Nhập khẩu Tạ Minh Quang – Nhà máy Mỹ phẩm Tạ Minh Quang</x:v>
      </x:c>
      <x:c r="P2" t="n">
        <x:v>38</x:v>
      </x:c>
      <x:c r="Q2" t="n">
        <x:v>7</x:v>
      </x:c>
      <x:c r="R2" t="str">
        <x:v>1 raw name</x:v>
      </x:c>
    </x:row>
    <x:row r="3">
      <x:c r="A3" t="str">
        <x:v>FB-00002</x:v>
      </x:c>
      <x:c r="B3" t="str">
        <x:v>congtycophanmaricosoutheastasia</x:v>
      </x:c>
      <x:c r="C3" t="str">
        <x:v>CÔNG TY CỔ PHẦN MARICO SOUTH EAST ASIA</x:v>
      </x:c>
      <x:c r="D3" t="str">
        <x:v>silknshine</x:v>
      </x:c>
      <x:c r="E3" t="str">
        <x:v>silk-n shine</x:v>
      </x:c>
      <x:c r="F3" t="str">
        <x:v>LOCAL-00725CBMPBD</x:v>
      </x:c>
      <x:c r="G3" t="str">
        <x:v>007/25/CBMP-BD</x:v>
      </x:c>
      <x:c r="H3" t="str">
        <x:v>silk-n shine. HAIR TREATMENT GREEN TEA</x:v>
      </x:c>
      <x:c r="I3" t="str">
        <x:v>CÔNG TY CỔ PHẦN MARICO SOUTH EAST ASIA</x:v>
      </x:c>
      <x:c r="J3" t="str">
        <x:v>TP. Hồ Chí Minh</x:v>
      </x:c>
      <x:c r="K3" t="str">
        <x:v>congtycophanmaricosoutheastasia|silknshine|00725cbmpbd</x:v>
      </x:c>
      <x:c r="L3" t="str">
        <x:v>VERIFIED_RELATION</x:v>
      </x:c>
      <x:c r="M3" t="str">
        <x:v>Factory ↔ Brand ↔ declaration.</x:v>
      </x:c>
      <x:c r="O3" t="str">
        <x:v>CÔNG TY TNHH QUỐC TẾ UNILEVER VIỆT NAM</x:v>
      </x:c>
      <x:c r="P3" t="n">
        <x:v>10</x:v>
      </x:c>
      <x:c r="Q3" t="n">
        <x:v>3</x:v>
      </x:c>
      <x:c r="R3" t="str">
        <x:v>1 raw name</x:v>
      </x:c>
    </x:row>
    <x:row r="4">
      <x:c r="A4" t="str">
        <x:v>FB-00003</x:v>
      </x:c>
      <x:c r="B4" t="str">
        <x:v>congtytnhhhencosvn</x:v>
      </x:c>
      <x:c r="C4" t="str">
        <x:v>CÔNG TY TNHH HENCOSVN</x:v>
      </x:c>
      <x:c r="D4" t="str">
        <x:v>blacksheep</x:v>
      </x:c>
      <x:c r="E4" t="str">
        <x:v>BLACK SHEEP</x:v>
      </x:c>
      <x:c r="F4" t="str">
        <x:v>LOCAL-00155525CBMPHCM</x:v>
      </x:c>
      <x:c r="G4" t="str">
        <x:v>001555/25/CBMP-HCM</x:v>
      </x:c>
      <x:c r="H4" t="str">
        <x:v>BLACK SHEEP – VITAMIN WHITE</x:v>
      </x:c>
      <x:c r="I4" t="str">
        <x:v>CÔNG TY TNHH HENCOSVN</x:v>
      </x:c>
      <x:c r="J4" t="str">
        <x:v>TP. Hồ Chí Minh</x:v>
      </x:c>
      <x:c r="K4" t="str">
        <x:v>congtytnhhhencosvn|blacksheep|00155525cbmphcm</x:v>
      </x:c>
      <x:c r="L4" t="str">
        <x:v>VERIFIED_RELATION</x:v>
      </x:c>
      <x:c r="M4" t="str">
        <x:v>Factory ↔ Brand ↔ declaration.</x:v>
      </x:c>
      <x:c r="O4" t="str">
        <x:v>CÔNG TY TNHH HANACOS VIETNAM - CHI NHÁNH TÂN TẠO</x:v>
      </x:c>
      <x:c r="P4" t="n">
        <x:v>6</x:v>
      </x:c>
      <x:c r="Q4" t="n">
        <x:v>5</x:v>
      </x:c>
      <x:c r="R4" t="str">
        <x:v>Alias merged: CÔNG TY TNHH HANACOS VIETNAM - CHI NHÁNH TÂN TẠO | CÔNG TY TNHH HANACOS VIETNAM – CHI NHÁNH TÂN TẠO</x:v>
      </x:c>
    </x:row>
    <x:row r="5">
      <x:c r="A5" t="str">
        <x:v>FB-00004</x:v>
      </x:c>
      <x:c r="B5" t="str">
        <x:v>congtytnhhhencosvn</x:v>
      </x:c>
      <x:c r="C5" t="str">
        <x:v>CÔNG TY TNHH HENCOSVN</x:v>
      </x:c>
      <x:c r="D5" t="str">
        <x:v>blacksheep</x:v>
      </x:c>
      <x:c r="E5" t="str">
        <x:v>BLACK SHEEP</x:v>
      </x:c>
      <x:c r="F5" t="str">
        <x:v>LOCAL-00155625CBMPHCM</x:v>
      </x:c>
      <x:c r="G5" t="str">
        <x:v>001556/25/CBMP-HCM</x:v>
      </x:c>
      <x:c r="H5" t="str">
        <x:v>BLACK SHEEP – WHITE MILKY SPA</x:v>
      </x:c>
      <x:c r="I5" t="str">
        <x:v>CÔNG TY TNHH HENCOSVN</x:v>
      </x:c>
      <x:c r="J5" t="str">
        <x:v>TP. Hồ Chí Minh</x:v>
      </x:c>
      <x:c r="K5" t="str">
        <x:v>congtytnhhhencosvn|blacksheep|00155625cbmphcm</x:v>
      </x:c>
      <x:c r="L5" t="str">
        <x:v>VERIFIED_RELATION</x:v>
      </x:c>
      <x:c r="M5" t="str">
        <x:v>Factory ↔ Brand ↔ declaration.</x:v>
      </x:c>
      <x:c r="O5" t="str">
        <x:v>CÔNG TY TNHH TOP 100</x:v>
      </x:c>
      <x:c r="P5" t="n">
        <x:v>6</x:v>
      </x:c>
      <x:c r="Q5" t="n">
        <x:v>1</x:v>
      </x:c>
      <x:c r="R5" t="str">
        <x:v>1 raw name</x:v>
      </x:c>
    </x:row>
    <x:row r="6">
      <x:c r="A6" t="str">
        <x:v>FB-00005</x:v>
      </x:c>
      <x:c r="B6" t="str">
        <x:v>congtytrachnhiemhuuhanwiproconsumercarevietnam</x:v>
      </x:c>
      <x:c r="C6" t="str">
        <x:v>CÔNG TY TRÁCH NHIỆM HỮU HẠN WIPRO CONSUMER CARE VIỆT NAM</x:v>
      </x:c>
      <x:c r="D6" t="str">
        <x:v>enchanteur</x:v>
      </x:c>
      <x:c r="E6" t="str">
        <x:v>Enchanteur</x:v>
      </x:c>
      <x:c r="F6" t="str">
        <x:v>LOCAL-38725CBMPBD</x:v>
      </x:c>
      <x:c r="G6" t="str">
        <x:v>387/25/CBMP-BD</x:v>
      </x:c>
      <x:c r="H6" t="str">
        <x:v>Enchanteur Sensation Radiant White Anti Perspirant Roll On Soft Smooth</x:v>
      </x:c>
      <x:c r="I6" t="str">
        <x:v>CÔNG TY TRÁCH NHIỆM HỮU HẠN WIPRO CONSUMER CARE VIỆT NAM</x:v>
      </x:c>
      <x:c r="J6" t="str">
        <x:v>TP. Hồ Chí Minh</x:v>
      </x:c>
      <x:c r="K6" t="str">
        <x:v>congtytrachnhiemhuuhanwiproconsumercarevietnam|enchanteur|38725cbmpbd</x:v>
      </x:c>
      <x:c r="L6" t="str">
        <x:v>VERIFIED_RELATION</x:v>
      </x:c>
      <x:c r="M6" t="str">
        <x:v>Factory ↔ Brand ↔ declaration.</x:v>
      </x:c>
      <x:c r="O6" t="str">
        <x:v>CÔNG TY CỔ PHẦN MARICO SOUTH EAST ASIA</x:v>
      </x:c>
      <x:c r="P6" t="n">
        <x:v>4</x:v>
      </x:c>
      <x:c r="Q6" t="n">
        <x:v>3</x:v>
      </x:c>
      <x:c r="R6" t="str">
        <x:v>1 raw name</x:v>
      </x:c>
    </x:row>
    <x:row r="7">
      <x:c r="A7" t="str">
        <x:v>FB-00006</x:v>
      </x:c>
      <x:c r="B7" t="str">
        <x:v>congtytnhhtop100</x:v>
      </x:c>
      <x:c r="C7" t="str">
        <x:v>CÔNG TY TNHH TOP 100</x:v>
      </x:c>
      <x:c r="D7" t="str">
        <x:v>dannam</x:v>
      </x:c>
      <x:c r="E7" t="str">
        <x:v>d’Annam</x:v>
      </x:c>
      <x:c r="F7" t="str">
        <x:v>LOCAL-00025925CBMPHCM</x:v>
      </x:c>
      <x:c r="G7" t="str">
        <x:v>000259/25/CBMP-HCM</x:v>
      </x:c>
      <x:c r="H7" t="str">
        <x:v>d’Annam - NƯỚC HOA MOONCAKE</x:v>
      </x:c>
      <x:c r="I7" t="str">
        <x:v>CÔNG TY TNHH TOP 100</x:v>
      </x:c>
      <x:c r="J7" t="str">
        <x:v>TP. Hồ Chí Minh</x:v>
      </x:c>
      <x:c r="K7" t="str">
        <x:v>congtytnhhtop100|dannam|00025925cbmphcm</x:v>
      </x:c>
      <x:c r="L7" t="str">
        <x:v>VERIFIED_RELATION</x:v>
      </x:c>
      <x:c r="M7" t="str">
        <x:v>Factory ↔ Brand ↔ declaration.</x:v>
      </x:c>
      <x:c r="O7" t="str">
        <x:v>Công ty Cổ phần Nhà máy Y tế EBC Đồng Nai (trước đây TNHH EBC Group)</x:v>
      </x:c>
      <x:c r="P7" t="n">
        <x:v>4</x:v>
      </x:c>
      <x:c r="Q7" t="n">
        <x:v>1</x:v>
      </x:c>
      <x:c r="R7" t="str">
        <x:v>1 raw name</x:v>
      </x:c>
    </x:row>
    <x:row r="8">
      <x:c r="A8" t="str">
        <x:v>FB-00007</x:v>
      </x:c>
      <x:c r="B8" t="str">
        <x:v>congtytnhhtop100</x:v>
      </x:c>
      <x:c r="C8" t="str">
        <x:v>CÔNG TY TNHH TOP 100</x:v>
      </x:c>
      <x:c r="D8" t="str">
        <x:v>dannam</x:v>
      </x:c>
      <x:c r="E8" t="str">
        <x:v>d’Annam</x:v>
      </x:c>
      <x:c r="F8" t="str">
        <x:v>LOCAL-00025825CBMPHCM</x:v>
      </x:c>
      <x:c r="G8" t="str">
        <x:v>000258/25/CBMP-HCM</x:v>
      </x:c>
      <x:c r="H8" t="str">
        <x:v>d’Annam - NƯỚC HOA POMELO OOLONG</x:v>
      </x:c>
      <x:c r="I8" t="str">
        <x:v>CÔNG TY TNHH TOP 100</x:v>
      </x:c>
      <x:c r="J8" t="str">
        <x:v>TP. Hồ Chí Minh</x:v>
      </x:c>
      <x:c r="K8" t="str">
        <x:v>congtytnhhtop100|dannam|00025825cbmphcm</x:v>
      </x:c>
      <x:c r="L8" t="str">
        <x:v>VERIFIED_RELATION</x:v>
      </x:c>
      <x:c r="M8" t="str">
        <x:v>Factory ↔ Brand ↔ declaration.</x:v>
      </x:c>
      <x:c r="O8" t="str">
        <x:v>CHI NHÁNH CÔNG TY TNHH ĐẦU TƯ SẢN XUẤT VÀ XUẤT NHẬP KHẨU KANNA COSMETICS</x:v>
      </x:c>
      <x:c r="P8" t="n">
        <x:v>3</x:v>
      </x:c>
      <x:c r="Q8" t="n">
        <x:v>2</x:v>
      </x:c>
      <x:c r="R8" t="str">
        <x:v>Alias merged: CHI NHÁNH CÔNG TY TNHH ĐẦU TƯ SẢN XUẤT VÀ XUẤT NHẬP KHẨU KANNA COSMETICS | Chi nhánh Công ty TNHH Đầu tư sản xuất và Xuất nhập khẩu Kanna Cosmetics</x:v>
      </x:c>
    </x:row>
    <x:row r="9">
      <x:c r="A9" t="str">
        <x:v>FB-00008</x:v>
      </x:c>
      <x:c r="B9" t="str">
        <x:v>congtytnhhtop100</x:v>
      </x:c>
      <x:c r="C9" t="str">
        <x:v>CÔNG TY TNHH TOP 100</x:v>
      </x:c>
      <x:c r="D9" t="str">
        <x:v>dannam</x:v>
      </x:c>
      <x:c r="E9" t="str">
        <x:v>d’Annam</x:v>
      </x:c>
      <x:c r="F9" t="str">
        <x:v>LOCAL-00025725CBMPHCM</x:v>
      </x:c>
      <x:c r="G9" t="str">
        <x:v>000257/25/CBMP-HCM</x:v>
      </x:c>
      <x:c r="H9" t="str">
        <x:v>d’Annam - NƯỚC HOA PRINCESS OF CHINA</x:v>
      </x:c>
      <x:c r="I9" t="str">
        <x:v>CÔNG TY TNHH TOP 100</x:v>
      </x:c>
      <x:c r="J9" t="str">
        <x:v>TP. Hồ Chí Minh</x:v>
      </x:c>
      <x:c r="K9" t="str">
        <x:v>congtytnhhtop100|dannam|00025725cbmphcm</x:v>
      </x:c>
      <x:c r="L9" t="str">
        <x:v>VERIFIED_RELATION</x:v>
      </x:c>
      <x:c r="M9" t="str">
        <x:v>Factory ↔ Brand ↔ declaration.</x:v>
      </x:c>
      <x:c r="O9" t="str">
        <x:v>Công ty Cổ phần Dược Mỹ phẩm Hành Tinh Xanh</x:v>
      </x:c>
      <x:c r="P9" t="n">
        <x:v>3</x:v>
      </x:c>
      <x:c r="Q9" t="n">
        <x:v>2</x:v>
      </x:c>
      <x:c r="R9" t="str">
        <x:v>Alias merged: Công ty Cổ phần Dược Mỹ phẩm Hành Tinh Xanh | Công ty Cổ phần Dược mỹ phẩm Hành Tinh Xanh</x:v>
      </x:c>
    </x:row>
    <x:row r="10">
      <x:c r="A10" t="str">
        <x:v>FB-00009</x:v>
      </x:c>
      <x:c r="B10" t="str">
        <x:v>congtytnhhtop100</x:v>
      </x:c>
      <x:c r="C10" t="str">
        <x:v>CÔNG TY TNHH TOP 100</x:v>
      </x:c>
      <x:c r="D10" t="str">
        <x:v>dannam</x:v>
      </x:c>
      <x:c r="E10" t="str">
        <x:v>d’Annam</x:v>
      </x:c>
      <x:c r="F10" t="str">
        <x:v>LOCAL-00022425CBMPHCM</x:v>
      </x:c>
      <x:c r="G10" t="str">
        <x:v>000224/25/CBMP-HCM</x:v>
      </x:c>
      <x:c r="H10" t="str">
        <x:v>d’Annam - NƯỚC HOA SPRING FESTIVAL</x:v>
      </x:c>
      <x:c r="I10" t="str">
        <x:v>CÔNG TY TNHH TOP 100</x:v>
      </x:c>
      <x:c r="J10" t="str">
        <x:v>TP. Hồ Chí Minh</x:v>
      </x:c>
      <x:c r="K10" t="str">
        <x:v>congtytnhhtop100|dannam|00022425cbmphcm</x:v>
      </x:c>
      <x:c r="L10" t="str">
        <x:v>VERIFIED_RELATION</x:v>
      </x:c>
      <x:c r="M10" t="str">
        <x:v>Factory ↔ Brand ↔ declaration.</x:v>
      </x:c>
      <x:c r="O10" t="str">
        <x:v>CHI NHÁNH TÂN TẠO - CÔNG TY CỔ PHẦN DƯỢC &amp; MỸ PHẨM GIA PHÚ</x:v>
      </x:c>
      <x:c r="P10" t="n">
        <x:v>2</x:v>
      </x:c>
      <x:c r="Q10" t="n">
        <x:v>2</x:v>
      </x:c>
      <x:c r="R10" t="str">
        <x:v>Alias merged: CHI NHÁNH TÂN TẠO - CÔNG TY CỔ PHẦN DƯỢC &amp; MỸ PHẨM GIA PHÚ | CHI NHÁNH TÂN TẠO – CÔNG TY CỔ PHẦN DƯỢC &amp; MỸ PHẨM GIA PHÚ</x:v>
      </x:c>
    </x:row>
    <x:row r="11">
      <x:c r="A11" t="str">
        <x:v>FB-00010</x:v>
      </x:c>
      <x:c r="B11" t="str">
        <x:v>congtytnhhtop100</x:v>
      </x:c>
      <x:c r="C11" t="str">
        <x:v>CÔNG TY TNHH TOP 100</x:v>
      </x:c>
      <x:c r="D11" t="str">
        <x:v>dannam</x:v>
      </x:c>
      <x:c r="E11" t="str">
        <x:v>d’Annam</x:v>
      </x:c>
      <x:c r="F11" t="str">
        <x:v>LOCAL-00022325CBMPHCM</x:v>
      </x:c>
      <x:c r="G11" t="str">
        <x:v>000223/25/CBMP-HCM</x:v>
      </x:c>
      <x:c r="H11" t="str">
        <x:v>d’Annam - NƯỚC HOA THE SILK ROAD</x:v>
      </x:c>
      <x:c r="I11" t="str">
        <x:v>CÔNG TY TNHH TOP 100</x:v>
      </x:c>
      <x:c r="J11" t="str">
        <x:v>TP. Hồ Chí Minh</x:v>
      </x:c>
      <x:c r="K11" t="str">
        <x:v>congtytnhhtop100|dannam|00022325cbmphcm</x:v>
      </x:c>
      <x:c r="L11" t="str">
        <x:v>VERIFIED_RELATION</x:v>
      </x:c>
      <x:c r="M11" t="str">
        <x:v>Factory ↔ Brand ↔ declaration.</x:v>
      </x:c>
      <x:c r="O11" t="str">
        <x:v>Công ty TNHH Dược Mỹ Phẩm DC COS</x:v>
      </x:c>
      <x:c r="P11" t="n">
        <x:v>2</x:v>
      </x:c>
      <x:c r="Q11" t="n">
        <x:v>2</x:v>
      </x:c>
      <x:c r="R11" t="str">
        <x:v>1 raw name</x:v>
      </x:c>
    </x:row>
    <x:row r="12">
      <x:c r="A12" t="str">
        <x:v>FB-00011</x:v>
      </x:c>
      <x:c r="B12" t="str">
        <x:v>congtytnhhtop100</x:v>
      </x:c>
      <x:c r="C12" t="str">
        <x:v>CÔNG TY TNHH TOP 100</x:v>
      </x:c>
      <x:c r="D12" t="str">
        <x:v>dannam</x:v>
      </x:c>
      <x:c r="E12" t="str">
        <x:v>d’Annam</x:v>
      </x:c>
      <x:c r="F12" t="str">
        <x:v>LOCAL-00022225CBMPHCM</x:v>
      </x:c>
      <x:c r="G12" t="str">
        <x:v>000222/25/CBMP-HCM</x:v>
      </x:c>
      <x:c r="H12" t="str">
        <x:v>d’Annam - NƯỚC HOA CHINESE CALLIGRAPHY</x:v>
      </x:c>
      <x:c r="I12" t="str">
        <x:v>CÔNG TY TNHH TOP 100</x:v>
      </x:c>
      <x:c r="J12" t="str">
        <x:v>TP. Hồ Chí Minh</x:v>
      </x:c>
      <x:c r="K12" t="str">
        <x:v>congtytnhhtop100|dannam|00022225cbmphcm</x:v>
      </x:c>
      <x:c r="L12" t="str">
        <x:v>VERIFIED_RELATION</x:v>
      </x:c>
      <x:c r="M12" t="str">
        <x:v>Factory ↔ Brand ↔ declaration.</x:v>
      </x:c>
    </x:row>
    <x:row r="13">
      <x:c r="A13" t="str">
        <x:v>FB-00012</x:v>
      </x:c>
      <x:c r="B13" t="str">
        <x:v>congtytnhhquocteunilevervietnam</x:v>
      </x:c>
      <x:c r="C13" t="str">
        <x:v>CÔNG TY TNHH QUỐC TẾ UNILEVER VIỆT NAM</x:v>
      </x:c>
      <x:c r="D13" t="str">
        <x:v>citra</x:v>
      </x:c>
      <x:c r="E13" t="str">
        <x:v>CITRA</x:v>
      </x:c>
      <x:c r="F13" t="str">
        <x:v>LOCAL-00297025CBMPHCM</x:v>
      </x:c>
      <x:c r="G13" t="str">
        <x:v>002970/25/CBMP-HCM</x:v>
      </x:c>
      <x:c r="H13" t="str">
        <x:v>CITRA SHOWER CREAM AVOCADO &amp; VIT-E</x:v>
      </x:c>
      <x:c r="I13" t="str">
        <x:v>CÔNG TY TNHH QUỐC TẾ UNILEVER VIỆT NAM</x:v>
      </x:c>
      <x:c r="J13" t="str">
        <x:v>TP. Hồ Chí Minh</x:v>
      </x:c>
      <x:c r="K13" t="str">
        <x:v>congtytnhhquocteunilevervietnam|citra|00297025cbmphcm</x:v>
      </x:c>
      <x:c r="L13" t="str">
        <x:v>VERIFIED_RELATION</x:v>
      </x:c>
      <x:c r="M13" t="str">
        <x:v>Factory ↔ Brand ↔ declaration.</x:v>
      </x:c>
    </x:row>
    <x:row r="14">
      <x:c r="A14" t="str">
        <x:v>FB-00013</x:v>
      </x:c>
      <x:c r="B14" t="str">
        <x:v>congtytnhhquocteunilevervietnam</x:v>
      </x:c>
      <x:c r="C14" t="str">
        <x:v>CÔNG TY TNHH QUỐC TẾ UNILEVER VIỆT NAM</x:v>
      </x:c>
      <x:c r="D14" t="str">
        <x:v>citra</x:v>
      </x:c>
      <x:c r="E14" t="str">
        <x:v>CITRA</x:v>
      </x:c>
      <x:c r="F14" t="str">
        <x:v>LOCAL-00296925CBMPHCM</x:v>
      </x:c>
      <x:c r="G14" t="str">
        <x:v>002969/25/CBMP-HCM</x:v>
      </x:c>
      <x:c r="H14" t="str">
        <x:v>CITRA SHOWER CREAM GOAT MILK &amp; VIT-E</x:v>
      </x:c>
      <x:c r="I14" t="str">
        <x:v>CÔNG TY TNHH QUỐC TẾ UNILEVER VIỆT NAM</x:v>
      </x:c>
      <x:c r="J14" t="str">
        <x:v>TP. Hồ Chí Minh</x:v>
      </x:c>
      <x:c r="K14" t="str">
        <x:v>congtytnhhquocteunilevervietnam|citra|00296925cbmphcm</x:v>
      </x:c>
      <x:c r="L14" t="str">
        <x:v>VERIFIED_RELATION</x:v>
      </x:c>
      <x:c r="M14" t="str">
        <x:v>Factory ↔ Brand ↔ declaration.</x:v>
      </x:c>
    </x:row>
    <x:row r="15">
      <x:c r="A15" t="str">
        <x:v>FB-00014</x:v>
      </x:c>
      <x:c r="B15" t="str">
        <x:v>congtytnhhquocteunilevervietnam</x:v>
      </x:c>
      <x:c r="C15" t="str">
        <x:v>CÔNG TY TNHH QUỐC TẾ UNILEVER VIỆT NAM</x:v>
      </x:c>
      <x:c r="D15" t="str">
        <x:v>citra</x:v>
      </x:c>
      <x:c r="E15" t="str">
        <x:v>CITRA</x:v>
      </x:c>
      <x:c r="F15" t="str">
        <x:v>LOCAL-00296825CBMPHCM</x:v>
      </x:c>
      <x:c r="G15" t="str">
        <x:v>002968/25/CBMP-HCM</x:v>
      </x:c>
      <x:c r="H15" t="str">
        <x:v>CITRA SHOWER CREAM MULBERRY WITH GOAT MILK &amp; VIT-E</x:v>
      </x:c>
      <x:c r="I15" t="str">
        <x:v>CÔNG TY TNHH QUỐC TẾ UNILEVER VIỆT NAM</x:v>
      </x:c>
      <x:c r="J15" t="str">
        <x:v>TP. Hồ Chí Minh</x:v>
      </x:c>
      <x:c r="K15" t="str">
        <x:v>congtytnhhquocteunilevervietnam|citra|00296825cbmphcm</x:v>
      </x:c>
      <x:c r="L15" t="str">
        <x:v>VERIFIED_RELATION</x:v>
      </x:c>
      <x:c r="M15" t="str">
        <x:v>Factory ↔ Brand ↔ declaration.</x:v>
      </x:c>
    </x:row>
    <x:row r="16">
      <x:c r="A16" t="str">
        <x:v>FB-00015</x:v>
      </x:c>
      <x:c r="B16" t="str">
        <x:v>congtytnhhquocteunilevervietnam</x:v>
      </x:c>
      <x:c r="C16" t="str">
        <x:v>CÔNG TY TNHH QUỐC TẾ UNILEVER VIỆT NAM</x:v>
      </x:c>
      <x:c r="D16" t="str">
        <x:v>dove</x:v>
      </x:c>
      <x:c r="E16" t="str">
        <x:v>DOVE</x:v>
      </x:c>
      <x:c r="F16" t="str">
        <x:v>LOCAL-00200525CBMPHCM</x:v>
      </x:c>
      <x:c r="G16" t="str">
        <x:v>002005/25/CBMP-HCM</x:v>
      </x:c>
      <x:c r="H16" t="str">
        <x:v>DOVE BODY WASH ACNE CONTROL</x:v>
      </x:c>
      <x:c r="I16" t="str">
        <x:v>CÔNG TY TNHH QUỐC TẾ UNILEVER VIỆT NAM</x:v>
      </x:c>
      <x:c r="J16" t="str">
        <x:v>TP. Hồ Chí Minh</x:v>
      </x:c>
      <x:c r="K16" t="str">
        <x:v>congtytnhhquocteunilevervietnam|dove|00200525cbmphcm</x:v>
      </x:c>
      <x:c r="L16" t="str">
        <x:v>VERIFIED_RELATION</x:v>
      </x:c>
      <x:c r="M16" t="str">
        <x:v>Factory ↔ Brand ↔ declaration.</x:v>
      </x:c>
    </x:row>
    <x:row r="17">
      <x:c r="A17" t="str">
        <x:v>FB-00016</x:v>
      </x:c>
      <x:c r="B17" t="str">
        <x:v>congtytnhhquocteunilevervietnam</x:v>
      </x:c>
      <x:c r="C17" t="str">
        <x:v>CÔNG TY TNHH QUỐC TẾ UNILEVER VIỆT NAM</x:v>
      </x:c>
      <x:c r="D17" t="str">
        <x:v>dove</x:v>
      </x:c>
      <x:c r="E17" t="str">
        <x:v>DOVE</x:v>
      </x:c>
      <x:c r="F17" t="str">
        <x:v>LOCAL-00200425CBMPHCM</x:v>
      </x:c>
      <x:c r="G17" t="str">
        <x:v>002004/25/CBMP-HCM</x:v>
      </x:c>
      <x:c r="H17" t="str">
        <x:v>DOVE BODY WASH EVEN TONE RADIANCE</x:v>
      </x:c>
      <x:c r="I17" t="str">
        <x:v>CÔNG TY TNHH QUỐC TẾ UNILEVER VIỆT NAM</x:v>
      </x:c>
      <x:c r="J17" t="str">
        <x:v>TP. Hồ Chí Minh</x:v>
      </x:c>
      <x:c r="K17" t="str">
        <x:v>congtytnhhquocteunilevervietnam|dove|00200425cbmphcm</x:v>
      </x:c>
      <x:c r="L17" t="str">
        <x:v>VERIFIED_RELATION</x:v>
      </x:c>
      <x:c r="M17" t="str">
        <x:v>Factory ↔ Brand ↔ declaration.</x:v>
      </x:c>
    </x:row>
    <x:row r="18">
      <x:c r="A18" t="str">
        <x:v>FB-00017</x:v>
      </x:c>
      <x:c r="B18" t="str">
        <x:v>congtytnhhquocteunilevervietnam</x:v>
      </x:c>
      <x:c r="C18" t="str">
        <x:v>CÔNG TY TNHH QUỐC TẾ UNILEVER VIỆT NAM</x:v>
      </x:c>
      <x:c r="D18" t="str">
        <x:v>dove</x:v>
      </x:c>
      <x:c r="E18" t="str">
        <x:v>DOVE</x:v>
      </x:c>
      <x:c r="F18" t="str">
        <x:v>LOCAL-00200225CBMPHCM</x:v>
      </x:c>
      <x:c r="G18" t="str">
        <x:v>002002/25/CBMP-HCM</x:v>
      </x:c>
      <x:c r="H18" t="str">
        <x:v>DOVE BODY WASH SKIN RENEWAL</x:v>
      </x:c>
      <x:c r="I18" t="str">
        <x:v>CÔNG TY TNHH QUỐC TẾ UNILEVER VIỆT NAM</x:v>
      </x:c>
      <x:c r="J18" t="str">
        <x:v>TP. Hồ Chí Minh</x:v>
      </x:c>
      <x:c r="K18" t="str">
        <x:v>congtytnhhquocteunilevervietnam|dove|00200225cbmphcm</x:v>
      </x:c>
      <x:c r="L18" t="str">
        <x:v>VERIFIED_RELATION</x:v>
      </x:c>
      <x:c r="M18" t="str">
        <x:v>Factory ↔ Brand ↔ declaration.</x:v>
      </x:c>
    </x:row>
    <x:row r="19">
      <x:c r="A19" t="str">
        <x:v>FB-00018</x:v>
      </x:c>
      <x:c r="B19" t="str">
        <x:v>congtytnhhquocteunilevervietnam</x:v>
      </x:c>
      <x:c r="C19" t="str">
        <x:v>CÔNG TY TNHH QUỐC TẾ UNILEVER VIỆT NAM</x:v>
      </x:c>
      <x:c r="D19" t="str">
        <x:v>signal</x:v>
      </x:c>
      <x:c r="E19" t="str">
        <x:v>SIGNAL</x:v>
      </x:c>
      <x:c r="F19" t="str">
        <x:v>LOCAL-00119925CBMPHCM</x:v>
      </x:c>
      <x:c r="G19" t="str">
        <x:v>001199/25/CBMP-HCM</x:v>
      </x:c>
      <x:c r="H19" t="str">
        <x:v>SIGNAL TOOTHPASTE GUM EXPERT FRESH</x:v>
      </x:c>
      <x:c r="I19" t="str">
        <x:v>CÔNG TY TNHH QUỐC TẾ UNILEVER VIỆT NAM</x:v>
      </x:c>
      <x:c r="J19" t="str">
        <x:v>TP. Hồ Chí Minh</x:v>
      </x:c>
      <x:c r="K19" t="str">
        <x:v>congtytnhhquocteunilevervietnam|signal|00119925cbmphcm</x:v>
      </x:c>
      <x:c r="L19" t="str">
        <x:v>VERIFIED_RELATION</x:v>
      </x:c>
      <x:c r="M19" t="str">
        <x:v>Factory ↔ Brand ↔ declaration.</x:v>
      </x:c>
    </x:row>
    <x:row r="20">
      <x:c r="A20" t="str">
        <x:v>FB-00019</x:v>
      </x:c>
      <x:c r="B20" t="str">
        <x:v>congtytnhhquocteunilevervietnam</x:v>
      </x:c>
      <x:c r="C20" t="str">
        <x:v>CÔNG TY TNHH QUỐC TẾ UNILEVER VIỆT NAM</x:v>
      </x:c>
      <x:c r="D20" t="str">
        <x:v>signal</x:v>
      </x:c>
      <x:c r="E20" t="str">
        <x:v>SIGNAL</x:v>
      </x:c>
      <x:c r="F20" t="str">
        <x:v>LOCAL-00120025CBMPHCM</x:v>
      </x:c>
      <x:c r="G20" t="str">
        <x:v>001200/25/CBMP-HCM</x:v>
      </x:c>
      <x:c r="H20" t="str">
        <x:v>SIGNAL TOOTHPASTE GUM EXPERT WHITENING</x:v>
      </x:c>
      <x:c r="I20" t="str">
        <x:v>CÔNG TY TNHH QUỐC TẾ UNILEVER VIỆT NAM</x:v>
      </x:c>
      <x:c r="J20" t="str">
        <x:v>TP. Hồ Chí Minh</x:v>
      </x:c>
      <x:c r="K20" t="str">
        <x:v>congtytnhhquocteunilevervietnam|signal|00120025cbmphcm</x:v>
      </x:c>
      <x:c r="L20" t="str">
        <x:v>VERIFIED_RELATION</x:v>
      </x:c>
      <x:c r="M20" t="str">
        <x:v>Factory ↔ Brand ↔ declaration.</x:v>
      </x:c>
    </x:row>
    <x:row r="21">
      <x:c r="A21" t="str">
        <x:v>FB-00020</x:v>
      </x:c>
      <x:c r="B21" t="str">
        <x:v>congtytnhhquocteunilevervietnam</x:v>
      </x:c>
      <x:c r="C21" t="str">
        <x:v>CÔNG TY TNHH QUỐC TẾ UNILEVER VIỆT NAM</x:v>
      </x:c>
      <x:c r="D21" t="str">
        <x:v>signal</x:v>
      </x:c>
      <x:c r="E21" t="str">
        <x:v>SIGNAL</x:v>
      </x:c>
      <x:c r="F21" t="str">
        <x:v>LOCAL-00120125CBMPHCM</x:v>
      </x:c>
      <x:c r="G21" t="str">
        <x:v>001201/25/CBMP-HCM</x:v>
      </x:c>
      <x:c r="H21" t="str">
        <x:v>SIGNAL TOOTHPASTE SENSITIVE EXPERT FRESH</x:v>
      </x:c>
      <x:c r="I21" t="str">
        <x:v>CÔNG TY TNHH QUỐC TẾ UNILEVER VIỆT NAM</x:v>
      </x:c>
      <x:c r="J21" t="str">
        <x:v>TP. Hồ Chí Minh</x:v>
      </x:c>
      <x:c r="K21" t="str">
        <x:v>congtytnhhquocteunilevervietnam|signal|00120125cbmphcm</x:v>
      </x:c>
      <x:c r="L21" t="str">
        <x:v>VERIFIED_RELATION</x:v>
      </x:c>
      <x:c r="M21" t="str">
        <x:v>Factory ↔ Brand ↔ declaration.</x:v>
      </x:c>
    </x:row>
    <x:row r="22">
      <x:c r="A22" t="str">
        <x:v>FB-00021</x:v>
      </x:c>
      <x:c r="B22" t="str">
        <x:v>congtytnhhquocteunilevervietnam</x:v>
      </x:c>
      <x:c r="C22" t="str">
        <x:v>CÔNG TY TNHH QUỐC TẾ UNILEVER VIỆT NAM</x:v>
      </x:c>
      <x:c r="D22" t="str">
        <x:v>signal</x:v>
      </x:c>
      <x:c r="E22" t="str">
        <x:v>SIGNAL</x:v>
      </x:c>
      <x:c r="F22" t="str">
        <x:v>LOCAL-00120225CBMPHCM</x:v>
      </x:c>
      <x:c r="G22" t="str">
        <x:v>001202/25/CBMP-HCM</x:v>
      </x:c>
      <x:c r="H22" t="str">
        <x:v>SIGNAL TOOTHPASTE SENSITIVE EXPERT WHITENING</x:v>
      </x:c>
      <x:c r="I22" t="str">
        <x:v>CÔNG TY TNHH QUỐC TẾ UNILEVER VIỆT NAM</x:v>
      </x:c>
      <x:c r="J22" t="str">
        <x:v>TP. Hồ Chí Minh</x:v>
      </x:c>
      <x:c r="K22" t="str">
        <x:v>congtytnhhquocteunilevervietnam|signal|00120225cbmphcm</x:v>
      </x:c>
      <x:c r="L22" t="str">
        <x:v>VERIFIED_RELATION</x:v>
      </x:c>
      <x:c r="M22" t="str">
        <x:v>Factory ↔ Brand ↔ declaration.</x:v>
      </x:c>
    </x:row>
    <x:row r="23">
      <x:c r="A23" t="str">
        <x:v>FB-00022</x:v>
      </x:c>
      <x:c r="B23" t="str">
        <x:v>congtycophannhamayyteebcongnaitruocaytnhhebcgroup</x:v>
      </x:c>
      <x:c r="C23" t="str">
        <x:v>Công ty Cổ phần Nhà máy Y tế EBC Đồng Nai (trước đây TNHH EBC Group)</x:v>
      </x:c>
      <x:c r="D23" t="str">
        <x:v>hanayukiempireofbeauty</x:v>
      </x:c>
      <x:c r="E23" t="str">
        <x:v>Hanayuki Empire of Beauty</x:v>
      </x:c>
      <x:c r="F23" t="str">
        <x:v>LOCAL-77924CBMPN</x:v>
      </x:c>
      <x:c r="G23" t="str">
        <x:v>779/24/CBMP-ĐN</x:v>
      </x:c>
      <x:c r="H23" t="str">
        <x:v>Hanayuki Sunscreen Body</x:v>
      </x:c>
      <x:c r="I23" t="str">
        <x:v>Công ty TNHH Thương mại dịch vụ VB Group</x:v>
      </x:c>
      <x:c r="J23" t="str">
        <x:v>Đà Nẵng</x:v>
      </x:c>
      <x:c r="K23" t="str">
        <x:v>congtycophannhamayyteebcongnaitruocaytnhhebcgroup|hanayukiempireofbeauty|77924cbmpn</x:v>
      </x:c>
      <x:c r="L23" t="str">
        <x:v>VERIFIED_RELATION</x:v>
      </x:c>
      <x:c r="M23" t="str">
        <x:v>Factory ↔ Brand ↔ declaration.</x:v>
      </x:c>
    </x:row>
    <x:row r="24">
      <x:c r="A24" t="str">
        <x:v>FB-00023</x:v>
      </x:c>
      <x:c r="B24" t="str">
        <x:v>congtycophannhamayyteebcongnaitruocaytnhhebcgroup</x:v>
      </x:c>
      <x:c r="C24" t="str">
        <x:v>Công ty Cổ phần Nhà máy Y tế EBC Đồng Nai (trước đây TNHH EBC Group)</x:v>
      </x:c>
      <x:c r="D24" t="str">
        <x:v>hanayukiempireofbeauty</x:v>
      </x:c>
      <x:c r="E24" t="str">
        <x:v>Hanayuki Empire of Beauty</x:v>
      </x:c>
      <x:c r="F24" t="str">
        <x:v>LOCAL-78024CBMPN</x:v>
      </x:c>
      <x:c r="G24" t="str">
        <x:v>780/24/CBMP-ĐN</x:v>
      </x:c>
      <x:c r="H24" t="str">
        <x:v>Hanayuki Shampoo</x:v>
      </x:c>
      <x:c r="I24" t="str">
        <x:v>Công ty TNHH Thương mại dịch vụ VB Group</x:v>
      </x:c>
      <x:c r="J24" t="str">
        <x:v>Đà Nẵng</x:v>
      </x:c>
      <x:c r="K24" t="str">
        <x:v>congtycophannhamayyteebcongnaitruocaytnhhebcgroup|hanayukiempireofbeauty|78024cbmpn</x:v>
      </x:c>
      <x:c r="L24" t="str">
        <x:v>VERIFIED_RELATION</x:v>
      </x:c>
      <x:c r="M24" t="str">
        <x:v>Factory ↔ Brand ↔ declaration.</x:v>
      </x:c>
    </x:row>
    <x:row r="25">
      <x:c r="A25" t="str">
        <x:v>FB-00024</x:v>
      </x:c>
      <x:c r="B25" t="str">
        <x:v>congtycophannhamayyteebcongnaitruocaytnhhebcgroup</x:v>
      </x:c>
      <x:c r="C25" t="str">
        <x:v>Công ty Cổ phần Nhà máy Y tế EBC Đồng Nai (trước đây TNHH EBC Group)</x:v>
      </x:c>
      <x:c r="D25" t="str">
        <x:v>hanayukiempireofbeauty</x:v>
      </x:c>
      <x:c r="E25" t="str">
        <x:v>Hanayuki Empire of Beauty</x:v>
      </x:c>
      <x:c r="F25" t="str">
        <x:v>LOCAL-79224CBMPN</x:v>
      </x:c>
      <x:c r="G25" t="str">
        <x:v>792/24/CBMP-ĐN</x:v>
      </x:c>
      <x:c r="H25" t="str">
        <x:v>VB Soft &amp; Silk</x:v>
      </x:c>
      <x:c r="I25" t="str">
        <x:v>Công ty TNHH Thương mại dịch vụ VB Group</x:v>
      </x:c>
      <x:c r="J25" t="str">
        <x:v>Đà Nẵng</x:v>
      </x:c>
      <x:c r="K25" t="str">
        <x:v>congtycophannhamayyteebcongnaitruocaytnhhebcgroup|hanayukiempireofbeauty|79224cbmpn</x:v>
      </x:c>
      <x:c r="L25" t="str">
        <x:v>VERIFIED_RELATION</x:v>
      </x:c>
      <x:c r="M25" t="str">
        <x:v>Factory ↔ Brand ↔ declaration.</x:v>
      </x:c>
    </x:row>
    <x:row r="26">
      <x:c r="A26" t="str">
        <x:v>FB-00025</x:v>
      </x:c>
      <x:c r="B26" t="str">
        <x:v>congtycophannhamayyteebcongnaitruocaytnhhebcgroup</x:v>
      </x:c>
      <x:c r="C26" t="str">
        <x:v>Công ty Cổ phần Nhà máy Y tế EBC Đồng Nai (trước đây TNHH EBC Group)</x:v>
      </x:c>
      <x:c r="D26" t="str">
        <x:v>hanayukiempireofbeauty</x:v>
      </x:c>
      <x:c r="E26" t="str">
        <x:v>Hanayuki Empire of Beauty</x:v>
      </x:c>
      <x:c r="F26" t="str">
        <x:v>LOCAL-79424CBMPN</x:v>
      </x:c>
      <x:c r="G26" t="str">
        <x:v>794/24/CBMP-ĐN</x:v>
      </x:c>
      <x:c r="H26" t="str">
        <x:v>Hanayuki Conditioner</x:v>
      </x:c>
      <x:c r="I26" t="str">
        <x:v>Công ty TNHH Thương mại dịch vụ VB Group</x:v>
      </x:c>
      <x:c r="J26" t="str">
        <x:v>Đà Nẵng</x:v>
      </x:c>
      <x:c r="K26" t="str">
        <x:v>congtycophannhamayyteebcongnaitruocaytnhhebcgroup|hanayukiempireofbeauty|79424cbmpn</x:v>
      </x:c>
      <x:c r="L26" t="str">
        <x:v>VERIFIED_RELATION</x:v>
      </x:c>
      <x:c r="M26" t="str">
        <x:v>Factory ↔ Brand ↔ declaration.</x:v>
      </x:c>
    </x:row>
    <x:row r="27">
      <x:c r="A27" t="str">
        <x:v>FB-00026</x:v>
      </x:c>
      <x:c r="B27" t="str">
        <x:v>congtytnhhmtvsanxuatduocmyphamgamma</x:v>
      </x:c>
      <x:c r="C27" t="str">
        <x:v>Công ty TNHH MTV sản xuất dược - mỹ phẩm GAMMA</x:v>
      </x:c>
      <x:c r="D27" t="str">
        <x:v>adaphil</x:v>
      </x:c>
      <x:c r="E27" t="str">
        <x:v>Adaphil</x:v>
      </x:c>
      <x:c r="F27" t="str">
        <x:v>LOCAL-00145423CBMPHCM</x:v>
      </x:c>
      <x:c r="G27" t="str">
        <x:v>001454/23/CBMP-HCM</x:v>
      </x:c>
      <x:c r="H27" t="str">
        <x:v>Adaphil Gentle Skin Cleanser</x:v>
      </x:c>
      <x:c r="I27" t="str">
        <x:v>Công ty TNHH MTV sản xuất dược - mỹ phẩm GAMMA</x:v>
      </x:c>
      <x:c r="J27" t="str">
        <x:v>TP. Hồ Chí Minh</x:v>
      </x:c>
      <x:c r="K27" t="str">
        <x:v>congtytnhhmtvsanxuatduocmyphamgamma|adaphil|00145423cbmphcm</x:v>
      </x:c>
      <x:c r="L27" t="str">
        <x:v>VERIFIED_RELATION</x:v>
      </x:c>
      <x:c r="M27" t="str">
        <x:v>Factory ↔ Brand ↔ declaration.</x:v>
      </x:c>
    </x:row>
    <x:row r="28">
      <x:c r="A28" t="str">
        <x:v>FB-00027</x:v>
      </x:c>
      <x:c r="B28" t="str">
        <x:v>congtycophanmaricosoutheastasia</x:v>
      </x:c>
      <x:c r="C28" t="str">
        <x:v>CÔNG TY CỔ PHẦN MARICO SOUTH EAST ASIA</x:v>
      </x:c>
      <x:c r="D28" t="str">
        <x:v>code10vibe</x:v>
      </x:c>
      <x:c r="E28" t="str">
        <x:v>CODE 10 VIBE</x:v>
      </x:c>
      <x:c r="F28" t="str">
        <x:v>LOCAL-460426CBMPHCM</x:v>
      </x:c>
      <x:c r="G28" t="str">
        <x:v>4604/26/CBMP-HCM</x:v>
      </x:c>
      <x:c r="H28" t="str">
        <x:v>CODE 10 VIBE ROLL-ON DEO IARCTIC COOL</x:v>
      </x:c>
      <x:c r="I28" t="str">
        <x:v>CÔNG TY CỔ PHẦN MARICO SOUTH EAST ASIA</x:v>
      </x:c>
      <x:c r="J28" t="str">
        <x:v>TP. Hồ Chí Minh</x:v>
      </x:c>
      <x:c r="K28" t="str">
        <x:v>congtycophanmaricosoutheastasia|code10vibe|460426cbmphcm</x:v>
      </x:c>
      <x:c r="L28" t="str">
        <x:v>VERIFIED_RELATION</x:v>
      </x:c>
      <x:c r="M28" t="str">
        <x:v>Factory ↔ Brand ↔ declaration.</x:v>
      </x:c>
    </x:row>
    <x:row r="29">
      <x:c r="A29" t="str">
        <x:v>FB-00028</x:v>
      </x:c>
      <x:c r="B29" t="str">
        <x:v>congtycophanmaricosoutheastasia</x:v>
      </x:c>
      <x:c r="C29" t="str">
        <x:v>CÔNG TY CỔ PHẦN MARICO SOUTH EAST ASIA</x:v>
      </x:c>
      <x:c r="D29" t="str">
        <x:v>olivnaturalnourish</x:v>
      </x:c>
      <x:c r="E29" t="str">
        <x:v>ÔLIV NATURAL NOURISH</x:v>
      </x:c>
      <x:c r="F29" t="str">
        <x:v>LOCAL-414926CBMPHCM</x:v>
      </x:c>
      <x:c r="G29" t="str">
        <x:v>4149/26/CBMP-HCM</x:v>
      </x:c>
      <x:c r="H29" t="str">
        <x:v>DẦU GỘI PHỤC HỒI HƯ TỔN</x:v>
      </x:c>
      <x:c r="I29" t="str">
        <x:v>CÔNG TY CỔ PHẦN MARICO SOUTH EAST ASIA</x:v>
      </x:c>
      <x:c r="J29" t="str">
        <x:v>TP. Hồ Chí Minh</x:v>
      </x:c>
      <x:c r="K29" t="str">
        <x:v>congtycophanmaricosoutheastasia|olivnaturalnourish|414926cbmphcm</x:v>
      </x:c>
      <x:c r="L29" t="str">
        <x:v>VERIFIED_RELATION</x:v>
      </x:c>
      <x:c r="M29" t="str">
        <x:v>Factory ↔ Brand ↔ declaration.</x:v>
      </x:c>
    </x:row>
    <x:row r="30">
      <x:c r="A30" t="str">
        <x:v>FB-00029</x:v>
      </x:c>
      <x:c r="B30" t="str">
        <x:v>congtytnhhhanacosvietnamchinhanhtantao</x:v>
      </x:c>
      <x:c r="C30" t="str">
        <x:v>CÔNG TY TNHH HANACOS VIETNAM – CHI NHÁNH TÂN TẠO</x:v>
      </x:c>
      <x:c r="D30" t="str">
        <x:v>nanovacosmetic</x:v>
      </x:c>
      <x:c r="E30" t="str">
        <x:v>NANOVA COSMETIC</x:v>
      </x:c>
      <x:c r="F30" t="str">
        <x:v>LOCAL-285926CBMPHCM</x:v>
      </x:c>
      <x:c r="G30" t="str">
        <x:v>2859/26/CBMP-HCM</x:v>
      </x:c>
      <x:c r="H30" t="str">
        <x:v>BODY DAYLISSE</x:v>
      </x:c>
      <x:c r="I30" t="str">
        <x:v>CÔNG TY TNHH THƯƠNG MẠI LONG KHANG</x:v>
      </x:c>
      <x:c r="J30" t="str">
        <x:v>TP. Hồ Chí Minh</x:v>
      </x:c>
      <x:c r="K30" t="str">
        <x:v>congtytnhhhanacosvietnamchinhanhtantao|nanovacosmetic|285926cbmphcm</x:v>
      </x:c>
      <x:c r="L30" t="str">
        <x:v>VERIFIED_RELATION</x:v>
      </x:c>
      <x:c r="M30" t="str">
        <x:v>Factory ↔ Brand ↔ declaration.</x:v>
      </x:c>
    </x:row>
    <x:row r="31">
      <x:c r="A31" t="str">
        <x:v>FB-00030</x:v>
      </x:c>
      <x:c r="B31" t="str">
        <x:v>chinhanhcongtytnhhautusanxuatvaxuatnhapkhaukannacosmetics</x:v>
      </x:c>
      <x:c r="C31" t="str">
        <x:v>Chi nhánh Công ty TNHH Đầu tư sản xuất và Xuất nhập khẩu Kanna Cosmetics</x:v>
      </x:c>
      <x:c r="D31" t="str">
        <x:v>alphamantheformulaofcharisma</x:v>
      </x:c>
      <x:c r="E31" t="str">
        <x:v>ALPHA MAN THE FORMULA OF CHARISMA</x:v>
      </x:c>
      <x:c r="F31" t="str">
        <x:v>LOCAL-00079326CBMPHCM</x:v>
      </x:c>
      <x:c r="G31" t="str">
        <x:v>000793/26/CBMP-HCM</x:v>
      </x:c>
      <x:c r="H31" t="str">
        <x:v>ALPHA FRESH COOLING CLEANSER</x:v>
      </x:c>
      <x:c r="I31" t="str">
        <x:v>CÔNG TY TNHH SẢN XUẤT VÀ THƯƠNG MẠI TM&amp;TD VIỆT NAM</x:v>
      </x:c>
      <x:c r="J31" t="str">
        <x:v>TP. Hồ Chí Minh</x:v>
      </x:c>
      <x:c r="K31" t="str">
        <x:v>chinhanhcongtytnhhautusanxuatvaxuatnhapkhaukannacosmetics|alphamantheformulaofcharisma|00079326cbmphcm</x:v>
      </x:c>
      <x:c r="L31" t="str">
        <x:v>VERIFIED_RELATION</x:v>
      </x:c>
      <x:c r="M31" t="str">
        <x:v>Factory ↔ Brand ↔ declaration.</x:v>
      </x:c>
    </x:row>
    <x:row r="32">
      <x:c r="A32" t="str">
        <x:v>FB-00031</x:v>
      </x:c>
      <x:c r="B32" t="str">
        <x:v>chinhanhcongtytnhhautusanxuatvaxuatnhapkhaukannacosmetics</x:v>
      </x:c>
      <x:c r="C32" t="str">
        <x:v>CHI NHÁNH CÔNG TY TNHH ĐẦU TƯ SẢN XUẤT VÀ XUẤT NHẬP KHẨU KANNA COSMETICS</x:v>
      </x:c>
      <x:c r="D32" t="str">
        <x:v>keyshu</x:v>
      </x:c>
      <x:c r="E32" t="str">
        <x:v>Keyshu</x:v>
      </x:c>
      <x:c r="F32" t="str">
        <x:v>LOCAL-00082026CBMPHCM</x:v>
      </x:c>
      <x:c r="G32" t="str">
        <x:v>000820/26/CBMP-HCM</x:v>
      </x:c>
      <x:c r="H32" t="str">
        <x:v>BIOESSENCE MASK O GLB</x:v>
      </x:c>
      <x:c r="I32" t="str">
        <x:v>CÔNG TY TNHH SINH DƯỢC BIO</x:v>
      </x:c>
      <x:c r="J32" t="str">
        <x:v>TP. Hồ Chí Minh</x:v>
      </x:c>
      <x:c r="K32" t="str">
        <x:v>chinhanhcongtytnhhautusanxuatvaxuatnhapkhaukannacosmetics|keyshu|00082026cbmphcm</x:v>
      </x:c>
      <x:c r="L32" t="str">
        <x:v>VERIFIED_RELATION</x:v>
      </x:c>
      <x:c r="M32" t="str">
        <x:v>Factory ↔ Brand ↔ declaration.</x:v>
      </x:c>
    </x:row>
    <x:row r="33">
      <x:c r="A33" t="str">
        <x:v>FB-00032</x:v>
      </x:c>
      <x:c r="B33" t="str">
        <x:v>chinhanhcongtytnhhautusanxuatvaxuatnhapkhaukannacosmetics</x:v>
      </x:c>
      <x:c r="C33" t="str">
        <x:v>CHI NHÁNH CÔNG TY TNHH ĐẦU TƯ SẢN XUẤT VÀ XUẤT NHẬP KHẨU KANNA COSMETICS</x:v>
      </x:c>
      <x:c r="D33" t="str">
        <x:v>keyshu</x:v>
      </x:c>
      <x:c r="E33" t="str">
        <x:v>Keyshu</x:v>
      </x:c>
      <x:c r="F33" t="str">
        <x:v>LOCAL-00083226CBMPHCM</x:v>
      </x:c>
      <x:c r="G33" t="str">
        <x:v>000832/26/CBMP-HCM</x:v>
      </x:c>
      <x:c r="H33" t="str">
        <x:v>BIOESSENCE MASK PRE</x:v>
      </x:c>
      <x:c r="I33" t="str">
        <x:v>CÔNG TY TNHH SINH DƯỢC BIO</x:v>
      </x:c>
      <x:c r="J33" t="str">
        <x:v>TP. Hồ Chí Minh</x:v>
      </x:c>
      <x:c r="K33" t="str">
        <x:v>chinhanhcongtytnhhautusanxuatvaxuatnhapkhaukannacosmetics|keyshu|00083226cbmphcm</x:v>
      </x:c>
      <x:c r="L33" t="str">
        <x:v>VERIFIED_RELATION</x:v>
      </x:c>
      <x:c r="M33" t="str">
        <x:v>Factory ↔ Brand ↔ declaration.</x:v>
      </x:c>
    </x:row>
    <x:row r="34">
      <x:c r="A34" t="str">
        <x:v>FB-00033</x:v>
      </x:c>
      <x:c r="B34" t="str">
        <x:v>nhamaycongtycongtycophancharmeperfumeiaiemkinhdoanh</x:v>
      </x:c>
      <x:c r="C34" t="str">
        <x:v>NHÀ MÁY CÔNG TY CÔNG TY CỔ PHẦN CHARME PERFUME – ĐỊA ĐIỂM KINH DOANH</x:v>
      </x:c>
      <x:c r="D34" t="str">
        <x:v>bkluxury</x:v>
      </x:c>
      <x:c r="E34" t="str">
        <x:v>BKLUXURY</x:v>
      </x:c>
      <x:c r="F34" t="str">
        <x:v>LOCAL-00082326CBMPHCM</x:v>
      </x:c>
      <x:c r="G34" t="str">
        <x:v>000823/26/CBMP-HCM</x:v>
      </x:c>
      <x:c r="H34" t="str">
        <x:v>BKLUXURY LUXURY GIRL</x:v>
      </x:c>
      <x:c r="I34" t="str">
        <x:v>CÔNG TY CÔ PHẦN CHARME PERFUME</x:v>
      </x:c>
      <x:c r="J34" t="str">
        <x:v>TP. Hồ Chí Minh</x:v>
      </x:c>
      <x:c r="K34" t="str">
        <x:v>nhamaycongtycongtycophancharmeperfumeiaiemkinhdoanh|bkluxury|00082326cbmphcm</x:v>
      </x:c>
      <x:c r="L34" t="str">
        <x:v>VERIFIED_RELATION</x:v>
      </x:c>
      <x:c r="M34" t="str">
        <x:v>Factory ↔ Brand ↔ declaration.</x:v>
      </x:c>
    </x:row>
    <x:row r="35">
      <x:c r="A35" t="str">
        <x:v>FB-00034</x:v>
      </x:c>
      <x:c r="B35" t="str">
        <x:v>chinhanhtantaocongtycophanduocmyphamgiaphu</x:v>
      </x:c>
      <x:c r="C35" t="str">
        <x:v>CHI NHÁNH TÂN TẠO - CÔNG TY CỔ PHẦN DƯỢC &amp; MỸ PHẨM GIA PHÚ</x:v>
      </x:c>
      <x:c r="D35" t="str">
        <x:v>topgel</x:v>
      </x:c>
      <x:c r="E35" t="str">
        <x:v>TOP-GEL</x:v>
      </x:c>
      <x:c r="F35" t="str">
        <x:v>LOCAL-00085626CBMPHCM</x:v>
      </x:c>
      <x:c r="G35" t="str">
        <x:v>000856/26/CBMP-HCM</x:v>
      </x:c>
      <x:c r="H35" t="str">
        <x:v>BODY DƯỠNG TRẮNG, MỊN DA, GIỮ ẨM DA</x:v>
      </x:c>
      <x:c r="I35" t="str">
        <x:v>CÔNG TY TNHH DƯỢC MỸ PHẨM GIA PHÚC</x:v>
      </x:c>
      <x:c r="J35" t="str">
        <x:v>TP. Hồ Chí Minh</x:v>
      </x:c>
      <x:c r="K35" t="str">
        <x:v>chinhanhtantaocongtycophanduocmyphamgiaphu|topgel|00085626cbmphcm</x:v>
      </x:c>
      <x:c r="L35" t="str">
        <x:v>VERIFIED_RELATION</x:v>
      </x:c>
      <x:c r="M35" t="str">
        <x:v>Factory ↔ Brand ↔ declaration.</x:v>
      </x:c>
    </x:row>
    <x:row r="36">
      <x:c r="A36" t="str">
        <x:v>FB-00035</x:v>
      </x:c>
      <x:c r="B36" t="str">
        <x:v>congtytnhhduocmyphamdccos</x:v>
      </x:c>
      <x:c r="C36" t="str">
        <x:v>Công ty TNHH Dược Mỹ Phẩm DC COS</x:v>
      </x:c>
      <x:c r="D36" t="str">
        <x:v>dccos</x:v>
      </x:c>
      <x:c r="E36" t="str">
        <x:v>DC COS</x:v>
      </x:c>
      <x:c r="F36" t="str">
        <x:v>LOCAL-00080726CBMPHCM</x:v>
      </x:c>
      <x:c r="G36" t="str">
        <x:v>000807/26/CBMP-HCM</x:v>
      </x:c>
      <x:c r="H36" t="str">
        <x:v>BODY MIST NO1</x:v>
      </x:c>
      <x:c r="I36" t="str">
        <x:v>CÔNG TY TNHH DƯỢC MỸ PHẨM DC COS</x:v>
      </x:c>
      <x:c r="J36" t="str">
        <x:v>TP. Hồ Chí Minh</x:v>
      </x:c>
      <x:c r="K36" t="str">
        <x:v>congtytnhhduocmyphamdccos|dccos|00080726cbmphcm</x:v>
      </x:c>
      <x:c r="L36" t="str">
        <x:v>VERIFIED_RELATION</x:v>
      </x:c>
      <x:c r="M36" t="str">
        <x:v>Factory ↔ Brand ↔ declaration.</x:v>
      </x:c>
    </x:row>
    <x:row r="37">
      <x:c r="A37" t="str">
        <x:v>FB-00036</x:v>
      </x:c>
      <x:c r="B37" t="str">
        <x:v>congtycophanduocmyphamgreencos</x:v>
      </x:c>
      <x:c r="C37" t="str">
        <x:v>Công ty Cổ phần Dược Mỹ phẩm Greencos</x:v>
      </x:c>
      <x:c r="D37" t="str">
        <x:v>ditiskin</x:v>
      </x:c>
      <x:c r="E37" t="str">
        <x:v>DITISKIN</x:v>
      </x:c>
      <x:c r="F37" t="str">
        <x:v>LOCAL-00081526CBMPHCM</x:v>
      </x:c>
      <x:c r="G37" t="str">
        <x:v>000815/26/CBMP-HCM</x:v>
      </x:c>
      <x:c r="H37" t="str">
        <x:v>BRIGHTENING NIACINAMIDE MASK</x:v>
      </x:c>
      <x:c r="I37" t="str">
        <x:v>CÔNG TY TNHH MTV DITASKIN</x:v>
      </x:c>
      <x:c r="J37" t="str">
        <x:v>TP. Hồ Chí Minh</x:v>
      </x:c>
      <x:c r="K37" t="str">
        <x:v>congtycophanduocmyphamgreencos|ditiskin|00081526cbmphcm</x:v>
      </x:c>
      <x:c r="L37" t="str">
        <x:v>VERIFIED_RELATION</x:v>
      </x:c>
      <x:c r="M37" t="str">
        <x:v>Factory ↔ Brand ↔ declaration.</x:v>
      </x:c>
    </x:row>
    <x:row r="38">
      <x:c r="A38" t="str">
        <x:v>FB-00037</x:v>
      </x:c>
      <x:c r="B38" t="str">
        <x:v>congtytnhhhanacosvietnamchinhanhtantao</x:v>
      </x:c>
      <x:c r="C38" t="str">
        <x:v>CÔNG TY TNHH HANACOS VIETNAM - CHI NHÁNH TÂN TẠO</x:v>
      </x:c>
      <x:c r="D38" t="str">
        <x:v>mlynn</x:v>
      </x:c>
      <x:c r="E38" t="str">
        <x:v>MLYNN</x:v>
      </x:c>
      <x:c r="F38" t="str">
        <x:v>LOCAL-00088726CBMPHCM</x:v>
      </x:c>
      <x:c r="G38" t="str">
        <x:v>000887/26/CBMP-HCM</x:v>
      </x:c>
      <x:c r="H38" t="str">
        <x:v>CALM &amp; ACNE SERUM</x:v>
      </x:c>
      <x:c r="I38" t="str">
        <x:v>CÔNG TY TNHH GREEN LIFE MAI LINH</x:v>
      </x:c>
      <x:c r="J38" t="str">
        <x:v>TP. Hồ Chí Minh</x:v>
      </x:c>
      <x:c r="K38" t="str">
        <x:v>congtytnhhhanacosvietnamchinhanhtantao|mlynn|00088726cbmphcm</x:v>
      </x:c>
      <x:c r="L38" t="str">
        <x:v>VERIFIED_RELATION</x:v>
      </x:c>
      <x:c r="M38" t="str">
        <x:v>Factory ↔ Brand ↔ declaration.</x:v>
      </x:c>
    </x:row>
    <x:row r="39">
      <x:c r="A39" t="str">
        <x:v>FB-00038</x:v>
      </x:c>
      <x:c r="B39" t="str">
        <x:v>congtytnhhhanacosvietnamchinhanhtantao</x:v>
      </x:c>
      <x:c r="C39" t="str">
        <x:v>CÔNG TY TNHH HANACOS VIETNAM - CHI NHÁNH TÂN TẠO</x:v>
      </x:c>
      <x:c r="D39" t="str">
        <x:v>emmiebyhappyskin</x:v>
      </x:c>
      <x:c r="E39" t="str">
        <x:v>EMMIÉ BY HAPPYSKIN</x:v>
      </x:c>
      <x:c r="F39" t="str">
        <x:v>LOCAL-00087526CBMPHCM</x:v>
      </x:c>
      <x:c r="G39" t="str">
        <x:v>000875/26/CBMP-HCM</x:v>
      </x:c>
      <x:c r="H39" t="str">
        <x:v>CALMING MULTIACTION ANTI-ACNE GEL</x:v>
      </x:c>
      <x:c r="I39" t="str">
        <x:v>CÔNG TY CỔ PHẦN IBP HOLDINGS</x:v>
      </x:c>
      <x:c r="J39" t="str">
        <x:v>TP. Hồ Chí Minh</x:v>
      </x:c>
      <x:c r="K39" t="str">
        <x:v>congtytnhhhanacosvietnamchinhanhtantao|emmiebyhappyskin|00087526cbmphcm</x:v>
      </x:c>
      <x:c r="L39" t="str">
        <x:v>VERIFIED_RELATION</x:v>
      </x:c>
      <x:c r="M39" t="str">
        <x:v>Factory ↔ Brand ↔ declaration.</x:v>
      </x:c>
    </x:row>
    <x:row r="40">
      <x:c r="A40" t="str">
        <x:v>FB-00039</x:v>
      </x:c>
      <x:c r="B40" t="str">
        <x:v>congtytnhhduocmyphamdccos</x:v>
      </x:c>
      <x:c r="C40" t="str">
        <x:v>Công ty TNHH Dược Mỹ Phẩm DC COS</x:v>
      </x:c>
      <x:c r="D40" t="str">
        <x:v>thalora</x:v>
      </x:c>
      <x:c r="E40" t="str">
        <x:v>THALORA</x:v>
      </x:c>
      <x:c r="F40" t="str">
        <x:v>LOCAL-00080926CBMPHCM</x:v>
      </x:c>
      <x:c r="G40" t="str">
        <x:v>000809/26/CBMP-HCM</x:v>
      </x:c>
      <x:c r="H40" t="str">
        <x:v>CELESTIA FLAME</x:v>
      </x:c>
      <x:c r="I40" t="str">
        <x:v>CÔNG TY TNHH DƯỢC MỸ PHẨM DC COS</x:v>
      </x:c>
      <x:c r="J40" t="str">
        <x:v>TP. Hồ Chí Minh</x:v>
      </x:c>
      <x:c r="K40" t="str">
        <x:v>congtytnhhduocmyphamdccos|thalora|00080926cbmphcm</x:v>
      </x:c>
      <x:c r="L40" t="str">
        <x:v>VERIFIED_RELATION</x:v>
      </x:c>
      <x:c r="M40" t="str">
        <x:v>Factory ↔ Brand ↔ declaration.</x:v>
      </x:c>
    </x:row>
    <x:row r="41">
      <x:c r="A41" t="str">
        <x:v>FB-00040</x:v>
      </x:c>
      <x:c r="B41" t="str">
        <x:v>congtytnhhhanacosvietnamchinhanhtantao</x:v>
      </x:c>
      <x:c r="C41" t="str">
        <x:v>CÔNG TY TNHH HANACOS VIETNAM - CHI NHÁNH TÂN TẠO</x:v>
      </x:c>
      <x:c r="D41" t="str">
        <x:v>lazybee</x:v>
      </x:c>
      <x:c r="E41" t="str">
        <x:v>Lazy Bee</x:v>
      </x:c>
      <x:c r="F41" t="str">
        <x:v>LOCAL-00089426CBMPHCM</x:v>
      </x:c>
      <x:c r="G41" t="str">
        <x:v>000894/26/CBMP-HCM</x:v>
      </x:c>
      <x:c r="H41" t="str">
        <x:v>CHARCOAL AND HEARTLEAF CLARIFYING MASK</x:v>
      </x:c>
      <x:c r="I41" t="str">
        <x:v>CÔNG TY TNHH ENABLER PLUS</x:v>
      </x:c>
      <x:c r="J41" t="str">
        <x:v>TP. Hồ Chí Minh</x:v>
      </x:c>
      <x:c r="K41" t="str">
        <x:v>congtytnhhhanacosvietnamchinhanhtantao|lazybee|00089426cbmphcm</x:v>
      </x:c>
      <x:c r="L41" t="str">
        <x:v>VERIFIED_RELATION</x:v>
      </x:c>
      <x:c r="M41" t="str">
        <x:v>Factory ↔ Brand ↔ declaration.</x:v>
      </x:c>
    </x:row>
    <x:row r="42">
      <x:c r="A42" t="str">
        <x:v>FB-00041</x:v>
      </x:c>
      <x:c r="B42" t="str">
        <x:v>nhamaycongtycophancharmeperfumeiaiemkinhdoanh</x:v>
      </x:c>
      <x:c r="C42" t="str">
        <x:v>NHÀ MÁY CÔNG TY CỔ PHẦN CHARME PERFUME – ĐỊA ĐIỂM KINH DOANH</x:v>
      </x:c>
      <x:c r="D42" t="str">
        <x:v>charme</x:v>
      </x:c>
      <x:c r="E42" t="str">
        <x:v>CHARME</x:v>
      </x:c>
      <x:c r="F42" t="str">
        <x:v>LOCAL-00079226CBMPHCM</x:v>
      </x:c>
      <x:c r="G42" t="str">
        <x:v>000792/26/CBMP-HCM</x:v>
      </x:c>
      <x:c r="H42" t="str">
        <x:v>CHARME GOOD MEN</x:v>
      </x:c>
      <x:c r="I42" t="str">
        <x:v>CÔNG TY CỔ PHẦN CHARME PERFUME</x:v>
      </x:c>
      <x:c r="J42" t="str">
        <x:v>TP. Hồ Chí Minh</x:v>
      </x:c>
      <x:c r="K42" t="str">
        <x:v>nhamaycongtycophancharmeperfumeiaiemkinhdoanh|charme|00079226cbmphcm</x:v>
      </x:c>
      <x:c r="L42" t="str">
        <x:v>VERIFIED_RELATION</x:v>
      </x:c>
      <x:c r="M42" t="str">
        <x:v>Factory ↔ Brand ↔ declaration.</x:v>
      </x:c>
    </x:row>
    <x:row r="43">
      <x:c r="A43" t="str">
        <x:v>FB-00042</x:v>
      </x:c>
      <x:c r="B43" t="str">
        <x:v>nhamaycongtycophancharmeperfumeiaiemkinhdoanh</x:v>
      </x:c>
      <x:c r="C43" t="str">
        <x:v>NHÀ MÁY CÔNG TY CỔ PHẦN CHARME PERFUME – ĐỊA ĐIỂM KINH DOANH</x:v>
      </x:c>
      <x:c r="D43" t="str">
        <x:v>charme</x:v>
      </x:c>
      <x:c r="E43" t="str">
        <x:v>CHARME</x:v>
      </x:c>
      <x:c r="F43" t="str">
        <x:v>LOCAL-00078926CBMPHCM</x:v>
      </x:c>
      <x:c r="G43" t="str">
        <x:v>000789/26/CBMP-HCM</x:v>
      </x:c>
      <x:c r="H43" t="str">
        <x:v>CHARME GOOD MEN</x:v>
      </x:c>
      <x:c r="I43" t="str">
        <x:v>CÔNG TY CỔ PHẦN CHARME PERFUME</x:v>
      </x:c>
      <x:c r="J43" t="str">
        <x:v>TP. Hồ Chí Minh</x:v>
      </x:c>
      <x:c r="K43" t="str">
        <x:v>nhamaycongtycophancharmeperfumeiaiemkinhdoanh|charme|00078926cbmphcm</x:v>
      </x:c>
      <x:c r="L43" t="str">
        <x:v>VERIFIED_RELATION</x:v>
      </x:c>
      <x:c r="M43" t="str">
        <x:v>Factory ↔ Brand ↔ declaration.</x:v>
      </x:c>
    </x:row>
    <x:row r="44">
      <x:c r="A44" t="str">
        <x:v>FB-00043</x:v>
      </x:c>
      <x:c r="B44" t="str">
        <x:v>chinhanhcongtytnhhsanxuatthuongmaixuatnhapkhautaminhquangnhamaymyphamtaminhquang</x:v>
      </x:c>
      <x:c r="C44" t="str">
        <x:v>Chi nhánh Công ty TNHH Sản xuất Thương mại Xuất Nhập khẩu Tạ Minh Quang – Nhà máy Mỹ phẩm Tạ Minh Quang</x:v>
      </x:c>
      <x:c r="D44" t="str">
        <x:v>alyna</x:v>
      </x:c>
      <x:c r="E44" t="str">
        <x:v>ALYNA</x:v>
      </x:c>
      <x:c r="F44" t="str">
        <x:v>LOCAL-00027023CBMPHCM</x:v>
      </x:c>
      <x:c r="G44" t="str">
        <x:v>000270/23/CBMP-HCM</x:v>
      </x:c>
      <x:c r="H44" t="str">
        <x:v>ALYNA mặt nạ bơ dưỡng da</x:v>
      </x:c>
      <x:c r="I44" t="str">
        <x:v>Công ty TNHH Sản xuất Thương mại Xuất Nhập khẩu Tạ Minh Quang</x:v>
      </x:c>
      <x:c r="J44" t="str">
        <x:v>TP. Hồ Chí Minh</x:v>
      </x:c>
      <x:c r="K44" t="str">
        <x:v>chinhanhcongtytnhhsanxuatthuongmaixuatnhapkhautaminhquangnhamaymyphamtaminhquang|alyna|00027023cbmphcm</x:v>
      </x:c>
      <x:c r="L44" t="str">
        <x:v>NUMBER_WITHDRAWN</x:v>
      </x:c>
      <x:c r="M44" t="str">
        <x:v>Factory ↔ Brand ↔ declaration.</x:v>
      </x:c>
    </x:row>
    <x:row r="45">
      <x:c r="A45" t="str">
        <x:v>FB-00044</x:v>
      </x:c>
      <x:c r="B45" t="str">
        <x:v>chinhanhcongtytnhhsanxuatthuongmaixuatnhapkhautaminhquangnhamaymyphamtaminhquang</x:v>
      </x:c>
      <x:c r="C45" t="str">
        <x:v>Chi nhánh Công ty TNHH Sản xuất Thương mại Xuất Nhập khẩu Tạ Minh Quang – Nhà máy Mỹ phẩm Tạ Minh Quang</x:v>
      </x:c>
      <x:c r="D45" t="str">
        <x:v>alyna</x:v>
      </x:c>
      <x:c r="E45" t="str">
        <x:v>ALYNA</x:v>
      </x:c>
      <x:c r="F45" t="str">
        <x:v>LOCAL-00212323CBMPHCM</x:v>
      </x:c>
      <x:c r="G45" t="str">
        <x:v>002123/23/CBMP-HCM</x:v>
      </x:c>
      <x:c r="H45" t="str">
        <x:v>ALYNA mặt nạ bơ dưỡng da</x:v>
      </x:c>
      <x:c r="I45" t="str">
        <x:v>Công ty TNHH Sản xuất Thương mại Xuất Nhập khẩu Tạ Minh Quang</x:v>
      </x:c>
      <x:c r="J45" t="str">
        <x:v>TP. Hồ Chí Minh</x:v>
      </x:c>
      <x:c r="K45" t="str">
        <x:v>chinhanhcongtytnhhsanxuatthuongmaixuatnhapkhautaminhquangnhamaymyphamtaminhquang|alyna|00212323cbmphcm</x:v>
      </x:c>
      <x:c r="L45" t="str">
        <x:v>NUMBER_WITHDRAWN</x:v>
      </x:c>
      <x:c r="M45" t="str">
        <x:v>Factory ↔ Brand ↔ declaration.</x:v>
      </x:c>
    </x:row>
    <x:row r="46">
      <x:c r="A46" t="str">
        <x:v>FB-00045</x:v>
      </x:c>
      <x:c r="B46" t="str">
        <x:v>chinhanhcongtytnhhsanxuatthuongmaixuatnhapkhautaminhquangnhamaymyphamtaminhquang</x:v>
      </x:c>
      <x:c r="C46" t="str">
        <x:v>Chi nhánh Công ty TNHH Sản xuất Thương mại Xuất Nhập khẩu Tạ Minh Quang – Nhà máy Mỹ phẩm Tạ Minh Quang</x:v>
      </x:c>
      <x:c r="D46" t="str">
        <x:v>alyna</x:v>
      </x:c>
      <x:c r="E46" t="str">
        <x:v>ALYNA</x:v>
      </x:c>
      <x:c r="F46" t="str">
        <x:v>LOCAL-00027123CBMPHCM</x:v>
      </x:c>
      <x:c r="G46" t="str">
        <x:v>000271/23/CBMP-HCM</x:v>
      </x:c>
      <x:c r="H46" t="str">
        <x:v>ALYNA mặt nạ cà chua dưỡng da</x:v>
      </x:c>
      <x:c r="I46" t="str">
        <x:v>Công ty TNHH Sản xuất Thương mại Xuất Nhập khẩu Tạ Minh Quang</x:v>
      </x:c>
      <x:c r="J46" t="str">
        <x:v>TP. Hồ Chí Minh</x:v>
      </x:c>
      <x:c r="K46" t="str">
        <x:v>chinhanhcongtytnhhsanxuatthuongmaixuatnhapkhautaminhquangnhamaymyphamtaminhquang|alyna|00027123cbmphcm</x:v>
      </x:c>
      <x:c r="L46" t="str">
        <x:v>NUMBER_WITHDRAWN</x:v>
      </x:c>
      <x:c r="M46" t="str">
        <x:v>Factory ↔ Brand ↔ declaration.</x:v>
      </x:c>
    </x:row>
    <x:row r="47">
      <x:c r="A47" t="str">
        <x:v>FB-00046</x:v>
      </x:c>
      <x:c r="B47" t="str">
        <x:v>chinhanhcongtytnhhsanxuatthuongmaixuatnhapkhautaminhquangnhamaymyphamtaminhquang</x:v>
      </x:c>
      <x:c r="C47" t="str">
        <x:v>Chi nhánh Công ty TNHH Sản xuất Thương mại Xuất Nhập khẩu Tạ Minh Quang – Nhà máy Mỹ phẩm Tạ Minh Quang</x:v>
      </x:c>
      <x:c r="D47" t="str">
        <x:v>alyna</x:v>
      </x:c>
      <x:c r="E47" t="str">
        <x:v>ALYNA</x:v>
      </x:c>
      <x:c r="F47" t="str">
        <x:v>LOCAL-00211823CBMPHCM</x:v>
      </x:c>
      <x:c r="G47" t="str">
        <x:v>002118/23/CBMP-HCM</x:v>
      </x:c>
      <x:c r="H47" t="str">
        <x:v>ALYNA mặt nạ cà chua dưỡng da</x:v>
      </x:c>
      <x:c r="I47" t="str">
        <x:v>Công ty TNHH Sản xuất Thương mại Xuất Nhập khẩu Tạ Minh Quang</x:v>
      </x:c>
      <x:c r="J47" t="str">
        <x:v>TP. Hồ Chí Minh</x:v>
      </x:c>
      <x:c r="K47" t="str">
        <x:v>chinhanhcongtytnhhsanxuatthuongmaixuatnhapkhautaminhquangnhamaymyphamtaminhquang|alyna|00211823cbmphcm</x:v>
      </x:c>
      <x:c r="L47" t="str">
        <x:v>NUMBER_WITHDRAWN</x:v>
      </x:c>
      <x:c r="M47" t="str">
        <x:v>Factory ↔ Brand ↔ declaration.</x:v>
      </x:c>
    </x:row>
    <x:row r="48">
      <x:c r="A48" t="str">
        <x:v>FB-00047</x:v>
      </x:c>
      <x:c r="B48" t="str">
        <x:v>chinhanhcongtytnhhsanxuatthuongmaixuatnhapkhautaminhquangnhamaymyphamtaminhquang</x:v>
      </x:c>
      <x:c r="C48" t="str">
        <x:v>Chi nhánh Công ty TNHH Sản xuất Thương mại Xuất Nhập khẩu Tạ Minh Quang – Nhà máy Mỹ phẩm Tạ Minh Quang</x:v>
      </x:c>
      <x:c r="D48" t="str">
        <x:v>alyna</x:v>
      </x:c>
      <x:c r="E48" t="str">
        <x:v>ALYNA</x:v>
      </x:c>
      <x:c r="F48" t="str">
        <x:v>LOCAL-00027223CBMPHCM</x:v>
      </x:c>
      <x:c r="G48" t="str">
        <x:v>000272/23/CBMP-HCM</x:v>
      </x:c>
      <x:c r="H48" t="str">
        <x:v>ALYNA mặt nạ dâu dưỡng da</x:v>
      </x:c>
      <x:c r="I48" t="str">
        <x:v>Công ty TNHH Sản xuất Thương mại Xuất Nhập khẩu Tạ Minh Quang</x:v>
      </x:c>
      <x:c r="J48" t="str">
        <x:v>TP. Hồ Chí Minh</x:v>
      </x:c>
      <x:c r="K48" t="str">
        <x:v>chinhanhcongtytnhhsanxuatthuongmaixuatnhapkhautaminhquangnhamaymyphamtaminhquang|alyna|00027223cbmphcm</x:v>
      </x:c>
      <x:c r="L48" t="str">
        <x:v>NUMBER_WITHDRAWN</x:v>
      </x:c>
      <x:c r="M48" t="str">
        <x:v>Factory ↔ Brand ↔ declaration.</x:v>
      </x:c>
    </x:row>
    <x:row r="49">
      <x:c r="A49" t="str">
        <x:v>FB-00048</x:v>
      </x:c>
      <x:c r="B49" t="str">
        <x:v>chinhanhcongtytnhhsanxuatthuongmaixuatnhapkhautaminhquangnhamaymyphamtaminhquang</x:v>
      </x:c>
      <x:c r="C49" t="str">
        <x:v>Chi nhánh Công ty TNHH Sản xuất Thương mại Xuất Nhập khẩu Tạ Minh Quang – Nhà máy Mỹ phẩm Tạ Minh Quang</x:v>
      </x:c>
      <x:c r="D49" t="str">
        <x:v>alyna</x:v>
      </x:c>
      <x:c r="E49" t="str">
        <x:v>ALYNA</x:v>
      </x:c>
      <x:c r="F49" t="str">
        <x:v>LOCAL-00211923CBMPHCM</x:v>
      </x:c>
      <x:c r="G49" t="str">
        <x:v>002119/23/CBMP-HCM</x:v>
      </x:c>
      <x:c r="H49" t="str">
        <x:v>ALYNA mặt nạ dâu dưỡng da</x:v>
      </x:c>
      <x:c r="I49" t="str">
        <x:v>Công ty TNHH Sản xuất Thương mại Xuất Nhập khẩu Tạ Minh Quang</x:v>
      </x:c>
      <x:c r="J49" t="str">
        <x:v>TP. Hồ Chí Minh</x:v>
      </x:c>
      <x:c r="K49" t="str">
        <x:v>chinhanhcongtytnhhsanxuatthuongmaixuatnhapkhautaminhquangnhamaymyphamtaminhquang|alyna|00211923cbmphcm</x:v>
      </x:c>
      <x:c r="L49" t="str">
        <x:v>NUMBER_WITHDRAWN</x:v>
      </x:c>
      <x:c r="M49" t="str">
        <x:v>Factory ↔ Brand ↔ declaration.</x:v>
      </x:c>
    </x:row>
    <x:row r="50">
      <x:c r="A50" t="str">
        <x:v>FB-00049</x:v>
      </x:c>
      <x:c r="B50" t="str">
        <x:v>chinhanhcongtytnhhsanxuatthuongmaixuatnhapkhautaminhquangnhamaymyphamtaminhquang</x:v>
      </x:c>
      <x:c r="C50" t="str">
        <x:v>Chi nhánh Công ty TNHH Sản xuất Thương mại Xuất Nhập khẩu Tạ Minh Quang – Nhà máy Mỹ phẩm Tạ Minh Quang</x:v>
      </x:c>
      <x:c r="D50" t="str">
        <x:v>alyna</x:v>
      </x:c>
      <x:c r="E50" t="str">
        <x:v>ALYNA</x:v>
      </x:c>
      <x:c r="F50" t="str">
        <x:v>LOCAL-00026923CBMPHCM</x:v>
      </x:c>
      <x:c r="G50" t="str">
        <x:v>000269/23/CBMP-HCM</x:v>
      </x:c>
      <x:c r="H50" t="str">
        <x:v>ALYNA mặt nạ dưa leo dưỡng da</x:v>
      </x:c>
      <x:c r="I50" t="str">
        <x:v>Công ty TNHH Sản xuất Thương mại Xuất Nhập khẩu Tạ Minh Quang</x:v>
      </x:c>
      <x:c r="J50" t="str">
        <x:v>TP. Hồ Chí Minh</x:v>
      </x:c>
      <x:c r="K50" t="str">
        <x:v>chinhanhcongtytnhhsanxuatthuongmaixuatnhapkhautaminhquangnhamaymyphamtaminhquang|alyna|00026923cbmphcm</x:v>
      </x:c>
      <x:c r="L50" t="str">
        <x:v>NUMBER_WITHDRAWN</x:v>
      </x:c>
      <x:c r="M50" t="str">
        <x:v>Factory ↔ Brand ↔ declaration.</x:v>
      </x:c>
    </x:row>
    <x:row r="51">
      <x:c r="A51" t="str">
        <x:v>FB-00050</x:v>
      </x:c>
      <x:c r="B51" t="str">
        <x:v>chinhanhcongtytnhhsanxuatthuongmaixuatnhapkhautaminhquangnhamaymyphamtaminhquang</x:v>
      </x:c>
      <x:c r="C51" t="str">
        <x:v>Chi nhánh Công ty TNHH Sản xuất Thương mại Xuất Nhập khẩu Tạ Minh Quang – Nhà máy Mỹ phẩm Tạ Minh Quang</x:v>
      </x:c>
      <x:c r="D51" t="str">
        <x:v>alyna</x:v>
      </x:c>
      <x:c r="E51" t="str">
        <x:v>ALYNA</x:v>
      </x:c>
      <x:c r="F51" t="str">
        <x:v>LOCAL-00212123CBMPHCM</x:v>
      </x:c>
      <x:c r="G51" t="str">
        <x:v>002121/23/CBMP-HCM</x:v>
      </x:c>
      <x:c r="H51" t="str">
        <x:v>ALYNA mặt nạ dưa leo dưỡng da</x:v>
      </x:c>
      <x:c r="I51" t="str">
        <x:v>Công ty TNHH Sản xuất Thương mại Xuất Nhập khẩu Tạ Minh Quang</x:v>
      </x:c>
      <x:c r="J51" t="str">
        <x:v>TP. Hồ Chí Minh</x:v>
      </x:c>
      <x:c r="K51" t="str">
        <x:v>chinhanhcongtytnhhsanxuatthuongmaixuatnhapkhautaminhquangnhamaymyphamtaminhquang|alyna|00212123cbmphcm</x:v>
      </x:c>
      <x:c r="L51" t="str">
        <x:v>NUMBER_WITHDRAWN</x:v>
      </x:c>
      <x:c r="M51" t="str">
        <x:v>Factory ↔ Brand ↔ declaration.</x:v>
      </x:c>
    </x:row>
    <x:row r="52">
      <x:c r="A52" t="str">
        <x:v>FB-00051</x:v>
      </x:c>
      <x:c r="B52" t="str">
        <x:v>chinhanhcongtytnhhsanxuatthuongmaixuatnhapkhautaminhquangnhamaymyphamtaminhquang</x:v>
      </x:c>
      <x:c r="C52" t="str">
        <x:v>Chi nhánh Công ty TNHH Sản xuất Thương mại Xuất Nhập khẩu Tạ Minh Quang – Nhà máy Mỹ phẩm Tạ Minh Quang</x:v>
      </x:c>
      <x:c r="D52" t="str">
        <x:v>alyna</x:v>
      </x:c>
      <x:c r="E52" t="str">
        <x:v>ALYNA</x:v>
      </x:c>
      <x:c r="F52" t="str">
        <x:v>LOCAL-00112223CBMPHCM</x:v>
      </x:c>
      <x:c r="G52" t="str">
        <x:v>001122/23/CBMP-HCM</x:v>
      </x:c>
      <x:c r="H52" t="str">
        <x:v>ALYNA mặt nạ hoa quả dưỡng da</x:v>
      </x:c>
      <x:c r="I52" t="str">
        <x:v>Công ty TNHH Sản xuất Thương mại Xuất Nhập khẩu Tạ Minh Quang</x:v>
      </x:c>
      <x:c r="J52" t="str">
        <x:v>TP. Hồ Chí Minh</x:v>
      </x:c>
      <x:c r="K52" t="str">
        <x:v>chinhanhcongtytnhhsanxuatthuongmaixuatnhapkhautaminhquangnhamaymyphamtaminhquang|alyna|00112223cbmphcm</x:v>
      </x:c>
      <x:c r="L52" t="str">
        <x:v>NUMBER_WITHDRAWN</x:v>
      </x:c>
      <x:c r="M52" t="str">
        <x:v>Factory ↔ Brand ↔ declaration.</x:v>
      </x:c>
    </x:row>
    <x:row r="53">
      <x:c r="A53" t="str">
        <x:v>FB-00052</x:v>
      </x:c>
      <x:c r="B53" t="str">
        <x:v>chinhanhcongtytnhhsanxuatthuongmaixuatnhapkhautaminhquangnhamaymyphamtaminhquang</x:v>
      </x:c>
      <x:c r="C53" t="str">
        <x:v>Chi nhánh Công ty TNHH Sản xuất Thương mại Xuất Nhập khẩu Tạ Minh Quang – Nhà máy Mỹ phẩm Tạ Minh Quang</x:v>
      </x:c>
      <x:c r="D53" t="str">
        <x:v>alyna</x:v>
      </x:c>
      <x:c r="E53" t="str">
        <x:v>ALYNA</x:v>
      </x:c>
      <x:c r="F53" t="str">
        <x:v>LOCAL-00212223CBMPHCM</x:v>
      </x:c>
      <x:c r="G53" t="str">
        <x:v>002122/23/CBMP-HCM</x:v>
      </x:c>
      <x:c r="H53" t="str">
        <x:v>ALYNA mặt nạ hoa quả dưỡng da</x:v>
      </x:c>
      <x:c r="I53" t="str">
        <x:v>Công ty TNHH Sản xuất Thương mại Xuất Nhập khẩu Tạ Minh Quang</x:v>
      </x:c>
      <x:c r="J53" t="str">
        <x:v>TP. Hồ Chí Minh</x:v>
      </x:c>
      <x:c r="K53" t="str">
        <x:v>chinhanhcongtytnhhsanxuatthuongmaixuatnhapkhautaminhquangnhamaymyphamtaminhquang|alyna|00212223cbmphcm</x:v>
      </x:c>
      <x:c r="L53" t="str">
        <x:v>NUMBER_WITHDRAWN</x:v>
      </x:c>
      <x:c r="M53" t="str">
        <x:v>Factory ↔ Brand ↔ declaration.</x:v>
      </x:c>
    </x:row>
    <x:row r="54">
      <x:c r="A54" t="str">
        <x:v>FB-00053</x:v>
      </x:c>
      <x:c r="B54" t="str">
        <x:v>chinhanhcongtytnhhsanxuatthuongmaixuatnhapkhautaminhquangnhamaymyphamtaminhquang</x:v>
      </x:c>
      <x:c r="C54" t="str">
        <x:v>Chi nhánh Công ty TNHH Sản xuất Thương mại Xuất Nhập khẩu Tạ Minh Quang – Nhà máy Mỹ phẩm Tạ Minh Quang</x:v>
      </x:c>
      <x:c r="D54" t="str">
        <x:v>alyna</x:v>
      </x:c>
      <x:c r="E54" t="str">
        <x:v>ALYNA</x:v>
      </x:c>
      <x:c r="F54" t="str">
        <x:v>LOCAL-00212023CBMPHCM</x:v>
      </x:c>
      <x:c r="G54" t="str">
        <x:v>002120/23/CBMP-HCM</x:v>
      </x:c>
      <x:c r="H54" t="str">
        <x:v>ALYNA mặt nạ ngọc trai dưỡng da</x:v>
      </x:c>
      <x:c r="I54" t="str">
        <x:v>Công ty TNHH Sản xuất Thương mại Xuất Nhập khẩu Tạ Minh Quang</x:v>
      </x:c>
      <x:c r="J54" t="str">
        <x:v>TP. Hồ Chí Minh</x:v>
      </x:c>
      <x:c r="K54" t="str">
        <x:v>chinhanhcongtytnhhsanxuatthuongmaixuatnhapkhautaminhquangnhamaymyphamtaminhquang|alyna|00212023cbmphcm</x:v>
      </x:c>
      <x:c r="L54" t="str">
        <x:v>NUMBER_WITHDRAWN</x:v>
      </x:c>
      <x:c r="M54" t="str">
        <x:v>Factory ↔ Brand ↔ declaration.</x:v>
      </x:c>
    </x:row>
    <x:row r="55">
      <x:c r="A55" t="str">
        <x:v>FB-00054</x:v>
      </x:c>
      <x:c r="B55" t="str">
        <x:v>chinhanhcongtytnhhsanxuatthuongmaixuatnhapkhautaminhquangnhamaymyphamtaminhquang</x:v>
      </x:c>
      <x:c r="C55" t="str">
        <x:v>Chi nhánh Công ty TNHH Sản xuất Thương mại Xuất Nhập khẩu Tạ Minh Quang – Nhà máy Mỹ phẩm Tạ Minh Quang</x:v>
      </x:c>
      <x:c r="D55" t="str">
        <x:v>alyna</x:v>
      </x:c>
      <x:c r="E55" t="str">
        <x:v>ALYNA</x:v>
      </x:c>
      <x:c r="F55" t="str">
        <x:v>LOCAL-00212423CBMPHCM</x:v>
      </x:c>
      <x:c r="G55" t="str">
        <x:v>002124/23/CBMP-HCM</x:v>
      </x:c>
      <x:c r="H55" t="str">
        <x:v>ALYNA mặt nạ rong biển dưỡng da</x:v>
      </x:c>
      <x:c r="I55" t="str">
        <x:v>Công ty TNHH Sản xuất Thương mại Xuất Nhập khẩu Tạ Minh Quang</x:v>
      </x:c>
      <x:c r="J55" t="str">
        <x:v>TP. Hồ Chí Minh</x:v>
      </x:c>
      <x:c r="K55" t="str">
        <x:v>chinhanhcongtytnhhsanxuatthuongmaixuatnhapkhautaminhquangnhamaymyphamtaminhquang|alyna|00212423cbmphcm</x:v>
      </x:c>
      <x:c r="L55" t="str">
        <x:v>NUMBER_WITHDRAWN</x:v>
      </x:c>
      <x:c r="M55" t="str">
        <x:v>Factory ↔ Brand ↔ declaration.</x:v>
      </x:c>
    </x:row>
    <x:row r="56">
      <x:c r="A56" t="str">
        <x:v>FB-00055</x:v>
      </x:c>
      <x:c r="B56" t="str">
        <x:v>chinhanhcongtytnhhsanxuatthuongmaixuatnhapkhautaminhquangnhamaymyphamtaminhquang</x:v>
      </x:c>
      <x:c r="C56" t="str">
        <x:v>Chi nhánh Công ty TNHH Sản xuất Thương mại Xuất Nhập khẩu Tạ Minh Quang – Nhà máy Mỹ phẩm Tạ Minh Quang</x:v>
      </x:c>
      <x:c r="D56" t="str">
        <x:v>bood</x:v>
      </x:c>
      <x:c r="E56" t="str">
        <x:v>BOOD</x:v>
      </x:c>
      <x:c r="F56" t="str">
        <x:v>LOCAL-00306123CBMPHCM</x:v>
      </x:c>
      <x:c r="G56" t="str">
        <x:v>003061/23/CBMP-HCM</x:v>
      </x:c>
      <x:c r="H56" t="str">
        <x:v>BOOD kem dưỡng trắng da chống nắng</x:v>
      </x:c>
      <x:c r="I56" t="str">
        <x:v>Công ty TNHH Sản xuất Thương mại Xuất Nhập khẩu Tạ Minh Quang</x:v>
      </x:c>
      <x:c r="J56" t="str">
        <x:v>TP. Hồ Chí Minh</x:v>
      </x:c>
      <x:c r="K56" t="str">
        <x:v>chinhanhcongtytnhhsanxuatthuongmaixuatnhapkhautaminhquangnhamaymyphamtaminhquang|bood|00306123cbmphcm</x:v>
      </x:c>
      <x:c r="L56" t="str">
        <x:v>NUMBER_WITHDRAWN</x:v>
      </x:c>
      <x:c r="M56" t="str">
        <x:v>Factory ↔ Brand ↔ declaration.</x:v>
      </x:c>
    </x:row>
    <x:row r="57">
      <x:c r="A57" t="str">
        <x:v>FB-00056</x:v>
      </x:c>
      <x:c r="B57" t="str">
        <x:v>chinhanhcongtytnhhsanxuatthuongmaixuatnhapkhautaminhquangnhamaymyphamtaminhquang</x:v>
      </x:c>
      <x:c r="C57" t="str">
        <x:v>Chi nhánh Công ty TNHH Sản xuất Thương mại Xuất Nhập khẩu Tạ Minh Quang – Nhà máy Mỹ phẩm Tạ Minh Quang</x:v>
      </x:c>
      <x:c r="D57" t="str">
        <x:v>bood</x:v>
      </x:c>
      <x:c r="E57" t="str">
        <x:v>BOOD</x:v>
      </x:c>
      <x:c r="F57" t="str">
        <x:v>LOCAL-00305723CBMPHCM</x:v>
      </x:c>
      <x:c r="G57" t="str">
        <x:v>003057/23/CBMP-HCM</x:v>
      </x:c>
      <x:c r="H57" t="str">
        <x:v>BOOD kem trắng da mụn chống nắng</x:v>
      </x:c>
      <x:c r="I57" t="str">
        <x:v>Công ty TNHH Sản xuất Thương mại Xuất Nhập khẩu Tạ Minh Quang</x:v>
      </x:c>
      <x:c r="J57" t="str">
        <x:v>TP. Hồ Chí Minh</x:v>
      </x:c>
      <x:c r="K57" t="str">
        <x:v>chinhanhcongtytnhhsanxuatthuongmaixuatnhapkhautaminhquangnhamaymyphamtaminhquang|bood|00305723cbmphcm</x:v>
      </x:c>
      <x:c r="L57" t="str">
        <x:v>NUMBER_WITHDRAWN</x:v>
      </x:c>
      <x:c r="M57" t="str">
        <x:v>Factory ↔ Brand ↔ declaration.</x:v>
      </x:c>
    </x:row>
    <x:row r="58">
      <x:c r="A58" t="str">
        <x:v>FB-00057</x:v>
      </x:c>
      <x:c r="B58" t="str">
        <x:v>chinhanhcongtytnhhsanxuatthuongmaixuatnhapkhautaminhquangnhamaymyphamtaminhquang</x:v>
      </x:c>
      <x:c r="C58" t="str">
        <x:v>Chi nhánh Công ty TNHH Sản xuất Thương mại Xuất Nhập khẩu Tạ Minh Quang – Nhà máy Mỹ phẩm Tạ Minh Quang</x:v>
      </x:c>
      <x:c r="D58" t="str">
        <x:v>bood</x:v>
      </x:c>
      <x:c r="E58" t="str">
        <x:v>BOOD</x:v>
      </x:c>
      <x:c r="F58" t="str">
        <x:v>LOCAL-00306023CBMPHCM</x:v>
      </x:c>
      <x:c r="G58" t="str">
        <x:v>003060/23/CBMP-HCM</x:v>
      </x:c>
      <x:c r="H58" t="str">
        <x:v>BOOD kem dưỡng trắng da mụn chống nắng giúp ngừa lão hóa da</x:v>
      </x:c>
      <x:c r="I58" t="str">
        <x:v>Công ty TNHH Sản xuất Thương mại Xuất Nhập khẩu Tạ Minh Quang</x:v>
      </x:c>
      <x:c r="J58" t="str">
        <x:v>TP. Hồ Chí Minh</x:v>
      </x:c>
      <x:c r="K58" t="str">
        <x:v>chinhanhcongtytnhhsanxuatthuongmaixuatnhapkhautaminhquangnhamaymyphamtaminhquang|bood|00306023cbmphcm</x:v>
      </x:c>
      <x:c r="L58" t="str">
        <x:v>NUMBER_WITHDRAWN</x:v>
      </x:c>
      <x:c r="M58" t="str">
        <x:v>Factory ↔ Brand ↔ declaration.</x:v>
      </x:c>
    </x:row>
    <x:row r="59">
      <x:c r="A59" t="str">
        <x:v>FB-00058</x:v>
      </x:c>
      <x:c r="B59" t="str">
        <x:v>chinhanhcongtytnhhsanxuatthuongmaixuatnhapkhautaminhquangnhamaymyphamtaminhquang</x:v>
      </x:c>
      <x:c r="C59" t="str">
        <x:v>Chi nhánh Công ty TNHH Sản xuất Thương mại Xuất Nhập khẩu Tạ Minh Quang – Nhà máy Mỹ phẩm Tạ Minh Quang</x:v>
      </x:c>
      <x:c r="D59" t="str">
        <x:v>bood</x:v>
      </x:c>
      <x:c r="E59" t="str">
        <x:v>BOOD</x:v>
      </x:c>
      <x:c r="F59" t="str">
        <x:v>LOCAL-00305923CBMPHCM</x:v>
      </x:c>
      <x:c r="G59" t="str">
        <x:v>003059/23/CBMP-HCM</x:v>
      </x:c>
      <x:c r="H59" t="str">
        <x:v>BOOD kem dưỡng trắng da nám tàn nhang</x:v>
      </x:c>
      <x:c r="I59" t="str">
        <x:v>Công ty TNHH Sản xuất Thương mại Xuất Nhập khẩu Tạ Minh Quang</x:v>
      </x:c>
      <x:c r="J59" t="str">
        <x:v>TP. Hồ Chí Minh</x:v>
      </x:c>
      <x:c r="K59" t="str">
        <x:v>chinhanhcongtytnhhsanxuatthuongmaixuatnhapkhautaminhquangnhamaymyphamtaminhquang|bood|00305923cbmphcm</x:v>
      </x:c>
      <x:c r="L59" t="str">
        <x:v>NUMBER_WITHDRAWN</x:v>
      </x:c>
      <x:c r="M59" t="str">
        <x:v>Factory ↔ Brand ↔ declaration.</x:v>
      </x:c>
    </x:row>
    <x:row r="60">
      <x:c r="A60" t="str">
        <x:v>FB-00059</x:v>
      </x:c>
      <x:c r="B60" t="str">
        <x:v>chinhanhcongtytnhhsanxuatthuongmaixuatnhapkhautaminhquangnhamaymyphamtaminhquang</x:v>
      </x:c>
      <x:c r="C60" t="str">
        <x:v>Chi nhánh Công ty TNHH Sản xuất Thương mại Xuất Nhập khẩu Tạ Minh Quang – Nhà máy Mỹ phẩm Tạ Minh Quang</x:v>
      </x:c>
      <x:c r="D60" t="str">
        <x:v>bood</x:v>
      </x:c>
      <x:c r="E60" t="str">
        <x:v>BOOD</x:v>
      </x:c>
      <x:c r="F60" t="str">
        <x:v>LOCAL-00305823CBMPHCM</x:v>
      </x:c>
      <x:c r="G60" t="str">
        <x:v>003058/23/CBMP-HCM</x:v>
      </x:c>
      <x:c r="H60" t="str">
        <x:v>BOOD kem nám tàn nhang đồi mồi</x:v>
      </x:c>
      <x:c r="I60" t="str">
        <x:v>Công ty TNHH Sản xuất Thương mại Xuất Nhập khẩu Tạ Minh Quang</x:v>
      </x:c>
      <x:c r="J60" t="str">
        <x:v>TP. Hồ Chí Minh</x:v>
      </x:c>
      <x:c r="K60" t="str">
        <x:v>chinhanhcongtytnhhsanxuatthuongmaixuatnhapkhautaminhquangnhamaymyphamtaminhquang|bood|00305823cbmphcm</x:v>
      </x:c>
      <x:c r="L60" t="str">
        <x:v>NUMBER_WITHDRAWN</x:v>
      </x:c>
      <x:c r="M60" t="str">
        <x:v>Factory ↔ Brand ↔ declaration.</x:v>
      </x:c>
    </x:row>
    <x:row r="61">
      <x:c r="A61" t="str">
        <x:v>FB-00060</x:v>
      </x:c>
      <x:c r="B61" t="str">
        <x:v>chinhanhcongtytnhhsanxuatthuongmaixuatnhapkhautaminhquangnhamaymyphamtaminhquang</x:v>
      </x:c>
      <x:c r="C61" t="str">
        <x:v>Chi nhánh Công ty TNHH Sản xuất Thương mại Xuất Nhập khẩu Tạ Minh Quang – Nhà máy Mỹ phẩm Tạ Minh Quang</x:v>
      </x:c>
      <x:c r="D61" t="str">
        <x:v>elise</x:v>
      </x:c>
      <x:c r="E61" t="str">
        <x:v>ELISE</x:v>
      </x:c>
      <x:c r="F61" t="str">
        <x:v>LOCAL-00303723CBMPHCM</x:v>
      </x:c>
      <x:c r="G61" t="str">
        <x:v>003037/23/CBMP-HCM</x:v>
      </x:c>
      <x:c r="H61" t="str">
        <x:v>ELISE kem dưỡng trắng da chống nắng</x:v>
      </x:c>
      <x:c r="I61" t="str">
        <x:v>Công ty TNHH Sản xuất Thương mại Xuất Nhập khẩu Tạ Minh Quang</x:v>
      </x:c>
      <x:c r="J61" t="str">
        <x:v>TP. Hồ Chí Minh</x:v>
      </x:c>
      <x:c r="K61" t="str">
        <x:v>chinhanhcongtytnhhsanxuatthuongmaixuatnhapkhautaminhquangnhamaymyphamtaminhquang|elise|00303723cbmphcm</x:v>
      </x:c>
      <x:c r="L61" t="str">
        <x:v>NUMBER_WITHDRAWN</x:v>
      </x:c>
      <x:c r="M61" t="str">
        <x:v>Factory ↔ Brand ↔ declaration.</x:v>
      </x:c>
    </x:row>
    <x:row r="62">
      <x:c r="A62" t="str">
        <x:v>FB-00061</x:v>
      </x:c>
      <x:c r="B62" t="str">
        <x:v>chinhanhcongtytnhhsanxuatthuongmaixuatnhapkhautaminhquangnhamaymyphamtaminhquang</x:v>
      </x:c>
      <x:c r="C62" t="str">
        <x:v>Chi nhánh Công ty TNHH Sản xuất Thương mại Xuất Nhập khẩu Tạ Minh Quang – Nhà máy Mỹ phẩm Tạ Minh Quang</x:v>
      </x:c>
      <x:c r="D62" t="str">
        <x:v>elise</x:v>
      </x:c>
      <x:c r="E62" t="str">
        <x:v>ELISE</x:v>
      </x:c>
      <x:c r="F62" t="str">
        <x:v>LOCAL-00303823CBMPHCM</x:v>
      </x:c>
      <x:c r="G62" t="str">
        <x:v>003038/23/CBMP-HCM</x:v>
      </x:c>
      <x:c r="H62" t="str">
        <x:v>ELISE kem trắng da mụn chống nắng</x:v>
      </x:c>
      <x:c r="I62" t="str">
        <x:v>Công ty TNHH Sản xuất Thương mại Xuất Nhập khẩu Tạ Minh Quang</x:v>
      </x:c>
      <x:c r="J62" t="str">
        <x:v>TP. Hồ Chí Minh</x:v>
      </x:c>
      <x:c r="K62" t="str">
        <x:v>chinhanhcongtytnhhsanxuatthuongmaixuatnhapkhautaminhquangnhamaymyphamtaminhquang|elise|00303823cbmphcm</x:v>
      </x:c>
      <x:c r="L62" t="str">
        <x:v>NUMBER_WITHDRAWN</x:v>
      </x:c>
      <x:c r="M62" t="str">
        <x:v>Factory ↔ Brand ↔ declaration.</x:v>
      </x:c>
    </x:row>
    <x:row r="63">
      <x:c r="A63" t="str">
        <x:v>FB-00062</x:v>
      </x:c>
      <x:c r="B63" t="str">
        <x:v>chinhanhcongtytnhhsanxuatthuongmaixuatnhapkhautaminhquangnhamaymyphamtaminhquang</x:v>
      </x:c>
      <x:c r="C63" t="str">
        <x:v>Chi nhánh Công ty TNHH Sản xuất Thương mại Xuất Nhập khẩu Tạ Minh Quang – Nhà máy Mỹ phẩm Tạ Minh Quang</x:v>
      </x:c>
      <x:c r="D63" t="str">
        <x:v>elise</x:v>
      </x:c>
      <x:c r="E63" t="str">
        <x:v>ELISE</x:v>
      </x:c>
      <x:c r="F63" t="str">
        <x:v>LOCAL-00303923CBMPHCM</x:v>
      </x:c>
      <x:c r="G63" t="str">
        <x:v>003039/23/CBMP-HCM</x:v>
      </x:c>
      <x:c r="H63" t="str">
        <x:v>ELISE kem trắng da mụn chống nắng giúp ngừa lão hóa da</x:v>
      </x:c>
      <x:c r="I63" t="str">
        <x:v>Công ty TNHH Sản xuất Thương mại Xuất Nhập khẩu Tạ Minh Quang</x:v>
      </x:c>
      <x:c r="J63" t="str">
        <x:v>TP. Hồ Chí Minh</x:v>
      </x:c>
      <x:c r="K63" t="str">
        <x:v>chinhanhcongtytnhhsanxuatthuongmaixuatnhapkhautaminhquangnhamaymyphamtaminhquang|elise|00303923cbmphcm</x:v>
      </x:c>
      <x:c r="L63" t="str">
        <x:v>NUMBER_WITHDRAWN</x:v>
      </x:c>
      <x:c r="M63" t="str">
        <x:v>Factory ↔ Brand ↔ declaration.</x:v>
      </x:c>
    </x:row>
    <x:row r="64">
      <x:c r="A64" t="str">
        <x:v>FB-00063</x:v>
      </x:c>
      <x:c r="B64" t="str">
        <x:v>chinhanhcongtytnhhsanxuatthuongmaixuatnhapkhautaminhquangnhamaymyphamtaminhquang</x:v>
      </x:c>
      <x:c r="C64" t="str">
        <x:v>Chi nhánh Công ty TNHH Sản xuất Thương mại Xuất Nhập khẩu Tạ Minh Quang – Nhà máy Mỹ phẩm Tạ Minh Quang</x:v>
      </x:c>
      <x:c r="D64" t="str">
        <x:v>elise</x:v>
      </x:c>
      <x:c r="E64" t="str">
        <x:v>ELISE</x:v>
      </x:c>
      <x:c r="F64" t="str">
        <x:v>LOCAL-00303523CBMPHCM</x:v>
      </x:c>
      <x:c r="G64" t="str">
        <x:v>003035/23/CBMP-HCM</x:v>
      </x:c>
      <x:c r="H64" t="str">
        <x:v>ELISE kem dưỡng trắng da nám tàn nhang</x:v>
      </x:c>
      <x:c r="I64" t="str">
        <x:v>Công ty TNHH Sản xuất Thương mại Xuất Nhập khẩu Tạ Minh Quang</x:v>
      </x:c>
      <x:c r="J64" t="str">
        <x:v>TP. Hồ Chí Minh</x:v>
      </x:c>
      <x:c r="K64" t="str">
        <x:v>chinhanhcongtytnhhsanxuatthuongmaixuatnhapkhautaminhquangnhamaymyphamtaminhquang|elise|00303523cbmphcm</x:v>
      </x:c>
      <x:c r="L64" t="str">
        <x:v>NUMBER_WITHDRAWN</x:v>
      </x:c>
      <x:c r="M64" t="str">
        <x:v>Factory ↔ Brand ↔ declaration.</x:v>
      </x:c>
    </x:row>
    <x:row r="65">
      <x:c r="A65" t="str">
        <x:v>FB-00064</x:v>
      </x:c>
      <x:c r="B65" t="str">
        <x:v>chinhanhcongtytnhhsanxuatthuongmaixuatnhapkhautaminhquangnhamaymyphamtaminhquang</x:v>
      </x:c>
      <x:c r="C65" t="str">
        <x:v>Chi nhánh Công ty TNHH Sản xuất Thương mại Xuất Nhập khẩu Tạ Minh Quang – Nhà máy Mỹ phẩm Tạ Minh Quang</x:v>
      </x:c>
      <x:c r="D65" t="str">
        <x:v>elise</x:v>
      </x:c>
      <x:c r="E65" t="str">
        <x:v>ELISE</x:v>
      </x:c>
      <x:c r="F65" t="str">
        <x:v>LOCAL-00211323CBMPHCM</x:v>
      </x:c>
      <x:c r="G65" t="str">
        <x:v>002113/23/CBMP-HCM</x:v>
      </x:c>
      <x:c r="H65" t="str">
        <x:v>ELISE mặt nạ dâu dưỡng da</x:v>
      </x:c>
      <x:c r="I65" t="str">
        <x:v>Công ty TNHH Sản xuất Thương mại Xuất Nhập khẩu Tạ Minh Quang</x:v>
      </x:c>
      <x:c r="J65" t="str">
        <x:v>TP. Hồ Chí Minh</x:v>
      </x:c>
      <x:c r="K65" t="str">
        <x:v>chinhanhcongtytnhhsanxuatthuongmaixuatnhapkhautaminhquangnhamaymyphamtaminhquang|elise|00211323cbmphcm</x:v>
      </x:c>
      <x:c r="L65" t="str">
        <x:v>NUMBER_WITHDRAWN</x:v>
      </x:c>
      <x:c r="M65" t="str">
        <x:v>Factory ↔ Brand ↔ declaration.</x:v>
      </x:c>
    </x:row>
    <x:row r="66">
      <x:c r="A66" t="str">
        <x:v>FB-00065</x:v>
      </x:c>
      <x:c r="B66" t="str">
        <x:v>chinhanhcongtytnhhsanxuatthuongmaixuatnhapkhautaminhquangnhamaymyphamtaminhquang</x:v>
      </x:c>
      <x:c r="C66" t="str">
        <x:v>Chi nhánh Công ty TNHH Sản xuất Thương mại Xuất Nhập khẩu Tạ Minh Quang – Nhà máy Mỹ phẩm Tạ Minh Quang</x:v>
      </x:c>
      <x:c r="D66" t="str">
        <x:v>elise</x:v>
      </x:c>
      <x:c r="E66" t="str">
        <x:v>ELISE</x:v>
      </x:c>
      <x:c r="F66" t="str">
        <x:v>LOCAL-00046523CBMPHCM</x:v>
      </x:c>
      <x:c r="G66" t="str">
        <x:v>000465/23/CBMP-HCM</x:v>
      </x:c>
      <x:c r="H66" t="str">
        <x:v>ELISE mặt nạ dưa leo dưỡng da</x:v>
      </x:c>
      <x:c r="I66" t="str">
        <x:v>Công ty TNHH Sản xuất Thương mại Xuất Nhập khẩu Tạ Minh Quang</x:v>
      </x:c>
      <x:c r="J66" t="str">
        <x:v>TP. Hồ Chí Minh</x:v>
      </x:c>
      <x:c r="K66" t="str">
        <x:v>chinhanhcongtytnhhsanxuatthuongmaixuatnhapkhautaminhquangnhamaymyphamtaminhquang|elise|00046523cbmphcm</x:v>
      </x:c>
      <x:c r="L66" t="str">
        <x:v>NUMBER_WITHDRAWN</x:v>
      </x:c>
      <x:c r="M66" t="str">
        <x:v>Factory ↔ Brand ↔ declaration.</x:v>
      </x:c>
    </x:row>
    <x:row r="67">
      <x:c r="A67" t="str">
        <x:v>FB-00066</x:v>
      </x:c>
      <x:c r="B67" t="str">
        <x:v>chinhanhcongtytnhhsanxuatthuongmaixuatnhapkhautaminhquangnhamaymyphamtaminhquang</x:v>
      </x:c>
      <x:c r="C67" t="str">
        <x:v>Chi nhánh Công ty TNHH Sản xuất Thương mại Xuất Nhập khẩu Tạ Minh Quang – Nhà máy Mỹ phẩm Tạ Minh Quang</x:v>
      </x:c>
      <x:c r="D67" t="str">
        <x:v>elise</x:v>
      </x:c>
      <x:c r="E67" t="str">
        <x:v>ELISE</x:v>
      </x:c>
      <x:c r="F67" t="str">
        <x:v>LOCAL-00210923CBMPHCM</x:v>
      </x:c>
      <x:c r="G67" t="str">
        <x:v>002109/23/CBMP-HCM</x:v>
      </x:c>
      <x:c r="H67" t="str">
        <x:v>ELISE mặt nạ dưa leo dưỡng da</x:v>
      </x:c>
      <x:c r="I67" t="str">
        <x:v>Công ty TNHH Sản xuất Thương mại Xuất Nhập khẩu Tạ Minh Quang</x:v>
      </x:c>
      <x:c r="J67" t="str">
        <x:v>TP. Hồ Chí Minh</x:v>
      </x:c>
      <x:c r="K67" t="str">
        <x:v>chinhanhcongtytnhhsanxuatthuongmaixuatnhapkhautaminhquangnhamaymyphamtaminhquang|elise|00210923cbmphcm</x:v>
      </x:c>
      <x:c r="L67" t="str">
        <x:v>NUMBER_WITHDRAWN</x:v>
      </x:c>
      <x:c r="M67" t="str">
        <x:v>Factory ↔ Brand ↔ declaration.</x:v>
      </x:c>
    </x:row>
    <x:row r="68">
      <x:c r="A68" t="str">
        <x:v>FB-00067</x:v>
      </x:c>
      <x:c r="B68" t="str">
        <x:v>chinhanhcongtytnhhsanxuatthuongmaixuatnhapkhautaminhquangnhamaymyphamtaminhquang</x:v>
      </x:c>
      <x:c r="C68" t="str">
        <x:v>Chi nhánh Công ty TNHH Sản xuất Thương mại Xuất Nhập khẩu Tạ Minh Quang – Nhà máy Mỹ phẩm Tạ Minh Quang</x:v>
      </x:c>
      <x:c r="D68" t="str">
        <x:v>elise</x:v>
      </x:c>
      <x:c r="E68" t="str">
        <x:v>ELISE</x:v>
      </x:c>
      <x:c r="F68" t="str">
        <x:v>LOCAL-00071523CBMPHCM</x:v>
      </x:c>
      <x:c r="G68" t="str">
        <x:v>000715/23/CBMP-HCM</x:v>
      </x:c>
      <x:c r="H68" t="str">
        <x:v>ELISE mặt nạ hoa quả dưỡng da</x:v>
      </x:c>
      <x:c r="I68" t="str">
        <x:v>Công ty TNHH Sản xuất Thương mại Xuất Nhập khẩu Tạ Minh Quang</x:v>
      </x:c>
      <x:c r="J68" t="str">
        <x:v>TP. Hồ Chí Minh</x:v>
      </x:c>
      <x:c r="K68" t="str">
        <x:v>chinhanhcongtytnhhsanxuatthuongmaixuatnhapkhautaminhquangnhamaymyphamtaminhquang|elise|00071523cbmphcm</x:v>
      </x:c>
      <x:c r="L68" t="str">
        <x:v>NUMBER_WITHDRAWN</x:v>
      </x:c>
      <x:c r="M68" t="str">
        <x:v>Factory ↔ Brand ↔ declaration.</x:v>
      </x:c>
    </x:row>
    <x:row r="69">
      <x:c r="A69" t="str">
        <x:v>FB-00068</x:v>
      </x:c>
      <x:c r="B69" t="str">
        <x:v>chinhanhcongtytnhhsanxuatthuongmaixuatnhapkhautaminhquangnhamaymyphamtaminhquang</x:v>
      </x:c>
      <x:c r="C69" t="str">
        <x:v>Chi nhánh Công ty TNHH Sản xuất Thương mại Xuất Nhập khẩu Tạ Minh Quang – Nhà máy Mỹ phẩm Tạ Minh Quang</x:v>
      </x:c>
      <x:c r="D69" t="str">
        <x:v>elise</x:v>
      </x:c>
      <x:c r="E69" t="str">
        <x:v>ELISE</x:v>
      </x:c>
      <x:c r="F69" t="str">
        <x:v>LOCAL-00211023CBMPHCM</x:v>
      </x:c>
      <x:c r="G69" t="str">
        <x:v>002110/23/CBMP-HCM</x:v>
      </x:c>
      <x:c r="H69" t="str">
        <x:v>ELISE mặt nạ hoa quả dưỡng da</x:v>
      </x:c>
      <x:c r="I69" t="str">
        <x:v>Công ty TNHH Sản xuất Thương mại Xuất Nhập khẩu Tạ Minh Quang</x:v>
      </x:c>
      <x:c r="J69" t="str">
        <x:v>TP. Hồ Chí Minh</x:v>
      </x:c>
      <x:c r="K69" t="str">
        <x:v>chinhanhcongtytnhhsanxuatthuongmaixuatnhapkhautaminhquangnhamaymyphamtaminhquang|elise|00211023cbmphcm</x:v>
      </x:c>
      <x:c r="L69" t="str">
        <x:v>NUMBER_WITHDRAWN</x:v>
      </x:c>
      <x:c r="M69" t="str">
        <x:v>Factory ↔ Brand ↔ declaration.</x:v>
      </x:c>
    </x:row>
    <x:row r="70">
      <x:c r="A70" t="str">
        <x:v>FB-00069</x:v>
      </x:c>
      <x:c r="B70" t="str">
        <x:v>chinhanhcongtytnhhsanxuatthuongmaixuatnhapkhautaminhquangnhamaymyphamtaminhquang</x:v>
      </x:c>
      <x:c r="C70" t="str">
        <x:v>Chi nhánh Công ty TNHH Sản xuất Thương mại Xuất Nhập khẩu Tạ Minh Quang – Nhà máy Mỹ phẩm Tạ Minh Quang</x:v>
      </x:c>
      <x:c r="D70" t="str">
        <x:v>elise</x:v>
      </x:c>
      <x:c r="E70" t="str">
        <x:v>ELISE</x:v>
      </x:c>
      <x:c r="F70" t="str">
        <x:v>LOCAL-00211423CBMPHCM</x:v>
      </x:c>
      <x:c r="G70" t="str">
        <x:v>002114/23/CBMP-HCM</x:v>
      </x:c>
      <x:c r="H70" t="str">
        <x:v>ELISE mặt nạ ngọc trai dưỡng da</x:v>
      </x:c>
      <x:c r="I70" t="str">
        <x:v>Công ty TNHH Sản xuất Thương mại Xuất Nhập khẩu Tạ Minh Quang</x:v>
      </x:c>
      <x:c r="J70" t="str">
        <x:v>TP. Hồ Chí Minh</x:v>
      </x:c>
      <x:c r="K70" t="str">
        <x:v>chinhanhcongtytnhhsanxuatthuongmaixuatnhapkhautaminhquangnhamaymyphamtaminhquang|elise|00211423cbmphcm</x:v>
      </x:c>
      <x:c r="L70" t="str">
        <x:v>NUMBER_WITHDRAWN</x:v>
      </x:c>
      <x:c r="M70" t="str">
        <x:v>Factory ↔ Brand ↔ declaration.</x:v>
      </x:c>
    </x:row>
    <x:row r="71">
      <x:c r="A71" t="str">
        <x:v>FB-00070</x:v>
      </x:c>
      <x:c r="B71" t="str">
        <x:v>chinhanhcongtytnhhsanxuatthuongmaixuatnhapkhautaminhquangnhamaymyphamtaminhquang</x:v>
      </x:c>
      <x:c r="C71" t="str">
        <x:v>Chi nhánh Công ty TNHH Sản xuất Thương mại Xuất Nhập khẩu Tạ Minh Quang – Nhà máy Mỹ phẩm Tạ Minh Quang</x:v>
      </x:c>
      <x:c r="D71" t="str">
        <x:v>elise</x:v>
      </x:c>
      <x:c r="E71" t="str">
        <x:v>ELISE</x:v>
      </x:c>
      <x:c r="F71" t="str">
        <x:v>LOCAL-00211723CBMPHCM</x:v>
      </x:c>
      <x:c r="G71" t="str">
        <x:v>002117/23/CBMP-HCM</x:v>
      </x:c>
      <x:c r="H71" t="str">
        <x:v>ELISE mặt nạ ốc sên dưỡng da</x:v>
      </x:c>
      <x:c r="I71" t="str">
        <x:v>Công ty TNHH Sản xuất Thương mại Xuất Nhập khẩu Tạ Minh Quang</x:v>
      </x:c>
      <x:c r="J71" t="str">
        <x:v>TP. Hồ Chí Minh</x:v>
      </x:c>
      <x:c r="K71" t="str">
        <x:v>chinhanhcongtytnhhsanxuatthuongmaixuatnhapkhautaminhquangnhamaymyphamtaminhquang|elise|00211723cbmphcm</x:v>
      </x:c>
      <x:c r="L71" t="str">
        <x:v>NUMBER_WITHDRAWN</x:v>
      </x:c>
      <x:c r="M71" t="str">
        <x:v>Factory ↔ Brand ↔ declaration.</x:v>
      </x:c>
    </x:row>
    <x:row r="72">
      <x:c r="A72" t="str">
        <x:v>FB-00071</x:v>
      </x:c>
      <x:c r="B72" t="str">
        <x:v>chinhanhcongtytnhhsanxuatthuongmaixuatnhapkhautaminhquangnhamaymyphamtaminhquang</x:v>
      </x:c>
      <x:c r="C72" t="str">
        <x:v>Chi nhánh Công ty TNHH Sản xuất Thương mại Xuất Nhập khẩu Tạ Minh Quang – Nhà máy Mỹ phẩm Tạ Minh Quang</x:v>
      </x:c>
      <x:c r="D72" t="str">
        <x:v>elise</x:v>
      </x:c>
      <x:c r="E72" t="str">
        <x:v>ELISE</x:v>
      </x:c>
      <x:c r="F72" t="str">
        <x:v>LOCAL-00211623CBMPHCM</x:v>
      </x:c>
      <x:c r="G72" t="str">
        <x:v>002116/23/CBMP-HCM</x:v>
      </x:c>
      <x:c r="H72" t="str">
        <x:v>ELISE mặt nạ táo dưỡng da</x:v>
      </x:c>
      <x:c r="I72" t="str">
        <x:v>Công ty TNHH Sản xuất Thương mại Xuất Nhập khẩu Tạ Minh Quang</x:v>
      </x:c>
      <x:c r="J72" t="str">
        <x:v>TP. Hồ Chí Minh</x:v>
      </x:c>
      <x:c r="K72" t="str">
        <x:v>chinhanhcongtytnhhsanxuatthuongmaixuatnhapkhautaminhquangnhamaymyphamtaminhquang|elise|00211623cbmphcm</x:v>
      </x:c>
      <x:c r="L72" t="str">
        <x:v>NUMBER_WITHDRAWN</x:v>
      </x:c>
      <x:c r="M72" t="str">
        <x:v>Factory ↔ Brand ↔ declaration.</x:v>
      </x:c>
    </x:row>
    <x:row r="73">
      <x:c r="A73" t="str">
        <x:v>FB-00072</x:v>
      </x:c>
      <x:c r="B73" t="str">
        <x:v>chinhanhcongtytnhhsanxuatthuongmaixuatnhapkhautaminhquangnhamaymyphamtaminhquang</x:v>
      </x:c>
      <x:c r="C73" t="str">
        <x:v>Chi nhánh Công ty TNHH Sản xuất Thương mại Xuất Nhập khẩu Tạ Minh Quang – Nhà máy Mỹ phẩm Tạ Minh Quang</x:v>
      </x:c>
      <x:c r="D73" t="str">
        <x:v>geisha</x:v>
      </x:c>
      <x:c r="E73" t="str">
        <x:v>GEISHA</x:v>
      </x:c>
      <x:c r="F73" t="str">
        <x:v>LOCAL-00303623CBMPHCM</x:v>
      </x:c>
      <x:c r="G73" t="str">
        <x:v>003036/23/CBMP-HCM</x:v>
      </x:c>
      <x:c r="H73" t="str">
        <x:v>GEISHA kem dưỡng trắng da chống nắng</x:v>
      </x:c>
      <x:c r="I73" t="str">
        <x:v>Công ty TNHH Sản xuất Thương mại Xuất Nhập khẩu Tạ Minh Quang</x:v>
      </x:c>
      <x:c r="J73" t="str">
        <x:v>TP. Hồ Chí Minh</x:v>
      </x:c>
      <x:c r="K73" t="str">
        <x:v>chinhanhcongtytnhhsanxuatthuongmaixuatnhapkhautaminhquangnhamaymyphamtaminhquang|geisha|00303623cbmphcm</x:v>
      </x:c>
      <x:c r="L73" t="str">
        <x:v>NUMBER_WITHDRAWN</x:v>
      </x:c>
      <x:c r="M73" t="str">
        <x:v>Factory ↔ Brand ↔ declaration.</x:v>
      </x:c>
    </x:row>
    <x:row r="74">
      <x:c r="A74" t="str">
        <x:v>FB-00073</x:v>
      </x:c>
      <x:c r="B74" t="str">
        <x:v>chinhanhcongtytnhhsanxuatthuongmaixuatnhapkhautaminhquangnhamaymyphamtaminhquang</x:v>
      </x:c>
      <x:c r="C74" t="str">
        <x:v>Chi nhánh Công ty TNHH Sản xuất Thương mại Xuất Nhập khẩu Tạ Minh Quang – Nhà máy Mỹ phẩm Tạ Minh Quang</x:v>
      </x:c>
      <x:c r="D74" t="str">
        <x:v>lavi</x:v>
      </x:c>
      <x:c r="E74" t="str">
        <x:v>LAVI</x:v>
      </x:c>
      <x:c r="F74" t="str">
        <x:v>LOCAL-00538623CBMPHCM</x:v>
      </x:c>
      <x:c r="G74" t="str">
        <x:v>005386/23/CBMP-HCM</x:v>
      </x:c>
      <x:c r="H74" t="str">
        <x:v>LAVI mặt nạ dưa leo dưỡng da</x:v>
      </x:c>
      <x:c r="I74" t="str">
        <x:v>Công ty TNHH Sản xuất Thương mại Xuất Nhập khẩu Tạ Minh Quang</x:v>
      </x:c>
      <x:c r="J74" t="str">
        <x:v>TP. Hồ Chí Minh</x:v>
      </x:c>
      <x:c r="K74" t="str">
        <x:v>chinhanhcongtytnhhsanxuatthuongmaixuatnhapkhautaminhquangnhamaymyphamtaminhquang|lavi|00538623cbmphcm</x:v>
      </x:c>
      <x:c r="L74" t="str">
        <x:v>NUMBER_WITHDRAWN</x:v>
      </x:c>
      <x:c r="M74" t="str">
        <x:v>Factory ↔ Brand ↔ declaration.</x:v>
      </x:c>
    </x:row>
    <x:row r="75">
      <x:c r="A75" t="str">
        <x:v>FB-00074</x:v>
      </x:c>
      <x:c r="B75" t="str">
        <x:v>chinhanhcongtytnhhsanxuatthuongmaixuatnhapkhautaminhquangnhamaymyphamtaminhquang</x:v>
      </x:c>
      <x:c r="C75" t="str">
        <x:v>Chi nhánh Công ty TNHH Sản xuất Thương mại Xuất Nhập khẩu Tạ Minh Quang – Nhà máy Mỹ phẩm Tạ Minh Quang</x:v>
      </x:c>
      <x:c r="D75" t="str">
        <x:v>joejoe</x:v>
      </x:c>
      <x:c r="E75" t="str">
        <x:v>JOEJOE</x:v>
      </x:c>
      <x:c r="F75" t="str">
        <x:v>LOCAL-00345023CBMPHCM</x:v>
      </x:c>
      <x:c r="G75" t="str">
        <x:v>003450/23/CBMP-HCM</x:v>
      </x:c>
      <x:c r="H75" t="str">
        <x:v>JOEJOE makeup remover</x:v>
      </x:c>
      <x:c r="I75" t="str">
        <x:v>Công ty TNHH Sản xuất Thương mại Xuất Nhập khẩu Tạ Minh Quang</x:v>
      </x:c>
      <x:c r="J75" t="str">
        <x:v>TP. Hồ Chí Minh</x:v>
      </x:c>
      <x:c r="K75" t="str">
        <x:v>chinhanhcongtytnhhsanxuatthuongmaixuatnhapkhautaminhquangnhamaymyphamtaminhquang|joejoe|00345023cbmphcm</x:v>
      </x:c>
      <x:c r="L75" t="str">
        <x:v>NUMBER_WITHDRAWN</x:v>
      </x:c>
      <x:c r="M75" t="str">
        <x:v>Factory ↔ Brand ↔ declaration.</x:v>
      </x:c>
    </x:row>
    <x:row r="76">
      <x:c r="A76" t="str">
        <x:v>FB-00075</x:v>
      </x:c>
      <x:c r="B76" t="str">
        <x:v>chinhanhcongtytnhhsanxuatthuongmaixuatnhapkhautaminhquangnhamaymyphamtaminhquang</x:v>
      </x:c>
      <x:c r="C76" t="str">
        <x:v>Chi nhánh Công ty TNHH Sản xuất Thương mại Xuất Nhập khẩu Tạ Minh Quang – Nhà máy Mỹ phẩm Tạ Minh Quang</x:v>
      </x:c>
      <x:c r="D76" t="str">
        <x:v>joejoe</x:v>
      </x:c>
      <x:c r="E76" t="str">
        <x:v>JOEJOE</x:v>
      </x:c>
      <x:c r="F76" t="str">
        <x:v>LOCAL-00345123CBMPHCM</x:v>
      </x:c>
      <x:c r="G76" t="str">
        <x:v>003451/23/CBMP-HCM</x:v>
      </x:c>
      <x:c r="H76" t="str">
        <x:v>JOEJOE refreshing facial cleansing gel</x:v>
      </x:c>
      <x:c r="I76" t="str">
        <x:v>Công ty TNHH Sản xuất Thương mại Xuất Nhập khẩu Tạ Minh Quang</x:v>
      </x:c>
      <x:c r="J76" t="str">
        <x:v>TP. Hồ Chí Minh</x:v>
      </x:c>
      <x:c r="K76" t="str">
        <x:v>chinhanhcongtytnhhsanxuatthuongmaixuatnhapkhautaminhquangnhamaymyphamtaminhquang|joejoe|00345123cbmphcm</x:v>
      </x:c>
      <x:c r="L76" t="str">
        <x:v>NUMBER_WITHDRAWN</x:v>
      </x:c>
      <x:c r="M76" t="str">
        <x:v>Factory ↔ Brand ↔ declaration.</x:v>
      </x:c>
    </x:row>
    <x:row r="77">
      <x:c r="A77" t="str">
        <x:v>FB-00076</x:v>
      </x:c>
      <x:c r="B77" t="str">
        <x:v>chinhanhcongtytnhhsanxuatthuongmaixuatnhapkhautaminhquangnhamaymyphamtaminhquang</x:v>
      </x:c>
      <x:c r="C77" t="str">
        <x:v>Chi nhánh Công ty TNHH Sản xuất Thương mại Xuất Nhập khẩu Tạ Minh Quang – Nhà máy Mỹ phẩm Tạ Minh Quang</x:v>
      </x:c>
      <x:c r="D77" t="str">
        <x:v>joejoe</x:v>
      </x:c>
      <x:c r="E77" t="str">
        <x:v>JOEJOE</x:v>
      </x:c>
      <x:c r="F77" t="str">
        <x:v>LOCAL-00345223CBMPHCM</x:v>
      </x:c>
      <x:c r="G77" t="str">
        <x:v>003452/23/CBMP-HCM</x:v>
      </x:c>
      <x:c r="H77" t="str">
        <x:v>JOEJOE skin toner</x:v>
      </x:c>
      <x:c r="I77" t="str">
        <x:v>Công ty TNHH Sản xuất Thương mại Xuất Nhập khẩu Tạ Minh Quang</x:v>
      </x:c>
      <x:c r="J77" t="str">
        <x:v>TP. Hồ Chí Minh</x:v>
      </x:c>
      <x:c r="K77" t="str">
        <x:v>chinhanhcongtytnhhsanxuatthuongmaixuatnhapkhautaminhquangnhamaymyphamtaminhquang|joejoe|00345223cbmphcm</x:v>
      </x:c>
      <x:c r="L77" t="str">
        <x:v>NUMBER_WITHDRAWN</x:v>
      </x:c>
      <x:c r="M77" t="str">
        <x:v>Factory ↔ Brand ↔ declaration.</x:v>
      </x:c>
    </x:row>
    <x:row r="78">
      <x:c r="A78" t="str">
        <x:v>FB-00077</x:v>
      </x:c>
      <x:c r="B78" t="str">
        <x:v>chinhanhcongtytnhhsanxuatthuongmaixuatnhapkhautaminhquangnhamaymyphamtaminhquang</x:v>
      </x:c>
      <x:c r="C78" t="str">
        <x:v>Chi nhánh Công ty TNHH Sản xuất Thương mại Xuất Nhập khẩu Tạ Minh Quang – Nhà máy Mỹ phẩm Tạ Minh Quang</x:v>
      </x:c>
      <x:c r="D78" t="str">
        <x:v>joejoe</x:v>
      </x:c>
      <x:c r="E78" t="str">
        <x:v>JOEJOE</x:v>
      </x:c>
      <x:c r="F78" t="str">
        <x:v>LOCAL-00344923CBMPHCM</x:v>
      </x:c>
      <x:c r="G78" t="str">
        <x:v>003449/23/CBMP-HCM</x:v>
      </x:c>
      <x:c r="H78" t="str">
        <x:v>JOEJOE moisturizing serum</x:v>
      </x:c>
      <x:c r="I78" t="str">
        <x:v>Công ty TNHH Sản xuất Thương mại Xuất Nhập khẩu Tạ Minh Quang</x:v>
      </x:c>
      <x:c r="J78" t="str">
        <x:v>TP. Hồ Chí Minh</x:v>
      </x:c>
      <x:c r="K78" t="str">
        <x:v>chinhanhcongtytnhhsanxuatthuongmaixuatnhapkhautaminhquangnhamaymyphamtaminhquang|joejoe|00344923cbmphcm</x:v>
      </x:c>
      <x:c r="L78" t="str">
        <x:v>NUMBER_WITHDRAWN</x:v>
      </x:c>
      <x:c r="M78" t="str">
        <x:v>Factory ↔ Brand ↔ declaration.</x:v>
      </x:c>
    </x:row>
    <x:row r="79">
      <x:c r="A79" t="str">
        <x:v>FB-00078</x:v>
      </x:c>
      <x:c r="B79" t="str">
        <x:v>chinhanhcongtytnhhsanxuatthuongmaixuatnhapkhautaminhquangnhamaymyphamtaminhquang</x:v>
      </x:c>
      <x:c r="C79" t="str">
        <x:v>Chi nhánh Công ty TNHH Sản xuất Thương mại Xuất Nhập khẩu Tạ Minh Quang – Nhà máy Mỹ phẩm Tạ Minh Quang</x:v>
      </x:c>
      <x:c r="D79" t="str">
        <x:v>joejoe</x:v>
      </x:c>
      <x:c r="E79" t="str">
        <x:v>JOEJOE</x:v>
      </x:c>
      <x:c r="F79" t="str">
        <x:v>LOCAL-00345323CBMPHCM</x:v>
      </x:c>
      <x:c r="G79" t="str">
        <x:v>003453/23/CBMP-HCM</x:v>
      </x:c>
      <x:c r="H79" t="str">
        <x:v>JOEJOE radiant whitening cream</x:v>
      </x:c>
      <x:c r="I79" t="str">
        <x:v>Công ty TNHH Sản xuất Thương mại Xuất Nhập khẩu Tạ Minh Quang</x:v>
      </x:c>
      <x:c r="J79" t="str">
        <x:v>TP. Hồ Chí Minh</x:v>
      </x:c>
      <x:c r="K79" t="str">
        <x:v>chinhanhcongtytnhhsanxuatthuongmaixuatnhapkhautaminhquangnhamaymyphamtaminhquang|joejoe|00345323cbmphcm</x:v>
      </x:c>
      <x:c r="L79" t="str">
        <x:v>NUMBER_WITHDRAWN</x:v>
      </x:c>
      <x:c r="M79" t="str">
        <x:v>Factory ↔ Brand ↔ declaration.</x:v>
      </x:c>
    </x:row>
    <x:row r="80">
      <x:c r="A80" t="str">
        <x:v>FB-00079</x:v>
      </x:c>
      <x:c r="B80" t="str">
        <x:v>chinhanhcongtytnhhsanxuatthuongmaixuatnhapkhautaminhquangnhamaymyphamtaminhquang</x:v>
      </x:c>
      <x:c r="C80" t="str">
        <x:v>Chi nhánh Công ty TNHH Sản xuất Thương mại Xuất Nhập khẩu Tạ Minh Quang – Nhà máy Mỹ phẩm Tạ Minh Quang</x:v>
      </x:c>
      <x:c r="D80" t="str">
        <x:v>joejoe</x:v>
      </x:c>
      <x:c r="E80" t="str">
        <x:v>JOEJOE</x:v>
      </x:c>
      <x:c r="F80" t="str">
        <x:v>LOCAL-00345423CBMPHCM</x:v>
      </x:c>
      <x:c r="G80" t="str">
        <x:v>003454/23/CBMP-HCM</x:v>
      </x:c>
      <x:c r="H80" t="str">
        <x:v>JOEJOE refreshing shower gel</x:v>
      </x:c>
      <x:c r="I80" t="str">
        <x:v>Công ty TNHH Sản xuất Thương mại Xuất Nhập khẩu Tạ Minh Quang</x:v>
      </x:c>
      <x:c r="J80" t="str">
        <x:v>TP. Hồ Chí Minh</x:v>
      </x:c>
      <x:c r="K80" t="str">
        <x:v>chinhanhcongtytnhhsanxuatthuongmaixuatnhapkhautaminhquangnhamaymyphamtaminhquang|joejoe|00345423cbmphcm</x:v>
      </x:c>
      <x:c r="L80" t="str">
        <x:v>NUMBER_WITHDRAWN</x:v>
      </x:c>
      <x:c r="M80" t="str">
        <x:v>Factory ↔ Brand ↔ declaration.</x:v>
      </x:c>
    </x:row>
    <x:row r="81">
      <x:c r="A81" t="str">
        <x:v>FB-00080</x:v>
      </x:c>
      <x:c r="B81" t="str">
        <x:v>chinhanhcongtytnhhsanxuatthuongmaixuatnhapkhautaminhquangnhamaymyphamtaminhquang</x:v>
      </x:c>
      <x:c r="C81" t="str">
        <x:v>Chi nhánh Công ty TNHH Sản xuất Thương mại Xuất Nhập khẩu Tạ Minh Quang – Nhà máy Mỹ phẩm Tạ Minh Quang</x:v>
      </x:c>
      <x:c r="D81" t="str">
        <x:v>forher</x:v>
      </x:c>
      <x:c r="E81" t="str">
        <x:v>FOR HER</x:v>
      </x:c>
      <x:c r="F81" t="str">
        <x:v>LOCAL-00410322CBMPHCM</x:v>
      </x:c>
      <x:c r="G81" t="str">
        <x:v>004103/22/CBMP-HCM</x:v>
      </x:c>
      <x:c r="H81" t="str">
        <x:v>FOR HER intimate wash - pH - balanced / Dung dịch vệ sinh phụ nữ</x:v>
      </x:c>
      <x:c r="I81" t="str">
        <x:v>Công ty TNHH Sản xuất Thương mại Xuất Nhập khẩu Tạ Minh Quang</x:v>
      </x:c>
      <x:c r="J81" t="str">
        <x:v>TP. Hồ Chí Minh</x:v>
      </x:c>
      <x:c r="K81" t="str">
        <x:v>chinhanhcongtytnhhsanxuatthuongmaixuatnhapkhautaminhquangnhamaymyphamtaminhquang|forher|00410322cbmphcm</x:v>
      </x:c>
      <x:c r="L81" t="str">
        <x:v>NUMBER_WITHDRAWN</x:v>
      </x:c>
      <x:c r="M81" t="str">
        <x:v>Factory ↔ Brand ↔ declaration.</x:v>
      </x:c>
    </x:row>
    <x:row r="82">
      <x:c r="A82" t="str">
        <x:v>FB-00081</x:v>
      </x:c>
      <x:c r="B82" t="str">
        <x:v>congtycophanduocmyphamhanhtinhxanh</x:v>
      </x:c>
      <x:c r="C82" t="str">
        <x:v>Công ty Cổ phần Dược Mỹ phẩm Hành Tinh Xanh</x:v>
      </x:c>
      <x:c r="D82" t="str">
        <x:v>sacnguyethuong</x:v>
      </x:c>
      <x:c r="E82" t="str">
        <x:v>Sắc Nguyệt Hương</x:v>
      </x:c>
      <x:c r="F82" t="str">
        <x:v>LOCAL-00043024CBMPHCM</x:v>
      </x:c>
      <x:c r="G82" t="str">
        <x:v>000430/24/CBMP-HCM</x:v>
      </x:c>
      <x:c r="H82" t="str">
        <x:v>Perfection Sunblock Cream</x:v>
      </x:c>
      <x:c r="I82" t="str">
        <x:v>Công ty TNHH Thương mại Dịch vụ Mỹ phẩm Đức Anh</x:v>
      </x:c>
      <x:c r="J82" t="str">
        <x:v>TP. Hồ Chí Minh</x:v>
      </x:c>
      <x:c r="K82" t="str">
        <x:v>congtycophanduocmyphamhanhtinhxanh|sacnguyethuong|00043024cbmphcm</x:v>
      </x:c>
      <x:c r="L82" t="str">
        <x:v>NUMBER_WITHDRAWN</x:v>
      </x:c>
      <x:c r="M82" t="str">
        <x:v>Factory ↔ Brand ↔ declaration.</x:v>
      </x:c>
    </x:row>
    <x:row r="83">
      <x:c r="A83" t="str">
        <x:v>FB-00082</x:v>
      </x:c>
      <x:c r="B83" t="str">
        <x:v>congtycophanduocmyphamhanhtinhxanh</x:v>
      </x:c>
      <x:c r="C83" t="str">
        <x:v>Công ty Cổ phần Dược Mỹ phẩm Hành Tinh Xanh</x:v>
      </x:c>
      <x:c r="D83" t="str">
        <x:v>sacnguyethuong</x:v>
      </x:c>
      <x:c r="E83" t="str">
        <x:v>Sắc Nguyệt Hương</x:v>
      </x:c>
      <x:c r="F83" t="str">
        <x:v>LOCAL-00043224CBMPHCM</x:v>
      </x:c>
      <x:c r="G83" t="str">
        <x:v>000432/24/CBMP-HCM</x:v>
      </x:c>
      <x:c r="H83" t="str">
        <x:v>Kem trắng da - Giúp mờ nám - Chống nắng</x:v>
      </x:c>
      <x:c r="I83" t="str">
        <x:v>Công ty TNHH Thương mại Dịch vụ Mỹ phẩm Đức Anh</x:v>
      </x:c>
      <x:c r="J83" t="str">
        <x:v>TP. Hồ Chí Minh</x:v>
      </x:c>
      <x:c r="K83" t="str">
        <x:v>congtycophanduocmyphamhanhtinhxanh|sacnguyethuong|00043224cbmphcm</x:v>
      </x:c>
      <x:c r="L83" t="str">
        <x:v>NUMBER_WITHDRAWN</x:v>
      </x:c>
      <x:c r="M83" t="str">
        <x:v>Factory ↔ Brand ↔ declaration.</x:v>
      </x:c>
    </x:row>
    <x:row r="84">
      <x:c r="A84" t="str">
        <x:v>FB-00083</x:v>
      </x:c>
      <x:c r="B84" t="str">
        <x:v>congtycophanduocmyphamhanhtinhxanh</x:v>
      </x:c>
      <x:c r="C84" t="str">
        <x:v>Công ty Cổ phần Dược mỹ phẩm Hành Tinh Xanh</x:v>
      </x:c>
      <x:c r="D84" t="str">
        <x:v>faceplushoangdungcosmetics</x:v>
      </x:c>
      <x:c r="E84" t="str">
        <x:v>Faceplus+ HOANGDUNG COSMETICS</x:v>
      </x:c>
      <x:c r="F84" t="str">
        <x:v>LOCAL-00119824CBMPHCM</x:v>
      </x:c>
      <x:c r="G84" t="str">
        <x:v>001198/24/CBMP-HCM</x:v>
      </x:c>
      <x:c r="H84" t="str">
        <x:v>VITAMIN MILK CLEANSER</x:v>
      </x:c>
      <x:c r="I84" t="str">
        <x:v>Công ty TNHH Thương mại Dịch vụ Mỹ phẩm Hoàng Dũng</x:v>
      </x:c>
      <x:c r="J84" t="str">
        <x:v>TP. Hồ Chí Minh</x:v>
      </x:c>
      <x:c r="K84" t="str">
        <x:v>congtycophanduocmyphamhanhtinhxanh|faceplushoangdungcosmetics|00119824cbmphcm</x:v>
      </x:c>
      <x:c r="L84" t="str">
        <x:v>NUMBER_WITHDRAWN</x:v>
      </x:c>
      <x:c r="M84" t="str">
        <x:v>Factory ↔ Brand ↔ declaration.</x:v>
      </x:c>
    </x:row>
    <x:row r="85">
      <x:c r="A85" t="str">
        <x:v>FB-00084</x:v>
      </x:c>
      <x:c r="B85" t="str">
        <x:v>congtytnhhsanxuatduocmyphamnhathan</x:v>
      </x:c>
      <x:c r="C85" t="str">
        <x:v>Công ty TNHH sản xuất dược mỹ phẩm Nhật Hàn</x:v>
      </x:c>
      <x:c r="D85" t="str">
        <x:v>yodyphuonganh</x:v>
      </x:c>
      <x:c r="E85" t="str">
        <x:v>Yody Phương Anh</x:v>
      </x:c>
      <x:c r="F85" t="str">
        <x:v>LOCAL-237022CBMPHCM</x:v>
      </x:c>
      <x:c r="G85" t="str">
        <x:v>2370/22/CBMP-HCM</x:v>
      </x:c>
      <x:c r="H85" t="str">
        <x:v>Su Skin Whitening Night Cream</x:v>
      </x:c>
      <x:c r="I85" t="str">
        <x:v>Công ty TNHH TM - DV - thẩm mỹ Yodywhite Phương Anh</x:v>
      </x:c>
      <x:c r="J85" t="str">
        <x:v>TP. Hồ Chí Minh</x:v>
      </x:c>
      <x:c r="K85" t="str">
        <x:v>congtytnhhsanxuatduocmyphamnhathan|yodyphuonganh|237022cbmphcm</x:v>
      </x:c>
      <x:c r="L85" t="str">
        <x:v>NUMBER_WITHDRAWN</x:v>
      </x:c>
      <x:c r="M85" t="str">
        <x:v>Factory ↔ Brand ↔ declaration.</x:v>
      </x:c>
    </x:row>
    <x:row r="86">
      <x:c r="A86" t="str">
        <x:v>FB-00085</x:v>
      </x:c>
      <x:c r="B86" t="str">
        <x:v>congtytnhhsanxuatduocmyphamnhathan</x:v>
      </x:c>
      <x:c r="C86" t="str">
        <x:v>Công ty TNHH sản xuất dược mỹ phẩm Nhật Hàn</x:v>
      </x:c>
      <x:c r="D86" t="str">
        <x:v>yodyphuonganh</x:v>
      </x:c>
      <x:c r="E86" t="str">
        <x:v>Yody Phương Anh</x:v>
      </x:c>
      <x:c r="F86" t="str">
        <x:v>LOCAL-237122CBMPHCM</x:v>
      </x:c>
      <x:c r="G86" t="str">
        <x:v>2371/22/CBMP-HCM</x:v>
      </x:c>
      <x:c r="H86" t="str">
        <x:v>Serum giúp tái tạo da</x:v>
      </x:c>
      <x:c r="I86" t="str">
        <x:v>Công ty TNHH TM - DV - thẩm mỹ Yodywhite Phương Anh</x:v>
      </x:c>
      <x:c r="J86" t="str">
        <x:v>TP. Hồ Chí Minh</x:v>
      </x:c>
      <x:c r="K86" t="str">
        <x:v>congtytnhhsanxuatduocmyphamnhathan|yodyphuonganh|237122cbmphcm</x:v>
      </x:c>
      <x:c r="L86" t="str">
        <x:v>NUMBER_WITHDRAWN</x:v>
      </x:c>
      <x:c r="M86" t="str">
        <x:v>Factory ↔ Brand ↔ declaration.</x:v>
      </x:c>
    </x:row>
    <x:row r="87">
      <x:c r="A87" t="str">
        <x:v>FB-00086</x:v>
      </x:c>
      <x:c r="B87" t="str">
        <x:v>congtytnhhsanxuatduocmyphamnhathan</x:v>
      </x:c>
      <x:c r="C87" t="str">
        <x:v>Công ty TNHH sản xuất dược mỹ phẩm Nhật Hàn</x:v>
      </x:c>
      <x:c r="D87" t="str">
        <x:v>yodyphuonganh</x:v>
      </x:c>
      <x:c r="E87" t="str">
        <x:v>Yody Phương Anh</x:v>
      </x:c>
      <x:c r="F87" t="str">
        <x:v>LOCAL-00401522CBMPHCM</x:v>
      </x:c>
      <x:c r="G87" t="str">
        <x:v>004015/22/CBMP-HCM</x:v>
      </x:c>
      <x:c r="H87" t="str">
        <x:v>Whitening Body Cream</x:v>
      </x:c>
      <x:c r="I87" t="str">
        <x:v>Công ty TNHH TM - DV - thẩm mỹ Yodywhite Phương Anh</x:v>
      </x:c>
      <x:c r="J87" t="str">
        <x:v>TP. Hồ Chí Minh</x:v>
      </x:c>
      <x:c r="K87" t="str">
        <x:v>congtytnhhsanxuatduocmyphamnhathan|yodyphuonganh|00401522cbmphcm</x:v>
      </x:c>
      <x:c r="L87" t="str">
        <x:v>NUMBER_WITHDRAWN</x:v>
      </x:c>
      <x:c r="M87" t="str">
        <x:v>Factory ↔ Brand ↔ declaration.</x:v>
      </x:c>
    </x:row>
    <x:row r="88">
      <x:c r="A88" t="str">
        <x:v>FB-00087</x:v>
      </x:c>
      <x:c r="B88" t="str">
        <x:v>chinhanhcongtytnhhsanxuatthuongmaidichvucontraxuongsanxuat</x:v>
      </x:c>
      <x:c r="C88" t="str">
        <x:v>Chi nhánh Công ty TNHH sản xuất thương mại dịch vụ Contra - xưởng sản xuất</x:v>
      </x:c>
      <x:c r="D88" t="str"/>
      <x:c r="E88" t="str"/>
      <x:c r="F88" t="str">
        <x:v>LOCAL-00440523CBMPHCM</x:v>
      </x:c>
      <x:c r="G88" t="str">
        <x:v>004405/23/CBMP-HCM</x:v>
      </x:c>
      <x:c r="H88" t="str">
        <x:v>Dầu mù u Thái Dương</x:v>
      </x:c>
      <x:c r="I88" t="str">
        <x:v>Công ty TNHH dược phẩm Đại Hưng</x:v>
      </x:c>
      <x:c r="J88" t="str">
        <x:v>TP. Hồ Chí Minh</x:v>
      </x:c>
      <x:c r="K88" t="str">
        <x:v>chinhanhcongtytnhhsanxuatthuongmaidichvucontraxuongsanxuat||00440523cbmphcm</x:v>
      </x:c>
      <x:c r="L88" t="str">
        <x:v>VERIFIED_RELATION</x:v>
      </x:c>
      <x:c r="M88" t="str">
        <x:v>Factory ↔ Brand ↔ declaration.</x:v>
      </x:c>
    </x:row>
    <x:row r="89">
      <x:c r="A89" t="str">
        <x:v>FB-00088</x:v>
      </x:c>
      <x:c r="B89" t="str">
        <x:v>chinhanhcongtycophanaututhuongmaitruongduong</x:v>
      </x:c>
      <x:c r="C89" t="str">
        <x:v>Chi nhánh Công ty cổ phần đầu tư thương mại Trường Dương</x:v>
      </x:c>
      <x:c r="D89" t="str">
        <x:v>coopselect</x:v>
      </x:c>
      <x:c r="E89" t="str">
        <x:v>Coop Select</x:v>
      </x:c>
      <x:c r="F89" t="str">
        <x:v>LOCAL-00201325CBMPHCM</x:v>
      </x:c>
      <x:c r="G89" t="str">
        <x:v>002013/25/CBMP-HCM</x:v>
      </x:c>
      <x:c r="H89" t="str">
        <x:v>Coop Select Dung dịch vệ sinh phụ nữ</x:v>
      </x:c>
      <x:c r="I89" t="str">
        <x:v>Công ty cổ phần đầu tư thương mại Trường Dương</x:v>
      </x:c>
      <x:c r="J89" t="str">
        <x:v>TP. Hồ Chí Minh</x:v>
      </x:c>
      <x:c r="K89" t="str">
        <x:v>chinhanhcongtycophanaututhuongmaitruongduong|coopselect|00201325cbmphcm</x:v>
      </x:c>
      <x:c r="L89" t="str">
        <x:v>NUMBER_WITHDRAWN</x:v>
      </x:c>
      <x:c r="M89" t="str">
        <x:v>Factory ↔ Brand ↔ declaration.</x:v>
      </x:c>
    </x:row>
    <x:row r="90">
      <x:c r="A90" t="str">
        <x:v>FB-00089</x:v>
      </x:c>
      <x:c r="B90" t="str">
        <x:v>chinhanhcongtytnhhsanxuatvathuongmainguyenquach</x:v>
      </x:c>
      <x:c r="C90" t="str">
        <x:v>Chi nhánh Công ty TNHH sản xuất và thương mại Nguyễn Quách</x:v>
      </x:c>
      <x:c r="D90" t="str"/>
      <x:c r="E90" t="str"/>
      <x:c r="F90" t="str">
        <x:v>LOCAL-00151322CBMPHCM</x:v>
      </x:c>
      <x:c r="G90" t="str">
        <x:v>001513/22/CBMP-HCM</x:v>
      </x:c>
      <x:c r="H90" t="str">
        <x:v>Élite Cream 3 in 1 Care</x:v>
      </x:c>
      <x:c r="I90" t="str">
        <x:v>Công ty TNHH sản xuất và thương mại Nguyễn Quách</x:v>
      </x:c>
      <x:c r="J90" t="str">
        <x:v>TP. Hồ Chí Minh</x:v>
      </x:c>
      <x:c r="K90" t="str">
        <x:v>chinhanhcongtytnhhsanxuatvathuongmainguyenquach||00151322cbmphcm</x:v>
      </x:c>
      <x:c r="L90" t="str">
        <x:v>NUMBER_WITHDRAWN</x:v>
      </x:c>
      <x:c r="M90" t="str">
        <x:v>Factory ↔ Brand ↔ declaration.</x:v>
      </x:c>
    </x:row>
    <x:row r="91">
      <x:c r="A91" t="str">
        <x:v>FB-00090</x:v>
      </x:c>
      <x:c r="B91" t="str">
        <x:v>congtycophanmyphamlongphungkhang</x:v>
      </x:c>
      <x:c r="C91" t="str">
        <x:v>Công ty cổ phần mỹ phẩm Long Phụng Khang</x:v>
      </x:c>
      <x:c r="D91" t="str"/>
      <x:c r="E91" t="str"/>
      <x:c r="F91" t="str">
        <x:v>LOCAL-214722CBMPHCM</x:v>
      </x:c>
      <x:c r="G91" t="str">
        <x:v>2147/22/CBMP-HCM</x:v>
      </x:c>
      <x:c r="H91" t="str">
        <x:v>Kem ngừa nám, tàn nhang, đồi mồi, trắng da Mylove</x:v>
      </x:c>
      <x:c r="I91" t="str">
        <x:v>Công ty cổ phần mỹ phẩm Long Phụng Khang</x:v>
      </x:c>
      <x:c r="J91" t="str">
        <x:v>TP. Hồ Chí Minh</x:v>
      </x:c>
      <x:c r="K91" t="str">
        <x:v>congtycophanmyphamlongphungkhang||214722cbmphcm</x:v>
      </x:c>
      <x:c r="L91" t="str">
        <x:v>NUMBER_WITHDRAWN</x:v>
      </x:c>
      <x:c r="M91" t="str">
        <x:v>Factory ↔ Brand ↔ declaration.</x:v>
      </x:c>
    </x:row>
    <x:row r="92">
      <x:c r="A92" t="str">
        <x:v>FB-00091</x:v>
      </x:c>
      <x:c r="B92" t="str">
        <x:v>chinhanhcongtytnhhsanxuatvathuongmaimyphamangduong</x:v>
      </x:c>
      <x:c r="C92" t="str">
        <x:v>Chi nhánh Công ty TNHH sản xuất và thương mại mỹ phẩm Đăng Dương</x:v>
      </x:c>
      <x:c r="D92" t="str"/>
      <x:c r="E92" t="str"/>
      <x:c r="F92" t="str">
        <x:v>LOCAL-00209423CBMPHCM</x:v>
      </x:c>
      <x:c r="G92" t="str">
        <x:v>002094/23/CBMP-HCM</x:v>
      </x:c>
      <x:c r="H92" t="str">
        <x:v>Kem nám, trắng da Mủ trôm Tân Gia Khang</x:v>
      </x:c>
      <x:c r="I92" t="str">
        <x:v>Công ty TNHH sản xuất và thương mại mỹ phẩm Đăng Dương</x:v>
      </x:c>
      <x:c r="J92" t="str">
        <x:v>TP. Hồ Chí Minh</x:v>
      </x:c>
      <x:c r="K92" t="str">
        <x:v>chinhanhcongtytnhhsanxuatvathuongmaimyphamangduong||00209423cbmphcm</x:v>
      </x:c>
      <x:c r="L92" t="str">
        <x:v>NUMBER_WITHDRAWN</x:v>
      </x:c>
      <x:c r="M92" t="str">
        <x:v>Factory ↔ Brand ↔ declaration.</x:v>
      </x:c>
    </x:row>
    <x:row r="93">
      <x:c r="A93" t="str">
        <x:v>FB-00092</x:v>
      </x:c>
      <x:c r="B93" t="str">
        <x:v>chinhanhcongtytnhhsanxuatvathuongmaimyphamangduong</x:v>
      </x:c>
      <x:c r="C93" t="str">
        <x:v>Chi nhánh - Công ty TNHH sản xuất và thương mại mỹ phẩm Đăng Dương</x:v>
      </x:c>
      <x:c r="D93" t="str"/>
      <x:c r="E93" t="str"/>
      <x:c r="F93" t="str">
        <x:v>LOCAL-00105323CBMPHCM</x:v>
      </x:c>
      <x:c r="G93" t="str">
        <x:v>001053/23/CBMP-HCM</x:v>
      </x:c>
      <x:c r="H93" t="str">
        <x:v>Kem ngừa nám cao cấp</x:v>
      </x:c>
      <x:c r="I93" t="str">
        <x:v>Công ty TNHH sản xuất và thương mại mỹ phẩm Đăng Dương</x:v>
      </x:c>
      <x:c r="J93" t="str">
        <x:v>TP. Hồ Chí Minh</x:v>
      </x:c>
      <x:c r="K93" t="str">
        <x:v>chinhanhcongtytnhhsanxuatvathuongmaimyphamangduong||00105323cbmphcm</x:v>
      </x:c>
      <x:c r="L93" t="str">
        <x:v>VERIFIED_RELATION</x:v>
      </x:c>
      <x:c r="M93" t="str">
        <x:v>Factory ↔ Brand ↔ declaration.</x:v>
      </x:c>
    </x:row>
    <x:row r="94">
      <x:c r="A94" t="str">
        <x:v>FB-00093</x:v>
      </x:c>
      <x:c r="B94" t="str">
        <x:v>chinhanhcongtytnhhsanxuatvathuongmaimyphamangduong</x:v>
      </x:c>
      <x:c r="C94" t="str">
        <x:v>Chi nhánh - Công ty TNHH sản xuất và thương mại mỹ phẩm Đăng Dương</x:v>
      </x:c>
      <x:c r="D94" t="str"/>
      <x:c r="E94" t="str"/>
      <x:c r="F94" t="str">
        <x:v>LOCAL-00104823CBMPHCM</x:v>
      </x:c>
      <x:c r="G94" t="str">
        <x:v>001048/23/CBMP-HCM</x:v>
      </x:c>
      <x:c r="H94" t="str">
        <x:v>Kem dưỡng trắng giúp tái tạo da</x:v>
      </x:c>
      <x:c r="I94" t="str">
        <x:v>Công ty TNHH sản xuất và thương mại mỹ phẩm Đăng Dương</x:v>
      </x:c>
      <x:c r="J94" t="str">
        <x:v>TP. Hồ Chí Minh</x:v>
      </x:c>
      <x:c r="K94" t="str">
        <x:v>chinhanhcongtytnhhsanxuatvathuongmaimyphamangduong||00104823cbmphcm</x:v>
      </x:c>
      <x:c r="L94" t="str">
        <x:v>VERIFIED_RELATION</x:v>
      </x:c>
      <x:c r="M94" t="str">
        <x:v>Factory ↔ Brand ↔ declaration.</x:v>
      </x:c>
    </x:row>
    <x:row r="95">
      <x:c r="A95" t="str">
        <x:v>FB-00094</x:v>
      </x:c>
      <x:c r="B95" t="str">
        <x:v>chinhanhcongtytnhhsanxuatvathuongmaimyphamangduong</x:v>
      </x:c>
      <x:c r="C95" t="str">
        <x:v>Chi nhánh - Công ty TNHH sản xuất và thương mại mỹ phẩm Đăng Dương</x:v>
      </x:c>
      <x:c r="D95" t="str"/>
      <x:c r="E95" t="str"/>
      <x:c r="F95" t="str">
        <x:v>LOCAL-00104723CBMPHCM</x:v>
      </x:c>
      <x:c r="G95" t="str">
        <x:v>001047/23/CBMP-HCM</x:v>
      </x:c>
      <x:c r="H95" t="str">
        <x:v>Kem dưỡng trắng giúp phục hồi da</x:v>
      </x:c>
      <x:c r="I95" t="str">
        <x:v>Công ty TNHH sản xuất và thương mại mỹ phẩm Đăng Dương</x:v>
      </x:c>
      <x:c r="J95" t="str">
        <x:v>TP. Hồ Chí Minh</x:v>
      </x:c>
      <x:c r="K95" t="str">
        <x:v>chinhanhcongtytnhhsanxuatvathuongmaimyphamangduong||00104723cbmphcm</x:v>
      </x:c>
      <x:c r="L95" t="str">
        <x:v>VERIFIED_RELATION</x:v>
      </x:c>
      <x:c r="M95" t="str">
        <x:v>Factory ↔ Brand ↔ declaration.</x:v>
      </x:c>
    </x:row>
    <x:row r="96">
      <x:c r="A96" t="str">
        <x:v>FB-00095</x:v>
      </x:c>
      <x:c r="B96" t="str">
        <x:v>chinhanhcongtytnhhsanxuatvathuongmaimyphamangduong</x:v>
      </x:c>
      <x:c r="C96" t="str">
        <x:v>Chi nhánh - Công ty TNHH sản xuất và thương mại mỹ phẩm Đăng Dương</x:v>
      </x:c>
      <x:c r="D96" t="str"/>
      <x:c r="E96" t="str"/>
      <x:c r="F96" t="str">
        <x:v>LOCAL-00101123CBMPHCM</x:v>
      </x:c>
      <x:c r="G96" t="str">
        <x:v>001011/23/CBMP-HCM</x:v>
      </x:c>
      <x:c r="H96" t="str">
        <x:v>Kem dưỡng trắng giúp ngừa lão hóa da</x:v>
      </x:c>
      <x:c r="I96" t="str">
        <x:v>Công ty TNHH sản xuất và thương mại mỹ phẩm Đăng Dương</x:v>
      </x:c>
      <x:c r="J96" t="str">
        <x:v>TP. Hồ Chí Minh</x:v>
      </x:c>
      <x:c r="K96" t="str">
        <x:v>chinhanhcongtytnhhsanxuatvathuongmaimyphamangduong||00101123cbmphcm</x:v>
      </x:c>
      <x:c r="L96" t="str">
        <x:v>VERIFIED_RELATION</x:v>
      </x:c>
      <x:c r="M96" t="str">
        <x:v>Factory ↔ Brand ↔ declaration.</x:v>
      </x:c>
    </x:row>
    <x:row r="97">
      <x:c r="A97" t="str">
        <x:v>FB-00096</x:v>
      </x:c>
      <x:c r="B97" t="str">
        <x:v>chinhanhcongtytnhhsanxuatvathuongmaimyphamangduong</x:v>
      </x:c>
      <x:c r="C97" t="str">
        <x:v>Chi nhánh - Công ty TNHH sản xuất và thương mại mỹ phẩm Đăng Dương</x:v>
      </x:c>
      <x:c r="D97" t="str"/>
      <x:c r="E97" t="str"/>
      <x:c r="F97" t="str">
        <x:v>LOCAL-00168023CBMPHCM</x:v>
      </x:c>
      <x:c r="G97" t="str">
        <x:v>001680/23/CBMP-HCM</x:v>
      </x:c>
      <x:c r="H97" t="str">
        <x:v>Kem nám tàn nhang đồi mồi</x:v>
      </x:c>
      <x:c r="I97" t="str">
        <x:v>Công ty TNHH sản xuất và thương mại mỹ phẩm Đăng Dương</x:v>
      </x:c>
      <x:c r="J97" t="str">
        <x:v>TP. Hồ Chí Minh</x:v>
      </x:c>
      <x:c r="K97" t="str">
        <x:v>chinhanhcongtytnhhsanxuatvathuongmaimyphamangduong||00168023cbmphcm</x:v>
      </x:c>
      <x:c r="L97" t="str">
        <x:v>VERIFIED_RELATION</x:v>
      </x:c>
      <x:c r="M97" t="str">
        <x:v>Factory ↔ Brand ↔ declaration.</x:v>
      </x:c>
    </x:row>
    <x:row r="98">
      <x:c r="A98" t="str">
        <x:v>FB-00097</x:v>
      </x:c>
      <x:c r="B98" t="str">
        <x:v>congtycophanmyphamlongphungkhang</x:v>
      </x:c>
      <x:c r="C98" t="str">
        <x:v>Công ty cổ phần mỹ phẩm Long Phụng Khang</x:v>
      </x:c>
      <x:c r="D98" t="str">
        <x:v>lynshao</x:v>
      </x:c>
      <x:c r="E98" t="str">
        <x:v>LYNSHAO</x:v>
      </x:c>
      <x:c r="F98" t="str">
        <x:v>LOCAL-00340222CBMPHCM</x:v>
      </x:c>
      <x:c r="G98" t="str">
        <x:v>003402/22/CBMP-HCM</x:v>
      </x:c>
      <x:c r="H98" t="str">
        <x:v>Kem trắng da, ngừa mụn, mờ vết thâm LYNSHAO</x:v>
      </x:c>
      <x:c r="I98" t="str">
        <x:v>Công ty cổ phần mỹ phẩm Long Phụng Khang</x:v>
      </x:c>
      <x:c r="J98" t="str">
        <x:v>TP. Hồ Chí Minh</x:v>
      </x:c>
      <x:c r="K98" t="str">
        <x:v>congtycophanmyphamlongphungkhang|lynshao|00340222cbmphcm</x:v>
      </x:c>
      <x:c r="L98" t="str">
        <x:v>VERIFIED_RELATION</x:v>
      </x:c>
      <x:c r="M98" t="str">
        <x:v>Factory ↔ Brand ↔ declaration.</x:v>
      </x:c>
    </x:row>
    <x:row r="99">
      <x:c r="A99" t="str">
        <x:v>FB-00098</x:v>
      </x:c>
      <x:c r="B99" t="str">
        <x:v>congtycophannamo</x:v>
      </x:c>
      <x:c r="C99" t="str">
        <x:v>Công ty cổ phần Nam Đô</x:v>
      </x:c>
      <x:c r="D99" t="str">
        <x:v>ylang</x:v>
      </x:c>
      <x:c r="E99" t="str">
        <x:v>Y lang</x:v>
      </x:c>
      <x:c r="F99" t="str">
        <x:v>LOCAL-00033022CBMPHCM</x:v>
      </x:c>
      <x:c r="G99" t="str">
        <x:v>000330/22/CBMP-HCM</x:v>
      </x:c>
      <x:c r="H99" t="str">
        <x:v>Y lang Dầu gội đầu Y lang chí</x:v>
      </x:c>
      <x:c r="I99" t="str">
        <x:v>Công ty cổ phần Nam Đô</x:v>
      </x:c>
      <x:c r="J99" t="str">
        <x:v>TP. Hồ Chí Minh</x:v>
      </x:c>
      <x:c r="K99" t="str">
        <x:v>congtycophannamo|ylang|00033022cbmphcm</x:v>
      </x:c>
      <x:c r="L99" t="str">
        <x:v>VERIFIED_RELATION</x:v>
      </x:c>
      <x:c r="M99" t="str">
        <x:v>Factory ↔ Brand ↔ declaration.</x:v>
      </x:c>
    </x:row>
    <x:row r="100">
      <x:c r="A100" t="str">
        <x:v>FB-00099</x:v>
      </x:c>
      <x:c r="B100" t="str">
        <x:v>congtytnhhhoamyphamchichi</x:v>
      </x:c>
      <x:c r="C100" t="str">
        <x:v>Công ty TNHH hóa mỹ phẩm Chi Chi</x:v>
      </x:c>
      <x:c r="D100" t="str">
        <x:v>youngone</x:v>
      </x:c>
      <x:c r="E100" t="str">
        <x:v>Young One</x:v>
      </x:c>
      <x:c r="F100" t="str">
        <x:v>LOCAL-00105222CBMPHCM</x:v>
      </x:c>
      <x:c r="G100" t="str">
        <x:v>001052/22/CBMP-HCM</x:v>
      </x:c>
      <x:c r="H100" t="str">
        <x:v>Kem dưỡng trắng da Young One</x:v>
      </x:c>
      <x:c r="I100" t="str">
        <x:v>Công ty TNHH hóa mỹ phẩm Chi Chi</x:v>
      </x:c>
      <x:c r="J100" t="str">
        <x:v>TP. Hồ Chí Minh</x:v>
      </x:c>
      <x:c r="K100" t="str">
        <x:v>congtytnhhhoamyphamchichi|youngone|00105222cbmphcm</x:v>
      </x:c>
      <x:c r="L100" t="str">
        <x:v>VERIFIED_RELATION</x:v>
      </x:c>
      <x:c r="M100" t="str">
        <x:v>Factory ↔ Brand ↔ declaration.</x:v>
      </x:c>
    </x:row>
    <x:row r="101">
      <x:c r="A101" t="str">
        <x:v>FB-00100</x:v>
      </x:c>
      <x:c r="B101" t="str">
        <x:v>congtytnhhmyphamdathaolanchinhanh2</x:v>
      </x:c>
      <x:c r="C101" t="str">
        <x:v>Công ty TNHH mỹ phẩm Dạ Thảo Lan – Chi nhánh 2</x:v>
      </x:c>
      <x:c r="D101" t="str">
        <x:v>intasilk</x:v>
      </x:c>
      <x:c r="E101" t="str">
        <x:v>Intasilk</x:v>
      </x:c>
      <x:c r="F101" t="str">
        <x:v>LOCAL-00316723CBMPHCM</x:v>
      </x:c>
      <x:c r="G101" t="str">
        <x:v>003167/23/CBMP-HCM</x:v>
      </x:c>
      <x:c r="H101" t="str">
        <x:v>Conditioner</x:v>
      </x:c>
      <x:c r="I101" t="str">
        <x:v>Công ty TNHH Hùng Đông Tinh</x:v>
      </x:c>
      <x:c r="J101" t="str">
        <x:v>TP. Hồ Chí Minh</x:v>
      </x:c>
      <x:c r="K101" t="str">
        <x:v>congtytnhhmyphamdathaolanchinhanh2|intasilk|00316723cbmphcm</x:v>
      </x:c>
      <x:c r="L101" t="str">
        <x:v>VERIFIED_RELATION</x:v>
      </x:c>
      <x:c r="M101" t="str">
        <x:v>Factory ↔ Brand ↔ declaration.</x:v>
      </x:c>
    </x:row>
    <x:row r="102">
      <x:c r="A102" t="str">
        <x:v>FB-00101</x:v>
      </x:c>
      <x:c r="B102" t="str">
        <x:v>congtycophanellie</x:v>
      </x:c>
      <x:c r="C102" t="str">
        <x:v>Công ty cổ phần Ellie</x:v>
      </x:c>
      <x:c r="D102" t="str"/>
      <x:c r="E102" t="str"/>
      <x:c r="F102" t="str">
        <x:v>LOCAL-208322CBMPHCM</x:v>
      </x:c>
      <x:c r="G102" t="str">
        <x:v>2083/22/CBMP-HCM</x:v>
      </x:c>
      <x:c r="H102" t="str">
        <x:v>Nước súc miệng Lesgo trẻ em</x:v>
      </x:c>
      <x:c r="I102" t="str">
        <x:v>Công ty cổ phần Ellie</x:v>
      </x:c>
      <x:c r="J102" t="str">
        <x:v>TP. Hồ Chí Minh</x:v>
      </x:c>
      <x:c r="K102" t="str">
        <x:v>congtycophanellie||208322cbmphcm</x:v>
      </x:c>
      <x:c r="L102" t="str">
        <x:v>VERIFIED_RELATION</x:v>
      </x:c>
      <x:c r="M102" t="str">
        <x:v>Factory ↔ Brand ↔ declaration.</x:v>
      </x:c>
    </x:row>
    <x:row r="103">
      <x:c r="A103" t="str">
        <x:v>FB-00102</x:v>
      </x:c>
      <x:c r="B103" t="str">
        <x:v>chinhanhcongtytnhhmtvsanxuatduocmyphamgamma</x:v>
      </x:c>
      <x:c r="C103" t="str">
        <x:v>Chi nhánh - Công ty TNHH MTV sản xuất dược - mỹ phẩm GAMMA</x:v>
      </x:c>
      <x:c r="D103" t="str"/>
      <x:c r="E103" t="str"/>
      <x:c r="F103" t="str">
        <x:v>LOCAL-00529422CBMPHCM</x:v>
      </x:c>
      <x:c r="G103" t="str">
        <x:v>005294/22/CBMP-HCM</x:v>
      </x:c>
      <x:c r="H103" t="str">
        <x:v>Lucci</x:v>
      </x:c>
      <x:c r="I103" t="str">
        <x:v>Công ty TNHH MTV sản xuất dược - mỹ phẩm GAMMA</x:v>
      </x:c>
      <x:c r="J103" t="str">
        <x:v>TP. Hồ Chí Minh</x:v>
      </x:c>
      <x:c r="K103" t="str">
        <x:v>chinhanhcongtytnhhmtvsanxuatduocmyphamgamma||00529422cbmphcm</x:v>
      </x:c>
      <x:c r="L103" t="str">
        <x:v>VERIFIED_RELATION</x:v>
      </x:c>
      <x:c r="M103" t="str">
        <x:v>Factory ↔ Brand ↔ declaration.</x:v>
      </x:c>
    </x:row>
    <x:row r="104">
      <x:c r="A104" t="str">
        <x:v>FB-00103</x:v>
      </x:c>
      <x:c r="B104" t="str">
        <x:v>congtycophanmaricosoutheastasia</x:v>
      </x:c>
      <x:c r="C104" t="str">
        <x:v>CÔNG TY CỔ PHẦN MARICO SOUTH EAST ASIA</x:v>
      </x:c>
      <x:c r="D104" t="str">
        <x:v>botanika</x:v>
      </x:c>
      <x:c r="E104" t="str">
        <x:v>BOTANIKA</x:v>
      </x:c>
      <x:c r="F104" t="str">
        <x:v>LOCAL-69524CBMPBD</x:v>
      </x:c>
      <x:c r="G104" t="str">
        <x:v>695/24/CBMP-BD</x:v>
      </x:c>
      <x:c r="H104" t="str">
        <x:v>NƯỚC RỬA TAY BẢO VỆ DA SẠCH TAY LÀM BẾP BOTANIKA</x:v>
      </x:c>
      <x:c r="I104" t="str">
        <x:v>CÔNG TY CỔ PHẦN MARICO SOUTH EAST ASIA</x:v>
      </x:c>
      <x:c r="J104" t="str">
        <x:v>TP. Hồ Chí Minh</x:v>
      </x:c>
      <x:c r="K104" t="str">
        <x:v>congtycophanmaricosoutheastasia|botanika|69524cbmpbd</x:v>
      </x:c>
      <x:c r="L104" t="str">
        <x:v>NUMBER_WITHDRAWN</x:v>
      </x:c>
      <x:c r="M104" t="str">
        <x:v>Factory ↔ Brand ↔ declaration.</x:v>
      </x:c>
    </x:row>
    <x:row r="105">
      <x:c r="A105" t="str">
        <x:v>FB-00104</x:v>
      </x:c>
      <x:c r="B105" t="str">
        <x:v>congtycophanmaricosoutheastasia</x:v>
      </x:c>
      <x:c r="C105" t="str">
        <x:v>CÔNG TY CỔ PHẦN MARICO SOUTH EAST ASIA</x:v>
      </x:c>
      <x:c r="D105" t="str">
        <x:v>xmenforboss</x:v>
      </x:c>
      <x:c r="E105" t="str">
        <x:v>X-MEN FOR BOSS</x:v>
      </x:c>
      <x:c r="F105" t="str">
        <x:v>LOCAL-29525CBMPBD</x:v>
      </x:c>
      <x:c r="G105" t="str">
        <x:v>295/25/CBMP-BD</x:v>
      </x:c>
      <x:c r="H105" t="str">
        <x:v>SỮA TẮM NƯỚC HOA XMEN FOR BOSS INTENSE</x:v>
      </x:c>
      <x:c r="I105" t="str">
        <x:v>CÔNG TY CỔ PHẦN MARICO SOUTH EAST ASIA</x:v>
      </x:c>
      <x:c r="J105" t="str">
        <x:v>TP. Hồ Chí Minh</x:v>
      </x:c>
      <x:c r="K105" t="str">
        <x:v>congtycophanmaricosoutheastasia|xmenforboss|29525cbmpbd</x:v>
      </x:c>
      <x:c r="L105" t="str">
        <x:v>NUMBER_WITHDRAWN</x:v>
      </x:c>
      <x:c r="M105" t="str">
        <x:v>Factory ↔ Brand ↔ declaration.</x:v>
      </x:c>
    </x:row>
  </x:sheetData>
  <x:pageMargins left="0.7" right="0.7" top="0.75" bottom="0.75" header="0.3" footer="0.3"/>
</x:worksheet>
</file>

<file path=xl/worksheets/sheet62.xml><?xml version="1.0" encoding="utf-8"?>
<x:worksheet xmlns:x="http://schemas.openxmlformats.org/spreadsheetml/2006/main">
  <x:sheetFormatPr baseColWidth="8" defaultRowHeight="15"/>
  <x:cols>
    <x:col min="1" max="1" width="16" style="91" customWidth="1"/>
    <x:col min="2" max="2" width="38" style="91" customWidth="1"/>
    <x:col min="3" max="3" width="26" style="91" customWidth="1"/>
    <x:col min="4" max="4" width="26" style="91" customWidth="1"/>
    <x:col min="5" max="5" width="20" style="91" customWidth="1"/>
    <x:col min="6" max="6" width="42" style="91" customWidth="1"/>
    <x:col min="7" max="7" width="42" style="91" customWidth="1"/>
    <x:col min="8" max="8" width="18" style="91" customWidth="1"/>
    <x:col min="9" max="9" width="18" style="91" customWidth="1"/>
    <x:col min="10" max="10" width="18" style="91" customWidth="1"/>
    <x:col min="11" max="11" width="18" style="91" customWidth="1"/>
    <x:col min="12" max="12" width="20" style="91" customWidth="1"/>
    <x:col min="13" max="13" width="20" style="91" customWidth="1"/>
    <x:col min="14" max="14" width="24" style="91" customWidth="1"/>
    <x:col min="15" max="15" width="28" style="91" customWidth="1"/>
    <x:col min="16" max="16" width="28" style="91" customWidth="1"/>
    <x:col min="17" max="17" width="14" style="91" customWidth="1"/>
    <x:col min="18" max="18" width="14" style="91" customWidth="1"/>
    <x:col min="19" max="19" width="18" style="91" customWidth="1"/>
    <x:col min="20" max="20" width="54" style="91" customWidth="1"/>
    <x:col min="21" max="21" width="62" style="91" customWidth="1"/>
  </x:cols>
  <x:sheetData>
    <x:row r="1" s="91" customFormat="1" ht="48" customHeight="1">
      <x:c r="A1" s="287" t="inlineStr">
        <x:is>
          <x:t xml:space="preserve">VARIANT_ID</x:t>
        </x:is>
      </x:c>
      <x:c r="B1" s="287" t="inlineStr">
        <x:is>
          <x:t xml:space="preserve">PRODUCT_ENTITY_ID/KEY</x:t>
        </x:is>
      </x:c>
      <x:c r="C1" s="287" t="inlineStr">
        <x:is>
          <x:t xml:space="preserve">Legal ID</x:t>
        </x:is>
      </x:c>
      <x:c r="D1" s="287" t="inlineStr">
        <x:is>
          <x:t xml:space="preserve">Số CBMP</x:t>
        </x:is>
      </x:c>
      <x:c r="E1" s="287" t="inlineStr">
        <x:is>
          <x:t xml:space="preserve">Brand</x:t>
        </x:is>
      </x:c>
      <x:c r="F1" s="287" t="inlineStr">
        <x:is>
          <x:t xml:space="preserve">Base Product</x:t>
        </x:is>
      </x:c>
      <x:c r="G1" s="287" t="inlineStr">
        <x:is>
          <x:t xml:space="preserve">Variant Name</x:t>
        </x:is>
      </x:c>
      <x:c r="H1" s="287" t="inlineStr">
        <x:is>
          <x:t xml:space="preserve">Dung tích/Khối lượng</x:t>
        </x:is>
      </x:c>
      <x:c r="I1" s="287" t="inlineStr">
        <x:is>
          <x:t xml:space="preserve">Mùi/Hương</x:t>
        </x:is>
      </x:c>
      <x:c r="J1" s="287" t="inlineStr">
        <x:is>
          <x:t xml:space="preserve">Màu</x:t>
        </x:is>
      </x:c>
      <x:c r="K1" s="287" t="inlineStr">
        <x:is>
          <x:t xml:space="preserve">Pack/Quy cách</x:t>
        </x:is>
      </x:c>
      <x:c r="L1" s="287" t="inlineStr">
        <x:is>
          <x:t xml:space="preserve">Barcode/EAN</x:t>
        </x:is>
      </x:c>
      <x:c r="M1" s="287" t="inlineStr">
        <x:is>
          <x:t xml:space="preserve">Seller SKU</x:t>
        </x:is>
      </x:c>
      <x:c r="N1" s="287" t="inlineStr">
        <x:is>
          <x:t xml:space="preserve">Công thức/Version</x:t>
        </x:is>
      </x:c>
      <x:c r="O1" s="287" t="inlineStr">
        <x:is>
          <x:t xml:space="preserve">Kênh Offline</x:t>
        </x:is>
      </x:c>
      <x:c r="P1" s="287" t="inlineStr">
        <x:is>
          <x:t xml:space="preserve">Kênh Online</x:t>
        </x:is>
      </x:c>
      <x:c r="Q1" s="287" t="inlineStr">
        <x:is>
          <x:t xml:space="preserve">First Seen</x:t>
        </x:is>
      </x:c>
      <x:c r="R1" s="287" t="inlineStr">
        <x:is>
          <x:t xml:space="preserve">Last Seen</x:t>
        </x:is>
      </x:c>
      <x:c r="S1" s="287" t="inlineStr">
        <x:is>
          <x:t xml:space="preserve">Variant Status</x:t>
        </x:is>
      </x:c>
      <x:c r="T1" s="287" t="inlineStr">
        <x:is>
          <x:t xml:space="preserve">Duplicate Rule</x:t>
        </x:is>
      </x:c>
      <x:c r="U1" s="287" t="inlineStr">
        <x:is>
          <x:t xml:space="preserve">Ghi chú</x:t>
        </x:is>
      </x:c>
      <x:c r="V1" s="272" t="n"/>
      <x:c r="W1" s="272" t="n"/>
      <x:c r="X1" s="272" t="n"/>
      <x:c r="Y1" s="272" t="n"/>
      <x:c r="Z1" s="272" t="n"/>
    </x:row>
    <x:row r="2">
      <x:c r="T2" t="inlineStr">
        <x:is>
          <x:t xml:space="preserve">Không dedupe variant chỉ bằng tên; ưu tiên barcode/SKU + size + scent + pack.</x:t>
        </x:is>
      </x:c>
    </x:row>
    <x:row r="3">
      <x:c r="A3" t="inlineStr">
        <x:is>
          <x:t xml:space="preserve">EXAMPLE</x:t>
        </x:is>
      </x:c>
      <x:c r="E3" t="inlineStr">
        <x:is>
          <x:t xml:space="preserve">Brand X</x:t>
        </x:is>
      </x:c>
      <x:c r="F3" t="inlineStr">
        <x:is>
          <x:t xml:space="preserve">Dầu gội A</x:t>
        </x:is>
      </x:c>
      <x:c r="G3" t="inlineStr">
        <x:is>
          <x:t xml:space="preserve">Dầu gội A 500ml – Hương Hoa</x:t>
        </x:is>
      </x:c>
      <x:c r="H3" t="inlineStr">
        <x:is>
          <x:t xml:space="preserve">500ml</x:t>
        </x:is>
      </x:c>
      <x:c r="I3" t="inlineStr">
        <x:is>
          <x:t xml:space="preserve">Hương Hoa</x:t>
        </x:is>
      </x:c>
      <x:c r="K3" t="inlineStr">
        <x:is>
          <x:t xml:space="preserve">Chai 500ml</x:t>
        </x:is>
      </x:c>
      <x:c r="O3" t="inlineStr">
        <x:is>
          <x:t xml:space="preserve">Guardian</x:t>
        </x:is>
      </x:c>
      <x:c r="P3" t="inlineStr">
        <x:is>
          <x:t xml:space="preserve">Shopee/TikTok</x:t>
        </x:is>
      </x:c>
      <x:c r="S3" t="inlineStr">
        <x:is>
          <x:t xml:space="preserve">EXAMPLE_ONLY</x:t>
        </x:is>
      </x:c>
      <x:c r="T3" t="inlineStr">
        <x:is>
          <x:t xml:space="preserve">Nếu cùng CBMP nhưng khác dung tích/mùi/pack → có thể là nhiều VARIANT_ID dưới cùng legal/product entity.</x:t>
        </x:is>
      </x:c>
      <x:c r="U3" t="inlineStr">
        <x:is>
          <x:t xml:space="preserve">Dòng ví dụ cấu trúc, không phải dữ liệu thật.</x:t>
        </x:is>
      </x:c>
    </x:row>
  </x:sheetData>
  <x:pageMargins left="0.7" right="0.7" top="0.75" bottom="0.75" header="0.3" footer="0.3"/>
</x:worksheet>
</file>

<file path=xl/worksheets/sheet63.xml><?xml version="1.0" encoding="utf-8"?>
<x:worksheet xmlns:x="http://schemas.openxmlformats.org/spreadsheetml/2006/main">
  <x:sheetFormatPr baseColWidth="8" defaultRowHeight="15"/>
  <x:cols>
    <x:col min="1" max="1" width="16" style="91" customWidth="1"/>
    <x:col min="2" max="2" width="42" style="91" customWidth="1"/>
    <x:col min="3" max="3" width="60" style="91" customWidth="1"/>
    <x:col min="4" max="4" width="60" style="91" customWidth="1"/>
    <x:col min="5" max="5" width="14" style="91" customWidth="1"/>
    <x:col min="6" max="6" width="32" style="91" customWidth="1"/>
    <x:col min="7" max="7" width="62" style="91" customWidth="1"/>
  </x:cols>
  <x:sheetData>
    <x:row r="1" s="91" customFormat="1" ht="48" customHeight="1">
      <x:c r="A1" s="288" t="inlineStr">
        <x:is>
          <x:t xml:space="preserve">Entity Type</x:t>
        </x:is>
      </x:c>
      <x:c r="B1" s="288" t="inlineStr">
        <x:is>
          <x:t xml:space="preserve">Normalized Key</x:t>
        </x:is>
      </x:c>
      <x:c r="C1" s="288" t="inlineStr">
        <x:is>
          <x:t xml:space="preserve">Canonical Name (tạm)</x:t>
        </x:is>
      </x:c>
      <x:c r="D1" s="288" t="inlineStr">
        <x:is>
          <x:t xml:space="preserve">Raw Alias</x:t>
        </x:is>
      </x:c>
      <x:c r="E1" s="288" t="inlineStr">
        <x:is>
          <x:t xml:space="preserve">Alias Count</x:t>
        </x:is>
      </x:c>
      <x:c r="F1" s="288" t="inlineStr">
        <x:is>
          <x:t xml:space="preserve">Review Status</x:t>
        </x:is>
      </x:c>
      <x:c r="G1" s="288" t="inlineStr">
        <x:is>
          <x:t xml:space="preserve">Ghi chú</x:t>
        </x:is>
      </x:c>
      <x:c r="H1" s="272" t="n"/>
      <x:c r="I1" s="272" t="n"/>
      <x:c r="J1" s="272" t="n"/>
      <x:c r="K1" s="272" t="n"/>
      <x:c r="L1" s="272" t="n"/>
      <x:c r="M1" s="272" t="n"/>
      <x:c r="N1" s="272" t="n"/>
      <x:c r="O1" s="272" t="n"/>
      <x:c r="P1" s="272" t="n"/>
      <x:c r="Q1" s="272" t="n"/>
      <x:c r="R1" s="272" t="n"/>
      <x:c r="S1" s="272" t="n"/>
      <x:c r="T1" s="272" t="n"/>
      <x:c r="U1" s="272" t="n"/>
      <x:c r="V1" s="272" t="n"/>
      <x:c r="W1" s="272" t="n"/>
      <x:c r="X1" s="272" t="n"/>
      <x:c r="Y1" s="272" t="n"/>
      <x:c r="Z1" s="272" t="n"/>
    </x:row>
    <x:row r="2">
      <x:c r="A2" t="str">
        <x:v>FACTORY</x:v>
      </x:c>
      <x:c r="B2" t="str">
        <x:v>congtytnhhhanacosvietnamchinhanhtantao</x:v>
      </x:c>
      <x:c r="C2" t="str">
        <x:v>CÔNG TY TNHH HANACOS VIETNAM - CHI NHÁNH TÂN TẠO</x:v>
      </x:c>
      <x:c r="D2" t="str">
        <x:v>CÔNG TY TNHH HANACOS VIETNAM - CHI NHÁNH TÂN TẠO</x:v>
      </x:c>
      <x:c r="E2" t="n">
        <x:v>2</x:v>
      </x:c>
      <x:c r="F2" t="str">
        <x:v>AUTO_CLUSTERED_BY_NORMALIZED_KEY</x:v>
      </x:c>
      <x:c r="G2" t="str">
        <x:v>Cần xác nhận canonical pháp lý/MST/ĐKSXMP khi có dữ liệu.</x:v>
      </x:c>
    </x:row>
    <x:row r="3">
      <x:c r="A3" t="str">
        <x:v>FACTORY</x:v>
      </x:c>
      <x:c r="B3" t="str">
        <x:v>congtytnhhhanacosvietnamchinhanhtantao</x:v>
      </x:c>
      <x:c r="C3" t="str">
        <x:v>CÔNG TY TNHH HANACOS VIETNAM - CHI NHÁNH TÂN TẠO</x:v>
      </x:c>
      <x:c r="D3" t="str">
        <x:v>CÔNG TY TNHH HANACOS VIETNAM – CHI NHÁNH TÂN TẠO</x:v>
      </x:c>
      <x:c r="E3" t="n">
        <x:v>2</x:v>
      </x:c>
      <x:c r="F3" t="str">
        <x:v>AUTO_CLUSTERED_BY_NORMALIZED_KEY</x:v>
      </x:c>
      <x:c r="G3" t="str">
        <x:v>Cần xác nhận canonical pháp lý/MST/ĐKSXMP khi có dữ liệu.</x:v>
      </x:c>
    </x:row>
    <x:row r="4">
      <x:c r="A4" t="str">
        <x:v>FACTORY</x:v>
      </x:c>
      <x:c r="B4" t="str">
        <x:v>chinhanhtantaocongtycophanduocmyphamgiaphu</x:v>
      </x:c>
      <x:c r="C4" t="str">
        <x:v>CHI NHÁNH TÂN TẠO - CÔNG TY CỔ PHẦN DƯỢC &amp; MỸ PHẨM GIA PHÚ</x:v>
      </x:c>
      <x:c r="D4" t="str">
        <x:v>CHI NHÁNH TÂN TẠO - CÔNG TY CỔ PHẦN DƯỢC &amp; MỸ PHẨM GIA PHÚ</x:v>
      </x:c>
      <x:c r="E4" t="n">
        <x:v>2</x:v>
      </x:c>
      <x:c r="F4" t="str">
        <x:v>AUTO_CLUSTERED_BY_NORMALIZED_KEY</x:v>
      </x:c>
      <x:c r="G4" t="str">
        <x:v>Cần xác nhận canonical pháp lý/MST/ĐKSXMP khi có dữ liệu.</x:v>
      </x:c>
    </x:row>
    <x:row r="5">
      <x:c r="A5" t="str">
        <x:v>FACTORY</x:v>
      </x:c>
      <x:c r="B5" t="str">
        <x:v>chinhanhtantaocongtycophanduocmyphamgiaphu</x:v>
      </x:c>
      <x:c r="C5" t="str">
        <x:v>CHI NHÁNH TÂN TẠO - CÔNG TY CỔ PHẦN DƯỢC &amp; MỸ PHẨM GIA PHÚ</x:v>
      </x:c>
      <x:c r="D5" t="str">
        <x:v>CHI NHÁNH TÂN TẠO – CÔNG TY CỔ PHẦN DƯỢC &amp; MỸ PHẨM GIA PHÚ</x:v>
      </x:c>
      <x:c r="E5" t="n">
        <x:v>2</x:v>
      </x:c>
      <x:c r="F5" t="str">
        <x:v>AUTO_CLUSTERED_BY_NORMALIZED_KEY</x:v>
      </x:c>
      <x:c r="G5" t="str">
        <x:v>Cần xác nhận canonical pháp lý/MST/ĐKSXMP khi có dữ liệu.</x:v>
      </x:c>
    </x:row>
    <x:row r="6">
      <x:c r="A6" t="str">
        <x:v>FACTORY</x:v>
      </x:c>
      <x:c r="B6" t="str">
        <x:v>chinhanhcongtytnhhautusanxuatvaxuatnhapkhaukannacosmetics</x:v>
      </x:c>
      <x:c r="C6" t="str">
        <x:v>CHI NHÁNH CÔNG TY TNHH ĐẦU TƯ SẢN XUẤT VÀ XUẤT NHẬP KHẨU KANNA COSMETICS</x:v>
      </x:c>
      <x:c r="D6" t="str">
        <x:v>CHI NHÁNH CÔNG TY TNHH ĐẦU TƯ SẢN XUẤT VÀ XUẤT NHẬP KHẨU KANNA COSMETICS</x:v>
      </x:c>
      <x:c r="E6" t="n">
        <x:v>2</x:v>
      </x:c>
      <x:c r="F6" t="str">
        <x:v>AUTO_CLUSTERED_BY_NORMALIZED_KEY</x:v>
      </x:c>
      <x:c r="G6" t="str">
        <x:v>Cần xác nhận canonical pháp lý/MST/ĐKSXMP khi có dữ liệu.</x:v>
      </x:c>
    </x:row>
    <x:row r="7">
      <x:c r="A7" t="str">
        <x:v>FACTORY</x:v>
      </x:c>
      <x:c r="B7" t="str">
        <x:v>chinhanhcongtytnhhautusanxuatvaxuatnhapkhaukannacosmetics</x:v>
      </x:c>
      <x:c r="C7" t="str">
        <x:v>CHI NHÁNH CÔNG TY TNHH ĐẦU TƯ SẢN XUẤT VÀ XUẤT NHẬP KHẨU KANNA COSMETICS</x:v>
      </x:c>
      <x:c r="D7" t="str">
        <x:v>Chi nhánh Công ty TNHH Đầu tư sản xuất và Xuất nhập khẩu Kanna Cosmetics</x:v>
      </x:c>
      <x:c r="E7" t="n">
        <x:v>2</x:v>
      </x:c>
      <x:c r="F7" t="str">
        <x:v>AUTO_CLUSTERED_BY_NORMALIZED_KEY</x:v>
      </x:c>
      <x:c r="G7" t="str">
        <x:v>Cần xác nhận canonical pháp lý/MST/ĐKSXMP khi có dữ liệu.</x:v>
      </x:c>
    </x:row>
    <x:row r="8">
      <x:c r="A8" t="str">
        <x:v>FACTORY</x:v>
      </x:c>
      <x:c r="B8" t="str">
        <x:v>congtycophanduocmyphamhanhtinhxanh</x:v>
      </x:c>
      <x:c r="C8" t="str">
        <x:v>Công ty Cổ phần Dược Mỹ phẩm Hành Tinh Xanh</x:v>
      </x:c>
      <x:c r="D8" t="str">
        <x:v>Công ty Cổ phần Dược Mỹ phẩm Hành Tinh Xanh</x:v>
      </x:c>
      <x:c r="E8" t="n">
        <x:v>2</x:v>
      </x:c>
      <x:c r="F8" t="str">
        <x:v>AUTO_CLUSTERED_BY_NORMALIZED_KEY</x:v>
      </x:c>
      <x:c r="G8" t="str">
        <x:v>Cần xác nhận canonical pháp lý/MST/ĐKSXMP khi có dữ liệu.</x:v>
      </x:c>
    </x:row>
    <x:row r="9">
      <x:c r="A9" t="str">
        <x:v>FACTORY</x:v>
      </x:c>
      <x:c r="B9" t="str">
        <x:v>congtycophanduocmyphamhanhtinhxanh</x:v>
      </x:c>
      <x:c r="C9" t="str">
        <x:v>Công ty Cổ phần Dược Mỹ phẩm Hành Tinh Xanh</x:v>
      </x:c>
      <x:c r="D9" t="str">
        <x:v>Công ty Cổ phần Dược mỹ phẩm Hành Tinh Xanh</x:v>
      </x:c>
      <x:c r="E9" t="n">
        <x:v>2</x:v>
      </x:c>
      <x:c r="F9" t="str">
        <x:v>AUTO_CLUSTERED_BY_NORMALIZED_KEY</x:v>
      </x:c>
      <x:c r="G9" t="str">
        <x:v>Cần xác nhận canonical pháp lý/MST/ĐKSXMP khi có dữ liệu.</x:v>
      </x:c>
    </x:row>
  </x:sheetData>
  <x:pageMargins left="0.7" right="0.7" top="0.75" bottom="0.75" header="0.3" footer="0.3"/>
</x:worksheet>
</file>

<file path=xl/worksheets/sheet64.xml><?xml version="1.0" encoding="utf-8"?>
<x:worksheet xmlns:x="http://schemas.openxmlformats.org/spreadsheetml/2006/main">
  <x:sheetFormatPr baseColWidth="8" defaultRowHeight="15"/>
  <x:cols>
    <x:col min="1" max="1" width="10" style="91" customWidth="1"/>
    <x:col min="2" max="2" width="26" style="91" customWidth="1"/>
    <x:col min="3" max="3" width="58" style="91" customWidth="1"/>
    <x:col min="4" max="4" width="22" style="91" customWidth="1"/>
    <x:col min="5" max="5" width="18" style="91" customWidth="1"/>
    <x:col min="6" max="6" width="44" style="91" customWidth="1"/>
    <x:col min="7" max="7" width="28" style="91" customWidth="1"/>
    <x:col min="8" max="8" width="48" style="91" customWidth="1"/>
    <x:col min="9" max="9" width="76" style="91" customWidth="1"/>
  </x:cols>
  <x:sheetData>
    <x:row r="1" s="91" customFormat="1" ht="48" customHeight="1">
      <x:c r="A1" s="295" t="inlineStr">
        <x:is>
          <x:t xml:space="preserve">Ưu tiên</x:t>
        </x:is>
      </x:c>
      <x:c r="B1" s="295" t="inlineStr">
        <x:is>
          <x:t xml:space="preserve">Cụm/Khu vực</x:t>
        </x:is>
      </x:c>
      <x:c r="C1" s="295" t="inlineStr">
        <x:is>
          <x:t xml:space="preserve">Nhà máy/Cơ sở</x:t>
        </x:is>
      </x:c>
      <x:c r="D1" s="295" t="inlineStr">
        <x:is>
          <x:t xml:space="preserve">Số ĐKSXMP</x:t>
        </x:is>
      </x:c>
      <x:c r="E1" s="295" t="inlineStr">
        <x:is>
          <x:t xml:space="preserve">Trạng thái</x:t>
        </x:is>
      </x:c>
      <x:c r="F1" s="295" t="inlineStr">
        <x:is>
          <x:t xml:space="preserve">Loại năng lực</x:t>
        </x:is>
      </x:c>
      <x:c r="G1" s="295" t="inlineStr">
        <x:is>
          <x:t xml:space="preserve">KCN/Khu SX</x:t>
        </x:is>
      </x:c>
      <x:c r="H1" s="295" t="inlineStr">
        <x:is>
          <x:t xml:space="preserve">Góc nhìn OEM</x:t>
        </x:is>
      </x:c>
      <x:c r="I1" s="295" t="inlineStr">
        <x:is>
          <x:t xml:space="preserve">Nguồn</x:t>
        </x:is>
      </x:c>
    </x:row>
    <x:row r="2">
      <x:c r="A2" t="inlineStr">
        <x:is>
          <x:t xml:space="preserve">A++</x:t>
        </x:is>
      </x:c>
      <x:c r="B2" t="inlineStr">
        <x:is>
          <x:t xml:space="preserve">Bình Tân / Tân Tạo</x:t>
        </x:is>
      </x:c>
      <x:c r="C2" t="inlineStr">
        <x:is>
          <x:t xml:space="preserve">Chi Nhánh Công ty TNHH Hanacos VietNam</x:t>
        </x:is>
      </x:c>
      <x:c r="D2" t="inlineStr">
        <x:is>
          <x:t xml:space="preserve">18/HCM-ĐĐKSXMP</x:t>
        </x:is>
      </x:c>
      <x:c r="E2" t="inlineStr">
        <x:is>
          <x:t xml:space="preserve">Đang hoạt động</x:t>
        </x:is>
      </x:c>
      <x:c r="F2" t="inlineStr">
        <x:is>
          <x:t xml:space="preserve">Sản phẩm dạng ướt</x:t>
        </x:is>
      </x:c>
      <x:c r="G2" t="inlineStr">
        <x:is>
          <x:t xml:space="preserve">Bình Tân</x:t>
        </x:is>
      </x:c>
      <x:c r="H2" t="inlineStr">
        <x:is>
          <x:t xml:space="preserve">Đã thấy nhiều brand/sản phẩm trong MASTER; ưu tiên cross-match OEM</x:t>
        </x:is>
      </x:c>
      <x:c r="I2" t="inlineStr">
        <x:is>
          <x:t xml:space="preserve">https://tracuu.medinet.org.vn/category/cosodulieukhac/gxn-ddksxmp</x:t>
        </x:is>
      </x:c>
    </x:row>
    <x:row r="3">
      <x:c r="A3" t="inlineStr">
        <x:is>
          <x:t xml:space="preserve">A++</x:t>
        </x:is>
      </x:c>
      <x:c r="B3" t="inlineStr">
        <x:is>
          <x:t xml:space="preserve">Bình Tân / Tân Tạo</x:t>
        </x:is>
      </x:c>
      <x:c r="C3" t="inlineStr">
        <x:is>
          <x:t xml:space="preserve">Công ty Cổ phần Dược phẩm Phương Đông - Chi nhánh 1</x:t>
        </x:is>
      </x:c>
      <x:c r="D3" t="inlineStr">
        <x:is>
          <x:t xml:space="preserve">167/HCM-ĐĐKSXMP</x:t>
        </x:is>
      </x:c>
      <x:c r="E3" t="inlineStr">
        <x:is>
          <x:t xml:space="preserve">Đang hoạt động</x:t>
        </x:is>
      </x:c>
      <x:c r="F3" t="inlineStr">
        <x:is>
          <x:t xml:space="preserve">Khô + ướt + đóng gói</x:t>
        </x:is>
      </x:c>
      <x:c r="G3" t="inlineStr">
        <x:is>
          <x:t xml:space="preserve">KCN Tân Tạo</x:t>
        </x:is>
      </x:c>
      <x:c r="H3" t="inlineStr">
        <x:is>
          <x:t xml:space="preserve">Năng lực đa dạng; ưu tiên truy sản phẩm/brand</x:t>
        </x:is>
      </x:c>
      <x:c r="I3" t="inlineStr">
        <x:is>
          <x:t xml:space="preserve">https://tracuu.medinet.org.vn/category/cosodulieukhac/gxn-ddksxmp</x:t>
        </x:is>
      </x:c>
    </x:row>
    <x:row r="4">
      <x:c r="A4" t="inlineStr">
        <x:is>
          <x:t xml:space="preserve">A++</x:t>
        </x:is>
      </x:c>
      <x:c r="B4" t="inlineStr">
        <x:is>
          <x:t xml:space="preserve">Bình Tân / Tân Tạo</x:t>
        </x:is>
      </x:c>
      <x:c r="C4" t="inlineStr">
        <x:is>
          <x:t xml:space="preserve">CHI NHÁNH CÔNG TY TNHH SẢN XUẤT THƯƠNG MẠI XUẤT NHẬP KHẨU TẠ MINH QUANG - NHÀ MÁY MỸ PHẨM TẠ MINH QUANG</x:t>
        </x:is>
      </x:c>
      <x:c r="D4" t="inlineStr">
        <x:is>
          <x:t xml:space="preserve">085/HCM-ĐKSXMP</x:t>
        </x:is>
      </x:c>
      <x:c r="E4" t="inlineStr">
        <x:is>
          <x:t xml:space="preserve">Đang hoạt động</x:t>
        </x:is>
      </x:c>
      <x:c r="F4" t="inlineStr">
        <x:is>
          <x:t xml:space="preserve">Bán thành phẩm + sản phẩm ướt</x:t>
        </x:is>
      </x:c>
      <x:c r="G4" t="inlineStr">
        <x:is>
          <x:t xml:space="preserve">KCN Tân Tạo mở rộng</x:t>
        </x:is>
      </x:c>
      <x:c r="H4" t="inlineStr">
        <x:is>
          <x:t xml:space="preserve">Cụm OEM trọng điểm</x:t>
        </x:is>
      </x:c>
      <x:c r="I4" t="inlineStr">
        <x:is>
          <x:t xml:space="preserve">https://tracuu.medinet.org.vn/category/cosodulieukhac/gxn-ddksxmp</x:t>
        </x:is>
      </x:c>
    </x:row>
    <x:row r="5">
      <x:c r="A5" t="inlineStr">
        <x:is>
          <x:t xml:space="preserve">A++</x:t>
        </x:is>
      </x:c>
      <x:c r="B5" t="inlineStr">
        <x:is>
          <x:t xml:space="preserve">Củ Chi / KCN Đông Nam</x:t>
        </x:is>
      </x:c>
      <x:c r="C5" t="inlineStr">
        <x:is>
          <x:t xml:space="preserve">CHI NHÁNH CÔNG TY TNHH HULO CARE – NHÀ MÁY MỸ PHẨM</x:t>
        </x:is>
      </x:c>
      <x:c r="D5" t="inlineStr">
        <x:is>
          <x:t xml:space="preserve">00247/HCM-ĐKSXMP</x:t>
        </x:is>
      </x:c>
      <x:c r="E5" t="inlineStr">
        <x:is>
          <x:t xml:space="preserve">Đang hoạt động</x:t>
        </x:is>
      </x:c>
      <x:c r="F5" t="inlineStr">
        <x:is>
          <x:t xml:space="preserve">Đóng gói + bán thành phẩm + sản phẩm ướt</x:t>
        </x:is>
      </x:c>
      <x:c r="G5" t="inlineStr">
        <x:is>
          <x:t xml:space="preserve">KCN Đông Nam</x:t>
        </x:is>
      </x:c>
      <x:c r="H5" t="inlineStr">
        <x:is>
          <x:t xml:space="preserve">Nhà xưởng trong KCN; ưu tiên reverse lookup</x:t>
        </x:is>
      </x:c>
      <x:c r="I5" t="inlineStr">
        <x:is>
          <x:t xml:space="preserve">https://tracuu.medinet.org.vn/category/cosodulieukhac/gxn-ddksxmp</x:t>
        </x:is>
      </x:c>
    </x:row>
    <x:row r="6">
      <x:c r="A6" t="inlineStr">
        <x:is>
          <x:t xml:space="preserve">A</x:t>
        </x:is>
      </x:c>
      <x:c r="B6" t="inlineStr">
        <x:is>
          <x:t xml:space="preserve">Củ Chi / Bình Mỹ</x:t>
        </x:is>
      </x:c>
      <x:c r="C6" t="inlineStr">
        <x:is>
          <x:t xml:space="preserve">Chi nhánh Công ty TNHH Sản xuất Thương mại Dịch vụ Con Tra - Xưởng sản xuất</x:t>
        </x:is>
      </x:c>
      <x:c r="D6" t="inlineStr">
        <x:is>
          <x:t xml:space="preserve">149/HCM-ĐĐKSXMP</x:t>
        </x:is>
      </x:c>
      <x:c r="E6" t="inlineStr">
        <x:is>
          <x:t xml:space="preserve">Đang hoạt động</x:t>
        </x:is>
      </x:c>
      <x:c r="F6" t="inlineStr">
        <x:is>
          <x:t xml:space="preserve">Đóng gói + bán thành phẩm + sản phẩm ướt</x:t>
        </x:is>
      </x:c>
      <x:c r="G6" t="inlineStr">
        <x:is>
          <x:t xml:space="preserve">Bình Mỹ</x:t>
        </x:is>
      </x:c>
      <x:c r="H6" t="inlineStr">
        <x:is>
          <x:t xml:space="preserve">Cùng cụm sản xuất phía Bắc TP.HCM</x:t>
        </x:is>
      </x:c>
      <x:c r="I6" t="inlineStr">
        <x:is>
          <x:t xml:space="preserve">https://tracuu.medinet.org.vn/category/cosodulieukhac/gxn-ddksxmp</x:t>
        </x:is>
      </x:c>
    </x:row>
    <x:row r="7">
      <x:c r="A7" t="inlineStr">
        <x:is>
          <x:t xml:space="preserve">A</x:t>
        </x:is>
      </x:c>
      <x:c r="B7" t="inlineStr">
        <x:is>
          <x:t xml:space="preserve">Quận 12 / Thạnh Xuân</x:t>
        </x:is>
      </x:c>
      <x:c r="C7" t="inlineStr">
        <x:is>
          <x:t xml:space="preserve">Công ty TNHH Hataphaco</x:t>
        </x:is>
      </x:c>
      <x:c r="D7" t="inlineStr">
        <x:is>
          <x:t xml:space="preserve">229/HCM-ĐĐKSXMP</x:t>
        </x:is>
      </x:c>
      <x:c r="E7" t="inlineStr">
        <x:is>
          <x:t xml:space="preserve">Đang hoạt động</x:t>
        </x:is>
      </x:c>
      <x:c r="F7" t="inlineStr">
        <x:is>
          <x:t xml:space="preserve">Đóng gói + bán thành phẩm + sản phẩm ướt</x:t>
        </x:is>
      </x:c>
      <x:c r="G7" t="inlineStr">
        <x:is>
          <x:t xml:space="preserve">Thạnh Xuân</x:t>
        </x:is>
      </x:c>
      <x:c r="H7" t="inlineStr">
        <x:is>
          <x:t xml:space="preserve">Ưu tiên truy danh mục OEM/brand</x:t>
        </x:is>
      </x:c>
      <x:c r="I7" t="inlineStr">
        <x:is>
          <x:t xml:space="preserve">https://tracuu.medinet.org.vn/category/cosodulieukhac/gxn-ddksxmp</x:t>
        </x:is>
      </x:c>
    </x:row>
    <x:row r="8">
      <x:c r="A8" t="inlineStr">
        <x:is>
          <x:t xml:space="preserve">A</x:t>
        </x:is>
      </x:c>
      <x:c r="B8" t="inlineStr">
        <x:is>
          <x:t xml:space="preserve">Quận 12 / Tân Thới Nhất</x:t>
        </x:is>
      </x:c>
      <x:c r="C8" t="inlineStr">
        <x:is>
          <x:t xml:space="preserve">Công ty TNHH Sản xuất Mỹ phẩm Thanh Trang</x:t>
        </x:is>
      </x:c>
      <x:c r="D8" t="inlineStr">
        <x:is>
          <x:t xml:space="preserve">74/HCM-ĐĐKSXMP</x:t>
        </x:is>
      </x:c>
      <x:c r="E8" t="inlineStr">
        <x:is>
          <x:t xml:space="preserve">Đang hoạt động</x:t>
        </x:is>
      </x:c>
      <x:c r="F8" t="inlineStr">
        <x:is>
          <x:t xml:space="preserve">Ướt + khô + đóng gói</x:t>
        </x:is>
      </x:c>
      <x:c r="G8" t="inlineStr">
        <x:is>
          <x:t xml:space="preserve">Tân Thới Nhất</x:t>
        </x:is>
      </x:c>
      <x:c r="H8" t="inlineStr">
        <x:is>
          <x:t xml:space="preserve">Năng lực cả khô/ướt</x:t>
        </x:is>
      </x:c>
      <x:c r="I8" t="inlineStr">
        <x:is>
          <x:t xml:space="preserve">https://tracuu.medinet.org.vn/category/cosodulieukhac/gxn-ddksxmp</x:t>
        </x:is>
      </x:c>
    </x:row>
    <x:row r="9">
      <x:c r="A9" t="inlineStr">
        <x:is>
          <x:t xml:space="preserve">A</x:t>
        </x:is>
      </x:c>
      <x:c r="B9" t="inlineStr">
        <x:is>
          <x:t xml:space="preserve">Thủ Đức / Tam Bình</x:t>
        </x:is>
      </x:c>
      <x:c r="C9" t="inlineStr">
        <x:is>
          <x:t xml:space="preserve">Công ty TNHH Sản xuất Dược mỹ phẩm AVB Chi nhánh Công ty TNHH Thương mại Sản xuất Xuất nhập khẩu Trinh Âu</x:t>
        </x:is>
      </x:c>
      <x:c r="D9" t="inlineStr">
        <x:is>
          <x:t xml:space="preserve">185/HCM-ĐĐKSXMP</x:t>
        </x:is>
      </x:c>
      <x:c r="E9" t="inlineStr">
        <x:is>
          <x:t xml:space="preserve">Đang hoạt động</x:t>
        </x:is>
      </x:c>
      <x:c r="F9" t="inlineStr">
        <x:is>
          <x:t xml:space="preserve">Đóng gói + bán thành phẩm + sản phẩm ướt</x:t>
        </x:is>
      </x:c>
      <x:c r="G9" t="inlineStr">
        <x:is>
          <x:t xml:space="preserve">Tam Bình</x:t>
        </x:is>
      </x:c>
      <x:c r="H9" t="inlineStr">
        <x:is>
          <x:t xml:space="preserve">Ưu tiên truy sản phẩm/brand</x:t>
        </x:is>
      </x:c>
      <x:c r="I9" t="inlineStr">
        <x:is>
          <x:t xml:space="preserve">https://tracuu.medinet.org.vn/category/cosodulieukhac/gxn-ddksxmp</x:t>
        </x:is>
      </x:c>
    </x:row>
    <x:row r="10">
      <x:c r="A10" t="inlineStr">
        <x:is>
          <x:t xml:space="preserve">A</x:t>
        </x:is>
      </x:c>
      <x:c r="B10" t="inlineStr">
        <x:is>
          <x:t xml:space="preserve">Thủ Đức / Hiệp Bình Chánh</x:t>
        </x:is>
      </x:c>
      <x:c r="C10" t="inlineStr">
        <x:is>
          <x:t xml:space="preserve">CHI NHÁNH CÔNG TY TNHH ERACOS BEAUTY</x:t>
        </x:is>
      </x:c>
      <x:c r="D10" t="inlineStr">
        <x:is>
          <x:t xml:space="preserve">00250/HCM-ĐKSXMP</x:t>
        </x:is>
      </x:c>
      <x:c r="E10" t="inlineStr">
        <x:is>
          <x:t xml:space="preserve">Đang hoạt động</x:t>
        </x:is>
      </x:c>
      <x:c r="F10" t="inlineStr">
        <x:is>
          <x:t xml:space="preserve">Đóng gói + bán thành phẩm + sản phẩm ướt</x:t>
        </x:is>
      </x:c>
      <x:c r="G10" t="inlineStr">
        <x:is>
          <x:t xml:space="preserve">Hiệp Bình Chánh</x:t>
        </x:is>
      </x:c>
      <x:c r="H10" t="inlineStr">
        <x:is>
          <x:t xml:space="preserve">Nguồn 2025, đang hoạt động</x:t>
        </x:is>
      </x:c>
      <x:c r="I10" t="inlineStr">
        <x:is>
          <x:t xml:space="preserve">https://tracuu.medinet.org.vn/category/cosodulieukhac/gxn-ddksxmp</x:t>
        </x:is>
      </x:c>
    </x:row>
    <x:row r="11">
      <x:c r="A11" t="inlineStr">
        <x:is>
          <x:t xml:space="preserve">A</x:t>
        </x:is>
      </x:c>
      <x:c r="B11" t="inlineStr">
        <x:is>
          <x:t xml:space="preserve">Gò Vấp</x:t>
        </x:is>
      </x:c>
      <x:c r="C11" t="inlineStr">
        <x:is>
          <x:t xml:space="preserve">Công ty TNHH Mỹ phẩm Minh Long</x:t>
        </x:is>
      </x:c>
      <x:c r="D11" t="inlineStr">
        <x:is>
          <x:t xml:space="preserve">183/HCM-ĐĐKSXMP</x:t>
        </x:is>
      </x:c>
      <x:c r="E11" t="inlineStr">
        <x:is>
          <x:t xml:space="preserve">Đang hoạt động</x:t>
        </x:is>
      </x:c>
      <x:c r="F11" t="inlineStr">
        <x:is>
          <x:t xml:space="preserve">Đóng gói + bán thành phẩm + sản phẩm ướt</x:t>
        </x:is>
      </x:c>
      <x:c r="G11" t="inlineStr">
        <x:is>
          <x:t xml:space="preserve">Gò Vấp</x:t>
        </x:is>
      </x:c>
      <x:c r="H11" t="inlineStr">
        <x:is>
          <x:t xml:space="preserve">Ưu tiên truy sản phẩm/brand</x:t>
        </x:is>
      </x:c>
      <x:c r="I11" t="inlineStr">
        <x:is>
          <x:t xml:space="preserve">https://tracuu.medinet.org.vn/category/cosodulieukhac/gxn-ddksxmp</x:t>
        </x:is>
      </x:c>
    </x:row>
    <x:row r="12">
      <x:c r="A12" t="inlineStr">
        <x:is>
          <x:t xml:space="preserve">A</x:t>
        </x:is>
      </x:c>
      <x:c r="B12" t="inlineStr">
        <x:is>
          <x:t xml:space="preserve">Gò Vấp</x:t>
        </x:is>
      </x:c>
      <x:c r="C12" t="inlineStr">
        <x:is>
          <x:t xml:space="preserve">CÔNG TY TNHH NHÀ MÁY SẢN XUẤT DƯỢC MỸ PHẨM BIO-A GROUP</x:t>
        </x:is>
      </x:c>
      <x:c r="D12" t="inlineStr">
        <x:is>
          <x:t xml:space="preserve">00257/HCM-ĐKSXMP</x:t>
        </x:is>
      </x:c>
      <x:c r="E12" t="inlineStr">
        <x:is>
          <x:t xml:space="preserve">Đang hoạt động</x:t>
        </x:is>
      </x:c>
      <x:c r="F12" t="inlineStr">
        <x:is>
          <x:t xml:space="preserve">Đóng gói + bán thành phẩm + sản phẩm ướt</x:t>
        </x:is>
      </x:c>
      <x:c r="G12" t="inlineStr">
        <x:is>
          <x:t xml:space="preserve">Gò Vấp</x:t>
        </x:is>
      </x:c>
      <x:c r="H12" t="inlineStr">
        <x:is>
          <x:t xml:space="preserve">Nguồn 2025; ưu tiên OEM</x:t>
        </x:is>
      </x:c>
      <x:c r="I12" t="inlineStr">
        <x:is>
          <x:t xml:space="preserve">https://tracuu.medinet.org.vn/category/cosodulieukhac/gxn-ddksxmp</x:t>
        </x:is>
      </x:c>
    </x:row>
    <x:row r="13">
      <x:c r="A13" t="inlineStr">
        <x:is>
          <x:t xml:space="preserve">A</x:t>
        </x:is>
      </x:c>
      <x:c r="B13" t="inlineStr">
        <x:is>
          <x:t xml:space="preserve">Quận 4</x:t>
        </x:is>
      </x:c>
      <x:c r="C13" t="inlineStr">
        <x:is>
          <x:t xml:space="preserve">CÔNG TY TNHH NHÀ MÁY SX DƯỢC MỸ PHẨM - TRANG THIẾT BỊ Y TẾ LAPKOREA</x:t>
        </x:is>
      </x:c>
      <x:c r="D13" t="inlineStr">
        <x:is>
          <x:t xml:space="preserve">00248/HCM-ĐKSXMP</x:t>
        </x:is>
      </x:c>
      <x:c r="E13" t="inlineStr">
        <x:is>
          <x:t xml:space="preserve">Đang hoạt động</x:t>
        </x:is>
      </x:c>
      <x:c r="F13" t="inlineStr">
        <x:is>
          <x:t xml:space="preserve">Ướt + dạng khác + đóng gói</x:t>
        </x:is>
      </x:c>
      <x:c r="G13" t="inlineStr">
        <x:is>
          <x:t xml:space="preserve">Quận 4</x:t>
        </x:is>
      </x:c>
      <x:c r="H13" t="inlineStr">
        <x:is>
          <x:t xml:space="preserve">Năng lực dạng khác đáng chú ý</x:t>
        </x:is>
      </x:c>
      <x:c r="I13" t="inlineStr">
        <x:is>
          <x:t xml:space="preserve">https://tracuu.medinet.org.vn/category/cosodulieukhac/gxn-ddksxmp</x:t>
        </x:is>
      </x:c>
    </x:row>
    <x:row r="14">
      <x:c r="A14" t="inlineStr">
        <x:is>
          <x:t xml:space="preserve">A++</x:t>
        </x:is>
      </x:c>
      <x:c r="B14" t="inlineStr">
        <x:is>
          <x:t xml:space="preserve">VSIP / Bình Dương cũ</x:t>
        </x:is>
      </x:c>
      <x:c r="C14" t="inlineStr">
        <x:is>
          <x:t xml:space="preserve">CÔNG TY TRÁCH NHIỆM HỮU HẠN WIPRO CONSUMER CARE VIỆT NAM</x:t>
        </x:is>
      </x:c>
      <x:c r="D14" t="inlineStr">
        <x:is>
          <x:t xml:space="preserve">00258/HCM-ĐKSXMP</x:t>
        </x:is>
      </x:c>
      <x:c r="E14" t="inlineStr">
        <x:is>
          <x:t xml:space="preserve">Đang hoạt động</x:t>
        </x:is>
      </x:c>
      <x:c r="F14" t="inlineStr">
        <x:is>
          <x:t xml:space="preserve">Sản phẩm ướt + khô</x:t>
        </x:is>
      </x:c>
      <x:c r="G14" t="inlineStr">
        <x:is>
          <x:t xml:space="preserve">VSIP</x:t>
        </x:is>
      </x:c>
      <x:c r="H14" t="inlineStr">
        <x:is>
          <x:t xml:space="preserve">Cụm công nghiệp lớn; nằm trong TP.HCM mới</x:t>
        </x:is>
      </x:c>
      <x:c r="I14" t="inlineStr">
        <x:is>
          <x:t xml:space="preserve">https://tracuu.medinet.org.vn/category/cosodulieukhac/gxn-ddksxmp</x:t>
        </x:is>
      </x:c>
    </x:row>
  </x:sheetData>
  <x:pageMargins left="0.7" right="0.7" top="0.75" bottom="0.75" header="0.3" footer="0.3"/>
</x:worksheet>
</file>

<file path=xl/worksheets/sheet65.xml><?xml version="1.0" encoding="utf-8"?>
<x:worksheet xmlns:x="http://schemas.openxmlformats.org/spreadsheetml/2006/main">
  <x:sheetFormatPr baseColWidth="8" defaultRowHeight="15"/>
  <x:cols>
    <x:col min="1" max="1" width="14" style="91" customWidth="1"/>
    <x:col min="2" max="2" width="16" style="91" customWidth="1"/>
    <x:col min="3" max="3" width="10" style="91" customWidth="1"/>
    <x:col min="4" max="4" width="15" style="91" customWidth="1"/>
    <x:col min="5" max="5" width="15" style="91" customWidth="1"/>
    <x:col min="6" max="6" width="24" style="91" customWidth="1"/>
    <x:col min="7" max="7" width="48" style="91" customWidth="1"/>
    <x:col min="8" max="8" width="48" style="91" customWidth="1"/>
    <x:col min="9" max="9" width="22" style="91" customWidth="1"/>
    <x:col min="10" max="10" width="48" style="91" customWidth="1"/>
    <x:col min="11" max="11" width="20" style="91" customWidth="1"/>
    <x:col min="12" max="12" width="28" style="91" customWidth="1"/>
    <x:col min="13" max="13" width="20" style="91" customWidth="1"/>
    <x:col min="14" max="14" width="34" style="91" customWidth="1"/>
    <x:col min="15" max="15" width="78" style="91" customWidth="1"/>
    <x:col min="16" max="16" width="64" style="91" customWidth="1"/>
    <x:col min="17" max="17" width="10" style="91" customWidth="1"/>
    <x:col min="19" max="19" width="28" style="91" customWidth="1"/>
    <x:col min="20" max="20" width="14" style="91" customWidth="1"/>
    <x:col min="21" max="21" width="34" style="91" customWidth="1"/>
    <x:col min="22" max="22" width="54" style="91" customWidth="1"/>
  </x:cols>
  <x:sheetData>
    <x:row r="1" s="91" customFormat="1" ht="48" customHeight="1">
      <x:c r="A1" s="302" t="inlineStr">
        <x:is>
          <x:t xml:space="preserve">Scope ID</x:t>
        </x:is>
      </x:c>
      <x:c r="B1" s="302" t="inlineStr">
        <x:is>
          <x:t xml:space="preserve">Nguồn pháp lý</x:t>
        </x:is>
      </x:c>
      <x:c r="C1" s="302" t="inlineStr">
        <x:is>
          <x:t xml:space="preserve">Năm cấp</x:t>
        </x:is>
      </x:c>
      <x:c r="D1" s="302" t="inlineStr">
        <x:is>
          <x:t xml:space="preserve">Ngày cấp</x:t>
        </x:is>
      </x:c>
      <x:c r="E1" s="302" t="inlineStr">
        <x:is>
          <x:t xml:space="preserve">Ngày hết hạn 5 năm</x:t>
        </x:is>
      </x:c>
      <x:c r="F1" s="302" t="inlineStr">
        <x:is>
          <x:t xml:space="preserve">Số công bố</x:t>
        </x:is>
      </x:c>
      <x:c r="G1" s="302" t="inlineStr">
        <x:is>
          <x:t xml:space="preserve">Tên công ty chịu trách nhiệm</x:t>
        </x:is>
      </x:c>
      <x:c r="H1" s="302" t="inlineStr">
        <x:is>
          <x:t xml:space="preserve">Tên sản phẩm</x:t>
        </x:is>
      </x:c>
      <x:c r="I1" s="302" t="inlineStr">
        <x:is>
          <x:t xml:space="preserve">Thương hiệu</x:t>
        </x:is>
      </x:c>
      <x:c r="J1" s="302" t="inlineStr">
        <x:is>
          <x:t xml:space="preserve">Nhà sản xuất</x:t>
        </x:is>
      </x:c>
      <x:c r="K1" s="302" t="inlineStr">
        <x:is>
          <x:t xml:space="preserve">Tỉnh/TP nguồn</x:t>
        </x:is>
      </x:c>
      <x:c r="L1" s="302" t="inlineStr">
        <x:is>
          <x:t xml:space="preserve">Trạng thái pháp lý hiện có</x:t>
        </x:is>
      </x:c>
      <x:c r="M1" s="302" t="inlineStr">
        <x:is>
          <x:t xml:space="preserve">Trạng thái hiệu lực 5 năm</x:t>
        </x:is>
      </x:c>
      <x:c r="N1" s="302" t="inlineStr">
        <x:is>
          <x:t xml:space="preserve">Mức xác minh</x:t>
        </x:is>
      </x:c>
      <x:c r="O1" s="302" t="inlineStr">
        <x:is>
          <x:t xml:space="preserve">URL nguồn</x:t>
        </x:is>
      </x:c>
      <x:c r="P1" s="302" t="inlineStr">
        <x:is>
          <x:t xml:space="preserve">Ghi chú</x:t>
        </x:is>
      </x:c>
      <x:c r="Q1" s="302" t="inlineStr">
        <x:is>
          <x:t xml:space="preserve">Ưu tiên</x:t>
        </x:is>
      </x:c>
      <x:c r="S1" s="305" t="str">
        <x:v>KPI PUBLIC 2022+</x:v>
      </x:c>
      <x:c r="T1" s="305" t="str">
        <x:v>Giá trị</x:v>
      </x:c>
      <x:c r="U1" s="305" t="str">
        <x:v>Quy tắc</x:v>
      </x:c>
      <x:c r="V1" s="305" t="str">
        <x:v>Ghi chú</x:v>
      </x:c>
    </x:row>
    <x:row r="2">
      <x:c r="A2" t="str">
        <x:v>ACT-00001</x:v>
      </x:c>
      <x:c r="B2" t="str">
        <x:v>NỘI ĐỊA</x:v>
      </x:c>
      <x:c r="C2" t="n">
        <x:v>2026</x:v>
      </x:c>
      <x:c r="D2" s="330" t="n">
        <x:v>46055</x:v>
      </x:c>
      <x:c r="E2" s="330" t="n">
        <x:f>IF(D2="","",DATE(YEAR(D2)+5,MONTH(D2),DAY(D2)))</x:f>
        <x:v>47881</x:v>
      </x:c>
      <x:c r="F2" t="str">
        <x:v>000823/26/CBMP-HCM</x:v>
      </x:c>
      <x:c r="G2" t="str">
        <x:v>CÔNG TY CÔ PHẦN CHARME PERFUME</x:v>
      </x:c>
      <x:c r="H2" t="str">
        <x:v>BKLUXURY LUXURY GIRL</x:v>
      </x:c>
      <x:c r="I2" t="str">
        <x:v>BKLUXURY</x:v>
      </x:c>
      <x:c r="J2" t="str">
        <x:v>NHÀ MÁY CÔNG TY CÔNG TY CỔ PHẦN CHARME PERFUME – ĐỊA ĐIỂM KINH DOANH</x:v>
      </x:c>
      <x:c r="K2" t="str">
        <x:v>TP. Hồ Chí Minh</x:v>
      </x:c>
      <x:c r="L2" t="str">
        <x:v>Chưa đối chiếu thu hồi</x:v>
      </x:c>
      <x:c r="M2" t="str">
        <x:f>IF(D2="","CẦN NGÀY CẤP",IF(E2&gt;=TODAY(),"TRONG 5 NĂM","HẾT 5 NĂM"))</x:f>
        <x:v>TRONG 5 NĂM</x:v>
      </x:c>
      <x:c r="N2" t="str">
        <x:v>Tra cứu trực tiếp Phiếu tiếp nhận Công bố mỹ phẩm – Sở Y tế TP.HCM</x:v>
      </x:c>
      <x:c r="O2" t="str">
        <x:v>https://tracuu.medinet.org.vn/category/cosodulieukhac/congbo-mypham</x:v>
      </x:c>
      <x:c r="P2" t="str">
        <x:v>Không có bằng chứng thu hồi số tiếp nhận trong dữ liệu hiện có.</x:v>
      </x:c>
      <x:c r="Q2" t="str">
        <x:v>A++</x:v>
      </x:c>
      <x:c r="S2" t="str">
        <x:v>Hồ sơ 2022+ không có bằng chứng thu hồi số</x:v>
      </x:c>
      <x:c r="T2" t="n">
        <x:v>120</x:v>
      </x:c>
      <x:c r="U2" t="str">
        <x:v>Local + Import</x:v>
      </x:c>
      <x:c r="V2" t="str">
        <x:v>Batch recall vẫn giữ nếu chưa thấy thu hồi số tiếp nhận.</x:v>
      </x:c>
    </x:row>
    <x:row r="3">
      <x:c r="A3" t="str">
        <x:v>ACT-00002</x:v>
      </x:c>
      <x:c r="B3" t="str">
        <x:v>NỘI ĐỊA</x:v>
      </x:c>
      <x:c r="C3" t="n">
        <x:v>2026</x:v>
      </x:c>
      <x:c r="D3" s="330" t="n">
        <x:v>46055</x:v>
      </x:c>
      <x:c r="E3" s="330" t="n">
        <x:f>IF(D3="","",DATE(YEAR(D3)+5,MONTH(D3),DAY(D3)))</x:f>
        <x:v>47881</x:v>
      </x:c>
      <x:c r="F3" t="str">
        <x:v>000789/26/CBMP-HCM</x:v>
      </x:c>
      <x:c r="G3" t="str">
        <x:v>CÔNG TY CỔ PHẦN CHARME PERFUME</x:v>
      </x:c>
      <x:c r="H3" t="str">
        <x:v>CHARME GOOD MEN</x:v>
      </x:c>
      <x:c r="I3" t="str">
        <x:v>CHARME</x:v>
      </x:c>
      <x:c r="J3" t="str">
        <x:v>NHÀ MÁY CÔNG TY CỔ PHẦN CHARME PERFUME – ĐỊA ĐIỂM KINH DOANH</x:v>
      </x:c>
      <x:c r="K3" t="str">
        <x:v>TP. Hồ Chí Minh</x:v>
      </x:c>
      <x:c r="L3" t="str">
        <x:v>Chưa đối chiếu thu hồi</x:v>
      </x:c>
      <x:c r="M3" t="str">
        <x:f>IF(D3="","CẦN NGÀY CẤP",IF(E3&gt;=TODAY(),"TRONG 5 NĂM","HẾT 5 NĂM"))</x:f>
        <x:v>TRONG 5 NĂM</x:v>
      </x:c>
      <x:c r="N3" t="str">
        <x:v>Tra cứu trực tiếp Phiếu tiếp nhận Công bố mỹ phẩm – Sở Y tế TP.HCM</x:v>
      </x:c>
      <x:c r="O3" t="str">
        <x:v>https://tracuu.medinet.org.vn/category/cosodulieukhac/congbo-mypham</x:v>
      </x:c>
      <x:c r="P3" t="str">
        <x:v>Không có bằng chứng thu hồi số tiếp nhận trong dữ liệu hiện có.</x:v>
      </x:c>
      <x:c r="Q3" t="str">
        <x:v>A++</x:v>
      </x:c>
      <x:c r="S3" t="str">
        <x:v>Nội địa</x:v>
      </x:c>
      <x:c r="T3" t="n">
        <x:v>111</x:v>
      </x:c>
      <x:c r="U3" t="str">
        <x:v>CBMP tỉnh/thành</x:v>
      </x:c>
      <x:c r="V3" t="str">
        <x:v>Public declaration layer.</x:v>
      </x:c>
    </x:row>
    <x:row r="4">
      <x:c r="A4" t="str">
        <x:v>ACT-00003</x:v>
      </x:c>
      <x:c r="B4" t="str">
        <x:v>NỘI ĐỊA</x:v>
      </x:c>
      <x:c r="C4" t="n">
        <x:v>2026</x:v>
      </x:c>
      <x:c r="D4" s="330" t="n">
        <x:v>46055</x:v>
      </x:c>
      <x:c r="E4" s="330" t="n">
        <x:f>IF(D4="","",DATE(YEAR(D4)+5,MONTH(D4),DAY(D4)))</x:f>
        <x:v>47881</x:v>
      </x:c>
      <x:c r="F4" t="str">
        <x:v>000792/26/CBMP-HCM</x:v>
      </x:c>
      <x:c r="G4" t="str">
        <x:v>CÔNG TY CỔ PHẦN CHARME PERFUME</x:v>
      </x:c>
      <x:c r="H4" t="str">
        <x:v>CHARME GOOD MEN</x:v>
      </x:c>
      <x:c r="I4" t="str">
        <x:v>CHARME</x:v>
      </x:c>
      <x:c r="J4" t="str">
        <x:v>NHÀ MÁY CÔNG TY CỔ PHẦN CHARME PERFUME – ĐỊA ĐIỂM KINH DOANH</x:v>
      </x:c>
      <x:c r="K4" t="str">
        <x:v>TP. Hồ Chí Minh</x:v>
      </x:c>
      <x:c r="L4" t="str">
        <x:v>Chưa đối chiếu thu hồi</x:v>
      </x:c>
      <x:c r="M4" t="str">
        <x:f>IF(D4="","CẦN NGÀY CẤP",IF(E4&gt;=TODAY(),"TRONG 5 NĂM","HẾT 5 NĂM"))</x:f>
        <x:v>TRONG 5 NĂM</x:v>
      </x:c>
      <x:c r="N4" t="str">
        <x:v>Tra cứu trực tiếp Phiếu tiếp nhận Công bố mỹ phẩm – Sở Y tế TP.HCM</x:v>
      </x:c>
      <x:c r="O4" t="str">
        <x:v>https://tracuu.medinet.org.vn/category/cosodulieukhac/congbo-mypham</x:v>
      </x:c>
      <x:c r="P4" t="str">
        <x:v>Không có bằng chứng thu hồi số tiếp nhận trong dữ liệu hiện có.</x:v>
      </x:c>
      <x:c r="Q4" t="str">
        <x:v>A++</x:v>
      </x:c>
      <x:c r="S4" t="str">
        <x:v>Nhập khẩu</x:v>
      </x:c>
      <x:c r="T4" t="n">
        <x:v>9</x:v>
      </x:c>
      <x:c r="U4" t="str">
        <x:v>CBMP-QLD</x:v>
      </x:c>
      <x:c r="V4" t="str">
        <x:v>Tách riêng.</x:v>
      </x:c>
    </x:row>
    <x:row r="5">
      <x:c r="A5" t="str">
        <x:v>ACT-00004</x:v>
      </x:c>
      <x:c r="B5" t="str">
        <x:v>NỘI ĐỊA</x:v>
      </x:c>
      <x:c r="C5" t="n">
        <x:v>2026</x:v>
      </x:c>
      <x:c r="D5" s="330" t="n">
        <x:v>46055</x:v>
      </x:c>
      <x:c r="E5" s="330" t="n">
        <x:f>IF(D5="","",DATE(YEAR(D5)+5,MONTH(D5),DAY(D5)))</x:f>
        <x:v>47881</x:v>
      </x:c>
      <x:c r="F5" t="str">
        <x:v>000875/26/CBMP-HCM</x:v>
      </x:c>
      <x:c r="G5" t="str">
        <x:v>CÔNG TY CỔ PHẦN IBP HOLDINGS</x:v>
      </x:c>
      <x:c r="H5" t="str">
        <x:v>CALMING MULTIACTION ANTI-ACNE GEL</x:v>
      </x:c>
      <x:c r="I5" t="str">
        <x:v>EMMIÉ BY HAPPYSKIN</x:v>
      </x:c>
      <x:c r="J5" t="str">
        <x:v>CÔNG TY TNHH HANACOS VIETNAM - CHI NHÁNH TÂN TẠO</x:v>
      </x:c>
      <x:c r="K5" t="str">
        <x:v>TP. Hồ Chí Minh</x:v>
      </x:c>
      <x:c r="L5" t="str">
        <x:v>Chưa đối chiếu thu hồi</x:v>
      </x:c>
      <x:c r="M5" t="str">
        <x:f>IF(D5="","CẦN NGÀY CẤP",IF(E5&gt;=TODAY(),"TRONG 5 NĂM","HẾT 5 NĂM"))</x:f>
        <x:v>TRONG 5 NĂM</x:v>
      </x:c>
      <x:c r="N5" t="str">
        <x:v>Tra cứu trực tiếp Phiếu tiếp nhận Công bố mỹ phẩm – Sở Y tế TP.HCM</x:v>
      </x:c>
      <x:c r="O5" t="str">
        <x:v>https://tracuu.medinet.org.vn/category/cosodulieukhac/congbo-mypham</x:v>
      </x:c>
      <x:c r="P5" t="str">
        <x:v>Không có bằng chứng thu hồi số tiếp nhận trong dữ liệu hiện có.</x:v>
      </x:c>
      <x:c r="Q5" t="str">
        <x:v>A++</x:v>
      </x:c>
      <x:c r="S5" t="str">
        <x:v>Ngày cấp chính xác</x:v>
      </x:c>
      <x:c r="T5" t="n">
        <x:f>COUNT(D2:D5000)</x:f>
        <x:v>39</x:v>
      </x:c>
      <x:c r="U5" t="str">
        <x:v>Có ngày → +5 năm</x:v>
      </x:c>
      <x:c r="V5" t="str">
        <x:v>Không đoán ngày.</x:v>
      </x:c>
    </x:row>
    <x:row r="6">
      <x:c r="A6" t="str">
        <x:v>ACT-00005</x:v>
      </x:c>
      <x:c r="B6" t="str">
        <x:v>NỘI ĐỊA</x:v>
      </x:c>
      <x:c r="C6" t="n">
        <x:v>2026</x:v>
      </x:c>
      <x:c r="D6" s="330" t="n">
        <x:v>46155</x:v>
      </x:c>
      <x:c r="E6" s="330" t="n">
        <x:f>IF(D6="","",DATE(YEAR(D6)+5,MONTH(D6),DAY(D6)))</x:f>
        <x:v>47981</x:v>
      </x:c>
      <x:c r="F6" t="str">
        <x:v>4149/26/CBMP-HCM</x:v>
      </x:c>
      <x:c r="G6" t="str">
        <x:v>CÔNG TY CỔ PHẦN MARICO SOUTH EAST ASIA</x:v>
      </x:c>
      <x:c r="H6" t="str">
        <x:v>DẦU GỘI PHỤC HỒI HƯ TỔN</x:v>
      </x:c>
      <x:c r="I6" t="str">
        <x:v>ÔLIV NATURAL NOURISH</x:v>
      </x:c>
      <x:c r="J6" t="str">
        <x:v>CÔNG TY CỔ PHẦN MARICO SOUTH EAST ASIA</x:v>
      </x:c>
      <x:c r="K6" t="str">
        <x:v>TP. Hồ Chí Minh</x:v>
      </x:c>
      <x:c r="L6" t="str">
        <x:v>Chưa đối chiếu thu hồi</x:v>
      </x:c>
      <x:c r="M6" t="str">
        <x:f>IF(D6="","CẦN NGÀY CẤP",IF(E6&gt;=TODAY(),"TRONG 5 NĂM","HẾT 5 NĂM"))</x:f>
        <x:v>TRONG 5 NĂM</x:v>
      </x:c>
      <x:c r="N6" t="str">
        <x:v>Tra cứu trực tiếp Phiếu tiếp nhận Công bố mỹ phẩm – Sở Y tế TP.HCM</x:v>
      </x:c>
      <x:c r="O6" t="str">
        <x:v>https://tracuu.medinet.org.vn/category/cosodulieukhac/congbo-mypham</x:v>
      </x:c>
      <x:c r="P6" t="str">
        <x:v>Không có bằng chứng thu hồi số tiếp nhận trong dữ liệu hiện có.</x:v>
      </x:c>
      <x:c r="Q6" t="str">
        <x:v>A++</x:v>
      </x:c>
      <x:c r="S6" t="str">
        <x:v>Thiếu ngày cấp</x:v>
      </x:c>
      <x:c r="T6" t="n">
        <x:f>COUNTIF(M2:M5000,"CẦN NGÀY CẤP")</x:f>
        <x:v>92</x:v>
      </x:c>
      <x:c r="U6" t="str">
        <x:v>Giữ trống</x:v>
      </x:c>
      <x:c r="V6" t="str">
        <x:v>Tiếp tục truy công khai.</x:v>
      </x:c>
    </x:row>
    <x:row r="7">
      <x:c r="A7" t="str">
        <x:v>ACT-00006</x:v>
      </x:c>
      <x:c r="B7" t="str">
        <x:v>NỘI ĐỊA</x:v>
      </x:c>
      <x:c r="C7" t="n">
        <x:v>2026</x:v>
      </x:c>
      <x:c r="D7" s="330" t="n">
        <x:v>46167</x:v>
      </x:c>
      <x:c r="E7" s="330" t="n">
        <x:f>IF(D7="","",DATE(YEAR(D7)+5,MONTH(D7),DAY(D7)))</x:f>
        <x:v>47993</x:v>
      </x:c>
      <x:c r="F7" t="str">
        <x:v>4604/26/CBMP-HCM</x:v>
      </x:c>
      <x:c r="G7" t="str">
        <x:v>CÔNG TY CỔ PHẦN MARICO SOUTH EAST ASIA</x:v>
      </x:c>
      <x:c r="H7" t="str">
        <x:v>CODE 10 VIBE ROLL-ON DEO IARCTIC COOL</x:v>
      </x:c>
      <x:c r="I7" t="str">
        <x:v>CODE 10 VIBE</x:v>
      </x:c>
      <x:c r="J7" t="str">
        <x:v>CÔNG TY CỔ PHẦN MARICO SOUTH EAST ASIA</x:v>
      </x:c>
      <x:c r="K7" t="str">
        <x:v>TP. Hồ Chí Minh</x:v>
      </x:c>
      <x:c r="L7" t="str">
        <x:v>Chưa đối chiếu thu hồi</x:v>
      </x:c>
      <x:c r="M7" t="str">
        <x:f>IF(D7="","CẦN NGÀY CẤP",IF(E7&gt;=TODAY(),"TRONG 5 NĂM","HẾT 5 NĂM"))</x:f>
        <x:v>TRONG 5 NĂM</x:v>
      </x:c>
      <x:c r="N7" t="str">
        <x:v>Tra cứu trực tiếp Phiếu tiếp nhận Công bố mỹ phẩm – Sở Y tế TP.HCM</x:v>
      </x:c>
      <x:c r="O7" t="str">
        <x:v>https://tracuu.medinet.org.vn/category/cosodulieukhac/congbo-mypham</x:v>
      </x:c>
      <x:c r="P7" t="str">
        <x:v>Không có bằng chứng thu hồi số tiếp nhận trong dữ liệu hiện có.</x:v>
      </x:c>
      <x:c r="Q7" t="str">
        <x:v>A++</x:v>
      </x:c>
      <x:c r="S7" t="str">
        <x:v>PIF</x:v>
      </x:c>
      <x:c r="T7" t="str">
        <x:v>OUT OF SCOPE</x:v>
      </x:c>
      <x:c r="U7" t="str">
        <x:v>Không thu thập</x:v>
      </x:c>
      <x:c r="V7" t="str">
        <x:v>Chỉ lấy thông tin công khai của Phiếu công bố.</x:v>
      </x:c>
    </x:row>
    <x:row r="8">
      <x:c r="A8" t="str">
        <x:v>ACT-00007</x:v>
      </x:c>
      <x:c r="B8" t="str">
        <x:v>NỘI ĐỊA</x:v>
      </x:c>
      <x:c r="C8" t="n">
        <x:v>2026</x:v>
      </x:c>
      <x:c r="D8" s="330" t="n">
        <x:v>46055</x:v>
      </x:c>
      <x:c r="E8" s="330" t="n">
        <x:f>IF(D8="","",DATE(YEAR(D8)+5,MONTH(D8),DAY(D8)))</x:f>
        <x:v>47881</x:v>
      </x:c>
      <x:c r="F8" t="str">
        <x:v>000807/26/CBMP-HCM</x:v>
      </x:c>
      <x:c r="G8" t="str">
        <x:v>CÔNG TY TNHH DƯỢC MỸ PHẨM DC COS</x:v>
      </x:c>
      <x:c r="H8" t="str">
        <x:v>BODY MIST NO1</x:v>
      </x:c>
      <x:c r="I8" t="str">
        <x:v>DC COS</x:v>
      </x:c>
      <x:c r="J8" t="str">
        <x:v>Công ty TNHH Dược Mỹ Phẩm DC COS</x:v>
      </x:c>
      <x:c r="K8" t="str">
        <x:v>TP. Hồ Chí Minh</x:v>
      </x:c>
      <x:c r="L8" t="str">
        <x:v>Chưa đối chiếu thu hồi</x:v>
      </x:c>
      <x:c r="M8" t="str">
        <x:f>IF(D8="","CẦN NGÀY CẤP",IF(E8&gt;=TODAY(),"TRONG 5 NĂM","HẾT 5 NĂM"))</x:f>
        <x:v>TRONG 5 NĂM</x:v>
      </x:c>
      <x:c r="N8" t="str">
        <x:v>Tra cứu trực tiếp Phiếu tiếp nhận Công bố mỹ phẩm – Sở Y tế TP.HCM</x:v>
      </x:c>
      <x:c r="O8" t="str">
        <x:v>https://tracuu.medinet.org.vn/category/cosodulieukhac/congbo-mypham</x:v>
      </x:c>
      <x:c r="P8" t="str">
        <x:v>Không có bằng chứng thu hồi số tiếp nhận trong dữ liệu hiện có.</x:v>
      </x:c>
      <x:c r="Q8" t="str">
        <x:v>A++</x:v>
      </x:c>
    </x:row>
    <x:row r="9">
      <x:c r="A9" t="str">
        <x:v>ACT-00008</x:v>
      </x:c>
      <x:c r="B9" t="str">
        <x:v>NỘI ĐỊA</x:v>
      </x:c>
      <x:c r="C9" t="n">
        <x:v>2026</x:v>
      </x:c>
      <x:c r="D9" s="330" t="n">
        <x:v>46055</x:v>
      </x:c>
      <x:c r="E9" s="330" t="n">
        <x:f>IF(D9="","",DATE(YEAR(D9)+5,MONTH(D9),DAY(D9)))</x:f>
        <x:v>47881</x:v>
      </x:c>
      <x:c r="F9" t="str">
        <x:v>000809/26/CBMP-HCM</x:v>
      </x:c>
      <x:c r="G9" t="str">
        <x:v>CÔNG TY TNHH DƯỢC MỸ PHẨM DC COS</x:v>
      </x:c>
      <x:c r="H9" t="str">
        <x:v>CELESTIA FLAME</x:v>
      </x:c>
      <x:c r="I9" t="str">
        <x:v>THALORA</x:v>
      </x:c>
      <x:c r="J9" t="str">
        <x:v>Công ty TNHH Dược Mỹ Phẩm DC COS</x:v>
      </x:c>
      <x:c r="K9" t="str">
        <x:v>TP. Hồ Chí Minh</x:v>
      </x:c>
      <x:c r="L9" t="str">
        <x:v>Chưa đối chiếu thu hồi</x:v>
      </x:c>
      <x:c r="M9" t="str">
        <x:f>IF(D9="","CẦN NGÀY CẤP",IF(E9&gt;=TODAY(),"TRONG 5 NĂM","HẾT 5 NĂM"))</x:f>
        <x:v>TRONG 5 NĂM</x:v>
      </x:c>
      <x:c r="N9" t="str">
        <x:v>Tra cứu trực tiếp Phiếu tiếp nhận Công bố mỹ phẩm – Sở Y tế TP.HCM</x:v>
      </x:c>
      <x:c r="O9" t="str">
        <x:v>https://tracuu.medinet.org.vn/category/cosodulieukhac/congbo-mypham</x:v>
      </x:c>
      <x:c r="P9" t="str">
        <x:v>Không có bằng chứng thu hồi số tiếp nhận trong dữ liệu hiện có.</x:v>
      </x:c>
      <x:c r="Q9" t="str">
        <x:v>A++</x:v>
      </x:c>
    </x:row>
    <x:row r="10">
      <x:c r="A10" t="str">
        <x:v>ACT-00009</x:v>
      </x:c>
      <x:c r="B10" t="str">
        <x:v>NỘI ĐỊA</x:v>
      </x:c>
      <x:c r="C10" t="n">
        <x:v>2026</x:v>
      </x:c>
      <x:c r="D10" s="330" t="n">
        <x:v>46055</x:v>
      </x:c>
      <x:c r="E10" s="330" t="n">
        <x:f>IF(D10="","",DATE(YEAR(D10)+5,MONTH(D10),DAY(D10)))</x:f>
        <x:v>47881</x:v>
      </x:c>
      <x:c r="F10" t="str">
        <x:v>000856/26/CBMP-HCM</x:v>
      </x:c>
      <x:c r="G10" t="str">
        <x:v>CÔNG TY TNHH DƯỢC MỸ PHẨM GIA PHÚC</x:v>
      </x:c>
      <x:c r="H10" t="str">
        <x:v>BODY DƯỠNG TRẮNG, MỊN DA, GIỮ ẨM DA</x:v>
      </x:c>
      <x:c r="I10" t="str">
        <x:v>TOP-GEL</x:v>
      </x:c>
      <x:c r="J10" t="str">
        <x:v>CHI NHÁNH TÂN TẠO - CÔNG TY CỔ PHẦN DƯỢC &amp; MỸ PHẨM GIA PHÚ</x:v>
      </x:c>
      <x:c r="K10" t="str">
        <x:v>TP. Hồ Chí Minh</x:v>
      </x:c>
      <x:c r="L10" t="str">
        <x:v>Chưa đối chiếu thu hồi</x:v>
      </x:c>
      <x:c r="M10" t="str">
        <x:f>IF(D10="","CẦN NGÀY CẤP",IF(E10&gt;=TODAY(),"TRONG 5 NĂM","HẾT 5 NĂM"))</x:f>
        <x:v>TRONG 5 NĂM</x:v>
      </x:c>
      <x:c r="N10" t="str">
        <x:v>Tra cứu trực tiếp Phiếu tiếp nhận Công bố mỹ phẩm – Sở Y tế TP.HCM</x:v>
      </x:c>
      <x:c r="O10" t="str">
        <x:v>https://tracuu.medinet.org.vn/category/cosodulieukhac/congbo-mypham</x:v>
      </x:c>
      <x:c r="P10" t="str">
        <x:v>Không có bằng chứng thu hồi số tiếp nhận trong dữ liệu hiện có.</x:v>
      </x:c>
      <x:c r="Q10" t="str">
        <x:v>A++</x:v>
      </x:c>
    </x:row>
    <x:row r="11">
      <x:c r="A11" t="str">
        <x:v>ACT-00010</x:v>
      </x:c>
      <x:c r="B11" t="str">
        <x:v>NỘI ĐỊA</x:v>
      </x:c>
      <x:c r="C11" t="n">
        <x:v>2026</x:v>
      </x:c>
      <x:c r="D11" s="330" t="n">
        <x:v>46055</x:v>
      </x:c>
      <x:c r="E11" s="330" t="n">
        <x:f>IF(D11="","",DATE(YEAR(D11)+5,MONTH(D11),DAY(D11)))</x:f>
        <x:v>47881</x:v>
      </x:c>
      <x:c r="F11" t="str">
        <x:v>000894/26/CBMP-HCM</x:v>
      </x:c>
      <x:c r="G11" t="str">
        <x:v>CÔNG TY TNHH ENABLER PLUS</x:v>
      </x:c>
      <x:c r="H11" t="str">
        <x:v>CHARCOAL AND HEARTLEAF CLARIFYING MASK</x:v>
      </x:c>
      <x:c r="I11" t="str">
        <x:v>Lazy Bee</x:v>
      </x:c>
      <x:c r="J11" t="str">
        <x:v>CÔNG TY TNHH HANACOS VIETNAM - CHI NHÁNH TÂN TẠO</x:v>
      </x:c>
      <x:c r="K11" t="str">
        <x:v>TP. Hồ Chí Minh</x:v>
      </x:c>
      <x:c r="L11" t="str">
        <x:v>Chưa đối chiếu thu hồi</x:v>
      </x:c>
      <x:c r="M11" t="str">
        <x:f>IF(D11="","CẦN NGÀY CẤP",IF(E11&gt;=TODAY(),"TRONG 5 NĂM","HẾT 5 NĂM"))</x:f>
        <x:v>TRONG 5 NĂM</x:v>
      </x:c>
      <x:c r="N11" t="str">
        <x:v>Tra cứu trực tiếp Phiếu tiếp nhận Công bố mỹ phẩm – Sở Y tế TP.HCM</x:v>
      </x:c>
      <x:c r="O11" t="str">
        <x:v>https://tracuu.medinet.org.vn/category/cosodulieukhac/congbo-mypham</x:v>
      </x:c>
      <x:c r="P11" t="str">
        <x:v>Không có bằng chứng thu hồi số tiếp nhận trong dữ liệu hiện có.</x:v>
      </x:c>
      <x:c r="Q11" t="str">
        <x:v>A++</x:v>
      </x:c>
    </x:row>
    <x:row r="12">
      <x:c r="A12" t="str">
        <x:v>ACT-00011</x:v>
      </x:c>
      <x:c r="B12" t="str">
        <x:v>NỘI ĐỊA</x:v>
      </x:c>
      <x:c r="C12" t="n">
        <x:v>2026</x:v>
      </x:c>
      <x:c r="D12" s="330" t="n">
        <x:v>46055</x:v>
      </x:c>
      <x:c r="E12" s="330" t="n">
        <x:f>IF(D12="","",DATE(YEAR(D12)+5,MONTH(D12),DAY(D12)))</x:f>
        <x:v>47881</x:v>
      </x:c>
      <x:c r="F12" t="str">
        <x:v>000887/26/CBMP-HCM</x:v>
      </x:c>
      <x:c r="G12" t="str">
        <x:v>CÔNG TY TNHH GREEN LIFE MAI LINH</x:v>
      </x:c>
      <x:c r="H12" t="str">
        <x:v>CALM &amp; ACNE SERUM</x:v>
      </x:c>
      <x:c r="I12" t="str">
        <x:v>MLYNN</x:v>
      </x:c>
      <x:c r="J12" t="str">
        <x:v>CÔNG TY TNHH HANACOS VIETNAM - CHI NHÁNH TÂN TẠO</x:v>
      </x:c>
      <x:c r="K12" t="str">
        <x:v>TP. Hồ Chí Minh</x:v>
      </x:c>
      <x:c r="L12" t="str">
        <x:v>Chưa đối chiếu thu hồi</x:v>
      </x:c>
      <x:c r="M12" t="str">
        <x:f>IF(D12="","CẦN NGÀY CẤP",IF(E12&gt;=TODAY(),"TRONG 5 NĂM","HẾT 5 NĂM"))</x:f>
        <x:v>TRONG 5 NĂM</x:v>
      </x:c>
      <x:c r="N12" t="str">
        <x:v>Tra cứu trực tiếp Phiếu tiếp nhận Công bố mỹ phẩm – Sở Y tế TP.HCM</x:v>
      </x:c>
      <x:c r="O12" t="str">
        <x:v>https://tracuu.medinet.org.vn/category/cosodulieukhac/congbo-mypham</x:v>
      </x:c>
      <x:c r="P12" t="str">
        <x:v>Không có bằng chứng thu hồi số tiếp nhận trong dữ liệu hiện có.</x:v>
      </x:c>
      <x:c r="Q12" t="str">
        <x:v>A++</x:v>
      </x:c>
    </x:row>
    <x:row r="13">
      <x:c r="A13" t="str">
        <x:v>ACT-00012</x:v>
      </x:c>
      <x:c r="B13" t="str">
        <x:v>NHẬP KHẨU</x:v>
      </x:c>
      <x:c r="C13" t="n">
        <x:v>2026</x:v>
      </x:c>
      <x:c r="D13" s="330"/>
      <x:c r="E13" s="330" t="str">
        <x:f>IF(D13="","",DATE(YEAR(D13)+5,MONTH(D13),DAY(D13)))</x:f>
      </x:c>
      <x:c r="F13" t="str">
        <x:v>306293/26/CBMP-QLD</x:v>
      </x:c>
      <x:c r="G13" t="str">
        <x:v>CÔNG TY TNHH MINTHACARE</x:v>
      </x:c>
      <x:c r="H13" t="str">
        <x:v>NUXE HUILE PRODIGIEUSE OR MULTI-PURPOSE DRY OIL</x:v>
      </x:c>
      <x:c r="I13" t="str">
        <x:v>NUXE</x:v>
      </x:c>
      <x:c r="J13"/>
      <x:c r="K13" t="str">
        <x:v>Cục QLD / Toàn quốc</x:v>
      </x:c>
      <x:c r="L13" t="str">
        <x:v>Chưa đối chiếu thu hồi</x:v>
      </x:c>
      <x:c r="M13" t="str">
        <x:f>IF(D13="","CẦN NGÀY CẤP",IF(E13&gt;=TODAY(),"TRONG 5 NĂM","HẾT 5 NĂM"))</x:f>
        <x:v>CẦN NGÀY CẤP</x:v>
      </x:c>
      <x:c r="N13" t="str">
        <x:v>Cross-check chính thức SYT TP.HCM – chưa đối chiếu hồ sơ DAV gốc</x:v>
      </x:c>
      <x:c r="O13" t="str">
        <x:v>https://tracuu.medinet.org.vn/category/cosodulieukhac/quangcao-mypham</x:v>
      </x:c>
      <x:c r="P13" t="str">
        <x:v>Import verified number.</x:v>
      </x:c>
      <x:c r="Q13" t="str">
        <x:v>A++</x:v>
      </x:c>
    </x:row>
    <x:row r="14">
      <x:c r="A14" t="str">
        <x:v>ACT-00013</x:v>
      </x:c>
      <x:c r="B14" t="str">
        <x:v>NỘI ĐỊA</x:v>
      </x:c>
      <x:c r="C14" t="n">
        <x:v>2026</x:v>
      </x:c>
      <x:c r="D14" s="330" t="n">
        <x:v>46055</x:v>
      </x:c>
      <x:c r="E14" s="330" t="n">
        <x:f>IF(D14="","",DATE(YEAR(D14)+5,MONTH(D14),DAY(D14)))</x:f>
        <x:v>47881</x:v>
      </x:c>
      <x:c r="F14" t="str">
        <x:v>000815/26/CBMP-HCM</x:v>
      </x:c>
      <x:c r="G14" t="str">
        <x:v>CÔNG TY TNHH MTV DITASKIN</x:v>
      </x:c>
      <x:c r="H14" t="str">
        <x:v>BRIGHTENING NIACINAMIDE MASK</x:v>
      </x:c>
      <x:c r="I14" t="str">
        <x:v>DITISKIN</x:v>
      </x:c>
      <x:c r="J14" t="str">
        <x:v>Công ty Cổ phần Dược Mỹ phẩm Greencos</x:v>
      </x:c>
      <x:c r="K14" t="str">
        <x:v>TP. Hồ Chí Minh</x:v>
      </x:c>
      <x:c r="L14" t="str">
        <x:v>Chưa đối chiếu thu hồi</x:v>
      </x:c>
      <x:c r="M14" t="str">
        <x:f>IF(D14="","CẦN NGÀY CẤP",IF(E14&gt;=TODAY(),"TRONG 5 NĂM","HẾT 5 NĂM"))</x:f>
        <x:v>TRONG 5 NĂM</x:v>
      </x:c>
      <x:c r="N14" t="str">
        <x:v>Tra cứu trực tiếp Phiếu tiếp nhận Công bố mỹ phẩm – Sở Y tế TP.HCM</x:v>
      </x:c>
      <x:c r="O14" t="str">
        <x:v>https://tracuu.medinet.org.vn/category/cosodulieukhac/congbo-mypham</x:v>
      </x:c>
      <x:c r="P14" t="str">
        <x:v>Không có bằng chứng thu hồi số tiếp nhận trong dữ liệu hiện có.</x:v>
      </x:c>
      <x:c r="Q14" t="str">
        <x:v>A++</x:v>
      </x:c>
    </x:row>
    <x:row r="15">
      <x:c r="A15" t="str">
        <x:v>ACT-00014</x:v>
      </x:c>
      <x:c r="B15" t="str">
        <x:v>NỘI ĐỊA</x:v>
      </x:c>
      <x:c r="C15" t="n">
        <x:v>2026</x:v>
      </x:c>
      <x:c r="D15" s="330"/>
      <x:c r="E15" s="330" t="str">
        <x:f>IF(D15="","",DATE(YEAR(D15)+5,MONTH(D15),DAY(D15)))</x:f>
      </x:c>
      <x:c r="F15" t="str">
        <x:v>000483/26/CBMP-HCM</x:v>
      </x:c>
      <x:c r="G15" t="str">
        <x:v>CÔNG TY TNHH ROHTO-MENTHOLATUM (VIỆT NAM)</x:v>
      </x:c>
      <x:c r="H15" t="str">
        <x:v>MENTHOLATUM ACNES GENTLE WASH</x:v>
      </x:c>
      <x:c r="I15" t="str">
        <x:v>ACNES</x:v>
      </x:c>
      <x:c r="J15"/>
      <x:c r="K15" t="str">
        <x:v>TP. Hồ Chí Minh</x:v>
      </x:c>
      <x:c r="L15" t="str">
        <x:v>Chưa đối chiếu thu hồi</x:v>
      </x:c>
      <x:c r="M15" t="str">
        <x:f>IF(D15="","CẦN NGÀY CẤP",IF(E15&gt;=TODAY(),"TRONG 5 NĂM","HẾT 5 NĂM"))</x:f>
        <x:v>CẦN NGÀY CẤP</x:v>
      </x:c>
      <x:c r="N15" t="str">
        <x:v>Nguồn chính thức Sở Y tế TP.HCM – cross-check số công bố</x:v>
      </x:c>
      <x:c r="O15" t="str">
        <x:v>https://tracuu.medinet.org.vn/category/cosodulieukhac/quangcao-mypham</x:v>
      </x:c>
      <x:c r="P15" t="str">
        <x:v>Không có bằng chứng thu hồi số tiếp nhận trong dữ liệu hiện có.</x:v>
      </x:c>
      <x:c r="Q15" t="str">
        <x:v>A++</x:v>
      </x:c>
    </x:row>
    <x:row r="16">
      <x:c r="A16" t="str">
        <x:v>ACT-00015</x:v>
      </x:c>
      <x:c r="B16" t="str">
        <x:v>NỘI ĐỊA</x:v>
      </x:c>
      <x:c r="C16" t="n">
        <x:v>2026</x:v>
      </x:c>
      <x:c r="D16" s="330"/>
      <x:c r="E16" s="330" t="str">
        <x:f>IF(D16="","",DATE(YEAR(D16)+5,MONTH(D16),DAY(D16)))</x:f>
      </x:c>
      <x:c r="F16" t="str">
        <x:v>000872/26/CBMP-HCM</x:v>
      </x:c>
      <x:c r="G16" t="str">
        <x:v>CÔNG TY TNHH ROHTO-MENTHOLATUM (VIỆT NAM)</x:v>
      </x:c>
      <x:c r="H16" t="str">
        <x:v>LIPSTICIAN LIP SERUM - RESCUER</x:v>
      </x:c>
      <x:c r="I16" t="str">
        <x:v>LIPSTICIAN</x:v>
      </x:c>
      <x:c r="J16"/>
      <x:c r="K16" t="str">
        <x:v>TP. Hồ Chí Minh</x:v>
      </x:c>
      <x:c r="L16" t="str">
        <x:v>Chưa đối chiếu thu hồi</x:v>
      </x:c>
      <x:c r="M16" t="str">
        <x:f>IF(D16="","CẦN NGÀY CẤP",IF(E16&gt;=TODAY(),"TRONG 5 NĂM","HẾT 5 NĂM"))</x:f>
        <x:v>CẦN NGÀY CẤP</x:v>
      </x:c>
      <x:c r="N16" t="str">
        <x:v>Nguồn chính thức Sở Y tế TP.HCM – cross-check số công bố</x:v>
      </x:c>
      <x:c r="O16" t="str">
        <x:v>https://tracuu.medinet.org.vn/category/cosodulieukhac/quangcao-mypham</x:v>
      </x:c>
      <x:c r="P16" t="str">
        <x:v>Không có bằng chứng thu hồi số tiếp nhận trong dữ liệu hiện có.</x:v>
      </x:c>
      <x:c r="Q16" t="str">
        <x:v>A++</x:v>
      </x:c>
    </x:row>
    <x:row r="17">
      <x:c r="A17" t="str">
        <x:v>ACT-00016</x:v>
      </x:c>
      <x:c r="B17" t="str">
        <x:v>NỘI ĐỊA</x:v>
      </x:c>
      <x:c r="C17" t="n">
        <x:v>2026</x:v>
      </x:c>
      <x:c r="D17" s="330" t="n">
        <x:v>46055</x:v>
      </x:c>
      <x:c r="E17" s="330" t="n">
        <x:f>IF(D17="","",DATE(YEAR(D17)+5,MONTH(D17),DAY(D17)))</x:f>
        <x:v>47881</x:v>
      </x:c>
      <x:c r="F17" t="str">
        <x:v>000820/26/CBMP-HCM</x:v>
      </x:c>
      <x:c r="G17" t="str">
        <x:v>CÔNG TY TNHH SINH DƯỢC BIO</x:v>
      </x:c>
      <x:c r="H17" t="str">
        <x:v>BIOESSENCE MASK O GLB</x:v>
      </x:c>
      <x:c r="I17" t="str">
        <x:v>Keyshu</x:v>
      </x:c>
      <x:c r="J17" t="str">
        <x:v>CHI NHÁNH CÔNG TY TNHH ĐẦU TƯ SẢN XUẤT VÀ XUẤT NHẬP KHẨU KANNA COSMETICS</x:v>
      </x:c>
      <x:c r="K17" t="str">
        <x:v>TP. Hồ Chí Minh</x:v>
      </x:c>
      <x:c r="L17" t="str">
        <x:v>Chưa đối chiếu thu hồi</x:v>
      </x:c>
      <x:c r="M17" t="str">
        <x:f>IF(D17="","CẦN NGÀY CẤP",IF(E17&gt;=TODAY(),"TRONG 5 NĂM","HẾT 5 NĂM"))</x:f>
        <x:v>TRONG 5 NĂM</x:v>
      </x:c>
      <x:c r="N17" t="str">
        <x:v>Tra cứu trực tiếp Phiếu tiếp nhận Công bố mỹ phẩm – Sở Y tế TP.HCM</x:v>
      </x:c>
      <x:c r="O17" t="str">
        <x:v>https://tracuu.medinet.org.vn/category/cosodulieukhac/congbo-mypham</x:v>
      </x:c>
      <x:c r="P17" t="str">
        <x:v>Không có bằng chứng thu hồi số tiếp nhận trong dữ liệu hiện có.</x:v>
      </x:c>
      <x:c r="Q17" t="str">
        <x:v>A++</x:v>
      </x:c>
    </x:row>
    <x:row r="18">
      <x:c r="A18" t="str">
        <x:v>ACT-00017</x:v>
      </x:c>
      <x:c r="B18" t="str">
        <x:v>NỘI ĐỊA</x:v>
      </x:c>
      <x:c r="C18" t="n">
        <x:v>2026</x:v>
      </x:c>
      <x:c r="D18" s="330" t="n">
        <x:v>46055</x:v>
      </x:c>
      <x:c r="E18" s="330" t="n">
        <x:f>IF(D18="","",DATE(YEAR(D18)+5,MONTH(D18),DAY(D18)))</x:f>
        <x:v>47881</x:v>
      </x:c>
      <x:c r="F18" t="str">
        <x:v>000832/26/CBMP-HCM</x:v>
      </x:c>
      <x:c r="G18" t="str">
        <x:v>CÔNG TY TNHH SINH DƯỢC BIO</x:v>
      </x:c>
      <x:c r="H18" t="str">
        <x:v>BIOESSENCE MASK PRE</x:v>
      </x:c>
      <x:c r="I18" t="str">
        <x:v>Keyshu</x:v>
      </x:c>
      <x:c r="J18" t="str">
        <x:v>CHI NHÁNH CÔNG TY TNHH ĐẦU TƯ SẢN XUẤT VÀ XUẤT NHẬP KHẨU KANNA COSMETICS</x:v>
      </x:c>
      <x:c r="K18" t="str">
        <x:v>TP. Hồ Chí Minh</x:v>
      </x:c>
      <x:c r="L18" t="str">
        <x:v>Chưa đối chiếu thu hồi</x:v>
      </x:c>
      <x:c r="M18" t="str">
        <x:f>IF(D18="","CẦN NGÀY CẤP",IF(E18&gt;=TODAY(),"TRONG 5 NĂM","HẾT 5 NĂM"))</x:f>
        <x:v>TRONG 5 NĂM</x:v>
      </x:c>
      <x:c r="N18" t="str">
        <x:v>Tra cứu trực tiếp Phiếu tiếp nhận Công bố mỹ phẩm – Sở Y tế TP.HCM</x:v>
      </x:c>
      <x:c r="O18" t="str">
        <x:v>https://tracuu.medinet.org.vn/category/cosodulieukhac/congbo-mypham</x:v>
      </x:c>
      <x:c r="P18" t="str">
        <x:v>Không có bằng chứng thu hồi số tiếp nhận trong dữ liệu hiện có.</x:v>
      </x:c>
      <x:c r="Q18" t="str">
        <x:v>A++</x:v>
      </x:c>
    </x:row>
    <x:row r="19">
      <x:c r="A19" t="str">
        <x:v>ACT-00018</x:v>
      </x:c>
      <x:c r="B19" t="str">
        <x:v>NỘI ĐỊA</x:v>
      </x:c>
      <x:c r="C19" t="n">
        <x:v>2026</x:v>
      </x:c>
      <x:c r="D19" s="330" t="n">
        <x:v>46055</x:v>
      </x:c>
      <x:c r="E19" s="330" t="n">
        <x:f>IF(D19="","",DATE(YEAR(D19)+5,MONTH(D19),DAY(D19)))</x:f>
        <x:v>47881</x:v>
      </x:c>
      <x:c r="F19" t="str">
        <x:v>000793/26/CBMP-HCM</x:v>
      </x:c>
      <x:c r="G19" t="str">
        <x:v>CÔNG TY TNHH SẢN XUẤT VÀ THƯƠNG MẠI TM&amp;TD VIỆT NAM</x:v>
      </x:c>
      <x:c r="H19" t="str">
        <x:v>ALPHA FRESH COOLING CLEANSER</x:v>
      </x:c>
      <x:c r="I19" t="str">
        <x:v>ALPHA MAN THE FORMULA OF CHARISMA</x:v>
      </x:c>
      <x:c r="J19" t="str">
        <x:v>Chi nhánh Công ty TNHH Đầu tư sản xuất và Xuất nhập khẩu Kanna Cosmetics</x:v>
      </x:c>
      <x:c r="K19" t="str">
        <x:v>TP. Hồ Chí Minh</x:v>
      </x:c>
      <x:c r="L19" t="str">
        <x:v>Chưa đối chiếu thu hồi</x:v>
      </x:c>
      <x:c r="M19" t="str">
        <x:f>IF(D19="","CẦN NGÀY CẤP",IF(E19&gt;=TODAY(),"TRONG 5 NĂM","HẾT 5 NĂM"))</x:f>
        <x:v>TRONG 5 NĂM</x:v>
      </x:c>
      <x:c r="N19" t="str">
        <x:v>Tra cứu trực tiếp Phiếu tiếp nhận Công bố mỹ phẩm – Sở Y tế TP.HCM</x:v>
      </x:c>
      <x:c r="O19" t="str">
        <x:v>https://tracuu.medinet.org.vn/category/cosodulieukhac/congbo-mypham</x:v>
      </x:c>
      <x:c r="P19" t="str">
        <x:v>Không có bằng chứng thu hồi số tiếp nhận trong dữ liệu hiện có.</x:v>
      </x:c>
      <x:c r="Q19" t="str">
        <x:v>A++</x:v>
      </x:c>
    </x:row>
    <x:row r="20">
      <x:c r="A20" t="str">
        <x:v>ACT-00019</x:v>
      </x:c>
      <x:c r="B20" t="str">
        <x:v>NỘI ĐỊA</x:v>
      </x:c>
      <x:c r="C20" t="n">
        <x:v>2026</x:v>
      </x:c>
      <x:c r="D20" s="330" t="n">
        <x:v>46119</x:v>
      </x:c>
      <x:c r="E20" s="330" t="n">
        <x:f>IF(D20="","",DATE(YEAR(D20)+5,MONTH(D20),DAY(D20)))</x:f>
        <x:v>47945</x:v>
      </x:c>
      <x:c r="F20" t="str">
        <x:v>2859/26/CBMP-HCM</x:v>
      </x:c>
      <x:c r="G20" t="str">
        <x:v>CÔNG TY TNHH THƯƠNG MẠI LONG KHANG</x:v>
      </x:c>
      <x:c r="H20" t="str">
        <x:v>BODY DAYLISSE</x:v>
      </x:c>
      <x:c r="I20" t="str">
        <x:v>NANOVA COSMETIC</x:v>
      </x:c>
      <x:c r="J20" t="str">
        <x:v>CÔNG TY TNHH HANACOS VIETNAM – CHI NHÁNH TÂN TẠO</x:v>
      </x:c>
      <x:c r="K20" t="str">
        <x:v>TP. Hồ Chí Minh</x:v>
      </x:c>
      <x:c r="L20" t="str">
        <x:v>Chưa đối chiếu thu hồi</x:v>
      </x:c>
      <x:c r="M20" t="str">
        <x:f>IF(D20="","CẦN NGÀY CẤP",IF(E20&gt;=TODAY(),"TRONG 5 NĂM","HẾT 5 NĂM"))</x:f>
        <x:v>TRONG 5 NĂM</x:v>
      </x:c>
      <x:c r="N20" t="str">
        <x:v>Tra cứu trực tiếp Phiếu tiếp nhận Công bố mỹ phẩm – Sở Y tế TP.HCM</x:v>
      </x:c>
      <x:c r="O20" t="str">
        <x:v>https://tracuu.medinet.org.vn/category/cosodulieukhac/congbo-mypham</x:v>
      </x:c>
      <x:c r="P20" t="str">
        <x:v>Không có bằng chứng thu hồi số tiếp nhận trong dữ liệu hiện có.</x:v>
      </x:c>
      <x:c r="Q20" t="str">
        <x:v>A++</x:v>
      </x:c>
    </x:row>
    <x:row r="21">
      <x:c r="A21" t="str">
        <x:v>ACT-00020</x:v>
      </x:c>
      <x:c r="B21" t="str">
        <x:v>NỘI ĐỊA</x:v>
      </x:c>
      <x:c r="C21" t="n">
        <x:v>2026</x:v>
      </x:c>
      <x:c r="D21" s="330" t="n">
        <x:v>46077</x:v>
      </x:c>
      <x:c r="E21" s="330" t="n">
        <x:f>IF(D21="","",DATE(YEAR(D21)+5,MONTH(D21),DAY(D21)))</x:f>
        <x:v>47903</x:v>
      </x:c>
      <x:c r="F21" t="str">
        <x:v>064/26/CBMP-HP</x:v>
      </x:c>
      <x:c r="G21" t="str">
        <x:v>Hộ kinh doanh Hoàng Thị Thương</x:v>
      </x:c>
      <x:c r="H21" t="str">
        <x:v>R GLOW</x:v>
      </x:c>
      <x:c r="I21" t="str">
        <x:v>R GLOW</x:v>
      </x:c>
      <x:c r="J21"/>
      <x:c r="K21" t="str">
        <x:v>Hải Phòng</x:v>
      </x:c>
      <x:c r="L21" t="str">
        <x:v>Đã thu hồi theo QĐ 1407/1414/1415/1416/QĐ-SYT ngày 10/04/2026</x:v>
      </x:c>
      <x:c r="M21" t="str">
        <x:f>IF(D21="","CẦN NGÀY CẤP",IF(E21&gt;=TODAY(),"TRONG 5 NĂM","HẾT 5 NĂM"))</x:f>
        <x:v>TRONG 5 NĂM</x:v>
      </x:c>
      <x:c r="N21" t="str">
        <x:v>Nguồn chính thức Hải Phòng – có số tiếp nhận và ngày cấp</x:v>
      </x:c>
      <x:c r="O21" t="str">
        <x:v>https://tanhung.haiphong.gov.vn/trang-chu-66859/phuong-tan-hung-thong-bao-ve-viec-thu-hoi-san-pham-my-pham-888028</x:v>
      </x:c>
      <x:c r="P21" t="str">
        <x:v>Không có bằng chứng thu hồi số tiếp nhận trong dữ liệu hiện có.</x:v>
      </x:c>
      <x:c r="Q21" t="str">
        <x:v>A++</x:v>
      </x:c>
    </x:row>
    <x:row r="22">
      <x:c r="A22" t="str">
        <x:v>ACT-00021</x:v>
      </x:c>
      <x:c r="B22" t="str">
        <x:v>NỘI ĐỊA</x:v>
      </x:c>
      <x:c r="C22" t="n">
        <x:v>2025</x:v>
      </x:c>
      <x:c r="D22" s="330"/>
      <x:c r="E22" s="330" t="str">
        <x:f>IF(D22="","",DATE(YEAR(D22)+5,MONTH(D22),DAY(D22)))</x:f>
      </x:c>
      <x:c r="F22" t="str">
        <x:v>006/25/CBMP-BD</x:v>
      </x:c>
      <x:c r="G22" t="str">
        <x:v>CÔNG TY CỔ PHẦN MARICO SOUTH EAST ASIA</x:v>
      </x:c>
      <x:c r="H22" t="str">
        <x:v>silk-n shine. HAIR TREATMENT ALOE VERA</x:v>
      </x:c>
      <x:c r="I22" t="str">
        <x:v>silk-n shine</x:v>
      </x:c>
      <x:c r="J22" t="str">
        <x:v>CÔNG TY CỔ PHẦN MARICO SOUTH EAST ASIA</x:v>
      </x:c>
      <x:c r="K22" t="str">
        <x:v>TP. Hồ Chí Minh</x:v>
      </x:c>
      <x:c r="L22" t="str">
        <x:v>Chưa đối chiếu thu hồi</x:v>
      </x:c>
      <x:c r="M22" t="str">
        <x:f>IF(D22="","CẦN NGÀY CẤP",IF(E22&gt;=TODAY(),"TRONG 5 NĂM","HẾT 5 NĂM"))</x:f>
        <x:v>CẦN NGÀY CẤP</x:v>
      </x:c>
      <x:c r="N22" t="str">
        <x:v>Nguồn chính thức Sở Y tế TP.HCM – cross-check số công bố</x:v>
      </x:c>
      <x:c r="O22" t="str">
        <x:v>https://tracuu.medinet.org.vn/category/cosodulieukhac/gxn-cfs</x:v>
      </x:c>
      <x:c r="P22" t="str">
        <x:v>Không có bằng chứng thu hồi số tiếp nhận trong dữ liệu hiện có.</x:v>
      </x:c>
      <x:c r="Q22" t="str">
        <x:v>A++</x:v>
      </x:c>
    </x:row>
    <x:row r="23">
      <x:c r="A23" t="str">
        <x:v>ACT-00022</x:v>
      </x:c>
      <x:c r="B23" t="str">
        <x:v>NỘI ĐỊA</x:v>
      </x:c>
      <x:c r="C23" t="n">
        <x:v>2025</x:v>
      </x:c>
      <x:c r="D23" s="330"/>
      <x:c r="E23" s="330" t="str">
        <x:f>IF(D23="","",DATE(YEAR(D23)+5,MONTH(D23),DAY(D23)))</x:f>
      </x:c>
      <x:c r="F23" t="str">
        <x:v>007/25/CBMP-BD</x:v>
      </x:c>
      <x:c r="G23" t="str">
        <x:v>CÔNG TY CỔ PHẦN MARICO SOUTH EAST ASIA</x:v>
      </x:c>
      <x:c r="H23" t="str">
        <x:v>silk-n shine. HAIR TREATMENT GREEN TEA</x:v>
      </x:c>
      <x:c r="I23" t="str">
        <x:v>silk-n shine</x:v>
      </x:c>
      <x:c r="J23" t="str">
        <x:v>CÔNG TY CỔ PHẦN MARICO SOUTH EAST ASIA</x:v>
      </x:c>
      <x:c r="K23" t="str">
        <x:v>TP. Hồ Chí Minh</x:v>
      </x:c>
      <x:c r="L23" t="str">
        <x:v>Chưa đối chiếu thu hồi</x:v>
      </x:c>
      <x:c r="M23" t="str">
        <x:f>IF(D23="","CẦN NGÀY CẤP",IF(E23&gt;=TODAY(),"TRONG 5 NĂM","HẾT 5 NĂM"))</x:f>
        <x:v>CẦN NGÀY CẤP</x:v>
      </x:c>
      <x:c r="N23" t="str">
        <x:v>Nguồn chính thức Sở Y tế TP.HCM – cross-check số công bố</x:v>
      </x:c>
      <x:c r="O23" t="str">
        <x:v>https://tracuu.medinet.org.vn/category/cosodulieukhac/gxn-cfs</x:v>
      </x:c>
      <x:c r="P23" t="str">
        <x:v>Không có bằng chứng thu hồi số tiếp nhận trong dữ liệu hiện có.</x:v>
      </x:c>
      <x:c r="Q23" t="str">
        <x:v>A++</x:v>
      </x:c>
    </x:row>
    <x:row r="24">
      <x:c r="A24" t="str">
        <x:v>ACT-00023</x:v>
      </x:c>
      <x:c r="B24" t="str">
        <x:v>NỘI ĐỊA</x:v>
      </x:c>
      <x:c r="C24" t="n">
        <x:v>2025</x:v>
      </x:c>
      <x:c r="D24" s="330"/>
      <x:c r="E24" s="330" t="str">
        <x:f>IF(D24="","",DATE(YEAR(D24)+5,MONTH(D24),DAY(D24)))</x:f>
      </x:c>
      <x:c r="F24" t="str">
        <x:v>001555/25/CBMP-HCM</x:v>
      </x:c>
      <x:c r="G24" t="str">
        <x:v>CÔNG TY TNHH HENCOSVN</x:v>
      </x:c>
      <x:c r="H24" t="str">
        <x:v>BLACK SHEEP – VITAMIN WHITE</x:v>
      </x:c>
      <x:c r="I24" t="str">
        <x:v>BLACK SHEEP</x:v>
      </x:c>
      <x:c r="J24" t="str">
        <x:v>CÔNG TY TNHH HENCOSVN</x:v>
      </x:c>
      <x:c r="K24" t="str">
        <x:v>TP. Hồ Chí Minh</x:v>
      </x:c>
      <x:c r="L24" t="str">
        <x:v>Chưa đối chiếu thu hồi</x:v>
      </x:c>
      <x:c r="M24" t="str">
        <x:f>IF(D24="","CẦN NGÀY CẤP",IF(E24&gt;=TODAY(),"TRONG 5 NĂM","HẾT 5 NĂM"))</x:f>
        <x:v>CẦN NGÀY CẤP</x:v>
      </x:c>
      <x:c r="N24" t="str">
        <x:v>Nguồn chính thức Sở Y tế TP.HCM – cross-check số công bố</x:v>
      </x:c>
      <x:c r="O24" t="str">
        <x:v>https://tracuu.medinet.org.vn/category/cosodulieukhac/gxn-cfs</x:v>
      </x:c>
      <x:c r="P24" t="str">
        <x:v>Không có bằng chứng thu hồi số tiếp nhận trong dữ liệu hiện có.</x:v>
      </x:c>
      <x:c r="Q24" t="str">
        <x:v>A++</x:v>
      </x:c>
    </x:row>
    <x:row r="25">
      <x:c r="A25" t="str">
        <x:v>ACT-00024</x:v>
      </x:c>
      <x:c r="B25" t="str">
        <x:v>NỘI ĐỊA</x:v>
      </x:c>
      <x:c r="C25" t="n">
        <x:v>2025</x:v>
      </x:c>
      <x:c r="D25" s="330"/>
      <x:c r="E25" s="330" t="str">
        <x:f>IF(D25="","",DATE(YEAR(D25)+5,MONTH(D25),DAY(D25)))</x:f>
      </x:c>
      <x:c r="F25" t="str">
        <x:v>001556/25/CBMP-HCM</x:v>
      </x:c>
      <x:c r="G25" t="str">
        <x:v>CÔNG TY TNHH HENCOSVN</x:v>
      </x:c>
      <x:c r="H25" t="str">
        <x:v>BLACK SHEEP – WHITE MILKY SPA</x:v>
      </x:c>
      <x:c r="I25" t="str">
        <x:v>BLACK SHEEP</x:v>
      </x:c>
      <x:c r="J25" t="str">
        <x:v>CÔNG TY TNHH HENCOSVN</x:v>
      </x:c>
      <x:c r="K25" t="str">
        <x:v>TP. Hồ Chí Minh</x:v>
      </x:c>
      <x:c r="L25" t="str">
        <x:v>Chưa đối chiếu thu hồi</x:v>
      </x:c>
      <x:c r="M25" t="str">
        <x:f>IF(D25="","CẦN NGÀY CẤP",IF(E25&gt;=TODAY(),"TRONG 5 NĂM","HẾT 5 NĂM"))</x:f>
        <x:v>CẦN NGÀY CẤP</x:v>
      </x:c>
      <x:c r="N25" t="str">
        <x:v>Nguồn chính thức Sở Y tế TP.HCM – cross-check số công bố</x:v>
      </x:c>
      <x:c r="O25" t="str">
        <x:v>https://tracuu.medinet.org.vn/category/cosodulieukhac/gxn-cfs</x:v>
      </x:c>
      <x:c r="P25" t="str">
        <x:v>Không có bằng chứng thu hồi số tiếp nhận trong dữ liệu hiện có.</x:v>
      </x:c>
      <x:c r="Q25" t="str">
        <x:v>A++</x:v>
      </x:c>
    </x:row>
    <x:row r="26">
      <x:c r="A26" t="str">
        <x:v>ACT-00025</x:v>
      </x:c>
      <x:c r="B26" t="str">
        <x:v>NHẬP KHẨU</x:v>
      </x:c>
      <x:c r="C26" t="n">
        <x:v>2025</x:v>
      </x:c>
      <x:c r="D26" s="330"/>
      <x:c r="E26" s="330" t="str">
        <x:f>IF(D26="","",DATE(YEAR(D26)+5,MONTH(D26),DAY(D26)))</x:f>
      </x:c>
      <x:c r="F26" t="str">
        <x:v>262773/25/CBMP-QLD</x:v>
      </x:c>
      <x:c r="G26" t="str">
        <x:v>CÔNG TY TNHH MINTHACARE</x:v>
      </x:c>
      <x:c r="H26" t="str">
        <x:v>NUXE HUILE PRODIGIEUSE MULTI-PURPOSE DRY OIL</x:v>
      </x:c>
      <x:c r="I26" t="str">
        <x:v>NUXE</x:v>
      </x:c>
      <x:c r="J26"/>
      <x:c r="K26" t="str">
        <x:v>Cục QLD / Toàn quốc</x:v>
      </x:c>
      <x:c r="L26" t="str">
        <x:v>Chưa đối chiếu thu hồi</x:v>
      </x:c>
      <x:c r="M26" t="str">
        <x:f>IF(D26="","CẦN NGÀY CẤP",IF(E26&gt;=TODAY(),"TRONG 5 NĂM","HẾT 5 NĂM"))</x:f>
        <x:v>CẦN NGÀY CẤP</x:v>
      </x:c>
      <x:c r="N26" t="str">
        <x:v>Cross-check chính thức SYT TP.HCM – chưa đối chiếu hồ sơ DAV gốc</x:v>
      </x:c>
      <x:c r="O26" t="str">
        <x:v>https://tracuu.medinet.org.vn/category/cosodulieukhac/quangcao-mypham</x:v>
      </x:c>
      <x:c r="P26" t="str">
        <x:v>Import verified number.</x:v>
      </x:c>
      <x:c r="Q26" t="str">
        <x:v>A++</x:v>
      </x:c>
    </x:row>
    <x:row r="27">
      <x:c r="A27" t="str">
        <x:v>ACT-00026</x:v>
      </x:c>
      <x:c r="B27" t="str">
        <x:v>NHẬP KHẨU</x:v>
      </x:c>
      <x:c r="C27" t="n">
        <x:v>2025</x:v>
      </x:c>
      <x:c r="D27" s="330"/>
      <x:c r="E27" s="330" t="str">
        <x:f>IF(D27="","",DATE(YEAR(D27)+5,MONTH(D27),DAY(D27)))</x:f>
      </x:c>
      <x:c r="F27" t="str">
        <x:v>280531/25/CBMP-QLD</x:v>
      </x:c>
      <x:c r="G27" t="str">
        <x:v>CÔNG TY TNHH MINTHACARE</x:v>
      </x:c>
      <x:c r="H27" t="str">
        <x:v>BIODERMA SEBIUM SENSITIVE</x:v>
      </x:c>
      <x:c r="I27" t="str">
        <x:v>BIODERMA</x:v>
      </x:c>
      <x:c r="J27"/>
      <x:c r="K27" t="str">
        <x:v>Cục QLD / Toàn quốc</x:v>
      </x:c>
      <x:c r="L27" t="str">
        <x:v>Chưa đối chiếu thu hồi</x:v>
      </x:c>
      <x:c r="M27" t="str">
        <x:f>IF(D27="","CẦN NGÀY CẤP",IF(E27&gt;=TODAY(),"TRONG 5 NĂM","HẾT 5 NĂM"))</x:f>
        <x:v>CẦN NGÀY CẤP</x:v>
      </x:c>
      <x:c r="N27" t="str">
        <x:v>Cross-check chính thức SYT TP.HCM – chưa đối chiếu hồ sơ DAV gốc</x:v>
      </x:c>
      <x:c r="O27" t="str">
        <x:v>https://tracuu.medinet.org.vn/category/cosodulieukhac/quangcao-mypham</x:v>
      </x:c>
      <x:c r="P27" t="str">
        <x:v>Import verified number.</x:v>
      </x:c>
      <x:c r="Q27" t="str">
        <x:v>A++</x:v>
      </x:c>
    </x:row>
    <x:row r="28">
      <x:c r="A28" t="str">
        <x:v>ACT-00027</x:v>
      </x:c>
      <x:c r="B28" t="str">
        <x:v>NỘI ĐỊA</x:v>
      </x:c>
      <x:c r="C28" t="n">
        <x:v>2025</x:v>
      </x:c>
      <x:c r="D28" s="330"/>
      <x:c r="E28" s="330" t="str">
        <x:f>IF(D28="","",DATE(YEAR(D28)+5,MONTH(D28),DAY(D28)))</x:f>
      </x:c>
      <x:c r="F28" t="str">
        <x:v>001199/25/CBMP-HCM</x:v>
      </x:c>
      <x:c r="G28" t="str">
        <x:v>CÔNG TY TNHH QUỐC TẾ UNILEVER VIỆT NAM</x:v>
      </x:c>
      <x:c r="H28" t="str">
        <x:v>SIGNAL TOOTHPASTE GUM EXPERT FRESH</x:v>
      </x:c>
      <x:c r="I28" t="str">
        <x:v>SIGNAL</x:v>
      </x:c>
      <x:c r="J28" t="str">
        <x:v>CÔNG TY TNHH QUỐC TẾ UNILEVER VIỆT NAM</x:v>
      </x:c>
      <x:c r="K28" t="str">
        <x:v>TP. Hồ Chí Minh</x:v>
      </x:c>
      <x:c r="L28" t="str">
        <x:v>Chưa đối chiếu thu hồi</x:v>
      </x:c>
      <x:c r="M28" t="str">
        <x:f>IF(D28="","CẦN NGÀY CẤP",IF(E28&gt;=TODAY(),"TRONG 5 NĂM","HẾT 5 NĂM"))</x:f>
        <x:v>CẦN NGÀY CẤP</x:v>
      </x:c>
      <x:c r="N28" t="str">
        <x:v>Nguồn chính thức Sở Y tế TP.HCM – cross-check số công bố</x:v>
      </x:c>
      <x:c r="O28" t="str">
        <x:v>https://tracuu.medinet.org.vn/category/cosodulieukhac/gxn-cfs</x:v>
      </x:c>
      <x:c r="P28" t="str">
        <x:v>Không có bằng chứng thu hồi số tiếp nhận trong dữ liệu hiện có.</x:v>
      </x:c>
      <x:c r="Q28" t="str">
        <x:v>A++</x:v>
      </x:c>
    </x:row>
    <x:row r="29">
      <x:c r="A29" t="str">
        <x:v>ACT-00028</x:v>
      </x:c>
      <x:c r="B29" t="str">
        <x:v>NỘI ĐỊA</x:v>
      </x:c>
      <x:c r="C29" t="n">
        <x:v>2025</x:v>
      </x:c>
      <x:c r="D29" s="330"/>
      <x:c r="E29" s="330" t="str">
        <x:f>IF(D29="","",DATE(YEAR(D29)+5,MONTH(D29),DAY(D29)))</x:f>
      </x:c>
      <x:c r="F29" t="str">
        <x:v>001200/25/CBMP-HCM</x:v>
      </x:c>
      <x:c r="G29" t="str">
        <x:v>CÔNG TY TNHH QUỐC TẾ UNILEVER VIỆT NAM</x:v>
      </x:c>
      <x:c r="H29" t="str">
        <x:v>SIGNAL TOOTHPASTE GUM EXPERT WHITENING</x:v>
      </x:c>
      <x:c r="I29" t="str">
        <x:v>SIGNAL</x:v>
      </x:c>
      <x:c r="J29" t="str">
        <x:v>CÔNG TY TNHH QUỐC TẾ UNILEVER VIỆT NAM</x:v>
      </x:c>
      <x:c r="K29" t="str">
        <x:v>TP. Hồ Chí Minh</x:v>
      </x:c>
      <x:c r="L29" t="str">
        <x:v>Chưa đối chiếu thu hồi</x:v>
      </x:c>
      <x:c r="M29" t="str">
        <x:f>IF(D29="","CẦN NGÀY CẤP",IF(E29&gt;=TODAY(),"TRONG 5 NĂM","HẾT 5 NĂM"))</x:f>
        <x:v>CẦN NGÀY CẤP</x:v>
      </x:c>
      <x:c r="N29" t="str">
        <x:v>Nguồn chính thức Sở Y tế TP.HCM – cross-check số công bố</x:v>
      </x:c>
      <x:c r="O29" t="str">
        <x:v>https://tracuu.medinet.org.vn/category/cosodulieukhac/gxn-cfs</x:v>
      </x:c>
      <x:c r="P29" t="str">
        <x:v>Không có bằng chứng thu hồi số tiếp nhận trong dữ liệu hiện có.</x:v>
      </x:c>
      <x:c r="Q29" t="str">
        <x:v>A++</x:v>
      </x:c>
    </x:row>
    <x:row r="30">
      <x:c r="A30" t="str">
        <x:v>ACT-00029</x:v>
      </x:c>
      <x:c r="B30" t="str">
        <x:v>NỘI ĐỊA</x:v>
      </x:c>
      <x:c r="C30" t="n">
        <x:v>2025</x:v>
      </x:c>
      <x:c r="D30" s="330"/>
      <x:c r="E30" s="330" t="str">
        <x:f>IF(D30="","",DATE(YEAR(D30)+5,MONTH(D30),DAY(D30)))</x:f>
      </x:c>
      <x:c r="F30" t="str">
        <x:v>001201/25/CBMP-HCM</x:v>
      </x:c>
      <x:c r="G30" t="str">
        <x:v>CÔNG TY TNHH QUỐC TẾ UNILEVER VIỆT NAM</x:v>
      </x:c>
      <x:c r="H30" t="str">
        <x:v>SIGNAL TOOTHPASTE SENSITIVE EXPERT FRESH</x:v>
      </x:c>
      <x:c r="I30" t="str">
        <x:v>SIGNAL</x:v>
      </x:c>
      <x:c r="J30" t="str">
        <x:v>CÔNG TY TNHH QUỐC TẾ UNILEVER VIỆT NAM</x:v>
      </x:c>
      <x:c r="K30" t="str">
        <x:v>TP. Hồ Chí Minh</x:v>
      </x:c>
      <x:c r="L30" t="str">
        <x:v>Chưa đối chiếu thu hồi</x:v>
      </x:c>
      <x:c r="M30" t="str">
        <x:f>IF(D30="","CẦN NGÀY CẤP",IF(E30&gt;=TODAY(),"TRONG 5 NĂM","HẾT 5 NĂM"))</x:f>
        <x:v>CẦN NGÀY CẤP</x:v>
      </x:c>
      <x:c r="N30" t="str">
        <x:v>Nguồn chính thức Sở Y tế TP.HCM – cross-check số công bố</x:v>
      </x:c>
      <x:c r="O30" t="str">
        <x:v>https://tracuu.medinet.org.vn/category/cosodulieukhac/gxn-cfs</x:v>
      </x:c>
      <x:c r="P30" t="str">
        <x:v>Không có bằng chứng thu hồi số tiếp nhận trong dữ liệu hiện có.</x:v>
      </x:c>
      <x:c r="Q30" t="str">
        <x:v>A++</x:v>
      </x:c>
    </x:row>
    <x:row r="31">
      <x:c r="A31" t="str">
        <x:v>ACT-00030</x:v>
      </x:c>
      <x:c r="B31" t="str">
        <x:v>NỘI ĐỊA</x:v>
      </x:c>
      <x:c r="C31" t="n">
        <x:v>2025</x:v>
      </x:c>
      <x:c r="D31" s="330"/>
      <x:c r="E31" s="330" t="str">
        <x:f>IF(D31="","",DATE(YEAR(D31)+5,MONTH(D31),DAY(D31)))</x:f>
      </x:c>
      <x:c r="F31" t="str">
        <x:v>001202/25/CBMP-HCM</x:v>
      </x:c>
      <x:c r="G31" t="str">
        <x:v>CÔNG TY TNHH QUỐC TẾ UNILEVER VIỆT NAM</x:v>
      </x:c>
      <x:c r="H31" t="str">
        <x:v>SIGNAL TOOTHPASTE SENSITIVE EXPERT WHITENING</x:v>
      </x:c>
      <x:c r="I31" t="str">
        <x:v>SIGNAL</x:v>
      </x:c>
      <x:c r="J31" t="str">
        <x:v>CÔNG TY TNHH QUỐC TẾ UNILEVER VIỆT NAM</x:v>
      </x:c>
      <x:c r="K31" t="str">
        <x:v>TP. Hồ Chí Minh</x:v>
      </x:c>
      <x:c r="L31" t="str">
        <x:v>Chưa đối chiếu thu hồi</x:v>
      </x:c>
      <x:c r="M31" t="str">
        <x:f>IF(D31="","CẦN NGÀY CẤP",IF(E31&gt;=TODAY(),"TRONG 5 NĂM","HẾT 5 NĂM"))</x:f>
        <x:v>CẦN NGÀY CẤP</x:v>
      </x:c>
      <x:c r="N31" t="str">
        <x:v>Nguồn chính thức Sở Y tế TP.HCM – cross-check số công bố</x:v>
      </x:c>
      <x:c r="O31" t="str">
        <x:v>https://tracuu.medinet.org.vn/category/cosodulieukhac/gxn-cfs</x:v>
      </x:c>
      <x:c r="P31" t="str">
        <x:v>Không có bằng chứng thu hồi số tiếp nhận trong dữ liệu hiện có.</x:v>
      </x:c>
      <x:c r="Q31" t="str">
        <x:v>A++</x:v>
      </x:c>
    </x:row>
    <x:row r="32">
      <x:c r="A32" t="str">
        <x:v>ACT-00031</x:v>
      </x:c>
      <x:c r="B32" t="str">
        <x:v>NỘI ĐỊA</x:v>
      </x:c>
      <x:c r="C32" t="n">
        <x:v>2025</x:v>
      </x:c>
      <x:c r="D32" s="330"/>
      <x:c r="E32" s="330" t="str">
        <x:f>IF(D32="","",DATE(YEAR(D32)+5,MONTH(D32),DAY(D32)))</x:f>
      </x:c>
      <x:c r="F32" t="str">
        <x:v>002002/25/CBMP-HCM</x:v>
      </x:c>
      <x:c r="G32" t="str">
        <x:v>CÔNG TY TNHH QUỐC TẾ UNILEVER VIỆT NAM</x:v>
      </x:c>
      <x:c r="H32" t="str">
        <x:v>DOVE BODY WASH SKIN RENEWAL</x:v>
      </x:c>
      <x:c r="I32" t="str">
        <x:v>DOVE</x:v>
      </x:c>
      <x:c r="J32" t="str">
        <x:v>CÔNG TY TNHH QUỐC TẾ UNILEVER VIỆT NAM</x:v>
      </x:c>
      <x:c r="K32" t="str">
        <x:v>TP. Hồ Chí Minh</x:v>
      </x:c>
      <x:c r="L32" t="str">
        <x:v>Chưa đối chiếu thu hồi</x:v>
      </x:c>
      <x:c r="M32" t="str">
        <x:f>IF(D32="","CẦN NGÀY CẤP",IF(E32&gt;=TODAY(),"TRONG 5 NĂM","HẾT 5 NĂM"))</x:f>
        <x:v>CẦN NGÀY CẤP</x:v>
      </x:c>
      <x:c r="N32" t="str">
        <x:v>Nguồn chính thức Sở Y tế TP.HCM – cross-check số công bố</x:v>
      </x:c>
      <x:c r="O32" t="str">
        <x:v>https://tracuu.medinet.org.vn/category/cosodulieukhac/gxn-cfs</x:v>
      </x:c>
      <x:c r="P32" t="str">
        <x:v>Không có bằng chứng thu hồi số tiếp nhận trong dữ liệu hiện có.</x:v>
      </x:c>
      <x:c r="Q32" t="str">
        <x:v>A++</x:v>
      </x:c>
    </x:row>
    <x:row r="33">
      <x:c r="A33" t="str">
        <x:v>ACT-00032</x:v>
      </x:c>
      <x:c r="B33" t="str">
        <x:v>NỘI ĐỊA</x:v>
      </x:c>
      <x:c r="C33" t="n">
        <x:v>2025</x:v>
      </x:c>
      <x:c r="D33" s="330"/>
      <x:c r="E33" s="330" t="str">
        <x:f>IF(D33="","",DATE(YEAR(D33)+5,MONTH(D33),DAY(D33)))</x:f>
      </x:c>
      <x:c r="F33" t="str">
        <x:v>002004/25/CBMP-HCM</x:v>
      </x:c>
      <x:c r="G33" t="str">
        <x:v>CÔNG TY TNHH QUỐC TẾ UNILEVER VIỆT NAM</x:v>
      </x:c>
      <x:c r="H33" t="str">
        <x:v>DOVE BODY WASH EVEN TONE RADIANCE</x:v>
      </x:c>
      <x:c r="I33" t="str">
        <x:v>DOVE</x:v>
      </x:c>
      <x:c r="J33" t="str">
        <x:v>CÔNG TY TNHH QUỐC TẾ UNILEVER VIỆT NAM</x:v>
      </x:c>
      <x:c r="K33" t="str">
        <x:v>TP. Hồ Chí Minh</x:v>
      </x:c>
      <x:c r="L33" t="str">
        <x:v>Chưa đối chiếu thu hồi</x:v>
      </x:c>
      <x:c r="M33" t="str">
        <x:f>IF(D33="","CẦN NGÀY CẤP",IF(E33&gt;=TODAY(),"TRONG 5 NĂM","HẾT 5 NĂM"))</x:f>
        <x:v>CẦN NGÀY CẤP</x:v>
      </x:c>
      <x:c r="N33" t="str">
        <x:v>Nguồn chính thức Sở Y tế TP.HCM – cross-check số công bố</x:v>
      </x:c>
      <x:c r="O33" t="str">
        <x:v>https://tracuu.medinet.org.vn/category/cosodulieukhac/gxn-cfs</x:v>
      </x:c>
      <x:c r="P33" t="str">
        <x:v>Không có bằng chứng thu hồi số tiếp nhận trong dữ liệu hiện có.</x:v>
      </x:c>
      <x:c r="Q33" t="str">
        <x:v>A++</x:v>
      </x:c>
    </x:row>
    <x:row r="34">
      <x:c r="A34" t="str">
        <x:v>ACT-00033</x:v>
      </x:c>
      <x:c r="B34" t="str">
        <x:v>NỘI ĐỊA</x:v>
      </x:c>
      <x:c r="C34" t="n">
        <x:v>2025</x:v>
      </x:c>
      <x:c r="D34" s="330"/>
      <x:c r="E34" s="330" t="str">
        <x:f>IF(D34="","",DATE(YEAR(D34)+5,MONTH(D34),DAY(D34)))</x:f>
      </x:c>
      <x:c r="F34" t="str">
        <x:v>002005/25/CBMP-HCM</x:v>
      </x:c>
      <x:c r="G34" t="str">
        <x:v>CÔNG TY TNHH QUỐC TẾ UNILEVER VIỆT NAM</x:v>
      </x:c>
      <x:c r="H34" t="str">
        <x:v>DOVE BODY WASH ACNE CONTROL</x:v>
      </x:c>
      <x:c r="I34" t="str">
        <x:v>DOVE</x:v>
      </x:c>
      <x:c r="J34" t="str">
        <x:v>CÔNG TY TNHH QUỐC TẾ UNILEVER VIỆT NAM</x:v>
      </x:c>
      <x:c r="K34" t="str">
        <x:v>TP. Hồ Chí Minh</x:v>
      </x:c>
      <x:c r="L34" t="str">
        <x:v>Chưa đối chiếu thu hồi</x:v>
      </x:c>
      <x:c r="M34" t="str">
        <x:f>IF(D34="","CẦN NGÀY CẤP",IF(E34&gt;=TODAY(),"TRONG 5 NĂM","HẾT 5 NĂM"))</x:f>
        <x:v>CẦN NGÀY CẤP</x:v>
      </x:c>
      <x:c r="N34" t="str">
        <x:v>Nguồn chính thức Sở Y tế TP.HCM – cross-check số công bố</x:v>
      </x:c>
      <x:c r="O34" t="str">
        <x:v>https://tracuu.medinet.org.vn/category/cosodulieukhac/gxn-cfs</x:v>
      </x:c>
      <x:c r="P34" t="str">
        <x:v>Không có bằng chứng thu hồi số tiếp nhận trong dữ liệu hiện có.</x:v>
      </x:c>
      <x:c r="Q34" t="str">
        <x:v>A++</x:v>
      </x:c>
    </x:row>
    <x:row r="35">
      <x:c r="A35" t="str">
        <x:v>ACT-00034</x:v>
      </x:c>
      <x:c r="B35" t="str">
        <x:v>NỘI ĐỊA</x:v>
      </x:c>
      <x:c r="C35" t="n">
        <x:v>2025</x:v>
      </x:c>
      <x:c r="D35" s="330" t="n">
        <x:v>45817</x:v>
      </x:c>
      <x:c r="E35" s="330" t="n">
        <x:f>IF(D35="","",DATE(YEAR(D35)+5,MONTH(D35),DAY(D35)))</x:f>
        <x:v>47643</x:v>
      </x:c>
      <x:c r="F35" t="str">
        <x:v>002968/25/CBMP-HCM</x:v>
      </x:c>
      <x:c r="G35" t="str">
        <x:v>CÔNG TY TNHH QUỐC TẾ UNILEVER VIỆT NAM</x:v>
      </x:c>
      <x:c r="H35" t="str">
        <x:v>CITRA SHOWER CREAM MULBERRY WITH GOAT MILK &amp; VIT-E</x:v>
      </x:c>
      <x:c r="I35" t="str">
        <x:v>CITRA</x:v>
      </x:c>
      <x:c r="J35" t="str">
        <x:v>CÔNG TY TNHH QUỐC TẾ UNILEVER VIỆT NAM</x:v>
      </x:c>
      <x:c r="K35" t="str">
        <x:v>TP. Hồ Chí Minh</x:v>
      </x:c>
      <x:c r="L35" t="str">
        <x:v>Chưa đối chiếu thu hồi</x:v>
      </x:c>
      <x:c r="M35" t="str">
        <x:f>IF(D35="","CẦN NGÀY CẤP",IF(E35&gt;=TODAY(),"TRONG 5 NĂM","HẾT 5 NĂM"))</x:f>
        <x:v>TRONG 5 NĂM</x:v>
      </x:c>
      <x:c r="N35" t="str">
        <x:v>Nguồn chính thức Sở Y tế TP.HCM – cross-check số công bố</x:v>
      </x:c>
      <x:c r="O35" t="str">
        <x:v>https://tracuu.medinet.org.vn/category/cosodulieukhac/gxn-cfs</x:v>
      </x:c>
      <x:c r="P35" t="str">
        <x:v>Không có bằng chứng thu hồi số tiếp nhận trong dữ liệu hiện có.</x:v>
      </x:c>
      <x:c r="Q35" t="str">
        <x:v>A++</x:v>
      </x:c>
    </x:row>
    <x:row r="36">
      <x:c r="A36" t="str">
        <x:v>ACT-00035</x:v>
      </x:c>
      <x:c r="B36" t="str">
        <x:v>NỘI ĐỊA</x:v>
      </x:c>
      <x:c r="C36" t="n">
        <x:v>2025</x:v>
      </x:c>
      <x:c r="D36" s="330" t="n">
        <x:v>45817</x:v>
      </x:c>
      <x:c r="E36" s="330" t="n">
        <x:f>IF(D36="","",DATE(YEAR(D36)+5,MONTH(D36),DAY(D36)))</x:f>
        <x:v>47643</x:v>
      </x:c>
      <x:c r="F36" t="str">
        <x:v>002969/25/CBMP-HCM</x:v>
      </x:c>
      <x:c r="G36" t="str">
        <x:v>CÔNG TY TNHH QUỐC TẾ UNILEVER VIỆT NAM</x:v>
      </x:c>
      <x:c r="H36" t="str">
        <x:v>CITRA SHOWER CREAM GOAT MILK &amp; VIT-E</x:v>
      </x:c>
      <x:c r="I36" t="str">
        <x:v>CITRA</x:v>
      </x:c>
      <x:c r="J36" t="str">
        <x:v>CÔNG TY TNHH QUỐC TẾ UNILEVER VIỆT NAM</x:v>
      </x:c>
      <x:c r="K36" t="str">
        <x:v>TP. Hồ Chí Minh</x:v>
      </x:c>
      <x:c r="L36" t="str">
        <x:v>Chưa đối chiếu thu hồi</x:v>
      </x:c>
      <x:c r="M36" t="str">
        <x:f>IF(D36="","CẦN NGÀY CẤP",IF(E36&gt;=TODAY(),"TRONG 5 NĂM","HẾT 5 NĂM"))</x:f>
        <x:v>TRONG 5 NĂM</x:v>
      </x:c>
      <x:c r="N36" t="str">
        <x:v>Nguồn chính thức Sở Y tế TP.HCM – cross-check số công bố</x:v>
      </x:c>
      <x:c r="O36" t="str">
        <x:v>https://tracuu.medinet.org.vn/category/cosodulieukhac/gxn-cfs</x:v>
      </x:c>
      <x:c r="P36" t="str">
        <x:v>Không có bằng chứng thu hồi số tiếp nhận trong dữ liệu hiện có.</x:v>
      </x:c>
      <x:c r="Q36" t="str">
        <x:v>A++</x:v>
      </x:c>
    </x:row>
    <x:row r="37">
      <x:c r="A37" t="str">
        <x:v>ACT-00036</x:v>
      </x:c>
      <x:c r="B37" t="str">
        <x:v>NỘI ĐỊA</x:v>
      </x:c>
      <x:c r="C37" t="n">
        <x:v>2025</x:v>
      </x:c>
      <x:c r="D37" s="330" t="n">
        <x:v>45817</x:v>
      </x:c>
      <x:c r="E37" s="330" t="n">
        <x:f>IF(D37="","",DATE(YEAR(D37)+5,MONTH(D37),DAY(D37)))</x:f>
        <x:v>47643</x:v>
      </x:c>
      <x:c r="F37" t="str">
        <x:v>002970/25/CBMP-HCM</x:v>
      </x:c>
      <x:c r="G37" t="str">
        <x:v>CÔNG TY TNHH QUỐC TẾ UNILEVER VIỆT NAM</x:v>
      </x:c>
      <x:c r="H37" t="str">
        <x:v>CITRA SHOWER CREAM AVOCADO &amp; VIT-E</x:v>
      </x:c>
      <x:c r="I37" t="str">
        <x:v>CITRA</x:v>
      </x:c>
      <x:c r="J37" t="str">
        <x:v>CÔNG TY TNHH QUỐC TẾ UNILEVER VIỆT NAM</x:v>
      </x:c>
      <x:c r="K37" t="str">
        <x:v>TP. Hồ Chí Minh</x:v>
      </x:c>
      <x:c r="L37" t="str">
        <x:v>Chưa đối chiếu thu hồi</x:v>
      </x:c>
      <x:c r="M37" t="str">
        <x:f>IF(D37="","CẦN NGÀY CẤP",IF(E37&gt;=TODAY(),"TRONG 5 NĂM","HẾT 5 NĂM"))</x:f>
        <x:v>TRONG 5 NĂM</x:v>
      </x:c>
      <x:c r="N37" t="str">
        <x:v>Nguồn chính thức Sở Y tế TP.HCM – cross-check số công bố</x:v>
      </x:c>
      <x:c r="O37" t="str">
        <x:v>https://tracuu.medinet.org.vn/category/cosodulieukhac/gxn-cfs</x:v>
      </x:c>
      <x:c r="P37" t="str">
        <x:v>Không có bằng chứng thu hồi số tiếp nhận trong dữ liệu hiện có.</x:v>
      </x:c>
      <x:c r="Q37" t="str">
        <x:v>A++</x:v>
      </x:c>
    </x:row>
    <x:row r="38">
      <x:c r="A38" t="str">
        <x:v>ACT-00037</x:v>
      </x:c>
      <x:c r="B38" t="str">
        <x:v>NỘI ĐỊA</x:v>
      </x:c>
      <x:c r="C38" t="n">
        <x:v>2025</x:v>
      </x:c>
      <x:c r="D38" s="330"/>
      <x:c r="E38" s="330" t="str">
        <x:f>IF(D38="","",DATE(YEAR(D38)+5,MONTH(D38),DAY(D38)))</x:f>
      </x:c>
      <x:c r="F38" t="str">
        <x:v>003379/25/CBMP-HCM</x:v>
      </x:c>
      <x:c r="G38" t="str">
        <x:v>CÔNG TY TNHH ROHTO-MENTHOLATUM (VIỆT NAM)</x:v>
      </x:c>
      <x:c r="H38" t="str">
        <x:v>50 MEGUMI HAIR ESSENCE</x:v>
      </x:c>
      <x:c r="I38" t="str">
        <x:v>50 MEGUMI</x:v>
      </x:c>
      <x:c r="J38"/>
      <x:c r="K38" t="str">
        <x:v>TP. Hồ Chí Minh</x:v>
      </x:c>
      <x:c r="L38" t="str">
        <x:v>Chưa đối chiếu thu hồi</x:v>
      </x:c>
      <x:c r="M38" t="str">
        <x:f>IF(D38="","CẦN NGÀY CẤP",IF(E38&gt;=TODAY(),"TRONG 5 NĂM","HẾT 5 NĂM"))</x:f>
        <x:v>CẦN NGÀY CẤP</x:v>
      </x:c>
      <x:c r="N38" t="str">
        <x:v>Nguồn chính thức Sở Y tế TP.HCM – cross-check số công bố</x:v>
      </x:c>
      <x:c r="O38" t="str">
        <x:v>https://tracuu.medinet.org.vn/category/cosodulieukhac/quangcao-mypham</x:v>
      </x:c>
      <x:c r="P38" t="str">
        <x:v>Không có bằng chứng thu hồi số tiếp nhận trong dữ liệu hiện có.</x:v>
      </x:c>
      <x:c r="Q38" t="str">
        <x:v>A++</x:v>
      </x:c>
    </x:row>
    <x:row r="39">
      <x:c r="A39" t="str">
        <x:v>ACT-00038</x:v>
      </x:c>
      <x:c r="B39" t="str">
        <x:v>NỘI ĐỊA</x:v>
      </x:c>
      <x:c r="C39" t="n">
        <x:v>2025</x:v>
      </x:c>
      <x:c r="D39" s="330"/>
      <x:c r="E39" s="330" t="str">
        <x:f>IF(D39="","",DATE(YEAR(D39)+5,MONTH(D39),DAY(D39)))</x:f>
      </x:c>
      <x:c r="F39" t="str">
        <x:v>006789/25/CBMP-HCM</x:v>
      </x:c>
      <x:c r="G39" t="str">
        <x:v>CÔNG TY TNHH ROHTO-MENTHOLATUM (VIỆT NAM)</x:v>
      </x:c>
      <x:c r="H39" t="str">
        <x:v>LIPSTICIAN LIP SERUM - PROTECTOR</x:v>
      </x:c>
      <x:c r="I39" t="str">
        <x:v>LIPSTICIAN</x:v>
      </x:c>
      <x:c r="J39"/>
      <x:c r="K39" t="str">
        <x:v>TP. Hồ Chí Minh</x:v>
      </x:c>
      <x:c r="L39" t="str">
        <x:v>Chưa đối chiếu thu hồi</x:v>
      </x:c>
      <x:c r="M39" t="str">
        <x:f>IF(D39="","CẦN NGÀY CẤP",IF(E39&gt;=TODAY(),"TRONG 5 NĂM","HẾT 5 NĂM"))</x:f>
        <x:v>CẦN NGÀY CẤP</x:v>
      </x:c>
      <x:c r="N39" t="str">
        <x:v>Nguồn chính thức Sở Y tế TP.HCM – cross-check số công bố</x:v>
      </x:c>
      <x:c r="O39" t="str">
        <x:v>https://tracuu.medinet.org.vn/category/cosodulieukhac/quangcao-mypham</x:v>
      </x:c>
      <x:c r="P39" t="str">
        <x:v>Không có bằng chứng thu hồi số tiếp nhận trong dữ liệu hiện có.</x:v>
      </x:c>
      <x:c r="Q39" t="str">
        <x:v>A++</x:v>
      </x:c>
    </x:row>
    <x:row r="40">
      <x:c r="A40" t="str">
        <x:v>ACT-00039</x:v>
      </x:c>
      <x:c r="B40" t="str">
        <x:v>NỘI ĐỊA</x:v>
      </x:c>
      <x:c r="C40" t="n">
        <x:v>2025</x:v>
      </x:c>
      <x:c r="D40" s="330"/>
      <x:c r="E40" s="330" t="str">
        <x:f>IF(D40="","",DATE(YEAR(D40)+5,MONTH(D40),DAY(D40)))</x:f>
      </x:c>
      <x:c r="F40" t="str">
        <x:v>007064/25/CBMP-HCM</x:v>
      </x:c>
      <x:c r="G40" t="str">
        <x:v>CÔNG TY TNHH ROHTO-MENTHOLATUM (VIỆT NAM)</x:v>
      </x:c>
      <x:c r="H40" t="str">
        <x:v>LIPSTICIAN LIP SERUM - YOUTH BOOSTER</x:v>
      </x:c>
      <x:c r="I40" t="str">
        <x:v>LIPSTICIAN</x:v>
      </x:c>
      <x:c r="J40"/>
      <x:c r="K40" t="str">
        <x:v>TP. Hồ Chí Minh</x:v>
      </x:c>
      <x:c r="L40" t="str">
        <x:v>Chưa đối chiếu thu hồi</x:v>
      </x:c>
      <x:c r="M40" t="str">
        <x:f>IF(D40="","CẦN NGÀY CẤP",IF(E40&gt;=TODAY(),"TRONG 5 NĂM","HẾT 5 NĂM"))</x:f>
        <x:v>CẦN NGÀY CẤP</x:v>
      </x:c>
      <x:c r="N40" t="str">
        <x:v>Nguồn chính thức Sở Y tế TP.HCM – cross-check số công bố</x:v>
      </x:c>
      <x:c r="O40" t="str">
        <x:v>https://tracuu.medinet.org.vn/category/cosodulieukhac/quangcao-mypham</x:v>
      </x:c>
      <x:c r="P40" t="str">
        <x:v>Không có bằng chứng thu hồi số tiếp nhận trong dữ liệu hiện có.</x:v>
      </x:c>
      <x:c r="Q40" t="str">
        <x:v>A++</x:v>
      </x:c>
    </x:row>
    <x:row r="41">
      <x:c r="A41" t="str">
        <x:v>ACT-00040</x:v>
      </x:c>
      <x:c r="B41" t="str">
        <x:v>NỘI ĐỊA</x:v>
      </x:c>
      <x:c r="C41" t="n">
        <x:v>2025</x:v>
      </x:c>
      <x:c r="D41" s="330"/>
      <x:c r="E41" s="330" t="str">
        <x:f>IF(D41="","",DATE(YEAR(D41)+5,MONTH(D41),DAY(D41)))</x:f>
      </x:c>
      <x:c r="F41" t="str">
        <x:v>000222/25/CBMP-HCM</x:v>
      </x:c>
      <x:c r="G41" t="str">
        <x:v>CÔNG TY TNHH TOP 100</x:v>
      </x:c>
      <x:c r="H41" t="str">
        <x:v>d’Annam - NƯỚC HOA CHINESE CALLIGRAPHY</x:v>
      </x:c>
      <x:c r="I41" t="str">
        <x:v>d’Annam</x:v>
      </x:c>
      <x:c r="J41" t="str">
        <x:v>CÔNG TY TNHH TOP 100</x:v>
      </x:c>
      <x:c r="K41" t="str">
        <x:v>TP. Hồ Chí Minh</x:v>
      </x:c>
      <x:c r="L41" t="str">
        <x:v>Chưa đối chiếu thu hồi</x:v>
      </x:c>
      <x:c r="M41" t="str">
        <x:f>IF(D41="","CẦN NGÀY CẤP",IF(E41&gt;=TODAY(),"TRONG 5 NĂM","HẾT 5 NĂM"))</x:f>
        <x:v>CẦN NGÀY CẤP</x:v>
      </x:c>
      <x:c r="N41" t="str">
        <x:v>Nguồn chính thức Sở Y tế TP.HCM – cross-check số công bố</x:v>
      </x:c>
      <x:c r="O41" t="str">
        <x:v>https://tracuu.medinet.org.vn/category/cosodulieukhac/gxn-cfs</x:v>
      </x:c>
      <x:c r="P41" t="str">
        <x:v>Không có bằng chứng thu hồi số tiếp nhận trong dữ liệu hiện có.</x:v>
      </x:c>
      <x:c r="Q41" t="str">
        <x:v>A++</x:v>
      </x:c>
    </x:row>
    <x:row r="42">
      <x:c r="A42" t="str">
        <x:v>ACT-00041</x:v>
      </x:c>
      <x:c r="B42" t="str">
        <x:v>NỘI ĐỊA</x:v>
      </x:c>
      <x:c r="C42" t="n">
        <x:v>2025</x:v>
      </x:c>
      <x:c r="D42" s="330"/>
      <x:c r="E42" s="330" t="str">
        <x:f>IF(D42="","",DATE(YEAR(D42)+5,MONTH(D42),DAY(D42)))</x:f>
      </x:c>
      <x:c r="F42" t="str">
        <x:v>000223/25/CBMP-HCM</x:v>
      </x:c>
      <x:c r="G42" t="str">
        <x:v>CÔNG TY TNHH TOP 100</x:v>
      </x:c>
      <x:c r="H42" t="str">
        <x:v>d’Annam - NƯỚC HOA THE SILK ROAD</x:v>
      </x:c>
      <x:c r="I42" t="str">
        <x:v>d’Annam</x:v>
      </x:c>
      <x:c r="J42" t="str">
        <x:v>CÔNG TY TNHH TOP 100</x:v>
      </x:c>
      <x:c r="K42" t="str">
        <x:v>TP. Hồ Chí Minh</x:v>
      </x:c>
      <x:c r="L42" t="str">
        <x:v>Chưa đối chiếu thu hồi</x:v>
      </x:c>
      <x:c r="M42" t="str">
        <x:f>IF(D42="","CẦN NGÀY CẤP",IF(E42&gt;=TODAY(),"TRONG 5 NĂM","HẾT 5 NĂM"))</x:f>
        <x:v>CẦN NGÀY CẤP</x:v>
      </x:c>
      <x:c r="N42" t="str">
        <x:v>Nguồn chính thức Sở Y tế TP.HCM – cross-check số công bố</x:v>
      </x:c>
      <x:c r="O42" t="str">
        <x:v>https://tracuu.medinet.org.vn/category/cosodulieukhac/gxn-cfs</x:v>
      </x:c>
      <x:c r="P42" t="str">
        <x:v>Không có bằng chứng thu hồi số tiếp nhận trong dữ liệu hiện có.</x:v>
      </x:c>
      <x:c r="Q42" t="str">
        <x:v>A++</x:v>
      </x:c>
    </x:row>
    <x:row r="43">
      <x:c r="A43" t="str">
        <x:v>ACT-00042</x:v>
      </x:c>
      <x:c r="B43" t="str">
        <x:v>NỘI ĐỊA</x:v>
      </x:c>
      <x:c r="C43" t="n">
        <x:v>2025</x:v>
      </x:c>
      <x:c r="D43" s="330"/>
      <x:c r="E43" s="330" t="str">
        <x:f>IF(D43="","",DATE(YEAR(D43)+5,MONTH(D43),DAY(D43)))</x:f>
      </x:c>
      <x:c r="F43" t="str">
        <x:v>000224/25/CBMP-HCM</x:v>
      </x:c>
      <x:c r="G43" t="str">
        <x:v>CÔNG TY TNHH TOP 100</x:v>
      </x:c>
      <x:c r="H43" t="str">
        <x:v>d’Annam - NƯỚC HOA SPRING FESTIVAL</x:v>
      </x:c>
      <x:c r="I43" t="str">
        <x:v>d’Annam</x:v>
      </x:c>
      <x:c r="J43" t="str">
        <x:v>CÔNG TY TNHH TOP 100</x:v>
      </x:c>
      <x:c r="K43" t="str">
        <x:v>TP. Hồ Chí Minh</x:v>
      </x:c>
      <x:c r="L43" t="str">
        <x:v>Chưa đối chiếu thu hồi</x:v>
      </x:c>
      <x:c r="M43" t="str">
        <x:f>IF(D43="","CẦN NGÀY CẤP",IF(E43&gt;=TODAY(),"TRONG 5 NĂM","HẾT 5 NĂM"))</x:f>
        <x:v>CẦN NGÀY CẤP</x:v>
      </x:c>
      <x:c r="N43" t="str">
        <x:v>Nguồn chính thức Sở Y tế TP.HCM – cross-check số công bố</x:v>
      </x:c>
      <x:c r="O43" t="str">
        <x:v>https://tracuu.medinet.org.vn/category/cosodulieukhac/gxn-cfs</x:v>
      </x:c>
      <x:c r="P43" t="str">
        <x:v>Không có bằng chứng thu hồi số tiếp nhận trong dữ liệu hiện có.</x:v>
      </x:c>
      <x:c r="Q43" t="str">
        <x:v>A++</x:v>
      </x:c>
    </x:row>
    <x:row r="44">
      <x:c r="A44" t="str">
        <x:v>ACT-00043</x:v>
      </x:c>
      <x:c r="B44" t="str">
        <x:v>NỘI ĐỊA</x:v>
      </x:c>
      <x:c r="C44" t="n">
        <x:v>2025</x:v>
      </x:c>
      <x:c r="D44" s="330"/>
      <x:c r="E44" s="330" t="str">
        <x:f>IF(D44="","",DATE(YEAR(D44)+5,MONTH(D44),DAY(D44)))</x:f>
      </x:c>
      <x:c r="F44" t="str">
        <x:v>000257/25/CBMP-HCM</x:v>
      </x:c>
      <x:c r="G44" t="str">
        <x:v>CÔNG TY TNHH TOP 100</x:v>
      </x:c>
      <x:c r="H44" t="str">
        <x:v>d’Annam - NƯỚC HOA PRINCESS OF CHINA</x:v>
      </x:c>
      <x:c r="I44" t="str">
        <x:v>d’Annam</x:v>
      </x:c>
      <x:c r="J44" t="str">
        <x:v>CÔNG TY TNHH TOP 100</x:v>
      </x:c>
      <x:c r="K44" t="str">
        <x:v>TP. Hồ Chí Minh</x:v>
      </x:c>
      <x:c r="L44" t="str">
        <x:v>Chưa đối chiếu thu hồi</x:v>
      </x:c>
      <x:c r="M44" t="str">
        <x:f>IF(D44="","CẦN NGÀY CẤP",IF(E44&gt;=TODAY(),"TRONG 5 NĂM","HẾT 5 NĂM"))</x:f>
        <x:v>CẦN NGÀY CẤP</x:v>
      </x:c>
      <x:c r="N44" t="str">
        <x:v>Nguồn chính thức Sở Y tế TP.HCM – cross-check số công bố</x:v>
      </x:c>
      <x:c r="O44" t="str">
        <x:v>https://tracuu.medinet.org.vn/category/cosodulieukhac/gxn-cfs</x:v>
      </x:c>
      <x:c r="P44" t="str">
        <x:v>Không có bằng chứng thu hồi số tiếp nhận trong dữ liệu hiện có.</x:v>
      </x:c>
      <x:c r="Q44" t="str">
        <x:v>A++</x:v>
      </x:c>
    </x:row>
    <x:row r="45">
      <x:c r="A45" t="str">
        <x:v>ACT-00044</x:v>
      </x:c>
      <x:c r="B45" t="str">
        <x:v>NỘI ĐỊA</x:v>
      </x:c>
      <x:c r="C45" t="n">
        <x:v>2025</x:v>
      </x:c>
      <x:c r="D45" s="330"/>
      <x:c r="E45" s="330" t="str">
        <x:f>IF(D45="","",DATE(YEAR(D45)+5,MONTH(D45),DAY(D45)))</x:f>
      </x:c>
      <x:c r="F45" t="str">
        <x:v>000258/25/CBMP-HCM</x:v>
      </x:c>
      <x:c r="G45" t="str">
        <x:v>CÔNG TY TNHH TOP 100</x:v>
      </x:c>
      <x:c r="H45" t="str">
        <x:v>d’Annam - NƯỚC HOA POMELO OOLONG</x:v>
      </x:c>
      <x:c r="I45" t="str">
        <x:v>d’Annam</x:v>
      </x:c>
      <x:c r="J45" t="str">
        <x:v>CÔNG TY TNHH TOP 100</x:v>
      </x:c>
      <x:c r="K45" t="str">
        <x:v>TP. Hồ Chí Minh</x:v>
      </x:c>
      <x:c r="L45" t="str">
        <x:v>Chưa đối chiếu thu hồi</x:v>
      </x:c>
      <x:c r="M45" t="str">
        <x:f>IF(D45="","CẦN NGÀY CẤP",IF(E45&gt;=TODAY(),"TRONG 5 NĂM","HẾT 5 NĂM"))</x:f>
        <x:v>CẦN NGÀY CẤP</x:v>
      </x:c>
      <x:c r="N45" t="str">
        <x:v>Nguồn chính thức Sở Y tế TP.HCM – cross-check số công bố</x:v>
      </x:c>
      <x:c r="O45" t="str">
        <x:v>https://tracuu.medinet.org.vn/category/cosodulieukhac/gxn-cfs</x:v>
      </x:c>
      <x:c r="P45" t="str">
        <x:v>Không có bằng chứng thu hồi số tiếp nhận trong dữ liệu hiện có.</x:v>
      </x:c>
      <x:c r="Q45" t="str">
        <x:v>A++</x:v>
      </x:c>
    </x:row>
    <x:row r="46">
      <x:c r="A46" t="str">
        <x:v>ACT-00045</x:v>
      </x:c>
      <x:c r="B46" t="str">
        <x:v>NỘI ĐỊA</x:v>
      </x:c>
      <x:c r="C46" t="n">
        <x:v>2025</x:v>
      </x:c>
      <x:c r="D46" s="330"/>
      <x:c r="E46" s="330" t="str">
        <x:f>IF(D46="","",DATE(YEAR(D46)+5,MONTH(D46),DAY(D46)))</x:f>
      </x:c>
      <x:c r="F46" t="str">
        <x:v>000259/25/CBMP-HCM</x:v>
      </x:c>
      <x:c r="G46" t="str">
        <x:v>CÔNG TY TNHH TOP 100</x:v>
      </x:c>
      <x:c r="H46" t="str">
        <x:v>d’Annam - NƯỚC HOA MOONCAKE</x:v>
      </x:c>
      <x:c r="I46" t="str">
        <x:v>d’Annam</x:v>
      </x:c>
      <x:c r="J46" t="str">
        <x:v>CÔNG TY TNHH TOP 100</x:v>
      </x:c>
      <x:c r="K46" t="str">
        <x:v>TP. Hồ Chí Minh</x:v>
      </x:c>
      <x:c r="L46" t="str">
        <x:v>Chưa đối chiếu thu hồi</x:v>
      </x:c>
      <x:c r="M46" t="str">
        <x:f>IF(D46="","CẦN NGÀY CẤP",IF(E46&gt;=TODAY(),"TRONG 5 NĂM","HẾT 5 NĂM"))</x:f>
        <x:v>CẦN NGÀY CẤP</x:v>
      </x:c>
      <x:c r="N46" t="str">
        <x:v>Nguồn chính thức Sở Y tế TP.HCM – cross-check số công bố</x:v>
      </x:c>
      <x:c r="O46" t="str">
        <x:v>https://tracuu.medinet.org.vn/category/cosodulieukhac/gxn-cfs</x:v>
      </x:c>
      <x:c r="P46" t="str">
        <x:v>Không có bằng chứng thu hồi số tiếp nhận trong dữ liệu hiện có.</x:v>
      </x:c>
      <x:c r="Q46" t="str">
        <x:v>A++</x:v>
      </x:c>
    </x:row>
    <x:row r="47">
      <x:c r="A47" t="str">
        <x:v>ACT-00046</x:v>
      </x:c>
      <x:c r="B47" t="str">
        <x:v>NỘI ĐỊA</x:v>
      </x:c>
      <x:c r="C47" t="n">
        <x:v>2025</x:v>
      </x:c>
      <x:c r="D47" s="330"/>
      <x:c r="E47" s="330" t="str">
        <x:f>IF(D47="","",DATE(YEAR(D47)+5,MONTH(D47),DAY(D47)))</x:f>
      </x:c>
      <x:c r="F47" t="str">
        <x:v>387/25/CBMP-BD</x:v>
      </x:c>
      <x:c r="G47" t="str">
        <x:v>CÔNG TY TRÁCH NHIỆM HỮU HẠN WIPRO CONSUMER CARE VIỆT NAM</x:v>
      </x:c>
      <x:c r="H47" t="str">
        <x:v>Enchanteur Sensation Radiant White Anti Perspirant Roll On Soft Smooth</x:v>
      </x:c>
      <x:c r="I47" t="str">
        <x:v>Enchanteur</x:v>
      </x:c>
      <x:c r="J47" t="str">
        <x:v>CÔNG TY TRÁCH NHIỆM HỮU HẠN WIPRO CONSUMER CARE VIỆT NAM</x:v>
      </x:c>
      <x:c r="K47" t="str">
        <x:v>TP. Hồ Chí Minh</x:v>
      </x:c>
      <x:c r="L47" t="str">
        <x:v>Chưa đối chiếu thu hồi</x:v>
      </x:c>
      <x:c r="M47" t="str">
        <x:f>IF(D47="","CẦN NGÀY CẤP",IF(E47&gt;=TODAY(),"TRONG 5 NĂM","HẾT 5 NĂM"))</x:f>
        <x:v>CẦN NGÀY CẤP</x:v>
      </x:c>
      <x:c r="N47" t="str">
        <x:v>Nguồn chính thức Sở Y tế TP.HCM – cross-check số công bố</x:v>
      </x:c>
      <x:c r="O47" t="str">
        <x:v>https://tracuu.medinet.org.vn/category/cosodulieukhac/gxn-cfs</x:v>
      </x:c>
      <x:c r="P47" t="str">
        <x:v>Không có bằng chứng thu hồi số tiếp nhận trong dữ liệu hiện có.</x:v>
      </x:c>
      <x:c r="Q47" t="str">
        <x:v>A++</x:v>
      </x:c>
    </x:row>
    <x:row r="48">
      <x:c r="A48" t="str">
        <x:v>ACT-00047</x:v>
      </x:c>
      <x:c r="B48" t="str">
        <x:v>NỘI ĐỊA</x:v>
      </x:c>
      <x:c r="C48" t="n">
        <x:v>2024</x:v>
      </x:c>
      <x:c r="D48" s="330"/>
      <x:c r="E48" s="330" t="str">
        <x:f>IF(D48="","",DATE(YEAR(D48)+5,MONTH(D48),DAY(D48)))</x:f>
      </x:c>
      <x:c r="F48" t="str">
        <x:v>04/24/CBMP-HD</x:v>
      </x:c>
      <x:c r="G48" t="str">
        <x:v>Công ty CP Dược Mỹ phẩm Thiên Phước</x:v>
      </x:c>
      <x:c r="H48" t="str">
        <x:v>SỮA TẮM DƯỢC LIỆU MỘC THIÊN PHƯỚC</x:v>
      </x:c>
      <x:c r="I48" t="str">
        <x:v>MỘC THIÊN PHƯỚC</x:v>
      </x:c>
      <x:c r="J48"/>
      <x:c r="K48" t="str">
        <x:v>Hải Phòng</x:v>
      </x:c>
      <x:c r="L48" t="str">
        <x:v>Chưa đối chiếu thu hồi</x:v>
      </x:c>
      <x:c r="M48" t="str">
        <x:f>IF(D48="","CẦN NGÀY CẤP",IF(E48&gt;=TODAY(),"TRONG 5 NĂM","HẾT 5 NĂM"))</x:f>
        <x:v>CẦN NGÀY CẤP</x:v>
      </x:c>
      <x:c r="N48" t="str">
        <x:v>Nguồn XLSX chính thức – Cổng dữ liệu mở TP Hải Phòng</x:v>
      </x:c>
      <x:c r="O48" t="str">
        <x:v>https://data.haiphong.gov.vn/dataset/07fa5c03-31ee-453f-9bba-f7acd2ffeb6a/resource/4621ee58-725a-481d-b29c-931e46f220c5/download/khocsdl_trichxuatdulieu_dulieusotiepnhanphieucongbosanphammypham_2026-06-25.xlsx</x:v>
      </x:c>
      <x:c r="P48" t="str">
        <x:v>Không có bằng chứng thu hồi số tiếp nhận trong dữ liệu hiện có.</x:v>
      </x:c>
      <x:c r="Q48" t="str">
        <x:v>A++</x:v>
      </x:c>
    </x:row>
    <x:row r="49">
      <x:c r="A49" t="str">
        <x:v>ACT-00048</x:v>
      </x:c>
      <x:c r="B49" t="str">
        <x:v>NỘI ĐỊA</x:v>
      </x:c>
      <x:c r="C49" t="n">
        <x:v>2024</x:v>
      </x:c>
      <x:c r="D49" s="330"/>
      <x:c r="E49" s="330" t="str">
        <x:f>IF(D49="","",DATE(YEAR(D49)+5,MONTH(D49),DAY(D49)))</x:f>
      </x:c>
      <x:c r="F49" t="str">
        <x:v>05/24/CBMP-HD</x:v>
      </x:c>
      <x:c r="G49" t="str">
        <x:v>Công ty CP Dược Mỹ phẩm Thiên Phước</x:v>
      </x:c>
      <x:c r="H49" t="str">
        <x:v>DẦU XẢ DƯỢC LIỆU</x:v>
      </x:c>
      <x:c r="I49" t="str">
        <x:v>MỘC THIÊN PHƯỚC</x:v>
      </x:c>
      <x:c r="J49"/>
      <x:c r="K49" t="str">
        <x:v>Hải Phòng</x:v>
      </x:c>
      <x:c r="L49" t="str">
        <x:v>Chưa đối chiếu thu hồi</x:v>
      </x:c>
      <x:c r="M49" t="str">
        <x:f>IF(D49="","CẦN NGÀY CẤP",IF(E49&gt;=TODAY(),"TRONG 5 NĂM","HẾT 5 NĂM"))</x:f>
        <x:v>CẦN NGÀY CẤP</x:v>
      </x:c>
      <x:c r="N49" t="str">
        <x:v>Nguồn XLSX chính thức – Cổng dữ liệu mở TP Hải Phòng</x:v>
      </x:c>
      <x:c r="O49" t="str">
        <x:v>https://data.haiphong.gov.vn/dataset/07fa5c03-31ee-453f-9bba-f7acd2ffeb6a/resource/4621ee58-725a-481d-b29c-931e46f220c5/download/khocsdl_trichxuatdulieu_dulieusotiepnhanphieucongbosanphammypham_2026-06-25.xlsx</x:v>
      </x:c>
      <x:c r="P49" t="str">
        <x:v>Không có bằng chứng thu hồi số tiếp nhận trong dữ liệu hiện có.</x:v>
      </x:c>
      <x:c r="Q49" t="str">
        <x:v>A++</x:v>
      </x:c>
    </x:row>
    <x:row r="50">
      <x:c r="A50" t="str">
        <x:v>ACT-00049</x:v>
      </x:c>
      <x:c r="B50" t="str">
        <x:v>NỘI ĐỊA</x:v>
      </x:c>
      <x:c r="C50" t="n">
        <x:v>2024</x:v>
      </x:c>
      <x:c r="D50" s="330"/>
      <x:c r="E50" s="330" t="str">
        <x:f>IF(D50="","",DATE(YEAR(D50)+5,MONTH(D50),DAY(D50)))</x:f>
      </x:c>
      <x:c r="F50" t="str">
        <x:v>06/24/CBMP-HD</x:v>
      </x:c>
      <x:c r="G50" t="str">
        <x:v>Công ty CP Dược Mỹ phẩm Thiên Phước</x:v>
      </x:c>
      <x:c r="H50" t="str">
        <x:v>DẦU GỘI DƯỢC LIỆU</x:v>
      </x:c>
      <x:c r="I50" t="str">
        <x:v>MỘC THIÊN PHƯỚC</x:v>
      </x:c>
      <x:c r="J50"/>
      <x:c r="K50" t="str">
        <x:v>Hải Phòng</x:v>
      </x:c>
      <x:c r="L50" t="str">
        <x:v>Chưa đối chiếu thu hồi</x:v>
      </x:c>
      <x:c r="M50" t="str">
        <x:f>IF(D50="","CẦN NGÀY CẤP",IF(E50&gt;=TODAY(),"TRONG 5 NĂM","HẾT 5 NĂM"))</x:f>
        <x:v>CẦN NGÀY CẤP</x:v>
      </x:c>
      <x:c r="N50" t="str">
        <x:v>Nguồn XLSX chính thức – Cổng dữ liệu mở TP Hải Phòng</x:v>
      </x:c>
      <x:c r="O50" t="str">
        <x:v>https://data.haiphong.gov.vn/dataset/07fa5c03-31ee-453f-9bba-f7acd2ffeb6a/resource/4621ee58-725a-481d-b29c-931e46f220c5/download/khocsdl_trichxuatdulieu_dulieusotiepnhanphieucongbosanphammypham_2026-06-25.xlsx</x:v>
      </x:c>
      <x:c r="P50" t="str">
        <x:v>Không có bằng chứng thu hồi số tiếp nhận trong dữ liệu hiện có.</x:v>
      </x:c>
      <x:c r="Q50" t="str">
        <x:v>A++</x:v>
      </x:c>
    </x:row>
    <x:row r="51">
      <x:c r="A51" t="str">
        <x:v>ACT-00050</x:v>
      </x:c>
      <x:c r="B51" t="str">
        <x:v>NỘI ĐỊA</x:v>
      </x:c>
      <x:c r="C51" t="n">
        <x:v>2024</x:v>
      </x:c>
      <x:c r="D51" s="330"/>
      <x:c r="E51" s="330" t="str">
        <x:f>IF(D51="","",DATE(YEAR(D51)+5,MONTH(D51),DAY(D51)))</x:f>
      </x:c>
      <x:c r="F51" t="str">
        <x:v>07/24/CBMP-HD</x:v>
      </x:c>
      <x:c r="G51" t="str">
        <x:v>Công ty CP Dược Mỹ phẩm Thiên Phước</x:v>
      </x:c>
      <x:c r="H51" t="str">
        <x:v>DẦU GỘI DƯỢC LIỆU MỘC THIÊN PHƯỚC</x:v>
      </x:c>
      <x:c r="I51" t="str">
        <x:v>MỘC THIÊN PHƯỚC</x:v>
      </x:c>
      <x:c r="J51"/>
      <x:c r="K51" t="str">
        <x:v>Hải Phòng</x:v>
      </x:c>
      <x:c r="L51" t="str">
        <x:v>Chưa đối chiếu thu hồi</x:v>
      </x:c>
      <x:c r="M51" t="str">
        <x:f>IF(D51="","CẦN NGÀY CẤP",IF(E51&gt;=TODAY(),"TRONG 5 NĂM","HẾT 5 NĂM"))</x:f>
        <x:v>CẦN NGÀY CẤP</x:v>
      </x:c>
      <x:c r="N51" t="str">
        <x:v>Nguồn XLSX chính thức – Cổng dữ liệu mở TP Hải Phòng</x:v>
      </x:c>
      <x:c r="O51" t="str">
        <x:v>https://data.haiphong.gov.vn/dataset/07fa5c03-31ee-453f-9bba-f7acd2ffeb6a/resource/4621ee58-725a-481d-b29c-931e46f220c5/download/khocsdl_trichxuatdulieu_dulieusotiepnhanphieucongbosanphammypham_2026-06-25.xlsx</x:v>
      </x:c>
      <x:c r="P51" t="str">
        <x:v>Không có bằng chứng thu hồi số tiếp nhận trong dữ liệu hiện có.</x:v>
      </x:c>
      <x:c r="Q51" t="str">
        <x:v>A++</x:v>
      </x:c>
    </x:row>
    <x:row r="52">
      <x:c r="A52" t="str">
        <x:v>ACT-00051</x:v>
      </x:c>
      <x:c r="B52" t="str">
        <x:v>NỘI ĐỊA</x:v>
      </x:c>
      <x:c r="C52" t="n">
        <x:v>2024</x:v>
      </x:c>
      <x:c r="D52" s="330"/>
      <x:c r="E52" s="330" t="str">
        <x:f>IF(D52="","",DATE(YEAR(D52)+5,MONTH(D52),DAY(D52)))</x:f>
      </x:c>
      <x:c r="F52" t="str">
        <x:v>08/24/CBMP-HD</x:v>
      </x:c>
      <x:c r="G52" t="str">
        <x:v>Công ty CP Dược Mỹ phẩm Thiên Phước</x:v>
      </x:c>
      <x:c r="H52" t="str">
        <x:v>DẦU XẢ DƯỢC LIỆU MỘC THIÊN PHƯỚC</x:v>
      </x:c>
      <x:c r="I52" t="str">
        <x:v>MỘC THIÊN PHƯỚC</x:v>
      </x:c>
      <x:c r="J52"/>
      <x:c r="K52" t="str">
        <x:v>Hải Phòng</x:v>
      </x:c>
      <x:c r="L52" t="str">
        <x:v>Chưa đối chiếu thu hồi</x:v>
      </x:c>
      <x:c r="M52" t="str">
        <x:f>IF(D52="","CẦN NGÀY CẤP",IF(E52&gt;=TODAY(),"TRONG 5 NĂM","HẾT 5 NĂM"))</x:f>
        <x:v>CẦN NGÀY CẤP</x:v>
      </x:c>
      <x:c r="N52" t="str">
        <x:v>Nguồn XLSX chính thức – Cổng dữ liệu mở TP Hải Phòng</x:v>
      </x:c>
      <x:c r="O52" t="str">
        <x:v>https://data.haiphong.gov.vn/dataset/07fa5c03-31ee-453f-9bba-f7acd2ffeb6a/resource/4621ee58-725a-481d-b29c-931e46f220c5/download/khocsdl_trichxuatdulieu_dulieusotiepnhanphieucongbosanphammypham_2026-06-25.xlsx</x:v>
      </x:c>
      <x:c r="P52" t="str">
        <x:v>Không có bằng chứng thu hồi số tiếp nhận trong dữ liệu hiện có.</x:v>
      </x:c>
      <x:c r="Q52" t="str">
        <x:v>A++</x:v>
      </x:c>
    </x:row>
    <x:row r="53">
      <x:c r="A53" t="str">
        <x:v>ACT-00052</x:v>
      </x:c>
      <x:c r="B53" t="str">
        <x:v>NỘI ĐỊA</x:v>
      </x:c>
      <x:c r="C53" t="n">
        <x:v>2024</x:v>
      </x:c>
      <x:c r="D53" s="330"/>
      <x:c r="E53" s="330" t="str">
        <x:f>IF(D53="","",DATE(YEAR(D53)+5,MONTH(D53),DAY(D53)))</x:f>
      </x:c>
      <x:c r="F53" t="str">
        <x:v>09/24/CBMP-HD</x:v>
      </x:c>
      <x:c r="G53" t="str">
        <x:v>Công ty CP Dược VTYT Hải Dương</x:v>
      </x:c>
      <x:c r="H53" t="str">
        <x:v>XỊT KHỬ MÙI HÔI CHÂN VÀ GIÀY</x:v>
      </x:c>
      <x:c r="I53" t="str">
        <x:v>DR.HERBAL</x:v>
      </x:c>
      <x:c r="J53"/>
      <x:c r="K53" t="str">
        <x:v>Hải Phòng</x:v>
      </x:c>
      <x:c r="L53" t="str">
        <x:v>Chưa đối chiếu thu hồi</x:v>
      </x:c>
      <x:c r="M53" t="str">
        <x:f>IF(D53="","CẦN NGÀY CẤP",IF(E53&gt;=TODAY(),"TRONG 5 NĂM","HẾT 5 NĂM"))</x:f>
        <x:v>CẦN NGÀY CẤP</x:v>
      </x:c>
      <x:c r="N53" t="str">
        <x:v>Nguồn XLSX chính thức – Cổng dữ liệu mở TP Hải Phòng</x:v>
      </x:c>
      <x:c r="O53" t="str">
        <x:v>https://data.haiphong.gov.vn/dataset/07fa5c03-31ee-453f-9bba-f7acd2ffeb6a/resource/4621ee58-725a-481d-b29c-931e46f220c5/download/khocsdl_trichxuatdulieu_dulieusotiepnhanphieucongbosanphammypham_2026-06-25.xlsx</x:v>
      </x:c>
      <x:c r="P53" t="str">
        <x:v>Không có bằng chứng thu hồi số tiếp nhận trong dữ liệu hiện có.</x:v>
      </x:c>
      <x:c r="Q53" t="str">
        <x:v>A++</x:v>
      </x:c>
    </x:row>
    <x:row r="54">
      <x:c r="A54" t="str">
        <x:v>ACT-00053</x:v>
      </x:c>
      <x:c r="B54" t="str">
        <x:v>NỘI ĐỊA</x:v>
      </x:c>
      <x:c r="C54" t="n">
        <x:v>2024</x:v>
      </x:c>
      <x:c r="D54" s="330"/>
      <x:c r="E54" s="330" t="str">
        <x:f>IF(D54="","",DATE(YEAR(D54)+5,MONTH(D54),DAY(D54)))</x:f>
      </x:c>
      <x:c r="F54" t="str">
        <x:v>16/24/CBMP-HD</x:v>
      </x:c>
      <x:c r="G54" t="str">
        <x:v>Công ty CP Đầu tư và Thương mại Uy Long</x:v>
      </x:c>
      <x:c r="H54" t="str">
        <x:v>DẦU GỘI DƯỢC LIỆU HƯƠNG THẢO</x:v>
      </x:c>
      <x:c r="I54"/>
      <x:c r="J54"/>
      <x:c r="K54" t="str">
        <x:v>Hải Phòng</x:v>
      </x:c>
      <x:c r="L54" t="str">
        <x:v>Chưa đối chiếu thu hồi</x:v>
      </x:c>
      <x:c r="M54" t="str">
        <x:f>IF(D54="","CẦN NGÀY CẤP",IF(E54&gt;=TODAY(),"TRONG 5 NĂM","HẾT 5 NĂM"))</x:f>
        <x:v>CẦN NGÀY CẤP</x:v>
      </x:c>
      <x:c r="N54" t="str">
        <x:v>Nguồn XLSX chính thức – Cổng dữ liệu mở TP Hải Phòng</x:v>
      </x:c>
      <x:c r="O54" t="str">
        <x:v>https://data.haiphong.gov.vn/dataset/07fa5c03-31ee-453f-9bba-f7acd2ffeb6a/resource/4621ee58-725a-481d-b29c-931e46f220c5/download/khocsdl_trichxuatdulieu_dulieusotiepnhanphieucongbosanphammypham_2026-06-25.xlsx</x:v>
      </x:c>
      <x:c r="P54" t="str">
        <x:v>Không có bằng chứng thu hồi số tiếp nhận trong dữ liệu hiện có.</x:v>
      </x:c>
      <x:c r="Q54" t="str">
        <x:v>A++</x:v>
      </x:c>
    </x:row>
    <x:row r="55">
      <x:c r="A55" t="str">
        <x:v>ACT-00054</x:v>
      </x:c>
      <x:c r="B55" t="str">
        <x:v>NỘI ĐỊA</x:v>
      </x:c>
      <x:c r="C55" t="n">
        <x:v>2024</x:v>
      </x:c>
      <x:c r="D55" s="330"/>
      <x:c r="E55" s="330" t="str">
        <x:f>IF(D55="","",DATE(YEAR(D55)+5,MONTH(D55),DAY(D55)))</x:f>
      </x:c>
      <x:c r="F55" t="str">
        <x:v>17/24/CBMP-HD</x:v>
      </x:c>
      <x:c r="G55" t="str">
        <x:v>Công ty CP Đầu tư và Thương mại Uy Long</x:v>
      </x:c>
      <x:c r="H55" t="str">
        <x:v>Dầu xả Dược liệu Hương Thảo</x:v>
      </x:c>
      <x:c r="I55"/>
      <x:c r="J55"/>
      <x:c r="K55" t="str">
        <x:v>Hải Phòng</x:v>
      </x:c>
      <x:c r="L55" t="str">
        <x:v>Chưa đối chiếu thu hồi</x:v>
      </x:c>
      <x:c r="M55" t="str">
        <x:f>IF(D55="","CẦN NGÀY CẤP",IF(E55&gt;=TODAY(),"TRONG 5 NĂM","HẾT 5 NĂM"))</x:f>
        <x:v>CẦN NGÀY CẤP</x:v>
      </x:c>
      <x:c r="N55" t="str">
        <x:v>Nguồn XLSX chính thức – Cổng dữ liệu mở TP Hải Phòng</x:v>
      </x:c>
      <x:c r="O55" t="str">
        <x:v>https://data.haiphong.gov.vn/dataset/07fa5c03-31ee-453f-9bba-f7acd2ffeb6a/resource/4621ee58-725a-481d-b29c-931e46f220c5/download/khocsdl_trichxuatdulieu_dulieusotiepnhanphieucongbosanphammypham_2026-06-25.xlsx</x:v>
      </x:c>
      <x:c r="P55" t="str">
        <x:v>Không có bằng chứng thu hồi số tiếp nhận trong dữ liệu hiện có.</x:v>
      </x:c>
      <x:c r="Q55" t="str">
        <x:v>A++</x:v>
      </x:c>
    </x:row>
    <x:row r="56">
      <x:c r="A56" t="str">
        <x:v>ACT-00055</x:v>
      </x:c>
      <x:c r="B56" t="str">
        <x:v>NỘI ĐỊA</x:v>
      </x:c>
      <x:c r="C56" t="n">
        <x:v>2024</x:v>
      </x:c>
      <x:c r="D56" s="330"/>
      <x:c r="E56" s="330" t="str">
        <x:f>IF(D56="","",DATE(YEAR(D56)+5,MONTH(D56),DAY(D56)))</x:f>
      </x:c>
      <x:c r="F56" t="str">
        <x:v>15/24/CBMP-HD</x:v>
      </x:c>
      <x:c r="G56" t="str">
        <x:v>CÔNG TY CỔ PHẦN DƯỢC MỸ PHẨM TPHARMA</x:v>
      </x:c>
      <x:c r="H56" t="str">
        <x:v>GEL PK LADY EVA</x:v>
      </x:c>
      <x:c r="I56"/>
      <x:c r="J56"/>
      <x:c r="K56" t="str">
        <x:v>Hải Phòng</x:v>
      </x:c>
      <x:c r="L56" t="str">
        <x:v>Chưa đối chiếu thu hồi</x:v>
      </x:c>
      <x:c r="M56" t="str">
        <x:f>IF(D56="","CẦN NGÀY CẤP",IF(E56&gt;=TODAY(),"TRONG 5 NĂM","HẾT 5 NĂM"))</x:f>
        <x:v>CẦN NGÀY CẤP</x:v>
      </x:c>
      <x:c r="N56" t="str">
        <x:v>Nguồn XLSX chính thức – Cổng dữ liệu mở TP Hải Phòng</x:v>
      </x:c>
      <x:c r="O56" t="str">
        <x:v>https://data.haiphong.gov.vn/dataset/07fa5c03-31ee-453f-9bba-f7acd2ffeb6a/resource/4621ee58-725a-481d-b29c-931e46f220c5/download/khocsdl_trichxuatdulieu_dulieusotiepnhanphieucongbosanphammypham_2026-06-25.xlsx</x:v>
      </x:c>
      <x:c r="P56" t="str">
        <x:v>Không có bằng chứng thu hồi số tiếp nhận trong dữ liệu hiện có.</x:v>
      </x:c>
      <x:c r="Q56" t="str">
        <x:v>A++</x:v>
      </x:c>
    </x:row>
    <x:row r="57">
      <x:c r="A57" t="str">
        <x:v>ACT-00056</x:v>
      </x:c>
      <x:c r="B57" t="str">
        <x:v>NỘI ĐỊA</x:v>
      </x:c>
      <x:c r="C57" t="n">
        <x:v>2024</x:v>
      </x:c>
      <x:c r="D57" s="330"/>
      <x:c r="E57" s="330" t="str">
        <x:f>IF(D57="","",DATE(YEAR(D57)+5,MONTH(D57),DAY(D57)))</x:f>
      </x:c>
      <x:c r="F57" t="str">
        <x:v>18/24/CBMP-HD</x:v>
      </x:c>
      <x:c r="G57" t="str">
        <x:v>CÔNG TY CỔ PHẦN DƯỢC MỸ PHẨM TPHARMA</x:v>
      </x:c>
      <x:c r="H57" t="str">
        <x:v>DUNG DỊCH VỆ SINH EVALOVE</x:v>
      </x:c>
      <x:c r="I57" t="str">
        <x:v>EVALOVE</x:v>
      </x:c>
      <x:c r="J57"/>
      <x:c r="K57" t="str">
        <x:v>Hải Phòng</x:v>
      </x:c>
      <x:c r="L57" t="str">
        <x:v>Chưa đối chiếu thu hồi</x:v>
      </x:c>
      <x:c r="M57" t="str">
        <x:f>IF(D57="","CẦN NGÀY CẤP",IF(E57&gt;=TODAY(),"TRONG 5 NĂM","HẾT 5 NĂM"))</x:f>
        <x:v>CẦN NGÀY CẤP</x:v>
      </x:c>
      <x:c r="N57" t="str">
        <x:v>Nguồn XLSX chính thức – Cổng dữ liệu mở TP Hải Phòng</x:v>
      </x:c>
      <x:c r="O57" t="str">
        <x:v>https://data.haiphong.gov.vn/dataset/07fa5c03-31ee-453f-9bba-f7acd2ffeb6a/resource/4621ee58-725a-481d-b29c-931e46f220c5/download/khocsdl_trichxuatdulieu_dulieusotiepnhanphieucongbosanphammypham_2026-06-25.xlsx</x:v>
      </x:c>
      <x:c r="P57" t="str">
        <x:v>Không có bằng chứng thu hồi số tiếp nhận trong dữ liệu hiện có.</x:v>
      </x:c>
      <x:c r="Q57" t="str">
        <x:v>A++</x:v>
      </x:c>
    </x:row>
    <x:row r="58">
      <x:c r="A58" t="str">
        <x:v>ACT-00057</x:v>
      </x:c>
      <x:c r="B58" t="str">
        <x:v>NỘI ĐỊA</x:v>
      </x:c>
      <x:c r="C58" t="n">
        <x:v>2024</x:v>
      </x:c>
      <x:c r="D58" s="330"/>
      <x:c r="E58" s="330" t="str">
        <x:f>IF(D58="","",DATE(YEAR(D58)+5,MONTH(D58),DAY(D58)))</x:f>
      </x:c>
      <x:c r="F58" t="str">
        <x:v>19/24/CBMP-HD</x:v>
      </x:c>
      <x:c r="G58" t="str">
        <x:v>CÔNG TY CỔ PHẦN DỊCH VỤ THƯƠNG MẠI VINLAND TH</x:v>
      </x:c>
      <x:c r="H58" t="str">
        <x:v>DẦU GỘI THẢO DƯỢC VIN TH.ELEVATES</x:v>
      </x:c>
      <x:c r="I58" t="str">
        <x:v>VIN TH.ELEVATES NATURAL HERBALS</x:v>
      </x:c>
      <x:c r="J58"/>
      <x:c r="K58" t="str">
        <x:v>Hải Phòng</x:v>
      </x:c>
      <x:c r="L58" t="str">
        <x:v>Chưa đối chiếu thu hồi</x:v>
      </x:c>
      <x:c r="M58" t="str">
        <x:f>IF(D58="","CẦN NGÀY CẤP",IF(E58&gt;=TODAY(),"TRONG 5 NĂM","HẾT 5 NĂM"))</x:f>
        <x:v>CẦN NGÀY CẤP</x:v>
      </x:c>
      <x:c r="N58" t="str">
        <x:v>Nguồn XLSX chính thức – Cổng dữ liệu mở TP Hải Phòng</x:v>
      </x:c>
      <x:c r="O58" t="str">
        <x:v>https://data.haiphong.gov.vn/dataset/07fa5c03-31ee-453f-9bba-f7acd2ffeb6a/resource/4621ee58-725a-481d-b29c-931e46f220c5/download/khocsdl_trichxuatdulieu_dulieusotiepnhanphieucongbosanphammypham_2026-06-25.xlsx</x:v>
      </x:c>
      <x:c r="P58" t="str">
        <x:v>Không có bằng chứng thu hồi số tiếp nhận trong dữ liệu hiện có.</x:v>
      </x:c>
      <x:c r="Q58" t="str">
        <x:v>A++</x:v>
      </x:c>
    </x:row>
    <x:row r="59">
      <x:c r="A59" t="str">
        <x:v>ACT-00058</x:v>
      </x:c>
      <x:c r="B59" t="str">
        <x:v>NỘI ĐỊA</x:v>
      </x:c>
      <x:c r="C59" t="n">
        <x:v>2024</x:v>
      </x:c>
      <x:c r="D59" s="330"/>
      <x:c r="E59" s="330" t="str">
        <x:f>IF(D59="","",DATE(YEAR(D59)+5,MONTH(D59),DAY(D59)))</x:f>
      </x:c>
      <x:c r="F59" t="str">
        <x:v>20/24/CBMP-HD</x:v>
      </x:c>
      <x:c r="G59" t="str">
        <x:v>CÔNG TY CỔ PHẦN DỊCH VỤ THƯƠNG MẠI VINLAND TH</x:v>
      </x:c>
      <x:c r="H59" t="str">
        <x:v>DẦU XẢ THẢO DƯỢC VIN TH;ELEVATES</x:v>
      </x:c>
      <x:c r="I59" t="str">
        <x:v>VIN TH.ELEVATES NATURAL HERBALS</x:v>
      </x:c>
      <x:c r="J59"/>
      <x:c r="K59" t="str">
        <x:v>Hải Phòng</x:v>
      </x:c>
      <x:c r="L59" t="str">
        <x:v>Chưa đối chiếu thu hồi</x:v>
      </x:c>
      <x:c r="M59" t="str">
        <x:f>IF(D59="","CẦN NGÀY CẤP",IF(E59&gt;=TODAY(),"TRONG 5 NĂM","HẾT 5 NĂM"))</x:f>
        <x:v>CẦN NGÀY CẤP</x:v>
      </x:c>
      <x:c r="N59" t="str">
        <x:v>Nguồn XLSX chính thức – Cổng dữ liệu mở TP Hải Phòng</x:v>
      </x:c>
      <x:c r="O59" t="str">
        <x:v>https://data.haiphong.gov.vn/dataset/07fa5c03-31ee-453f-9bba-f7acd2ffeb6a/resource/4621ee58-725a-481d-b29c-931e46f220c5/download/khocsdl_trichxuatdulieu_dulieusotiepnhanphieucongbosanphammypham_2026-06-25.xlsx</x:v>
      </x:c>
      <x:c r="P59" t="str">
        <x:v>Không có bằng chứng thu hồi số tiếp nhận trong dữ liệu hiện có.</x:v>
      </x:c>
      <x:c r="Q59" t="str">
        <x:v>A++</x:v>
      </x:c>
    </x:row>
    <x:row r="60">
      <x:c r="A60" t="str">
        <x:v>ACT-00059</x:v>
      </x:c>
      <x:c r="B60" t="str">
        <x:v>NỘI ĐỊA</x:v>
      </x:c>
      <x:c r="C60" t="n">
        <x:v>2024</x:v>
      </x:c>
      <x:c r="D60" s="330" t="n">
        <x:v>45569</x:v>
      </x:c>
      <x:c r="E60" s="330" t="n">
        <x:f>IF(D60="","",DATE(YEAR(D60)+5,MONTH(D60),DAY(D60)))</x:f>
        <x:v>47395</x:v>
      </x:c>
      <x:c r="F60" t="str">
        <x:v>309/24/CBMP-HD</x:v>
      </x:c>
      <x:c r="G60" t="str">
        <x:v>Công ty Cổ phần Khoa học Sinh Dược Việt Nam</x:v>
      </x:c>
      <x:c r="H60" t="str">
        <x:v>SỮA TẮM DƯỢC LIỆU DAO ĐỎ VNUA</x:v>
      </x:c>
      <x:c r="I60" t="str">
        <x:v>VNUA</x:v>
      </x:c>
      <x:c r="J60"/>
      <x:c r="K60" t="str">
        <x:v>Hải Phòng</x:v>
      </x:c>
      <x:c r="L60" t="str">
        <x:v>Đã thu hồi theo QĐ 1407/1414/1415/1416/QĐ-SYT ngày 10/04/2026</x:v>
      </x:c>
      <x:c r="M60" t="str">
        <x:f>IF(D60="","CẦN NGÀY CẤP",IF(E60&gt;=TODAY(),"TRONG 5 NĂM","HẾT 5 NĂM"))</x:f>
        <x:v>TRONG 5 NĂM</x:v>
      </x:c>
      <x:c r="N60" t="str">
        <x:v>Nguồn chính thức Hải Phòng – có số tiếp nhận và ngày cấp</x:v>
      </x:c>
      <x:c r="O60" t="str">
        <x:v>https://tanhung.haiphong.gov.vn/trang-chu-66859/phuong-tan-hung-thong-bao-ve-viec-thu-hoi-san-pham-my-pham-888028</x:v>
      </x:c>
      <x:c r="P60" t="str">
        <x:v>Không có bằng chứng thu hồi số tiếp nhận trong dữ liệu hiện có.</x:v>
      </x:c>
      <x:c r="Q60" t="str">
        <x:v>A++</x:v>
      </x:c>
    </x:row>
    <x:row r="61">
      <x:c r="A61" t="str">
        <x:v>ACT-00060</x:v>
      </x:c>
      <x:c r="B61" t="str">
        <x:v>NỘI ĐỊA</x:v>
      </x:c>
      <x:c r="C61" t="n">
        <x:v>2024</x:v>
      </x:c>
      <x:c r="D61" s="330" t="n">
        <x:v>45569</x:v>
      </x:c>
      <x:c r="E61" s="330" t="n">
        <x:f>IF(D61="","",DATE(YEAR(D61)+5,MONTH(D61),DAY(D61)))</x:f>
        <x:v>47395</x:v>
      </x:c>
      <x:c r="F61" t="str">
        <x:v>311/24/CBMP-HD</x:v>
      </x:c>
      <x:c r="G61" t="str">
        <x:v>Công ty Cổ phần Khoa học Sinh Dược Việt Nam</x:v>
      </x:c>
      <x:c r="H61" t="str">
        <x:v>XỊT TÓC DƯỢC LIỆU VNUA</x:v>
      </x:c>
      <x:c r="I61" t="str">
        <x:v>VNUA</x:v>
      </x:c>
      <x:c r="J61"/>
      <x:c r="K61" t="str">
        <x:v>Hải Phòng</x:v>
      </x:c>
      <x:c r="L61" t="str">
        <x:v>Đã thu hồi theo QĐ 1407/1414/1415/1416/QĐ-SYT ngày 10/04/2026</x:v>
      </x:c>
      <x:c r="M61" t="str">
        <x:f>IF(D61="","CẦN NGÀY CẤP",IF(E61&gt;=TODAY(),"TRONG 5 NĂM","HẾT 5 NĂM"))</x:f>
        <x:v>TRONG 5 NĂM</x:v>
      </x:c>
      <x:c r="N61" t="str">
        <x:v>Nguồn chính thức Hải Phòng – có số tiếp nhận và ngày cấp</x:v>
      </x:c>
      <x:c r="O61" t="str">
        <x:v>https://tanhung.haiphong.gov.vn/trang-chu-66859/phuong-tan-hung-thong-bao-ve-viec-thu-hoi-san-pham-my-pham-888028</x:v>
      </x:c>
      <x:c r="P61" t="str">
        <x:v>Không có bằng chứng thu hồi số tiếp nhận trong dữ liệu hiện có.</x:v>
      </x:c>
      <x:c r="Q61" t="str">
        <x:v>A++</x:v>
      </x:c>
    </x:row>
    <x:row r="62">
      <x:c r="A62" t="str">
        <x:v>ACT-00061</x:v>
      </x:c>
      <x:c r="B62" t="str">
        <x:v>NỘI ĐỊA</x:v>
      </x:c>
      <x:c r="C62" t="n">
        <x:v>2024</x:v>
      </x:c>
      <x:c r="D62" s="330" t="n">
        <x:v>45569</x:v>
      </x:c>
      <x:c r="E62" s="330" t="n">
        <x:f>IF(D62="","",DATE(YEAR(D62)+5,MONTH(D62),DAY(D62)))</x:f>
        <x:v>47395</x:v>
      </x:c>
      <x:c r="F62" t="str">
        <x:v>312/24/CBMP-HD</x:v>
      </x:c>
      <x:c r="G62" t="str">
        <x:v>Công ty Cổ phần Khoa học Sinh Dược Việt Nam</x:v>
      </x:c>
      <x:c r="H62" t="str">
        <x:v>VNUA EVASOFT</x:v>
      </x:c>
      <x:c r="I62" t="str">
        <x:v>VNUA</x:v>
      </x:c>
      <x:c r="J62"/>
      <x:c r="K62" t="str">
        <x:v>Hải Phòng</x:v>
      </x:c>
      <x:c r="L62" t="str">
        <x:v>Đã thu hồi theo QĐ 1407/1414/1415/1416/QĐ-SYT ngày 10/04/2026</x:v>
      </x:c>
      <x:c r="M62" t="str">
        <x:f>IF(D62="","CẦN NGÀY CẤP",IF(E62&gt;=TODAY(),"TRONG 5 NĂM","HẾT 5 NĂM"))</x:f>
        <x:v>TRONG 5 NĂM</x:v>
      </x:c>
      <x:c r="N62" t="str">
        <x:v>Nguồn chính thức Hải Phòng – có số tiếp nhận và ngày cấp</x:v>
      </x:c>
      <x:c r="O62" t="str">
        <x:v>https://tanhung.haiphong.gov.vn/trang-chu-66859/phuong-tan-hung-thong-bao-ve-viec-thu-hoi-san-pham-my-pham-888028</x:v>
      </x:c>
      <x:c r="P62" t="str">
        <x:v>Không có bằng chứng thu hồi số tiếp nhận trong dữ liệu hiện có.</x:v>
      </x:c>
      <x:c r="Q62" t="str">
        <x:v>A++</x:v>
      </x:c>
    </x:row>
    <x:row r="63">
      <x:c r="A63" t="str">
        <x:v>ACT-00062</x:v>
      </x:c>
      <x:c r="B63" t="str">
        <x:v>NỘI ĐỊA</x:v>
      </x:c>
      <x:c r="C63" t="n">
        <x:v>2024</x:v>
      </x:c>
      <x:c r="D63" s="330" t="n">
        <x:v>45569</x:v>
      </x:c>
      <x:c r="E63" s="330" t="n">
        <x:f>IF(D63="","",DATE(YEAR(D63)+5,MONTH(D63),DAY(D63)))</x:f>
        <x:v>47395</x:v>
      </x:c>
      <x:c r="F63" t="str">
        <x:v>313/24/CBMP-HD</x:v>
      </x:c>
      <x:c r="G63" t="str">
        <x:v>Công ty Cổ phần Khoa học Sinh Dược Việt Nam</x:v>
      </x:c>
      <x:c r="H63" t="str">
        <x:v>DẦU GỘI DƯỢC LIỆU SẠCH GÀU VNUA FOR DANDRUFF</x:v>
      </x:c>
      <x:c r="I63" t="str">
        <x:v>VNUA</x:v>
      </x:c>
      <x:c r="J63"/>
      <x:c r="K63" t="str">
        <x:v>Hải Phòng</x:v>
      </x:c>
      <x:c r="L63" t="str">
        <x:v>Đã thu hồi theo QĐ 1407/1414/1415/1416/QĐ-SYT ngày 10/04/2026</x:v>
      </x:c>
      <x:c r="M63" t="str">
        <x:f>IF(D63="","CẦN NGÀY CẤP",IF(E63&gt;=TODAY(),"TRONG 5 NĂM","HẾT 5 NĂM"))</x:f>
        <x:v>TRONG 5 NĂM</x:v>
      </x:c>
      <x:c r="N63" t="str">
        <x:v>Nguồn chính thức Hải Phòng – có số tiếp nhận và ngày cấp</x:v>
      </x:c>
      <x:c r="O63" t="str">
        <x:v>https://tanhung.haiphong.gov.vn/trang-chu-66859/phuong-tan-hung-thong-bao-ve-viec-thu-hoi-san-pham-my-pham-888028</x:v>
      </x:c>
      <x:c r="P63" t="str">
        <x:v>Không có bằng chứng thu hồi số tiếp nhận trong dữ liệu hiện có.</x:v>
      </x:c>
      <x:c r="Q63" t="str">
        <x:v>A++</x:v>
      </x:c>
    </x:row>
    <x:row r="64">
      <x:c r="A64" t="str">
        <x:v>ACT-00063</x:v>
      </x:c>
      <x:c r="B64" t="str">
        <x:v>NỘI ĐỊA</x:v>
      </x:c>
      <x:c r="C64" t="n">
        <x:v>2024</x:v>
      </x:c>
      <x:c r="D64" s="330" t="n">
        <x:v>45569</x:v>
      </x:c>
      <x:c r="E64" s="330" t="n">
        <x:f>IF(D64="","",DATE(YEAR(D64)+5,MONTH(D64),DAY(D64)))</x:f>
        <x:v>47395</x:v>
      </x:c>
      <x:c r="F64" t="str">
        <x:v>314/24/CBMP-HD</x:v>
      </x:c>
      <x:c r="G64" t="str">
        <x:v>Công ty Cổ phần Khoa học Sinh Dược Việt Nam</x:v>
      </x:c>
      <x:c r="H64" t="str">
        <x:v>DẦU XẢ DƯỢC LIỆU VNUA</x:v>
      </x:c>
      <x:c r="I64" t="str">
        <x:v>VNUA</x:v>
      </x:c>
      <x:c r="J64"/>
      <x:c r="K64" t="str">
        <x:v>Hải Phòng</x:v>
      </x:c>
      <x:c r="L64" t="str">
        <x:v>Đã thu hồi theo QĐ 1407/1414/1415/1416/QĐ-SYT ngày 10/04/2026</x:v>
      </x:c>
      <x:c r="M64" t="str">
        <x:f>IF(D64="","CẦN NGÀY CẤP",IF(E64&gt;=TODAY(),"TRONG 5 NĂM","HẾT 5 NĂM"))</x:f>
        <x:v>TRONG 5 NĂM</x:v>
      </x:c>
      <x:c r="N64" t="str">
        <x:v>Nguồn chính thức Hải Phòng – có số tiếp nhận và ngày cấp</x:v>
      </x:c>
      <x:c r="O64" t="str">
        <x:v>https://tanhung.haiphong.gov.vn/trang-chu-66859/phuong-tan-hung-thong-bao-ve-viec-thu-hoi-san-pham-my-pham-888028</x:v>
      </x:c>
      <x:c r="P64" t="str">
        <x:v>Không có bằng chứng thu hồi số tiếp nhận trong dữ liệu hiện có.</x:v>
      </x:c>
      <x:c r="Q64" t="str">
        <x:v>A++</x:v>
      </x:c>
    </x:row>
    <x:row r="65">
      <x:c r="A65" t="str">
        <x:v>ACT-00064</x:v>
      </x:c>
      <x:c r="B65" t="str">
        <x:v>NỘI ĐỊA</x:v>
      </x:c>
      <x:c r="C65" t="n">
        <x:v>2024</x:v>
      </x:c>
      <x:c r="D65" s="330" t="n">
        <x:v>45646</x:v>
      </x:c>
      <x:c r="E65" s="330" t="n">
        <x:f>IF(D65="","",DATE(YEAR(D65)+5,MONTH(D65),DAY(D65)))</x:f>
        <x:v>47472</x:v>
      </x:c>
      <x:c r="F65" t="str">
        <x:v>387/24/CBMP-HD</x:v>
      </x:c>
      <x:c r="G65" t="str">
        <x:v>Công ty Cổ phần Khoa học Sinh Dược Việt Nam</x:v>
      </x:c>
      <x:c r="H65" t="str">
        <x:v>DẦU GỘI DƯỢC LIỆU VNUA 4IN1</x:v>
      </x:c>
      <x:c r="I65" t="str">
        <x:v>VNUA</x:v>
      </x:c>
      <x:c r="J65"/>
      <x:c r="K65" t="str">
        <x:v>Hải Phòng</x:v>
      </x:c>
      <x:c r="L65" t="str">
        <x:v>Đã thu hồi theo QĐ 1407/1414/1415/1416/QĐ-SYT ngày 10/04/2026</x:v>
      </x:c>
      <x:c r="M65" t="str">
        <x:f>IF(D65="","CẦN NGÀY CẤP",IF(E65&gt;=TODAY(),"TRONG 5 NĂM","HẾT 5 NĂM"))</x:f>
        <x:v>TRONG 5 NĂM</x:v>
      </x:c>
      <x:c r="N65" t="str">
        <x:v>Nguồn chính thức Hải Phòng – có số tiếp nhận và ngày cấp</x:v>
      </x:c>
      <x:c r="O65" t="str">
        <x:v>https://tanhung.haiphong.gov.vn/trang-chu-66859/phuong-tan-hung-thong-bao-ve-viec-thu-hoi-san-pham-my-pham-888028</x:v>
      </x:c>
      <x:c r="P65" t="str">
        <x:v>Không có bằng chứng thu hồi số tiếp nhận trong dữ liệu hiện có.</x:v>
      </x:c>
      <x:c r="Q65" t="str">
        <x:v>A++</x:v>
      </x:c>
    </x:row>
    <x:row r="66">
      <x:c r="A66" t="str">
        <x:v>ACT-00065</x:v>
      </x:c>
      <x:c r="B66" t="str">
        <x:v>NỘI ĐỊA</x:v>
      </x:c>
      <x:c r="C66" t="n">
        <x:v>2024</x:v>
      </x:c>
      <x:c r="D66" s="330" t="n">
        <x:v>45653</x:v>
      </x:c>
      <x:c r="E66" s="330" t="n">
        <x:f>IF(D66="","",DATE(YEAR(D66)+5,MONTH(D66),DAY(D66)))</x:f>
        <x:v>47479</x:v>
      </x:c>
      <x:c r="F66" t="str">
        <x:v>404/24/CBMP-HD</x:v>
      </x:c>
      <x:c r="G66" t="str">
        <x:v>Công ty Cổ phần Khoa học Sinh Dược Việt Nam</x:v>
      </x:c>
      <x:c r="H66" t="str">
        <x:v>DẦU GỘI DƯỢC LIỆU VNUA IDEAL FOR FUNGAL SCALP</x:v>
      </x:c>
      <x:c r="I66" t="str">
        <x:v>VNUA</x:v>
      </x:c>
      <x:c r="J66"/>
      <x:c r="K66" t="str">
        <x:v>Hải Phòng</x:v>
      </x:c>
      <x:c r="L66" t="str">
        <x:v>Đã thu hồi theo QĐ 1407/1414/1415/1416/QĐ-SYT ngày 10/04/2026</x:v>
      </x:c>
      <x:c r="M66" t="str">
        <x:f>IF(D66="","CẦN NGÀY CẤP",IF(E66&gt;=TODAY(),"TRONG 5 NĂM","HẾT 5 NĂM"))</x:f>
        <x:v>TRONG 5 NĂM</x:v>
      </x:c>
      <x:c r="N66" t="str">
        <x:v>Nguồn chính thức Hải Phòng – có số tiếp nhận và ngày cấp</x:v>
      </x:c>
      <x:c r="O66" t="str">
        <x:v>https://tanhung.haiphong.gov.vn/trang-chu-66859/phuong-tan-hung-thong-bao-ve-viec-thu-hoi-san-pham-my-pham-888028</x:v>
      </x:c>
      <x:c r="P66" t="str">
        <x:v>Không có bằng chứng thu hồi số tiếp nhận trong dữ liệu hiện có.</x:v>
      </x:c>
      <x:c r="Q66" t="str">
        <x:v>A++</x:v>
      </x:c>
    </x:row>
    <x:row r="67">
      <x:c r="A67" t="str">
        <x:v>ACT-00066</x:v>
      </x:c>
      <x:c r="B67" t="str">
        <x:v>NỘI ĐỊA</x:v>
      </x:c>
      <x:c r="C67" t="n">
        <x:v>2024</x:v>
      </x:c>
      <x:c r="D67" s="330"/>
      <x:c r="E67" s="330" t="str">
        <x:f>IF(D67="","",DATE(YEAR(D67)+5,MONTH(D67),DAY(D67)))</x:f>
      </x:c>
      <x:c r="F67" t="str">
        <x:v>12/24/CBMP-HD</x:v>
      </x:c>
      <x:c r="G67" t="str">
        <x:v>Công ty Cổ phần sức khoẻ vàng METTA GROUP</x:v>
      </x:c>
      <x:c r="H67" t="str">
        <x:v>DẦU GỘI DƯỢC LIỆU METTA 1</x:v>
      </x:c>
      <x:c r="I67" t="str">
        <x:v>METTA SPA</x:v>
      </x:c>
      <x:c r="J67"/>
      <x:c r="K67" t="str">
        <x:v>Hải Phòng</x:v>
      </x:c>
      <x:c r="L67" t="str">
        <x:v>Chưa đối chiếu thu hồi</x:v>
      </x:c>
      <x:c r="M67" t="str">
        <x:f>IF(D67="","CẦN NGÀY CẤP",IF(E67&gt;=TODAY(),"TRONG 5 NĂM","HẾT 5 NĂM"))</x:f>
        <x:v>CẦN NGÀY CẤP</x:v>
      </x:c>
      <x:c r="N67" t="str">
        <x:v>Nguồn XLSX chính thức – Cổng dữ liệu mở TP Hải Phòng</x:v>
      </x:c>
      <x:c r="O67" t="str">
        <x:v>https://data.haiphong.gov.vn/dataset/07fa5c03-31ee-453f-9bba-f7acd2ffeb6a/resource/4621ee58-725a-481d-b29c-931e46f220c5/download/khocsdl_trichxuatdulieu_dulieusotiepnhanphieucongbosanphammypham_2026-06-25.xlsx</x:v>
      </x:c>
      <x:c r="P67" t="str">
        <x:v>Không có bằng chứng thu hồi số tiếp nhận trong dữ liệu hiện có.</x:v>
      </x:c>
      <x:c r="Q67" t="str">
        <x:v>A++</x:v>
      </x:c>
    </x:row>
    <x:row r="68">
      <x:c r="A68" t="str">
        <x:v>ACT-00067</x:v>
      </x:c>
      <x:c r="B68" t="str">
        <x:v>NỘI ĐỊA</x:v>
      </x:c>
      <x:c r="C68" t="n">
        <x:v>2024</x:v>
      </x:c>
      <x:c r="D68" s="330"/>
      <x:c r="E68" s="330" t="str">
        <x:f>IF(D68="","",DATE(YEAR(D68)+5,MONTH(D68),DAY(D68)))</x:f>
      </x:c>
      <x:c r="F68" t="str">
        <x:v>13/24/CBMP-HD</x:v>
      </x:c>
      <x:c r="G68" t="str">
        <x:v>Công ty Cổ phần sức khoẻ vàng METTA GROUP</x:v>
      </x:c>
      <x:c r="H68" t="str">
        <x:v>DẦU GỘI DƯỢC LIỆU METTA 1</x:v>
      </x:c>
      <x:c r="I68" t="str">
        <x:v>METTA SPA</x:v>
      </x:c>
      <x:c r="J68"/>
      <x:c r="K68" t="str">
        <x:v>Hải Phòng</x:v>
      </x:c>
      <x:c r="L68" t="str">
        <x:v>Chưa đối chiếu thu hồi</x:v>
      </x:c>
      <x:c r="M68" t="str">
        <x:f>IF(D68="","CẦN NGÀY CẤP",IF(E68&gt;=TODAY(),"TRONG 5 NĂM","HẾT 5 NĂM"))</x:f>
        <x:v>CẦN NGÀY CẤP</x:v>
      </x:c>
      <x:c r="N68" t="str">
        <x:v>Nguồn XLSX chính thức – Cổng dữ liệu mở TP Hải Phòng</x:v>
      </x:c>
      <x:c r="O68" t="str">
        <x:v>https://data.haiphong.gov.vn/dataset/07fa5c03-31ee-453f-9bba-f7acd2ffeb6a/resource/4621ee58-725a-481d-b29c-931e46f220c5/download/khocsdl_trichxuatdulieu_dulieusotiepnhanphieucongbosanphammypham_2026-06-25.xlsx</x:v>
      </x:c>
      <x:c r="P68" t="str">
        <x:v>Không có bằng chứng thu hồi số tiếp nhận trong dữ liệu hiện có.</x:v>
      </x:c>
      <x:c r="Q68" t="str">
        <x:v>A++</x:v>
      </x:c>
    </x:row>
    <x:row r="69">
      <x:c r="A69" t="str">
        <x:v>ACT-00068</x:v>
      </x:c>
      <x:c r="B69" t="str">
        <x:v>NỘI ĐỊA</x:v>
      </x:c>
      <x:c r="C69" t="n">
        <x:v>2024</x:v>
      </x:c>
      <x:c r="D69" s="330"/>
      <x:c r="E69" s="330" t="str">
        <x:f>IF(D69="","",DATE(YEAR(D69)+5,MONTH(D69),DAY(D69)))</x:f>
      </x:c>
      <x:c r="F69" t="str">
        <x:v>22/24/CBMP-HD</x:v>
      </x:c>
      <x:c r="G69" t="str">
        <x:v>Công ty TNHH Hoá Mỹ Phẩm Hồng Đạt</x:v>
      </x:c>
      <x:c r="H69" t="str">
        <x:v>PERM &amp; STRAIGHT 1</x:v>
      </x:c>
      <x:c r="I69" t="str">
        <x:v>ALYDANTON</x:v>
      </x:c>
      <x:c r="J69"/>
      <x:c r="K69" t="str">
        <x:v>Hải Phòng</x:v>
      </x:c>
      <x:c r="L69" t="str">
        <x:v>Chưa đối chiếu thu hồi</x:v>
      </x:c>
      <x:c r="M69" t="str">
        <x:f>IF(D69="","CẦN NGÀY CẤP",IF(E69&gt;=TODAY(),"TRONG 5 NĂM","HẾT 5 NĂM"))</x:f>
        <x:v>CẦN NGÀY CẤP</x:v>
      </x:c>
      <x:c r="N69" t="str">
        <x:v>Nguồn XLSX chính thức – Cổng dữ liệu mở TP Hải Phòng</x:v>
      </x:c>
      <x:c r="O69" t="str">
        <x:v>https://data.haiphong.gov.vn/dataset/07fa5c03-31ee-453f-9bba-f7acd2ffeb6a/resource/4621ee58-725a-481d-b29c-931e46f220c5/download/khocsdl_trichxuatdulieu_dulieusotiepnhanphieucongbosanphammypham_2026-06-25.xlsx</x:v>
      </x:c>
      <x:c r="P69" t="str">
        <x:v>Không có bằng chứng thu hồi số tiếp nhận trong dữ liệu hiện có.</x:v>
      </x:c>
      <x:c r="Q69" t="str">
        <x:v>A++</x:v>
      </x:c>
    </x:row>
    <x:row r="70">
      <x:c r="A70" t="str">
        <x:v>ACT-00069</x:v>
      </x:c>
      <x:c r="B70" t="str">
        <x:v>NỘI ĐỊA</x:v>
      </x:c>
      <x:c r="C70" t="n">
        <x:v>2024</x:v>
      </x:c>
      <x:c r="D70" s="330"/>
      <x:c r="E70" s="330" t="str">
        <x:f>IF(D70="","",DATE(YEAR(D70)+5,MONTH(D70),DAY(D70)))</x:f>
      </x:c>
      <x:c r="F70" t="str">
        <x:v>23/24/CBMP-HD</x:v>
      </x:c>
      <x:c r="G70" t="str">
        <x:v>Công ty TNHH Hoá Mỹ Phẩm Hồng Đạt</x:v>
      </x:c>
      <x:c r="H70" t="str">
        <x:v>PERM &amp; STRAIGHT 3</x:v>
      </x:c>
      <x:c r="I70" t="str">
        <x:v>ALYDANTON</x:v>
      </x:c>
      <x:c r="J70"/>
      <x:c r="K70" t="str">
        <x:v>Hải Phòng</x:v>
      </x:c>
      <x:c r="L70" t="str">
        <x:v>Chưa đối chiếu thu hồi</x:v>
      </x:c>
      <x:c r="M70" t="str">
        <x:f>IF(D70="","CẦN NGÀY CẤP",IF(E70&gt;=TODAY(),"TRONG 5 NĂM","HẾT 5 NĂM"))</x:f>
        <x:v>CẦN NGÀY CẤP</x:v>
      </x:c>
      <x:c r="N70" t="str">
        <x:v>Nguồn XLSX chính thức – Cổng dữ liệu mở TP Hải Phòng</x:v>
      </x:c>
      <x:c r="O70" t="str">
        <x:v>https://data.haiphong.gov.vn/dataset/07fa5c03-31ee-453f-9bba-f7acd2ffeb6a/resource/4621ee58-725a-481d-b29c-931e46f220c5/download/khocsdl_trichxuatdulieu_dulieusotiepnhanphieucongbosanphammypham_2026-06-25.xlsx</x:v>
      </x:c>
      <x:c r="P70" t="str">
        <x:v>Không có bằng chứng thu hồi số tiếp nhận trong dữ liệu hiện có.</x:v>
      </x:c>
      <x:c r="Q70" t="str">
        <x:v>A++</x:v>
      </x:c>
    </x:row>
    <x:row r="71">
      <x:c r="A71" t="str">
        <x:v>ACT-00070</x:v>
      </x:c>
      <x:c r="B71" t="str">
        <x:v>NỘI ĐỊA</x:v>
      </x:c>
      <x:c r="C71" t="n">
        <x:v>2024</x:v>
      </x:c>
      <x:c r="D71" s="330"/>
      <x:c r="E71" s="330" t="str">
        <x:f>IF(D71="","",DATE(YEAR(D71)+5,MONTH(D71),DAY(D71)))</x:f>
      </x:c>
      <x:c r="F71" t="str">
        <x:v>24/24/CBMP-HD</x:v>
      </x:c>
      <x:c r="G71" t="str">
        <x:v>Công ty TNHH Hoá Mỹ Phẩm Hồng Đạt</x:v>
      </x:c>
      <x:c r="H71" t="str">
        <x:v>D2</x:v>
      </x:c>
      <x:c r="I71" t="str">
        <x:v>Bomane</x:v>
      </x:c>
      <x:c r="J71"/>
      <x:c r="K71" t="str">
        <x:v>Hải Phòng</x:v>
      </x:c>
      <x:c r="L71" t="str">
        <x:v>Chưa đối chiếu thu hồi</x:v>
      </x:c>
      <x:c r="M71" t="str">
        <x:f>IF(D71="","CẦN NGÀY CẤP",IF(E71&gt;=TODAY(),"TRONG 5 NĂM","HẾT 5 NĂM"))</x:f>
        <x:v>CẦN NGÀY CẤP</x:v>
      </x:c>
      <x:c r="N71" t="str">
        <x:v>Nguồn XLSX chính thức – Cổng dữ liệu mở TP Hải Phòng</x:v>
      </x:c>
      <x:c r="O71" t="str">
        <x:v>https://data.haiphong.gov.vn/dataset/07fa5c03-31ee-453f-9bba-f7acd2ffeb6a/resource/4621ee58-725a-481d-b29c-931e46f220c5/download/khocsdl_trichxuatdulieu_dulieusotiepnhanphieucongbosanphammypham_2026-06-25.xlsx</x:v>
      </x:c>
      <x:c r="P71" t="str">
        <x:v>Không có bằng chứng thu hồi số tiếp nhận trong dữ liệu hiện có.</x:v>
      </x:c>
      <x:c r="Q71" t="str">
        <x:v>A++</x:v>
      </x:c>
    </x:row>
    <x:row r="72">
      <x:c r="A72" t="str">
        <x:v>ACT-00071</x:v>
      </x:c>
      <x:c r="B72" t="str">
        <x:v>NỘI ĐỊA</x:v>
      </x:c>
      <x:c r="C72" t="n">
        <x:v>2024</x:v>
      </x:c>
      <x:c r="D72" s="330"/>
      <x:c r="E72" s="330" t="str">
        <x:f>IF(D72="","",DATE(YEAR(D72)+5,MONTH(D72),DAY(D72)))</x:f>
      </x:c>
      <x:c r="F72" t="str">
        <x:v>25/24/CBMP-HD</x:v>
      </x:c>
      <x:c r="G72" t="str">
        <x:v>Công ty TNHH Hoá Mỹ Phẩm Hồng Đạt</x:v>
      </x:c>
      <x:c r="H72" t="str">
        <x:v>PERM &amp; STRAIGHT G1</x:v>
      </x:c>
      <x:c r="I72" t="str">
        <x:v>GOLDWIN</x:v>
      </x:c>
      <x:c r="J72"/>
      <x:c r="K72" t="str">
        <x:v>Hải Phòng</x:v>
      </x:c>
      <x:c r="L72" t="str">
        <x:v>Chưa đối chiếu thu hồi</x:v>
      </x:c>
      <x:c r="M72" t="str">
        <x:f>IF(D72="","CẦN NGÀY CẤP",IF(E72&gt;=TODAY(),"TRONG 5 NĂM","HẾT 5 NĂM"))</x:f>
        <x:v>CẦN NGÀY CẤP</x:v>
      </x:c>
      <x:c r="N72" t="str">
        <x:v>Nguồn XLSX chính thức – Cổng dữ liệu mở TP Hải Phòng</x:v>
      </x:c>
      <x:c r="O72" t="str">
        <x:v>https://data.haiphong.gov.vn/dataset/07fa5c03-31ee-453f-9bba-f7acd2ffeb6a/resource/4621ee58-725a-481d-b29c-931e46f220c5/download/khocsdl_trichxuatdulieu_dulieusotiepnhanphieucongbosanphammypham_2026-06-25.xlsx</x:v>
      </x:c>
      <x:c r="P72" t="str">
        <x:v>Không có bằng chứng thu hồi số tiếp nhận trong dữ liệu hiện có.</x:v>
      </x:c>
      <x:c r="Q72" t="str">
        <x:v>A++</x:v>
      </x:c>
    </x:row>
    <x:row r="73">
      <x:c r="A73" t="str">
        <x:v>ACT-00072</x:v>
      </x:c>
      <x:c r="B73" t="str">
        <x:v>NỘI ĐỊA</x:v>
      </x:c>
      <x:c r="C73" t="n">
        <x:v>2024</x:v>
      </x:c>
      <x:c r="D73" s="330"/>
      <x:c r="E73" s="330" t="str">
        <x:f>IF(D73="","",DATE(YEAR(D73)+5,MONTH(D73),DAY(D73)))</x:f>
      </x:c>
      <x:c r="F73" t="str">
        <x:v>26/24/CBMP-HD</x:v>
      </x:c>
      <x:c r="G73" t="str">
        <x:v>Công ty TNHH Hoá Mỹ Phẩm Hồng Đạt</x:v>
      </x:c>
      <x:c r="H73" t="str">
        <x:v>PERM &amp; STRAIGHT G3</x:v>
      </x:c>
      <x:c r="I73" t="str">
        <x:v>GOLDWIN</x:v>
      </x:c>
      <x:c r="J73"/>
      <x:c r="K73" t="str">
        <x:v>Hải Phòng</x:v>
      </x:c>
      <x:c r="L73" t="str">
        <x:v>Chưa đối chiếu thu hồi</x:v>
      </x:c>
      <x:c r="M73" t="str">
        <x:f>IF(D73="","CẦN NGÀY CẤP",IF(E73&gt;=TODAY(),"TRONG 5 NĂM","HẾT 5 NĂM"))</x:f>
        <x:v>CẦN NGÀY CẤP</x:v>
      </x:c>
      <x:c r="N73" t="str">
        <x:v>Nguồn XLSX chính thức – Cổng dữ liệu mở TP Hải Phòng</x:v>
      </x:c>
      <x:c r="O73" t="str">
        <x:v>https://data.haiphong.gov.vn/dataset/07fa5c03-31ee-453f-9bba-f7acd2ffeb6a/resource/4621ee58-725a-481d-b29c-931e46f220c5/download/khocsdl_trichxuatdulieu_dulieusotiepnhanphieucongbosanphammypham_2026-06-25.xlsx</x:v>
      </x:c>
      <x:c r="P73" t="str">
        <x:v>Không có bằng chứng thu hồi số tiếp nhận trong dữ liệu hiện có.</x:v>
      </x:c>
      <x:c r="Q73" t="str">
        <x:v>A++</x:v>
      </x:c>
    </x:row>
    <x:row r="74">
      <x:c r="A74" t="str">
        <x:v>ACT-00073</x:v>
      </x:c>
      <x:c r="B74" t="str">
        <x:v>NỘI ĐỊA</x:v>
      </x:c>
      <x:c r="C74" t="n">
        <x:v>2024</x:v>
      </x:c>
      <x:c r="D74" s="330"/>
      <x:c r="E74" s="330" t="str">
        <x:f>IF(D74="","",DATE(YEAR(D74)+5,MONTH(D74),DAY(D74)))</x:f>
      </x:c>
      <x:c r="F74" t="str">
        <x:v>27/24/CBMP-HD</x:v>
      </x:c>
      <x:c r="G74" t="str">
        <x:v>Công ty TNHH Hoá Mỹ Phẩm Hồng Đạt</x:v>
      </x:c>
      <x:c r="H74" t="str">
        <x:v>SHAMPOO</x:v>
      </x:c>
      <x:c r="I74" t="str">
        <x:v>HM</x:v>
      </x:c>
      <x:c r="J74"/>
      <x:c r="K74" t="str">
        <x:v>Hải Phòng</x:v>
      </x:c>
      <x:c r="L74" t="str">
        <x:v>Chưa đối chiếu thu hồi</x:v>
      </x:c>
      <x:c r="M74" t="str">
        <x:f>IF(D74="","CẦN NGÀY CẤP",IF(E74&gt;=TODAY(),"TRONG 5 NĂM","HẾT 5 NĂM"))</x:f>
        <x:v>CẦN NGÀY CẤP</x:v>
      </x:c>
      <x:c r="N74" t="str">
        <x:v>Nguồn XLSX chính thức – Cổng dữ liệu mở TP Hải Phòng</x:v>
      </x:c>
      <x:c r="O74" t="str">
        <x:v>https://data.haiphong.gov.vn/dataset/07fa5c03-31ee-453f-9bba-f7acd2ffeb6a/resource/4621ee58-725a-481d-b29c-931e46f220c5/download/khocsdl_trichxuatdulieu_dulieusotiepnhanphieucongbosanphammypham_2026-06-25.xlsx</x:v>
      </x:c>
      <x:c r="P74" t="str">
        <x:v>Không có bằng chứng thu hồi số tiếp nhận trong dữ liệu hiện có.</x:v>
      </x:c>
      <x:c r="Q74" t="str">
        <x:v>A++</x:v>
      </x:c>
    </x:row>
    <x:row r="75">
      <x:c r="A75" t="str">
        <x:v>ACT-00074</x:v>
      </x:c>
      <x:c r="B75" t="str">
        <x:v>NỘI ĐỊA</x:v>
      </x:c>
      <x:c r="C75" t="n">
        <x:v>2024</x:v>
      </x:c>
      <x:c r="D75" s="330"/>
      <x:c r="E75" s="330" t="str">
        <x:f>IF(D75="","",DATE(YEAR(D75)+5,MONTH(D75),DAY(D75)))</x:f>
      </x:c>
      <x:c r="F75" t="str">
        <x:v>28/24/CBMP-HD</x:v>
      </x:c>
      <x:c r="G75" t="str">
        <x:v>Công ty TNHH Hoá Mỹ Phẩm Hồng Đạt</x:v>
      </x:c>
      <x:c r="H75" t="str">
        <x:v>PERM &amp; STRAIGHT 1</x:v>
      </x:c>
      <x:c r="I75" t="str">
        <x:v>V8</x:v>
      </x:c>
      <x:c r="J75"/>
      <x:c r="K75" t="str">
        <x:v>Hải Phòng</x:v>
      </x:c>
      <x:c r="L75" t="str">
        <x:v>Chưa đối chiếu thu hồi</x:v>
      </x:c>
      <x:c r="M75" t="str">
        <x:f>IF(D75="","CẦN NGÀY CẤP",IF(E75&gt;=TODAY(),"TRONG 5 NĂM","HẾT 5 NĂM"))</x:f>
        <x:v>CẦN NGÀY CẤP</x:v>
      </x:c>
      <x:c r="N75" t="str">
        <x:v>Nguồn XLSX chính thức – Cổng dữ liệu mở TP Hải Phòng</x:v>
      </x:c>
      <x:c r="O75" t="str">
        <x:v>https://data.haiphong.gov.vn/dataset/07fa5c03-31ee-453f-9bba-f7acd2ffeb6a/resource/4621ee58-725a-481d-b29c-931e46f220c5/download/khocsdl_trichxuatdulieu_dulieusotiepnhanphieucongbosanphammypham_2026-06-25.xlsx</x:v>
      </x:c>
      <x:c r="P75" t="str">
        <x:v>Không có bằng chứng thu hồi số tiếp nhận trong dữ liệu hiện có.</x:v>
      </x:c>
      <x:c r="Q75" t="str">
        <x:v>A++</x:v>
      </x:c>
    </x:row>
    <x:row r="76">
      <x:c r="A76" t="str">
        <x:v>ACT-00075</x:v>
      </x:c>
      <x:c r="B76" t="str">
        <x:v>NHẬP KHẨU</x:v>
      </x:c>
      <x:c r="C76" t="n">
        <x:v>2024</x:v>
      </x:c>
      <x:c r="D76" s="330"/>
      <x:c r="E76" s="330" t="str">
        <x:f>IF(D76="","",DATE(YEAR(D76)+5,MONTH(D76),DAY(D76)))</x:f>
      </x:c>
      <x:c r="F76" t="str">
        <x:v>224040/24/CBMP-QLD</x:v>
      </x:c>
      <x:c r="G76" t="str">
        <x:v>CÔNG TY TNHH M.O.I COSMETICS</x:v>
      </x:c>
      <x:c r="H76" t="str">
        <x:v>M.O.I Baby Skin Powder #2</x:v>
      </x:c>
      <x:c r="I76" t="str">
        <x:v>M.O.I</x:v>
      </x:c>
      <x:c r="J76"/>
      <x:c r="K76" t="str">
        <x:v>Cục QLD / Toàn quốc</x:v>
      </x:c>
      <x:c r="L76" t="str">
        <x:v>Chưa đối chiếu thu hồi</x:v>
      </x:c>
      <x:c r="M76" t="str">
        <x:f>IF(D76="","CẦN NGÀY CẤP",IF(E76&gt;=TODAY(),"TRONG 5 NĂM","HẾT 5 NĂM"))</x:f>
        <x:v>CẦN NGÀY CẤP</x:v>
      </x:c>
      <x:c r="N76" t="str">
        <x:v>Cross-check chính thức SYT TP.HCM – chưa đối chiếu hồ sơ DAV gốc</x:v>
      </x:c>
      <x:c r="O76" t="str">
        <x:v>https://tracuu.medinet.org.vn/category/cosodulieukhac/quangcao-mypham</x:v>
      </x:c>
      <x:c r="P76" t="str">
        <x:v>Import verified number.</x:v>
      </x:c>
      <x:c r="Q76" t="str">
        <x:v>A++</x:v>
      </x:c>
    </x:row>
    <x:row r="77">
      <x:c r="A77" t="str">
        <x:v>ACT-00076</x:v>
      </x:c>
      <x:c r="B77" t="str">
        <x:v>NHẬP KHẨU</x:v>
      </x:c>
      <x:c r="C77" t="n">
        <x:v>2024</x:v>
      </x:c>
      <x:c r="D77" s="330"/>
      <x:c r="E77" s="330" t="str">
        <x:f>IF(D77="","",DATE(YEAR(D77)+5,MONTH(D77),DAY(D77)))</x:f>
      </x:c>
      <x:c r="F77" t="str">
        <x:v>224680/24/CBMP-QLD</x:v>
      </x:c>
      <x:c r="G77" t="str">
        <x:v>CÔNG TY TNHH MINTHACARE</x:v>
      </x:c>
      <x:c r="H77" t="str">
        <x:v>NUXE HUILE PRODIGIEUSE OR FLORALE MULTI-PURPOSE DRY OIL</x:v>
      </x:c>
      <x:c r="I77" t="str">
        <x:v>NUXE</x:v>
      </x:c>
      <x:c r="J77"/>
      <x:c r="K77" t="str">
        <x:v>Cục QLD / Toàn quốc</x:v>
      </x:c>
      <x:c r="L77" t="str">
        <x:v>Chưa đối chiếu thu hồi</x:v>
      </x:c>
      <x:c r="M77" t="str">
        <x:f>IF(D77="","CẦN NGÀY CẤP",IF(E77&gt;=TODAY(),"TRONG 5 NĂM","HẾT 5 NĂM"))</x:f>
        <x:v>CẦN NGÀY CẤP</x:v>
      </x:c>
      <x:c r="N77" t="str">
        <x:v>Cross-check chính thức SYT TP.HCM – chưa đối chiếu hồ sơ DAV gốc</x:v>
      </x:c>
      <x:c r="O77" t="str">
        <x:v>https://tracuu.medinet.org.vn/category/cosodulieukhac/quangcao-mypham</x:v>
      </x:c>
      <x:c r="P77" t="str">
        <x:v>Import verified number.</x:v>
      </x:c>
      <x:c r="Q77" t="str">
        <x:v>A++</x:v>
      </x:c>
    </x:row>
    <x:row r="78">
      <x:c r="A78" t="str">
        <x:v>ACT-00077</x:v>
      </x:c>
      <x:c r="B78" t="str">
        <x:v>NHẬP KHẨU</x:v>
      </x:c>
      <x:c r="C78" t="n">
        <x:v>2024</x:v>
      </x:c>
      <x:c r="D78" s="330"/>
      <x:c r="E78" s="330" t="str">
        <x:f>IF(D78="","",DATE(YEAR(D78)+5,MONTH(D78),DAY(D78)))</x:f>
      </x:c>
      <x:c r="F78" t="str">
        <x:v>239464/24/CBMP-QLD</x:v>
      </x:c>
      <x:c r="G78" t="str">
        <x:v>CÔNG TY TNHH MINTHACARE</x:v>
      </x:c>
      <x:c r="H78" t="str">
        <x:v>BIODERMA CICABIO CREME+</x:v>
      </x:c>
      <x:c r="I78" t="str">
        <x:v>BIODERMA</x:v>
      </x:c>
      <x:c r="J78"/>
      <x:c r="K78" t="str">
        <x:v>Cục QLD / Toàn quốc</x:v>
      </x:c>
      <x:c r="L78" t="str">
        <x:v>Chưa đối chiếu thu hồi</x:v>
      </x:c>
      <x:c r="M78" t="str">
        <x:f>IF(D78="","CẦN NGÀY CẤP",IF(E78&gt;=TODAY(),"TRONG 5 NĂM","HẾT 5 NĂM"))</x:f>
        <x:v>CẦN NGÀY CẤP</x:v>
      </x:c>
      <x:c r="N78" t="str">
        <x:v>Cross-check chính thức SYT TP.HCM – chưa đối chiếu hồ sơ DAV gốc</x:v>
      </x:c>
      <x:c r="O78" t="str">
        <x:v>https://tracuu.medinet.org.vn/category/cosodulieukhac/quangcao-mypham</x:v>
      </x:c>
      <x:c r="P78" t="str">
        <x:v>Import verified number.</x:v>
      </x:c>
      <x:c r="Q78" t="str">
        <x:v>A++</x:v>
      </x:c>
    </x:row>
    <x:row r="79">
      <x:c r="A79" t="str">
        <x:v>ACT-00078</x:v>
      </x:c>
      <x:c r="B79" t="str">
        <x:v>NHẬP KHẨU</x:v>
      </x:c>
      <x:c r="C79" t="n">
        <x:v>2024</x:v>
      </x:c>
      <x:c r="D79" s="330"/>
      <x:c r="E79" s="330" t="str">
        <x:f>IF(D79="","",DATE(YEAR(D79)+5,MONTH(D79),DAY(D79)))</x:f>
      </x:c>
      <x:c r="F79" t="str">
        <x:v>261024/24/CBMP-QLD</x:v>
      </x:c>
      <x:c r="G79" t="str">
        <x:v>CÔNG TY TNHH MINTHACARE</x:v>
      </x:c>
      <x:c r="H79" t="str">
        <x:v>BIODERMA SEBIUM PORE REFINER</x:v>
      </x:c>
      <x:c r="I79" t="str">
        <x:v>BIODERMA</x:v>
      </x:c>
      <x:c r="J79"/>
      <x:c r="K79" t="str">
        <x:v>Cục QLD / Toàn quốc</x:v>
      </x:c>
      <x:c r="L79" t="str">
        <x:v>Chưa đối chiếu thu hồi</x:v>
      </x:c>
      <x:c r="M79" t="str">
        <x:f>IF(D79="","CẦN NGÀY CẤP",IF(E79&gt;=TODAY(),"TRONG 5 NĂM","HẾT 5 NĂM"))</x:f>
        <x:v>CẦN NGÀY CẤP</x:v>
      </x:c>
      <x:c r="N79" t="str">
        <x:v>Cross-check chính thức SYT TP.HCM – chưa đối chiếu hồ sơ DAV gốc</x:v>
      </x:c>
      <x:c r="O79" t="str">
        <x:v>https://tracuu.medinet.org.vn/category/cosodulieukhac/quangcao-mypham</x:v>
      </x:c>
      <x:c r="P79" t="str">
        <x:v>Import verified number.</x:v>
      </x:c>
      <x:c r="Q79" t="str">
        <x:v>A++</x:v>
      </x:c>
    </x:row>
    <x:row r="80">
      <x:c r="A80" t="str">
        <x:v>ACT-00079</x:v>
      </x:c>
      <x:c r="B80" t="str">
        <x:v>NỘI ĐỊA</x:v>
      </x:c>
      <x:c r="C80" t="n">
        <x:v>2024</x:v>
      </x:c>
      <x:c r="D80" s="330" t="n">
        <x:v>45469</x:v>
      </x:c>
      <x:c r="E80" s="330" t="n">
        <x:f>IF(D80="","",DATE(YEAR(D80)+5,MONTH(D80),DAY(D80)))</x:f>
        <x:v>47295</x:v>
      </x:c>
      <x:c r="F80" t="str">
        <x:v>208/24/CBMP-HD</x:v>
      </x:c>
      <x:c r="G80" t="str">
        <x:v>Công ty TNHH mỹ phẩm Khải Phát</x:v>
      </x:c>
      <x:c r="H80" t="str">
        <x:v>ĐỊNH HÌNH ĐA NĂNG DÀNH CHO TÓC UỐN AUFHELLEN</x:v>
      </x:c>
      <x:c r="I80" t="str">
        <x:v>AUFHELLEN</x:v>
      </x:c>
      <x:c r="J80"/>
      <x:c r="K80" t="str">
        <x:v>Hải Phòng</x:v>
      </x:c>
      <x:c r="L80" t="str">
        <x:v>Đã thu hồi theo QĐ 1407/1414/1415/1416/QĐ-SYT ngày 10/04/2026</x:v>
      </x:c>
      <x:c r="M80" t="str">
        <x:f>IF(D80="","CẦN NGÀY CẤP",IF(E80&gt;=TODAY(),"TRONG 5 NĂM","HẾT 5 NĂM"))</x:f>
        <x:v>TRONG 5 NĂM</x:v>
      </x:c>
      <x:c r="N80" t="str">
        <x:v>Nguồn chính thức Hải Phòng – có số tiếp nhận và ngày cấp</x:v>
      </x:c>
      <x:c r="O80" t="str">
        <x:v>https://tanhung.haiphong.gov.vn/trang-chu-66859/phuong-tan-hung-thong-bao-ve-viec-thu-hoi-san-pham-my-pham-888028</x:v>
      </x:c>
      <x:c r="P80" t="str">
        <x:v>Không có bằng chứng thu hồi số tiếp nhận trong dữ liệu hiện có.</x:v>
      </x:c>
      <x:c r="Q80" t="str">
        <x:v>A++</x:v>
      </x:c>
    </x:row>
    <x:row r="81">
      <x:c r="A81" t="str">
        <x:v>ACT-00080</x:v>
      </x:c>
      <x:c r="B81" t="str">
        <x:v>NỘI ĐỊA</x:v>
      </x:c>
      <x:c r="C81" t="n">
        <x:v>2024</x:v>
      </x:c>
      <x:c r="D81" s="330" t="n">
        <x:v>45474</x:v>
      </x:c>
      <x:c r="E81" s="330" t="n">
        <x:f>IF(D81="","",DATE(YEAR(D81)+5,MONTH(D81),DAY(D81)))</x:f>
        <x:v>47300</x:v>
      </x:c>
      <x:c r="F81" t="str">
        <x:v>211/24/CBMP-HD</x:v>
      </x:c>
      <x:c r="G81" t="str">
        <x:v>Công ty TNHH mỹ phẩm Khải Phát</x:v>
      </x:c>
      <x:c r="H81" t="str">
        <x:v>OXIANTE TRỢ NHUỘM TÓC AUFHLLEN</x:v>
      </x:c>
      <x:c r="I81" t="str">
        <x:v>AUFHELLEN</x:v>
      </x:c>
      <x:c r="J81"/>
      <x:c r="K81" t="str">
        <x:v>Hải Phòng</x:v>
      </x:c>
      <x:c r="L81" t="str">
        <x:v>Đã thu hồi theo QĐ 1407/1414/1415/1416/QĐ-SYT ngày 10/04/2026</x:v>
      </x:c>
      <x:c r="M81" t="str">
        <x:f>IF(D81="","CẦN NGÀY CẤP",IF(E81&gt;=TODAY(),"TRONG 5 NĂM","HẾT 5 NĂM"))</x:f>
        <x:v>TRONG 5 NĂM</x:v>
      </x:c>
      <x:c r="N81" t="str">
        <x:v>Nguồn chính thức Hải Phòng – có số tiếp nhận và ngày cấp</x:v>
      </x:c>
      <x:c r="O81" t="str">
        <x:v>https://tanhung.haiphong.gov.vn/trang-chu-66859/phuong-tan-hung-thong-bao-ve-viec-thu-hoi-san-pham-my-pham-888028</x:v>
      </x:c>
      <x:c r="P81" t="str">
        <x:v>Không có bằng chứng thu hồi số tiếp nhận trong dữ liệu hiện có.</x:v>
      </x:c>
      <x:c r="Q81" t="str">
        <x:v>A++</x:v>
      </x:c>
    </x:row>
    <x:row r="82">
      <x:c r="A82" t="str">
        <x:v>ACT-00081</x:v>
      </x:c>
      <x:c r="B82" t="str">
        <x:v>NỘI ĐỊA</x:v>
      </x:c>
      <x:c r="C82" t="n">
        <x:v>2024</x:v>
      </x:c>
      <x:c r="D82" s="330"/>
      <x:c r="E82" s="330" t="str">
        <x:f>IF(D82="","",DATE(YEAR(D82)+5,MONTH(D82),DAY(D82)))</x:f>
      </x:c>
      <x:c r="F82" t="str">
        <x:v>10/24/CBMP-HD</x:v>
      </x:c>
      <x:c r="G82" t="str">
        <x:v>Công ty TNHH Phúc Văn Cosmetics</x:v>
      </x:c>
      <x:c r="H82" t="str">
        <x:v>DẦU GỘI THẢO MỘC</x:v>
      </x:c>
      <x:c r="I82" t="str">
        <x:v>PHÚC VĂN</x:v>
      </x:c>
      <x:c r="J82"/>
      <x:c r="K82" t="str">
        <x:v>Hải Phòng</x:v>
      </x:c>
      <x:c r="L82" t="str">
        <x:v>Chưa đối chiếu thu hồi</x:v>
      </x:c>
      <x:c r="M82" t="str">
        <x:f>IF(D82="","CẦN NGÀY CẤP",IF(E82&gt;=TODAY(),"TRONG 5 NĂM","HẾT 5 NĂM"))</x:f>
        <x:v>CẦN NGÀY CẤP</x:v>
      </x:c>
      <x:c r="N82" t="str">
        <x:v>Nguồn XLSX chính thức – Cổng dữ liệu mở TP Hải Phòng</x:v>
      </x:c>
      <x:c r="O82" t="str">
        <x:v>https://data.haiphong.gov.vn/dataset/07fa5c03-31ee-453f-9bba-f7acd2ffeb6a/resource/4621ee58-725a-481d-b29c-931e46f220c5/download/khocsdl_trichxuatdulieu_dulieusotiepnhanphieucongbosanphammypham_2026-06-25.xlsx</x:v>
      </x:c>
      <x:c r="P82" t="str">
        <x:v>Không có bằng chứng thu hồi số tiếp nhận trong dữ liệu hiện có.</x:v>
      </x:c>
      <x:c r="Q82" t="str">
        <x:v>A++</x:v>
      </x:c>
    </x:row>
    <x:row r="83">
      <x:c r="A83" t="str">
        <x:v>ACT-00082</x:v>
      </x:c>
      <x:c r="B83" t="str">
        <x:v>NỘI ĐỊA</x:v>
      </x:c>
      <x:c r="C83" t="n">
        <x:v>2024</x:v>
      </x:c>
      <x:c r="D83" s="330"/>
      <x:c r="E83" s="330" t="str">
        <x:f>IF(D83="","",DATE(YEAR(D83)+5,MONTH(D83),DAY(D83)))</x:f>
      </x:c>
      <x:c r="F83" t="str">
        <x:v>11/24/CBMP-HD</x:v>
      </x:c>
      <x:c r="G83" t="str">
        <x:v>Công ty TNHH Phúc Văn Cosmetics</x:v>
      </x:c>
      <x:c r="H83" t="str">
        <x:v>DẦU XẢ THẢO MỘC</x:v>
      </x:c>
      <x:c r="I83" t="str">
        <x:v>PHÚC VĂN</x:v>
      </x:c>
      <x:c r="J83"/>
      <x:c r="K83" t="str">
        <x:v>Hải Phòng</x:v>
      </x:c>
      <x:c r="L83" t="str">
        <x:v>Chưa đối chiếu thu hồi</x:v>
      </x:c>
      <x:c r="M83" t="str">
        <x:f>IF(D83="","CẦN NGÀY CẤP",IF(E83&gt;=TODAY(),"TRONG 5 NĂM","HẾT 5 NĂM"))</x:f>
        <x:v>CẦN NGÀY CẤP</x:v>
      </x:c>
      <x:c r="N83" t="str">
        <x:v>Nguồn XLSX chính thức – Cổng dữ liệu mở TP Hải Phòng</x:v>
      </x:c>
      <x:c r="O83" t="str">
        <x:v>https://data.haiphong.gov.vn/dataset/07fa5c03-31ee-453f-9bba-f7acd2ffeb6a/resource/4621ee58-725a-481d-b29c-931e46f220c5/download/khocsdl_trichxuatdulieu_dulieusotiepnhanphieucongbosanphammypham_2026-06-25.xlsx</x:v>
      </x:c>
      <x:c r="P83" t="str">
        <x:v>Không có bằng chứng thu hồi số tiếp nhận trong dữ liệu hiện có.</x:v>
      </x:c>
      <x:c r="Q83" t="str">
        <x:v>A++</x:v>
      </x:c>
    </x:row>
    <x:row r="84">
      <x:c r="A84" t="str">
        <x:v>ACT-00083</x:v>
      </x:c>
      <x:c r="B84" t="str">
        <x:v>NỘI ĐỊA</x:v>
      </x:c>
      <x:c r="C84" t="n">
        <x:v>2024</x:v>
      </x:c>
      <x:c r="D84" s="330"/>
      <x:c r="E84" s="330" t="str">
        <x:f>IF(D84="","",DATE(YEAR(D84)+5,MONTH(D84),DAY(D84)))</x:f>
      </x:c>
      <x:c r="F84" t="str">
        <x:v>015/24/CBMP-BD</x:v>
      </x:c>
      <x:c r="G84" t="str">
        <x:v>CÔNG TY TNHH ROHTO-MENTHOLATUM (VIỆT NAM)</x:v>
      </x:c>
      <x:c r="H84" t="str">
        <x:v>ACNES LAB B5 RECOVERY SERUM</x:v>
      </x:c>
      <x:c r="I84" t="str">
        <x:v>ACNES</x:v>
      </x:c>
      <x:c r="J84"/>
      <x:c r="K84" t="str">
        <x:v>TP. Hồ Chí Minh</x:v>
      </x:c>
      <x:c r="L84" t="str">
        <x:v>Chưa đối chiếu thu hồi</x:v>
      </x:c>
      <x:c r="M84" t="str">
        <x:f>IF(D84="","CẦN NGÀY CẤP",IF(E84&gt;=TODAY(),"TRONG 5 NĂM","HẾT 5 NĂM"))</x:f>
        <x:v>CẦN NGÀY CẤP</x:v>
      </x:c>
      <x:c r="N84" t="str">
        <x:v>Nguồn chính thức Sở Y tế TP.HCM – cross-check số công bố</x:v>
      </x:c>
      <x:c r="O84" t="str">
        <x:v>https://tracuu.medinet.org.vn/category/cosodulieukhac/quangcao-mypham</x:v>
      </x:c>
      <x:c r="P84" t="str">
        <x:v>Không có bằng chứng thu hồi số tiếp nhận trong dữ liệu hiện có.</x:v>
      </x:c>
      <x:c r="Q84" t="str">
        <x:v>A++</x:v>
      </x:c>
    </x:row>
    <x:row r="85">
      <x:c r="A85" t="str">
        <x:v>ACT-00084</x:v>
      </x:c>
      <x:c r="B85" t="str">
        <x:v>NỘI ĐỊA</x:v>
      </x:c>
      <x:c r="C85" t="n">
        <x:v>2024</x:v>
      </x:c>
      <x:c r="D85" s="330"/>
      <x:c r="E85" s="330" t="str">
        <x:f>IF(D85="","",DATE(YEAR(D85)+5,MONTH(D85),DAY(D85)))</x:f>
      </x:c>
      <x:c r="F85" t="str">
        <x:v>128/24/CBMP-BD</x:v>
      </x:c>
      <x:c r="G85" t="str">
        <x:v>CÔNG TY TNHH ROHTO-MENTHOLATUM (VIỆT NAM)</x:v>
      </x:c>
      <x:c r="H85" t="str">
        <x:v>ACNES LAB C15 SERUM</x:v>
      </x:c>
      <x:c r="I85" t="str">
        <x:v>ACNES</x:v>
      </x:c>
      <x:c r="J85"/>
      <x:c r="K85" t="str">
        <x:v>TP. Hồ Chí Minh</x:v>
      </x:c>
      <x:c r="L85" t="str">
        <x:v>Chưa đối chiếu thu hồi</x:v>
      </x:c>
      <x:c r="M85" t="str">
        <x:f>IF(D85="","CẦN NGÀY CẤP",IF(E85&gt;=TODAY(),"TRONG 5 NĂM","HẾT 5 NĂM"))</x:f>
        <x:v>CẦN NGÀY CẤP</x:v>
      </x:c>
      <x:c r="N85" t="str">
        <x:v>Nguồn chính thức Sở Y tế TP.HCM – cross-check số công bố</x:v>
      </x:c>
      <x:c r="O85" t="str">
        <x:v>https://tracuu.medinet.org.vn/category/cosodulieukhac/quangcao-mypham</x:v>
      </x:c>
      <x:c r="P85" t="str">
        <x:v>Không có bằng chứng thu hồi số tiếp nhận trong dữ liệu hiện có.</x:v>
      </x:c>
      <x:c r="Q85" t="str">
        <x:v>A++</x:v>
      </x:c>
    </x:row>
    <x:row r="86">
      <x:c r="A86" t="str">
        <x:v>ACT-00085</x:v>
      </x:c>
      <x:c r="B86" t="str">
        <x:v>NỘI ĐỊA</x:v>
      </x:c>
      <x:c r="C86" t="n">
        <x:v>2024</x:v>
      </x:c>
      <x:c r="D86" s="330"/>
      <x:c r="E86" s="330" t="str">
        <x:f>IF(D86="","",DATE(YEAR(D86)+5,MONTH(D86),DAY(D86)))</x:f>
      </x:c>
      <x:c r="F86" t="str">
        <x:v>557/24/CBMP-BD</x:v>
      </x:c>
      <x:c r="G86" t="str">
        <x:v>CÔNG TY TNHH ROHTO-MENTHOLATUM (VIỆT NAM)</x:v>
      </x:c>
      <x:c r="H86" t="str">
        <x:v>HADA LABO ACNE CARE CALMING SERUM</x:v>
      </x:c>
      <x:c r="I86" t="str">
        <x:v>HADA LABO</x:v>
      </x:c>
      <x:c r="J86"/>
      <x:c r="K86" t="str">
        <x:v>TP. Hồ Chí Minh</x:v>
      </x:c>
      <x:c r="L86" t="str">
        <x:v>Chưa đối chiếu thu hồi</x:v>
      </x:c>
      <x:c r="M86" t="str">
        <x:f>IF(D86="","CẦN NGÀY CẤP",IF(E86&gt;=TODAY(),"TRONG 5 NĂM","HẾT 5 NĂM"))</x:f>
        <x:v>CẦN NGÀY CẤP</x:v>
      </x:c>
      <x:c r="N86" t="str">
        <x:v>Nguồn chính thức Sở Y tế TP.HCM – cross-check số công bố</x:v>
      </x:c>
      <x:c r="O86" t="str">
        <x:v>https://tracuu.medinet.org.vn/category/cosodulieukhac/quangcao-mypham</x:v>
      </x:c>
      <x:c r="P86" t="str">
        <x:v>Không có bằng chứng thu hồi số tiếp nhận trong dữ liệu hiện có.</x:v>
      </x:c>
      <x:c r="Q86" t="str">
        <x:v>A++</x:v>
      </x:c>
    </x:row>
    <x:row r="87">
      <x:c r="A87" t="str">
        <x:v>ACT-00086</x:v>
      </x:c>
      <x:c r="B87" t="str">
        <x:v>NỘI ĐỊA</x:v>
      </x:c>
      <x:c r="C87" t="n">
        <x:v>2024</x:v>
      </x:c>
      <x:c r="D87" s="330"/>
      <x:c r="E87" s="330" t="str">
        <x:f>IF(D87="","",DATE(YEAR(D87)+5,MONTH(D87),DAY(D87)))</x:f>
      </x:c>
      <x:c r="F87" t="str">
        <x:v>579/24/CBMP-BD</x:v>
      </x:c>
      <x:c r="G87" t="str">
        <x:v>CÔNG TY TNHH ROHTO-MENTHOLATUM (VIỆT NAM)</x:v>
      </x:c>
      <x:c r="H87" t="str">
        <x:v>ACNES LAB C10 SERUM</x:v>
      </x:c>
      <x:c r="I87" t="str">
        <x:v>ACNES</x:v>
      </x:c>
      <x:c r="J87"/>
      <x:c r="K87" t="str">
        <x:v>TP. Hồ Chí Minh</x:v>
      </x:c>
      <x:c r="L87" t="str">
        <x:v>Chưa đối chiếu thu hồi</x:v>
      </x:c>
      <x:c r="M87" t="str">
        <x:f>IF(D87="","CẦN NGÀY CẤP",IF(E87&gt;=TODAY(),"TRONG 5 NĂM","HẾT 5 NĂM"))</x:f>
        <x:v>CẦN NGÀY CẤP</x:v>
      </x:c>
      <x:c r="N87" t="str">
        <x:v>Nguồn chính thức Sở Y tế TP.HCM – cross-check số công bố</x:v>
      </x:c>
      <x:c r="O87" t="str">
        <x:v>https://tracuu.medinet.org.vn/category/cosodulieukhac/quangcao-mypham</x:v>
      </x:c>
      <x:c r="P87" t="str">
        <x:v>Không có bằng chứng thu hồi số tiếp nhận trong dữ liệu hiện có.</x:v>
      </x:c>
      <x:c r="Q87" t="str">
        <x:v>A++</x:v>
      </x:c>
    </x:row>
    <x:row r="88">
      <x:c r="A88" t="str">
        <x:v>ACT-00087</x:v>
      </x:c>
      <x:c r="B88" t="str">
        <x:v>NỘI ĐỊA</x:v>
      </x:c>
      <x:c r="C88" t="n">
        <x:v>2024</x:v>
      </x:c>
      <x:c r="D88" s="330"/>
      <x:c r="E88" s="330" t="str">
        <x:f>IF(D88="","",DATE(YEAR(D88)+5,MONTH(D88),DAY(D88)))</x:f>
      </x:c>
      <x:c r="F88" t="str">
        <x:v>737/24/CBMP-BD</x:v>
      </x:c>
      <x:c r="G88" t="str">
        <x:v>CÔNG TY TNHH ROHTO-MENTHOLATUM (VIỆT NAM)</x:v>
      </x:c>
      <x:c r="H88" t="str">
        <x:v>REFRE WHITENING PERFUME</x:v>
      </x:c>
      <x:c r="I88" t="str">
        <x:v>REFRE</x:v>
      </x:c>
      <x:c r="J88"/>
      <x:c r="K88" t="str">
        <x:v>TP. Hồ Chí Minh</x:v>
      </x:c>
      <x:c r="L88" t="str">
        <x:v>Chưa đối chiếu thu hồi</x:v>
      </x:c>
      <x:c r="M88" t="str">
        <x:f>IF(D88="","CẦN NGÀY CẤP",IF(E88&gt;=TODAY(),"TRONG 5 NĂM","HẾT 5 NĂM"))</x:f>
        <x:v>CẦN NGÀY CẤP</x:v>
      </x:c>
      <x:c r="N88" t="str">
        <x:v>Nguồn chính thức Sở Y tế TP.HCM – cross-check số công bố</x:v>
      </x:c>
      <x:c r="O88" t="str">
        <x:v>https://tracuu.medinet.org.vn/category/cosodulieukhac/quangcao-mypham</x:v>
      </x:c>
      <x:c r="P88" t="str">
        <x:v>Không có bằng chứng thu hồi số tiếp nhận trong dữ liệu hiện có.</x:v>
      </x:c>
      <x:c r="Q88" t="str">
        <x:v>A++</x:v>
      </x:c>
    </x:row>
    <x:row r="89">
      <x:c r="A89" t="str">
        <x:v>ACT-00088</x:v>
      </x:c>
      <x:c r="B89" t="str">
        <x:v>NỘI ĐỊA</x:v>
      </x:c>
      <x:c r="C89" t="n">
        <x:v>2024</x:v>
      </x:c>
      <x:c r="D89" s="330"/>
      <x:c r="E89" s="330" t="str">
        <x:f>IF(D89="","",DATE(YEAR(D89)+5,MONTH(D89),DAY(D89)))</x:f>
      </x:c>
      <x:c r="F89" t="str">
        <x:v>740/24/CBMP-BD</x:v>
      </x:c>
      <x:c r="G89" t="str">
        <x:v>CÔNG TY TNHH ROHTO-MENTHOLATUM (VIỆT NAM)</x:v>
      </x:c>
      <x:c r="H89" t="str">
        <x:v>REFRE NATURAL</x:v>
      </x:c>
      <x:c r="I89" t="str">
        <x:v>REFRE</x:v>
      </x:c>
      <x:c r="J89"/>
      <x:c r="K89" t="str">
        <x:v>TP. Hồ Chí Minh</x:v>
      </x:c>
      <x:c r="L89" t="str">
        <x:v>Chưa đối chiếu thu hồi</x:v>
      </x:c>
      <x:c r="M89" t="str">
        <x:f>IF(D89="","CẦN NGÀY CẤP",IF(E89&gt;=TODAY(),"TRONG 5 NĂM","HẾT 5 NĂM"))</x:f>
        <x:v>CẦN NGÀY CẤP</x:v>
      </x:c>
      <x:c r="N89" t="str">
        <x:v>Nguồn chính thức Sở Y tế TP.HCM – cross-check số công bố</x:v>
      </x:c>
      <x:c r="O89" t="str">
        <x:v>https://tracuu.medinet.org.vn/category/cosodulieukhac/quangcao-mypham</x:v>
      </x:c>
      <x:c r="P89" t="str">
        <x:v>Không có bằng chứng thu hồi số tiếp nhận trong dữ liệu hiện có.</x:v>
      </x:c>
      <x:c r="Q89" t="str">
        <x:v>A++</x:v>
      </x:c>
    </x:row>
    <x:row r="90">
      <x:c r="A90" t="str">
        <x:v>ACT-00089</x:v>
      </x:c>
      <x:c r="B90" t="str">
        <x:v>NỘI ĐỊA</x:v>
      </x:c>
      <x:c r="C90" t="n">
        <x:v>2024</x:v>
      </x:c>
      <x:c r="D90" s="330" t="n">
        <x:v>45587</x:v>
      </x:c>
      <x:c r="E90" s="330" t="n">
        <x:f>IF(D90="","",DATE(YEAR(D90)+5,MONTH(D90),DAY(D90)))</x:f>
        <x:v>47413</x:v>
      </x:c>
      <x:c r="F90" t="str">
        <x:v>332/24/CBMP-HD</x:v>
      </x:c>
      <x:c r="G90" t="str">
        <x:v>Công ty TNHH Sản xuất và Thương mại Mỹ phẩm Việt Anh</x:v>
      </x:c>
      <x:c r="H90" t="str">
        <x:v>LUCASTA CONDITIONER</x:v>
      </x:c>
      <x:c r="I90" t="str">
        <x:v>LUCASTA</x:v>
      </x:c>
      <x:c r="J90"/>
      <x:c r="K90" t="str">
        <x:v>Hải Phòng</x:v>
      </x:c>
      <x:c r="L90" t="str">
        <x:v>Đã thu hồi theo QĐ 1407/1414/1415/1416/QĐ-SYT ngày 10/04/2026</x:v>
      </x:c>
      <x:c r="M90" t="str">
        <x:f>IF(D90="","CẦN NGÀY CẤP",IF(E90&gt;=TODAY(),"TRONG 5 NĂM","HẾT 5 NĂM"))</x:f>
        <x:v>TRONG 5 NĂM</x:v>
      </x:c>
      <x:c r="N90" t="str">
        <x:v>Nguồn chính thức Hải Phòng – có số tiếp nhận và ngày cấp</x:v>
      </x:c>
      <x:c r="O90" t="str">
        <x:v>https://tanhung.haiphong.gov.vn/trang-chu-66859/phuong-tan-hung-thong-bao-ve-viec-thu-hoi-san-pham-my-pham-888028</x:v>
      </x:c>
      <x:c r="P90" t="str">
        <x:v>Không có bằng chứng thu hồi số tiếp nhận trong dữ liệu hiện có.</x:v>
      </x:c>
      <x:c r="Q90" t="str">
        <x:v>A++</x:v>
      </x:c>
    </x:row>
    <x:row r="91">
      <x:c r="A91" t="str">
        <x:v>ACT-00090</x:v>
      </x:c>
      <x:c r="B91" t="str">
        <x:v>NỘI ĐỊA</x:v>
      </x:c>
      <x:c r="C91" t="n">
        <x:v>2024</x:v>
      </x:c>
      <x:c r="D91" s="330" t="n">
        <x:v>45587</x:v>
      </x:c>
      <x:c r="E91" s="330" t="n">
        <x:f>IF(D91="","",DATE(YEAR(D91)+5,MONTH(D91),DAY(D91)))</x:f>
        <x:v>47413</x:v>
      </x:c>
      <x:c r="F91" t="str">
        <x:v>333/24/CBMP-HD</x:v>
      </x:c>
      <x:c r="G91" t="str">
        <x:v>Công ty TNHH Sản xuất và Thương mại Mỹ phẩm Việt Anh</x:v>
      </x:c>
      <x:c r="H91" t="str">
        <x:v>LUCASTA SHAMPOO</x:v>
      </x:c>
      <x:c r="I91" t="str">
        <x:v>LUCASTA</x:v>
      </x:c>
      <x:c r="J91"/>
      <x:c r="K91" t="str">
        <x:v>Hải Phòng</x:v>
      </x:c>
      <x:c r="L91" t="str">
        <x:v>Đã thu hồi theo QĐ 1407/1414/1415/1416/QĐ-SYT ngày 10/04/2026</x:v>
      </x:c>
      <x:c r="M91" t="str">
        <x:f>IF(D91="","CẦN NGÀY CẤP",IF(E91&gt;=TODAY(),"TRONG 5 NĂM","HẾT 5 NĂM"))</x:f>
        <x:v>TRONG 5 NĂM</x:v>
      </x:c>
      <x:c r="N91" t="str">
        <x:v>Nguồn chính thức Hải Phòng – có số tiếp nhận và ngày cấp</x:v>
      </x:c>
      <x:c r="O91" t="str">
        <x:v>https://tanhung.haiphong.gov.vn/trang-chu-66859/phuong-tan-hung-thong-bao-ve-viec-thu-hoi-san-pham-my-pham-888028</x:v>
      </x:c>
      <x:c r="P91" t="str">
        <x:v>Không có bằng chứng thu hồi số tiếp nhận trong dữ liệu hiện có.</x:v>
      </x:c>
      <x:c r="Q91" t="str">
        <x:v>A++</x:v>
      </x:c>
    </x:row>
    <x:row r="92">
      <x:c r="A92" t="str">
        <x:v>ACT-00091</x:v>
      </x:c>
      <x:c r="B92" t="str">
        <x:v>NỘI ĐỊA</x:v>
      </x:c>
      <x:c r="C92" t="n">
        <x:v>2024</x:v>
      </x:c>
      <x:c r="D92" s="330" t="n">
        <x:v>45587</x:v>
      </x:c>
      <x:c r="E92" s="330" t="n">
        <x:f>IF(D92="","",DATE(YEAR(D92)+5,MONTH(D92),DAY(D92)))</x:f>
        <x:v>47413</x:v>
      </x:c>
      <x:c r="F92" t="str">
        <x:v>334/24/CBMP-HD</x:v>
      </x:c>
      <x:c r="G92" t="str">
        <x:v>Công ty TNHH Sản xuất và Thương mại Mỹ phẩm Việt Anh</x:v>
      </x:c>
      <x:c r="H92" t="str">
        <x:v>UỐN LẠNH LUCASTA</x:v>
      </x:c>
      <x:c r="I92" t="str">
        <x:v>LUCASTA</x:v>
      </x:c>
      <x:c r="J92"/>
      <x:c r="K92" t="str">
        <x:v>Hải Phòng</x:v>
      </x:c>
      <x:c r="L92" t="str">
        <x:v>Đã thu hồi theo QĐ 1407/1414/1415/1416/QĐ-SYT ngày 10/04/2026</x:v>
      </x:c>
      <x:c r="M92" t="str">
        <x:f>IF(D92="","CẦN NGÀY CẤP",IF(E92&gt;=TODAY(),"TRONG 5 NĂM","HẾT 5 NĂM"))</x:f>
        <x:v>TRONG 5 NĂM</x:v>
      </x:c>
      <x:c r="N92" t="str">
        <x:v>Nguồn chính thức Hải Phòng – có số tiếp nhận và ngày cấp</x:v>
      </x:c>
      <x:c r="O92" t="str">
        <x:v>https://tanhung.haiphong.gov.vn/trang-chu-66859/phuong-tan-hung-thong-bao-ve-viec-thu-hoi-san-pham-my-pham-888028</x:v>
      </x:c>
      <x:c r="P92" t="str">
        <x:v>Không có bằng chứng thu hồi số tiếp nhận trong dữ liệu hiện có.</x:v>
      </x:c>
      <x:c r="Q92" t="str">
        <x:v>A++</x:v>
      </x:c>
    </x:row>
    <x:row r="93">
      <x:c r="A93" t="str">
        <x:v>ACT-00092</x:v>
      </x:c>
      <x:c r="B93" t="str">
        <x:v>NỘI ĐỊA</x:v>
      </x:c>
      <x:c r="C93" t="n">
        <x:v>2024</x:v>
      </x:c>
      <x:c r="D93" s="330" t="n">
        <x:v>45622</x:v>
      </x:c>
      <x:c r="E93" s="330" t="n">
        <x:f>IF(D93="","",DATE(YEAR(D93)+5,MONTH(D93),DAY(D93)))</x:f>
        <x:v>47448</x:v>
      </x:c>
      <x:c r="F93" t="str">
        <x:v>367/24/CBMP-HD</x:v>
      </x:c>
      <x:c r="G93" t="str">
        <x:v>Công ty TNHH Sản xuất và Thương mại Mỹ phẩm Việt Anh</x:v>
      </x:c>
      <x:c r="H93" t="str">
        <x:v>SÁP TÓC LUCASTA</x:v>
      </x:c>
      <x:c r="I93" t="str">
        <x:v>LUCASTA</x:v>
      </x:c>
      <x:c r="J93"/>
      <x:c r="K93" t="str">
        <x:v>Hải Phòng</x:v>
      </x:c>
      <x:c r="L93" t="str">
        <x:v>Đã thu hồi theo QĐ 1407/1414/1415/1416/QĐ-SYT ngày 10/04/2026</x:v>
      </x:c>
      <x:c r="M93" t="str">
        <x:f>IF(D93="","CẦN NGÀY CẤP",IF(E93&gt;=TODAY(),"TRONG 5 NĂM","HẾT 5 NĂM"))</x:f>
        <x:v>TRONG 5 NĂM</x:v>
      </x:c>
      <x:c r="N93" t="str">
        <x:v>Nguồn chính thức Hải Phòng – có số tiếp nhận và ngày cấp</x:v>
      </x:c>
      <x:c r="O93" t="str">
        <x:v>https://tanhung.haiphong.gov.vn/trang-chu-66859/phuong-tan-hung-thong-bao-ve-viec-thu-hoi-san-pham-my-pham-888028</x:v>
      </x:c>
      <x:c r="P93" t="str">
        <x:v>Không có bằng chứng thu hồi số tiếp nhận trong dữ liệu hiện có.</x:v>
      </x:c>
      <x:c r="Q93" t="str">
        <x:v>A++</x:v>
      </x:c>
    </x:row>
    <x:row r="94">
      <x:c r="A94" t="str">
        <x:v>ACT-00093</x:v>
      </x:c>
      <x:c r="B94" t="str">
        <x:v>NỘI ĐỊA</x:v>
      </x:c>
      <x:c r="C94" t="n">
        <x:v>2024</x:v>
      </x:c>
      <x:c r="D94" s="330"/>
      <x:c r="E94" s="330" t="str">
        <x:f>IF(D94="","",DATE(YEAR(D94)+5,MONTH(D94),DAY(D94)))</x:f>
      </x:c>
      <x:c r="F94" t="str">
        <x:v>01/24/CBMP-HD</x:v>
      </x:c>
      <x:c r="G94" t="str">
        <x:v>Công ty TNHH Sản xuất và Thương mại Sâm Việt Nam</x:v>
      </x:c>
      <x:c r="H94" t="str">
        <x:v>DẦU GỘI THẢO MỘC SÂM SAVINA 2 IN 1 (FORMEN)</x:v>
      </x:c>
      <x:c r="I94" t="str">
        <x:v>SÂM VIỆT NAM</x:v>
      </x:c>
      <x:c r="J94"/>
      <x:c r="K94" t="str">
        <x:v>Hải Phòng</x:v>
      </x:c>
      <x:c r="L94" t="str">
        <x:v>Chưa đối chiếu thu hồi</x:v>
      </x:c>
      <x:c r="M94" t="str">
        <x:f>IF(D94="","CẦN NGÀY CẤP",IF(E94&gt;=TODAY(),"TRONG 5 NĂM","HẾT 5 NĂM"))</x:f>
        <x:v>CẦN NGÀY CẤP</x:v>
      </x:c>
      <x:c r="N94" t="str">
        <x:v>Nguồn XLSX chính thức – Cổng dữ liệu mở TP Hải Phòng</x:v>
      </x:c>
      <x:c r="O94" t="str">
        <x:v>https://data.haiphong.gov.vn/dataset/07fa5c03-31ee-453f-9bba-f7acd2ffeb6a/resource/4621ee58-725a-481d-b29c-931e46f220c5/download/khocsdl_trichxuatdulieu_dulieusotiepnhanphieucongbosanphammypham_2026-06-25.xlsx</x:v>
      </x:c>
      <x:c r="P94" t="str">
        <x:v>Không có bằng chứng thu hồi số tiếp nhận trong dữ liệu hiện có.</x:v>
      </x:c>
      <x:c r="Q94" t="str">
        <x:v>A++</x:v>
      </x:c>
    </x:row>
    <x:row r="95">
      <x:c r="A95" t="str">
        <x:v>ACT-00094</x:v>
      </x:c>
      <x:c r="B95" t="str">
        <x:v>NỘI ĐỊA</x:v>
      </x:c>
      <x:c r="C95" t="n">
        <x:v>2024</x:v>
      </x:c>
      <x:c r="D95" s="330"/>
      <x:c r="E95" s="330" t="str">
        <x:f>IF(D95="","",DATE(YEAR(D95)+5,MONTH(D95),DAY(D95)))</x:f>
      </x:c>
      <x:c r="F95" t="str">
        <x:v>02/24/CBMP-HD</x:v>
      </x:c>
      <x:c r="G95" t="str">
        <x:v>Công ty TNHH Sản xuất và Thương mại Sâm Việt Nam</x:v>
      </x:c>
      <x:c r="H95" t="str">
        <x:v>DẦU GỘI THẢO MỘC SÂM SAVINA</x:v>
      </x:c>
      <x:c r="I95" t="str">
        <x:v>SÂM VIỆT NAM</x:v>
      </x:c>
      <x:c r="J95"/>
      <x:c r="K95" t="str">
        <x:v>Hải Phòng</x:v>
      </x:c>
      <x:c r="L95" t="str">
        <x:v>Chưa đối chiếu thu hồi</x:v>
      </x:c>
      <x:c r="M95" t="str">
        <x:f>IF(D95="","CẦN NGÀY CẤP",IF(E95&gt;=TODAY(),"TRONG 5 NĂM","HẾT 5 NĂM"))</x:f>
        <x:v>CẦN NGÀY CẤP</x:v>
      </x:c>
      <x:c r="N95" t="str">
        <x:v>Nguồn XLSX chính thức – Cổng dữ liệu mở TP Hải Phòng</x:v>
      </x:c>
      <x:c r="O95" t="str">
        <x:v>https://data.haiphong.gov.vn/dataset/07fa5c03-31ee-453f-9bba-f7acd2ffeb6a/resource/4621ee58-725a-481d-b29c-931e46f220c5/download/khocsdl_trichxuatdulieu_dulieusotiepnhanphieucongbosanphammypham_2026-06-25.xlsx</x:v>
      </x:c>
      <x:c r="P95" t="str">
        <x:v>Không có bằng chứng thu hồi số tiếp nhận trong dữ liệu hiện có.</x:v>
      </x:c>
      <x:c r="Q95" t="str">
        <x:v>A++</x:v>
      </x:c>
    </x:row>
    <x:row r="96">
      <x:c r="A96" t="str">
        <x:v>ACT-00095</x:v>
      </x:c>
      <x:c r="B96" t="str">
        <x:v>NỘI ĐỊA</x:v>
      </x:c>
      <x:c r="C96" t="n">
        <x:v>2024</x:v>
      </x:c>
      <x:c r="D96" s="330"/>
      <x:c r="E96" s="330" t="str">
        <x:f>IF(D96="","",DATE(YEAR(D96)+5,MONTH(D96),DAY(D96)))</x:f>
      </x:c>
      <x:c r="F96" t="str">
        <x:v>03/24/CBMP-HD</x:v>
      </x:c>
      <x:c r="G96" t="str">
        <x:v>Công ty TNHH Sản xuất và Thương mại Sâm Việt Nam</x:v>
      </x:c>
      <x:c r="H96" t="str">
        <x:v>DẦU XẢ THẢO MỘC SÂM SAVINA</x:v>
      </x:c>
      <x:c r="I96" t="str">
        <x:v>SÂM VIỆT NAM</x:v>
      </x:c>
      <x:c r="J96"/>
      <x:c r="K96" t="str">
        <x:v>Hải Phòng</x:v>
      </x:c>
      <x:c r="L96" t="str">
        <x:v>Chưa đối chiếu thu hồi</x:v>
      </x:c>
      <x:c r="M96" t="str">
        <x:f>IF(D96="","CẦN NGÀY CẤP",IF(E96&gt;=TODAY(),"TRONG 5 NĂM","HẾT 5 NĂM"))</x:f>
        <x:v>CẦN NGÀY CẤP</x:v>
      </x:c>
      <x:c r="N96" t="str">
        <x:v>Nguồn XLSX chính thức – Cổng dữ liệu mở TP Hải Phòng</x:v>
      </x:c>
      <x:c r="O96" t="str">
        <x:v>https://data.haiphong.gov.vn/dataset/07fa5c03-31ee-453f-9bba-f7acd2ffeb6a/resource/4621ee58-725a-481d-b29c-931e46f220c5/download/khocsdl_trichxuatdulieu_dulieusotiepnhanphieucongbosanphammypham_2026-06-25.xlsx</x:v>
      </x:c>
      <x:c r="P96" t="str">
        <x:v>Không có bằng chứng thu hồi số tiếp nhận trong dữ liệu hiện có.</x:v>
      </x:c>
      <x:c r="Q96" t="str">
        <x:v>A++</x:v>
      </x:c>
    </x:row>
    <x:row r="97">
      <x:c r="A97" t="str">
        <x:v>ACT-00096</x:v>
      </x:c>
      <x:c r="B97" t="str">
        <x:v>NỘI ĐỊA</x:v>
      </x:c>
      <x:c r="C97" t="n">
        <x:v>2024</x:v>
      </x:c>
      <x:c r="D97" s="330"/>
      <x:c r="E97" s="330" t="str">
        <x:f>IF(D97="","",DATE(YEAR(D97)+5,MONTH(D97),DAY(D97)))</x:f>
      </x:c>
      <x:c r="F97" t="str">
        <x:v>779/24/CBMP-ĐN</x:v>
      </x:c>
      <x:c r="G97" t="str">
        <x:v>Công ty TNHH Thương mại dịch vụ VB Group</x:v>
      </x:c>
      <x:c r="H97" t="str">
        <x:v>Hanayuki Sunscreen Body</x:v>
      </x:c>
      <x:c r="I97" t="str">
        <x:v>Hanayuki Empire of Beauty</x:v>
      </x:c>
      <x:c r="J97" t="str">
        <x:v>Công ty Cổ phần Nhà máy Y tế EBC Đồng Nai (trước đây TNHH EBC Group)</x:v>
      </x:c>
      <x:c r="K97" t="str">
        <x:v>Đà Nẵng</x:v>
      </x:c>
      <x:c r="L97" t="str">
        <x:v>Đình chỉ lưu hành, thu hồi</x:v>
      </x:c>
      <x:c r="M97" t="str">
        <x:f>IF(D97="","CẦN NGÀY CẤP",IF(E97&gt;=TODAY(),"TRONG 5 NĂM","HẾT 5 NĂM"))</x:f>
        <x:v>CẦN NGÀY CẤP</x:v>
      </x:c>
      <x:c r="N97" t="str">
        <x:v>Nguồn nhà nước – VOV dẫn văn bản Sở Y tế/Cục QLD</x:v>
      </x:c>
      <x:c r="O97" t="str">
        <x:v>https://vov.gov.vn/dong-nai-de-nghi-xu-phat-hanh-chinh-vu-kem-chong-nang-hanayuki-sunscreen-body-dtnew-1086398</x:v>
      </x:c>
      <x:c r="P97" t="str">
        <x:v>Không có bằng chứng thu hồi số tiếp nhận trong dữ liệu hiện có.</x:v>
      </x:c>
      <x:c r="Q97" t="str">
        <x:v>A++</x:v>
      </x:c>
    </x:row>
    <x:row r="98">
      <x:c r="A98" t="str">
        <x:v>ACT-00097</x:v>
      </x:c>
      <x:c r="B98" t="str">
        <x:v>NỘI ĐỊA</x:v>
      </x:c>
      <x:c r="C98" t="n">
        <x:v>2024</x:v>
      </x:c>
      <x:c r="D98" s="330"/>
      <x:c r="E98" s="330" t="str">
        <x:f>IF(D98="","",DATE(YEAR(D98)+5,MONTH(D98),DAY(D98)))</x:f>
      </x:c>
      <x:c r="F98" t="str">
        <x:v>780/24/CBMP-ĐN</x:v>
      </x:c>
      <x:c r="G98" t="str">
        <x:v>Công ty TNHH Thương mại dịch vụ VB Group</x:v>
      </x:c>
      <x:c r="H98" t="str">
        <x:v>Hanayuki Shampoo</x:v>
      </x:c>
      <x:c r="I98" t="str">
        <x:v>Hanayuki Empire of Beauty</x:v>
      </x:c>
      <x:c r="J98" t="str">
        <x:v>Công ty Cổ phần Nhà máy Y tế EBC Đồng Nai (trước đây TNHH EBC Group)</x:v>
      </x:c>
      <x:c r="K98" t="str">
        <x:v>Đà Nẵng</x:v>
      </x:c>
      <x:c r="L98" t="str">
        <x:v>Có cảnh báo pháp lý/đang làm rõ</x:v>
      </x:c>
      <x:c r="M98" t="str">
        <x:f>IF(D98="","CẦN NGÀY CẤP",IF(E98&gt;=TODAY(),"TRONG 5 NĂM","HẾT 5 NĂM"))</x:f>
        <x:v>CẦN NGÀY CẤP</x:v>
      </x:c>
      <x:c r="N98" t="str">
        <x:v>Nguồn chính thức – Sở Y tế Bà Rịa–Vũng Tàu</x:v>
      </x:c>
      <x:c r="O98" t="str">
        <x:v>https://soyte.baria-vungtau.gov.vn/Dinh-chi-luu-hanh-thu-hoi-nhieu-my-pham-khong-dat-tieu-chuan-chat-luong-2-3-4-123.html</x:v>
      </x:c>
      <x:c r="P98" t="str">
        <x:v>Không có bằng chứng thu hồi số tiếp nhận trong dữ liệu hiện có.</x:v>
      </x:c>
      <x:c r="Q98" t="str">
        <x:v>A++</x:v>
      </x:c>
    </x:row>
    <x:row r="99">
      <x:c r="A99" t="str">
        <x:v>ACT-00098</x:v>
      </x:c>
      <x:c r="B99" t="str">
        <x:v>NỘI ĐỊA</x:v>
      </x:c>
      <x:c r="C99" t="n">
        <x:v>2024</x:v>
      </x:c>
      <x:c r="D99" s="330"/>
      <x:c r="E99" s="330" t="str">
        <x:f>IF(D99="","",DATE(YEAR(D99)+5,MONTH(D99),DAY(D99)))</x:f>
      </x:c>
      <x:c r="F99" t="str">
        <x:v>792/24/CBMP-ĐN</x:v>
      </x:c>
      <x:c r="G99" t="str">
        <x:v>Công ty TNHH Thương mại dịch vụ VB Group</x:v>
      </x:c>
      <x:c r="H99" t="str">
        <x:v>VB Soft &amp; Silk</x:v>
      </x:c>
      <x:c r="I99" t="str">
        <x:v>Hanayuki Empire of Beauty</x:v>
      </x:c>
      <x:c r="J99" t="str">
        <x:v>Công ty Cổ phần Nhà máy Y tế EBC Đồng Nai (trước đây TNHH EBC Group)</x:v>
      </x:c>
      <x:c r="K99" t="str">
        <x:v>Đà Nẵng</x:v>
      </x:c>
      <x:c r="L99" t="str">
        <x:v>Có cảnh báo pháp lý/đang làm rõ</x:v>
      </x:c>
      <x:c r="M99" t="str">
        <x:f>IF(D99="","CẦN NGÀY CẤP",IF(E99&gt;=TODAY(),"TRONG 5 NĂM","HẾT 5 NĂM"))</x:f>
        <x:v>CẦN NGÀY CẤP</x:v>
      </x:c>
      <x:c r="N99" t="str">
        <x:v>Nguồn chính thức – Sở Y tế Bà Rịa–Vũng Tàu</x:v>
      </x:c>
      <x:c r="O99" t="str">
        <x:v>https://soyte.baria-vungtau.gov.vn/Dinh-chi-luu-hanh-thu-hoi-nhieu-my-pham-khong-dat-tieu-chuan-chat-luong-2-3-4-123.html</x:v>
      </x:c>
      <x:c r="P99" t="str">
        <x:v>Không có bằng chứng thu hồi số tiếp nhận trong dữ liệu hiện có.</x:v>
      </x:c>
      <x:c r="Q99" t="str">
        <x:v>A++</x:v>
      </x:c>
    </x:row>
    <x:row r="100">
      <x:c r="A100" t="str">
        <x:v>ACT-00099</x:v>
      </x:c>
      <x:c r="B100" t="str">
        <x:v>NỘI ĐỊA</x:v>
      </x:c>
      <x:c r="C100" t="n">
        <x:v>2024</x:v>
      </x:c>
      <x:c r="D100" s="330"/>
      <x:c r="E100" s="330" t="str">
        <x:f>IF(D100="","",DATE(YEAR(D100)+5,MONTH(D100),DAY(D100)))</x:f>
      </x:c>
      <x:c r="F100" t="str">
        <x:v>794/24/CBMP-ĐN</x:v>
      </x:c>
      <x:c r="G100" t="str">
        <x:v>Công ty TNHH Thương mại dịch vụ VB Group</x:v>
      </x:c>
      <x:c r="H100" t="str">
        <x:v>Hanayuki Conditioner</x:v>
      </x:c>
      <x:c r="I100" t="str">
        <x:v>Hanayuki Empire of Beauty</x:v>
      </x:c>
      <x:c r="J100" t="str">
        <x:v>Công ty Cổ phần Nhà máy Y tế EBC Đồng Nai (trước đây TNHH EBC Group)</x:v>
      </x:c>
      <x:c r="K100" t="str">
        <x:v>Đà Nẵng</x:v>
      </x:c>
      <x:c r="L100" t="str">
        <x:v>Đình chỉ lưu hành, thu hồi</x:v>
      </x:c>
      <x:c r="M100" t="str">
        <x:f>IF(D100="","CẦN NGÀY CẤP",IF(E100&gt;=TODAY(),"TRONG 5 NĂM","HẾT 5 NĂM"))</x:f>
        <x:v>CẦN NGÀY CẤP</x:v>
      </x:c>
      <x:c r="N100" t="str">
        <x:v>Nguồn nhà nước – VOV dẫn Cục Quản lý Dược</x:v>
      </x:c>
      <x:c r="O100" t="str">
        <x:v>https://vov.gov.vn/2-cong-ty-my-pham-lien-quan-chong-doan-di-bang-bi-yeu-cau-tam-dung-san-xuat-dtnew-1086843</x:v>
      </x:c>
      <x:c r="P100" t="str">
        <x:v>Không có bằng chứng thu hồi số tiếp nhận trong dữ liệu hiện có.</x:v>
      </x:c>
      <x:c r="Q100" t="str">
        <x:v>A++</x:v>
      </x:c>
    </x:row>
    <x:row r="101">
      <x:c r="A101" t="str">
        <x:v>ACT-00100</x:v>
      </x:c>
      <x:c r="B101" t="str">
        <x:v>NỘI ĐỊA</x:v>
      </x:c>
      <x:c r="C101" t="n">
        <x:v>2024</x:v>
      </x:c>
      <x:c r="D101" s="330"/>
      <x:c r="E101" s="330" t="str">
        <x:f>IF(D101="","",DATE(YEAR(D101)+5,MONTH(D101),DAY(D101)))</x:f>
      </x:c>
      <x:c r="F101" t="str">
        <x:v>21/24/CBMP-HD</x:v>
      </x:c>
      <x:c r="G101" t="str">
        <x:v>Công ty TNHH TOÀN LUCKY</x:v>
      </x:c>
      <x:c r="H101" t="str">
        <x:v>Hair Mask</x:v>
      </x:c>
      <x:c r="I101" t="str">
        <x:v>T-N-T</x:v>
      </x:c>
      <x:c r="J101"/>
      <x:c r="K101" t="str">
        <x:v>Hải Phòng</x:v>
      </x:c>
      <x:c r="L101" t="str">
        <x:v>Chưa đối chiếu thu hồi</x:v>
      </x:c>
      <x:c r="M101" t="str">
        <x:f>IF(D101="","CẦN NGÀY CẤP",IF(E101&gt;=TODAY(),"TRONG 5 NĂM","HẾT 5 NĂM"))</x:f>
        <x:v>CẦN NGÀY CẤP</x:v>
      </x:c>
      <x:c r="N101" t="str">
        <x:v>Nguồn XLSX chính thức – Cổng dữ liệu mở TP Hải Phòng</x:v>
      </x:c>
      <x:c r="O101" t="str">
        <x:v>https://data.haiphong.gov.vn/dataset/07fa5c03-31ee-453f-9bba-f7acd2ffeb6a/resource/4621ee58-725a-481d-b29c-931e46f220c5/download/khocsdl_trichxuatdulieu_dulieusotiepnhanphieucongbosanphammypham_2026-06-25.xlsx</x:v>
      </x:c>
      <x:c r="P101" t="str">
        <x:v>Không có bằng chứng thu hồi số tiếp nhận trong dữ liệu hiện có.</x:v>
      </x:c>
      <x:c r="Q101" t="str">
        <x:v>A++</x:v>
      </x:c>
    </x:row>
    <x:row r="102">
      <x:c r="A102" t="str">
        <x:v>ACT-00101</x:v>
      </x:c>
      <x:c r="B102" t="str">
        <x:v>NỘI ĐỊA</x:v>
      </x:c>
      <x:c r="C102" t="n">
        <x:v>2024</x:v>
      </x:c>
      <x:c r="D102" s="330"/>
      <x:c r="E102" s="330" t="str">
        <x:f>IF(D102="","",DATE(YEAR(D102)+5,MONTH(D102),DAY(D102)))</x:f>
      </x:c>
      <x:c r="F102" t="str">
        <x:v>14/24/CBMP-HD</x:v>
      </x:c>
      <x:c r="G102" t="str">
        <x:v>Công ty TNHH TUVA</x:v>
      </x:c>
      <x:c r="H102" t="str">
        <x:v>DUNG DỊCH VỆ SINH PHỤ NỮ BÉATRICE</x:v>
      </x:c>
      <x:c r="I102"/>
      <x:c r="J102"/>
      <x:c r="K102" t="str">
        <x:v>Hải Phòng</x:v>
      </x:c>
      <x:c r="L102" t="str">
        <x:v>Chưa đối chiếu thu hồi</x:v>
      </x:c>
      <x:c r="M102" t="str">
        <x:f>IF(D102="","CẦN NGÀY CẤP",IF(E102&gt;=TODAY(),"TRONG 5 NĂM","HẾT 5 NĂM"))</x:f>
        <x:v>CẦN NGÀY CẤP</x:v>
      </x:c>
      <x:c r="N102" t="str">
        <x:v>Nguồn XLSX chính thức – Cổng dữ liệu mở TP Hải Phòng</x:v>
      </x:c>
      <x:c r="O102" t="str">
        <x:v>https://data.haiphong.gov.vn/dataset/07fa5c03-31ee-453f-9bba-f7acd2ffeb6a/resource/4621ee58-725a-481d-b29c-931e46f220c5/download/khocsdl_trichxuatdulieu_dulieusotiepnhanphieucongbosanphammypham_2026-06-25.xlsx</x:v>
      </x:c>
      <x:c r="P102" t="str">
        <x:v>Không có bằng chứng thu hồi số tiếp nhận trong dữ liệu hiện có.</x:v>
      </x:c>
      <x:c r="Q102" t="str">
        <x:v>A++</x:v>
      </x:c>
    </x:row>
    <x:row r="103">
      <x:c r="A103" t="str">
        <x:v>ACT-00102</x:v>
      </x:c>
      <x:c r="B103" t="str">
        <x:v>NỘI ĐỊA</x:v>
      </x:c>
      <x:c r="C103" t="n">
        <x:v>2023</x:v>
      </x:c>
      <x:c r="D103" s="330"/>
      <x:c r="E103" s="330" t="str">
        <x:f>IF(D103="","",DATE(YEAR(D103)+5,MONTH(D103),DAY(D103)))</x:f>
      </x:c>
      <x:c r="F103" t="str">
        <x:v>004405/23/CBMP-HCM</x:v>
      </x:c>
      <x:c r="G103" t="str">
        <x:v>Công ty TNHH dược phẩm Đại Hưng</x:v>
      </x:c>
      <x:c r="H103" t="str">
        <x:v>Dầu mù u Thái Dương</x:v>
      </x:c>
      <x:c r="I103"/>
      <x:c r="J103" t="str">
        <x:v>Chi nhánh Công ty TNHH sản xuất thương mại dịch vụ Contra - xưởng sản xuất</x:v>
      </x:c>
      <x:c r="K103" t="str">
        <x:v>TP. Hồ Chí Minh</x:v>
      </x:c>
      <x:c r="L103" t="str">
        <x:v>Thu hồi/tiêu hủy 04 lô; cảnh báo không rõ nguồn gốc (2025)</x:v>
      </x:c>
      <x:c r="M103" t="str">
        <x:f>IF(D103="","CẦN NGÀY CẤP",IF(E103&gt;=TODAY(),"TRONG 5 NĂM","HẾT 5 NĂM"))</x:f>
        <x:v>CẦN NGÀY CẤP</x:v>
      </x:c>
      <x:c r="N103" t="str">
        <x:v>Xác minh từ Sở Y tế Hà Tĩnh dẫn Công văn 2034/QLD-MP của Cục QLD</x:v>
      </x:c>
      <x:c r="O103" t="str">
        <x:v>https://soyte.hatinh.gov.vn/tin-tuc-su-kien/thong-tin-y-te/duoc-my-pham-trang-thiet-bi-y-te/so-y-te-thong-bao-thu-hoi-tieu-huy-san-pham-khong-ro-nguon-g.html</x:v>
      </x:c>
      <x:c r="P103" t="str">
        <x:v>Không có bằng chứng thu hồi số tiếp nhận trong dữ liệu hiện có.</x:v>
      </x:c>
      <x:c r="Q103" t="str">
        <x:v>A++</x:v>
      </x:c>
    </x:row>
    <x:row r="104">
      <x:c r="A104" t="str">
        <x:v>ACT-00103</x:v>
      </x:c>
      <x:c r="B104" t="str">
        <x:v>NỘI ĐỊA</x:v>
      </x:c>
      <x:c r="C104" t="n">
        <x:v>2023</x:v>
      </x:c>
      <x:c r="D104" s="330"/>
      <x:c r="E104" s="330" t="str">
        <x:f>IF(D104="","",DATE(YEAR(D104)+5,MONTH(D104),DAY(D104)))</x:f>
      </x:c>
      <x:c r="F104" t="str">
        <x:v>003167/23/CBMP-HCM</x:v>
      </x:c>
      <x:c r="G104" t="str">
        <x:v>Công ty TNHH Hùng Đông Tinh</x:v>
      </x:c>
      <x:c r="H104" t="str">
        <x:v>Conditioner</x:v>
      </x:c>
      <x:c r="I104" t="str">
        <x:v>Intasilk</x:v>
      </x:c>
      <x:c r="J104" t="str">
        <x:v>Công ty TNHH mỹ phẩm Dạ Thảo Lan – Chi nhánh 2</x:v>
      </x:c>
      <x:c r="K104" t="str">
        <x:v>TP. Hồ Chí Minh</x:v>
      </x:c>
      <x:c r="L104" t="str">
        <x:v>Đình chỉ/thu hồi toàn bộ sản phẩm (2024)</x:v>
      </x:c>
      <x:c r="M104" t="str">
        <x:f>IF(D104="","CẦN NGÀY CẤP",IF(E104&gt;=TODAY(),"TRONG 5 NĂM","HẾT 5 NĂM"))</x:f>
        <x:v>CẦN NGÀY CẤP</x:v>
      </x:c>
      <x:c r="N104" t="str">
        <x:v>Cổng tỉnh công khai số CBMP + company + manufacturer</x:v>
      </x:c>
      <x:c r="O104" t="str">
        <x:v>https://binhphuoc.gov.vn/vi/syt/tra-cuu-thong-tin-hanh-nghe/dinh-chi-luu-hanh-thu-hoi-va-tieu-huy-my-pham-san-pham-conditioner-3840.html</x:v>
      </x:c>
      <x:c r="P104" t="str">
        <x:v>Không có bằng chứng thu hồi số tiếp nhận trong dữ liệu hiện có.</x:v>
      </x:c>
      <x:c r="Q104" t="str">
        <x:v>A++</x:v>
      </x:c>
    </x:row>
    <x:row r="105">
      <x:c r="A105" t="str">
        <x:v>ACT-00104</x:v>
      </x:c>
      <x:c r="B105" t="str">
        <x:v>NHẬP KHẨU</x:v>
      </x:c>
      <x:c r="C105" t="n">
        <x:v>2023</x:v>
      </x:c>
      <x:c r="D105" s="330"/>
      <x:c r="E105" s="330" t="str">
        <x:f>IF(D105="","",DATE(YEAR(D105)+5,MONTH(D105),DAY(D105)))</x:f>
      </x:c>
      <x:c r="F105" t="str">
        <x:v>207832/23/CBMP-QLD</x:v>
      </x:c>
      <x:c r="G105" t="str">
        <x:v>CÔNG TY TNHH M.O.I COSMETICS</x:v>
      </x:c>
      <x:c r="H105" t="str">
        <x:v>M.O.I BABY SKIN POWDER #1</x:v>
      </x:c>
      <x:c r="I105" t="str">
        <x:v>M.O.I</x:v>
      </x:c>
      <x:c r="J105"/>
      <x:c r="K105" t="str">
        <x:v>Cục QLD / Toàn quốc</x:v>
      </x:c>
      <x:c r="L105" t="str">
        <x:v>Chưa đối chiếu thu hồi</x:v>
      </x:c>
      <x:c r="M105" t="str">
        <x:f>IF(D105="","CẦN NGÀY CẤP",IF(E105&gt;=TODAY(),"TRONG 5 NĂM","HẾT 5 NĂM"))</x:f>
        <x:v>CẦN NGÀY CẤP</x:v>
      </x:c>
      <x:c r="N105" t="str">
        <x:v>Cross-check chính thức SYT TP.HCM – chưa đối chiếu hồ sơ DAV gốc</x:v>
      </x:c>
      <x:c r="O105" t="str">
        <x:v>https://tracuu.medinet.org.vn/category/cosodulieukhac/quangcao-mypham</x:v>
      </x:c>
      <x:c r="P105" t="str">
        <x:v>Import verified number.</x:v>
      </x:c>
      <x:c r="Q105" t="str">
        <x:v>A++</x:v>
      </x:c>
    </x:row>
    <x:row r="106">
      <x:c r="A106" t="str">
        <x:v>ACT-00105</x:v>
      </x:c>
      <x:c r="B106" t="str">
        <x:v>NHẬP KHẨU</x:v>
      </x:c>
      <x:c r="C106" t="n">
        <x:v>2023</x:v>
      </x:c>
      <x:c r="D106" s="330"/>
      <x:c r="E106" s="330" t="str">
        <x:f>IF(D106="","",DATE(YEAR(D106)+5,MONTH(D106),DAY(D106)))</x:f>
      </x:c>
      <x:c r="F106" t="str">
        <x:v>216141/23/CBMP-QLD</x:v>
      </x:c>
      <x:c r="G106" t="str">
        <x:v>CÔNG TY TNHH MINTHACARE</x:v>
      </x:c>
      <x:c r="H106" t="str">
        <x:v>NUXE HUILE PRODIGIEUSE FLORALE MULTI-PURPOSE DRY OIL</x:v>
      </x:c>
      <x:c r="I106" t="str">
        <x:v>NUXE</x:v>
      </x:c>
      <x:c r="J106"/>
      <x:c r="K106" t="str">
        <x:v>Cục QLD / Toàn quốc</x:v>
      </x:c>
      <x:c r="L106" t="str">
        <x:v>Chưa đối chiếu thu hồi</x:v>
      </x:c>
      <x:c r="M106" t="str">
        <x:f>IF(D106="","CẦN NGÀY CẤP",IF(E106&gt;=TODAY(),"TRONG 5 NĂM","HẾT 5 NĂM"))</x:f>
        <x:v>CẦN NGÀY CẤP</x:v>
      </x:c>
      <x:c r="N106" t="str">
        <x:v>Cross-check chính thức SYT TP.HCM – chưa đối chiếu hồ sơ DAV gốc</x:v>
      </x:c>
      <x:c r="O106" t="str">
        <x:v>https://tracuu.medinet.org.vn/category/cosodulieukhac/quangcao-mypham</x:v>
      </x:c>
      <x:c r="P106" t="str">
        <x:v>Import verified number.</x:v>
      </x:c>
      <x:c r="Q106" t="str">
        <x:v>A++</x:v>
      </x:c>
    </x:row>
    <x:row r="107">
      <x:c r="A107" t="str">
        <x:v>ACT-00106</x:v>
      </x:c>
      <x:c r="B107" t="str">
        <x:v>NỘI ĐỊA</x:v>
      </x:c>
      <x:c r="C107" t="n">
        <x:v>2023</x:v>
      </x:c>
      <x:c r="D107" s="330"/>
      <x:c r="E107" s="330" t="str">
        <x:f>IF(D107="","",DATE(YEAR(D107)+5,MONTH(D107),DAY(D107)))</x:f>
      </x:c>
      <x:c r="F107" t="str">
        <x:v>001454/23/CBMP-HCM</x:v>
      </x:c>
      <x:c r="G107" t="str">
        <x:v>Công ty TNHH MTV sản xuất dược - mỹ phẩm GAMMA</x:v>
      </x:c>
      <x:c r="H107" t="str">
        <x:v>Adaphil Gentle Skin Cleanser</x:v>
      </x:c>
      <x:c r="I107" t="str">
        <x:v>Adaphil</x:v>
      </x:c>
      <x:c r="J107" t="str">
        <x:v>Công ty TNHH MTV sản xuất dược - mỹ phẩm GAMMA</x:v>
      </x:c>
      <x:c r="K107" t="str">
        <x:v>TP. Hồ Chí Minh</x:v>
      </x:c>
      <x:c r="L107" t="str">
        <x:v>Đình chỉ lưu hành, thu hồi</x:v>
      </x:c>
      <x:c r="M107" t="str">
        <x:f>IF(D107="","CẦN NGÀY CẤP",IF(E107&gt;=TODAY(),"TRONG 5 NĂM","HẾT 5 NĂM"))</x:f>
        <x:v>CẦN NGÀY CẤP</x:v>
      </x:c>
      <x:c r="N107" t="str">
        <x:v>Nguồn chính thức – Sở Y tế Bà Rịa–Vũng Tàu</x:v>
      </x:c>
      <x:c r="O107" t="str">
        <x:v>https://soyte.baria-vungtau.gov.vn/Dinh-chi-luu-hanh-thu-hoi-nhieu-my-pham-khong-dat-tieu-chuan-chat-luong-2-3-4-123.html</x:v>
      </x:c>
      <x:c r="P107" t="str">
        <x:v>Không có bằng chứng thu hồi số tiếp nhận trong dữ liệu hiện có.</x:v>
      </x:c>
      <x:c r="Q107" t="str">
        <x:v>A++</x:v>
      </x:c>
    </x:row>
    <x:row r="108">
      <x:c r="A108" t="str">
        <x:v>ACT-00107</x:v>
      </x:c>
      <x:c r="B108" t="str">
        <x:v>NỘI ĐỊA</x:v>
      </x:c>
      <x:c r="C108" t="n">
        <x:v>2023</x:v>
      </x:c>
      <x:c r="D108" s="330"/>
      <x:c r="E108" s="330" t="str">
        <x:f>IF(D108="","",DATE(YEAR(D108)+5,MONTH(D108),DAY(D108)))</x:f>
      </x:c>
      <x:c r="F108" t="str">
        <x:v>015/23/CBMP-BD</x:v>
      </x:c>
      <x:c r="G108" t="str">
        <x:v>CÔNG TY TNHH ROHTO-MENTHOLATUM (VIỆT NAM)</x:v>
      </x:c>
      <x:c r="H108" t="str">
        <x:v>ACNES CREAMY WASH</x:v>
      </x:c>
      <x:c r="I108" t="str">
        <x:v>ACNES</x:v>
      </x:c>
      <x:c r="J108"/>
      <x:c r="K108" t="str">
        <x:v>TP. Hồ Chí Minh</x:v>
      </x:c>
      <x:c r="L108" t="str">
        <x:v>Chưa đối chiếu thu hồi</x:v>
      </x:c>
      <x:c r="M108" t="str">
        <x:f>IF(D108="","CẦN NGÀY CẤP",IF(E108&gt;=TODAY(),"TRONG 5 NĂM","HẾT 5 NĂM"))</x:f>
        <x:v>CẦN NGÀY CẤP</x:v>
      </x:c>
      <x:c r="N108" t="str">
        <x:v>Nguồn chính thức Sở Y tế TP.HCM – cross-check số công bố</x:v>
      </x:c>
      <x:c r="O108" t="str">
        <x:v>https://tracuu.medinet.org.vn/category/cosodulieukhac/quangcao-mypham</x:v>
      </x:c>
      <x:c r="P108" t="str">
        <x:v>Không có bằng chứng thu hồi số tiếp nhận trong dữ liệu hiện có.</x:v>
      </x:c>
      <x:c r="Q108" t="str">
        <x:v>A++</x:v>
      </x:c>
    </x:row>
    <x:row r="109">
      <x:c r="A109" t="str">
        <x:v>ACT-00108</x:v>
      </x:c>
      <x:c r="B109" t="str">
        <x:v>NỘI ĐỊA</x:v>
      </x:c>
      <x:c r="C109" t="n">
        <x:v>2023</x:v>
      </x:c>
      <x:c r="D109" s="330"/>
      <x:c r="E109" s="330" t="str">
        <x:f>IF(D109="","",DATE(YEAR(D109)+5,MONTH(D109),DAY(D109)))</x:f>
      </x:c>
      <x:c r="F109" t="str">
        <x:v>017/23/CBMP-BD</x:v>
      </x:c>
      <x:c r="G109" t="str">
        <x:v>CÔNG TY TNHH ROHTO-MENTHOLATUM (VIỆT NAM)</x:v>
      </x:c>
      <x:c r="H109" t="str">
        <x:v>SELSUN ANTI-DANDRUFF SHAMPOO WITH SELENIUM SULFIDE</x:v>
      </x:c>
      <x:c r="I109" t="str">
        <x:v>SELSUN</x:v>
      </x:c>
      <x:c r="J109"/>
      <x:c r="K109" t="str">
        <x:v>TP. Hồ Chí Minh</x:v>
      </x:c>
      <x:c r="L109" t="str">
        <x:v>Chưa đối chiếu thu hồi</x:v>
      </x:c>
      <x:c r="M109" t="str">
        <x:f>IF(D109="","CẦN NGÀY CẤP",IF(E109&gt;=TODAY(),"TRONG 5 NĂM","HẾT 5 NĂM"))</x:f>
        <x:v>CẦN NGÀY CẤP</x:v>
      </x:c>
      <x:c r="N109" t="str">
        <x:v>Nguồn chính thức Sở Y tế TP.HCM – cross-check số công bố</x:v>
      </x:c>
      <x:c r="O109" t="str">
        <x:v>https://tracuu.medinet.org.vn/category/cosodulieukhac/quangcao-mypham</x:v>
      </x:c>
      <x:c r="P109" t="str">
        <x:v>Không có bằng chứng thu hồi số tiếp nhận trong dữ liệu hiện có.</x:v>
      </x:c>
      <x:c r="Q109" t="str">
        <x:v>A++</x:v>
      </x:c>
    </x:row>
    <x:row r="110">
      <x:c r="A110" t="str">
        <x:v>ACT-00109</x:v>
      </x:c>
      <x:c r="B110" t="str">
        <x:v>NỘI ĐỊA</x:v>
      </x:c>
      <x:c r="C110" t="n">
        <x:v>2023</x:v>
      </x:c>
      <x:c r="D110" s="330"/>
      <x:c r="E110" s="330" t="str">
        <x:f>IF(D110="","",DATE(YEAR(D110)+5,MONTH(D110),DAY(D110)))</x:f>
      </x:c>
      <x:c r="F110" t="str">
        <x:v>020/23/CBMP-BD</x:v>
      </x:c>
      <x:c r="G110" t="str">
        <x:v>CÔNG TY TNHH ROHTO-MENTHOLATUM (VIỆT NAM)</x:v>
      </x:c>
      <x:c r="H110" t="str">
        <x:v>SUNPLAY SKIN AQUA CLEAR WHITE</x:v>
      </x:c>
      <x:c r="I110" t="str">
        <x:v>SUNPLAY</x:v>
      </x:c>
      <x:c r="J110"/>
      <x:c r="K110" t="str">
        <x:v>TP. Hồ Chí Minh</x:v>
      </x:c>
      <x:c r="L110" t="str">
        <x:v>Chưa đối chiếu thu hồi</x:v>
      </x:c>
      <x:c r="M110" t="str">
        <x:f>IF(D110="","CẦN NGÀY CẤP",IF(E110&gt;=TODAY(),"TRONG 5 NĂM","HẾT 5 NĂM"))</x:f>
        <x:v>CẦN NGÀY CẤP</x:v>
      </x:c>
      <x:c r="N110" t="str">
        <x:v>Nguồn chính thức Sở Y tế TP.HCM – cross-check số công bố</x:v>
      </x:c>
      <x:c r="O110" t="str">
        <x:v>https://tracuu.medinet.org.vn/category/cosodulieukhac/quangcao-mypham</x:v>
      </x:c>
      <x:c r="P110" t="str">
        <x:v>Không có bằng chứng thu hồi số tiếp nhận trong dữ liệu hiện có.</x:v>
      </x:c>
      <x:c r="Q110" t="str">
        <x:v>A++</x:v>
      </x:c>
    </x:row>
    <x:row r="111">
      <x:c r="A111" t="str">
        <x:v>ACT-00110</x:v>
      </x:c>
      <x:c r="B111" t="str">
        <x:v>NỘI ĐỊA</x:v>
      </x:c>
      <x:c r="C111" t="n">
        <x:v>2023</x:v>
      </x:c>
      <x:c r="D111" s="330"/>
      <x:c r="E111" s="330" t="str">
        <x:f>IF(D111="","",DATE(YEAR(D111)+5,MONTH(D111),DAY(D111)))</x:f>
      </x:c>
      <x:c r="F111" t="str">
        <x:v>098/23/CBMP-BD</x:v>
      </x:c>
      <x:c r="G111" t="str">
        <x:v>CÔNG TY TNHH ROHTO-MENTHOLATUM (VIỆT NAM)</x:v>
      </x:c>
      <x:c r="H111" t="str">
        <x:v>50 MEGUMI HAIR FALL CONTROL SHAMPOO</x:v>
      </x:c>
      <x:c r="I111" t="str">
        <x:v>50 MEGUMI</x:v>
      </x:c>
      <x:c r="J111"/>
      <x:c r="K111" t="str">
        <x:v>TP. Hồ Chí Minh</x:v>
      </x:c>
      <x:c r="L111" t="str">
        <x:v>Chưa đối chiếu thu hồi</x:v>
      </x:c>
      <x:c r="M111" t="str">
        <x:f>IF(D111="","CẦN NGÀY CẤP",IF(E111&gt;=TODAY(),"TRONG 5 NĂM","HẾT 5 NĂM"))</x:f>
        <x:v>CẦN NGÀY CẤP</x:v>
      </x:c>
      <x:c r="N111" t="str">
        <x:v>Nguồn chính thức Sở Y tế TP.HCM – cross-check số công bố</x:v>
      </x:c>
      <x:c r="O111" t="str">
        <x:v>https://tracuu.medinet.org.vn/category/cosodulieukhac/quangcao-mypham</x:v>
      </x:c>
      <x:c r="P111" t="str">
        <x:v>Không có bằng chứng thu hồi số tiếp nhận trong dữ liệu hiện có.</x:v>
      </x:c>
      <x:c r="Q111" t="str">
        <x:v>A++</x:v>
      </x:c>
    </x:row>
    <x:row r="112">
      <x:c r="A112" t="str">
        <x:v>ACT-00111</x:v>
      </x:c>
      <x:c r="B112" t="str">
        <x:v>NỘI ĐỊA</x:v>
      </x:c>
      <x:c r="C112" t="n">
        <x:v>2023</x:v>
      </x:c>
      <x:c r="D112" s="330"/>
      <x:c r="E112" s="330" t="str">
        <x:f>IF(D112="","",DATE(YEAR(D112)+5,MONTH(D112),DAY(D112)))</x:f>
      </x:c>
      <x:c r="F112" t="str">
        <x:v>099/23/CBMP-BD</x:v>
      </x:c>
      <x:c r="G112" t="str">
        <x:v>CÔNG TY TNHH ROHTO-MENTHOLATUM (VIỆT NAM)</x:v>
      </x:c>
      <x:c r="H112" t="str">
        <x:v>50 MEGUMI HAIR FALL CONTROL CONDITIONER</x:v>
      </x:c>
      <x:c r="I112" t="str">
        <x:v>50 MEGUMI</x:v>
      </x:c>
      <x:c r="J112"/>
      <x:c r="K112" t="str">
        <x:v>TP. Hồ Chí Minh</x:v>
      </x:c>
      <x:c r="L112" t="str">
        <x:v>Chưa đối chiếu thu hồi</x:v>
      </x:c>
      <x:c r="M112" t="str">
        <x:f>IF(D112="","CẦN NGÀY CẤP",IF(E112&gt;=TODAY(),"TRONG 5 NĂM","HẾT 5 NĂM"))</x:f>
        <x:v>CẦN NGÀY CẤP</x:v>
      </x:c>
      <x:c r="N112" t="str">
        <x:v>Nguồn chính thức Sở Y tế TP.HCM – cross-check số công bố</x:v>
      </x:c>
      <x:c r="O112" t="str">
        <x:v>https://tracuu.medinet.org.vn/category/cosodulieukhac/quangcao-mypham</x:v>
      </x:c>
      <x:c r="P112" t="str">
        <x:v>Không có bằng chứng thu hồi số tiếp nhận trong dữ liệu hiện có.</x:v>
      </x:c>
      <x:c r="Q112" t="str">
        <x:v>A++</x:v>
      </x:c>
    </x:row>
    <x:row r="113">
      <x:c r="A113" t="str">
        <x:v>ACT-00112</x:v>
      </x:c>
      <x:c r="B113" t="str">
        <x:v>NỘI ĐỊA</x:v>
      </x:c>
      <x:c r="C113" t="n">
        <x:v>2023</x:v>
      </x:c>
      <x:c r="D113" s="330"/>
      <x:c r="E113" s="330" t="str">
        <x:f>IF(D113="","",DATE(YEAR(D113)+5,MONTH(D113),DAY(D113)))</x:f>
      </x:c>
      <x:c r="F113" t="str">
        <x:v>334/23/CBMP-BD</x:v>
      </x:c>
      <x:c r="G113" t="str">
        <x:v>CÔNG TY TNHH ROHTO-MENTHOLATUM (VIỆT NAM)</x:v>
      </x:c>
      <x:c r="H113" t="str">
        <x:v>ACNES CLEAR PATCH</x:v>
      </x:c>
      <x:c r="I113" t="str">
        <x:v>ACNES</x:v>
      </x:c>
      <x:c r="J113"/>
      <x:c r="K113" t="str">
        <x:v>TP. Hồ Chí Minh</x:v>
      </x:c>
      <x:c r="L113" t="str">
        <x:v>Chưa đối chiếu thu hồi</x:v>
      </x:c>
      <x:c r="M113" t="str">
        <x:f>IF(D113="","CẦN NGÀY CẤP",IF(E113&gt;=TODAY(),"TRONG 5 NĂM","HẾT 5 NĂM"))</x:f>
        <x:v>CẦN NGÀY CẤP</x:v>
      </x:c>
      <x:c r="N113" t="str">
        <x:v>Nguồn chính thức Sở Y tế TP.HCM – cross-check số công bố</x:v>
      </x:c>
      <x:c r="O113" t="str">
        <x:v>https://tracuu.medinet.org.vn/category/cosodulieukhac/quangcao-mypham</x:v>
      </x:c>
      <x:c r="P113" t="str">
        <x:v>Không có bằng chứng thu hồi số tiếp nhận trong dữ liệu hiện có.</x:v>
      </x:c>
      <x:c r="Q113" t="str">
        <x:v>A++</x:v>
      </x:c>
    </x:row>
    <x:row r="114">
      <x:c r="A114" t="str">
        <x:v>ACT-00113</x:v>
      </x:c>
      <x:c r="B114" t="str">
        <x:v>NỘI ĐỊA</x:v>
      </x:c>
      <x:c r="C114" t="n">
        <x:v>2023</x:v>
      </x:c>
      <x:c r="D114" s="330"/>
      <x:c r="E114" s="330" t="str">
        <x:f>IF(D114="","",DATE(YEAR(D114)+5,MONTH(D114),DAY(D114)))</x:f>
      </x:c>
      <x:c r="F114" t="str">
        <x:v>610/23/CBMP-BD</x:v>
      </x:c>
      <x:c r="G114" t="str">
        <x:v>CÔNG TY TNHH ROHTO-MENTHOLATUM (VIỆT NAM)</x:v>
      </x:c>
      <x:c r="H114" t="str">
        <x:v>ACNES LAB ACNE REPAIR CREAM</x:v>
      </x:c>
      <x:c r="I114" t="str">
        <x:v>ACNES</x:v>
      </x:c>
      <x:c r="J114"/>
      <x:c r="K114" t="str">
        <x:v>TP. Hồ Chí Minh</x:v>
      </x:c>
      <x:c r="L114" t="str">
        <x:v>Chưa đối chiếu thu hồi</x:v>
      </x:c>
      <x:c r="M114" t="str">
        <x:f>IF(D114="","CẦN NGÀY CẤP",IF(E114&gt;=TODAY(),"TRONG 5 NĂM","HẾT 5 NĂM"))</x:f>
        <x:v>CẦN NGÀY CẤP</x:v>
      </x:c>
      <x:c r="N114" t="str">
        <x:v>Nguồn chính thức Sở Y tế TP.HCM – cross-check số công bố</x:v>
      </x:c>
      <x:c r="O114" t="str">
        <x:v>https://tracuu.medinet.org.vn/category/cosodulieukhac/quangcao-mypham</x:v>
      </x:c>
      <x:c r="P114" t="str">
        <x:v>Không có bằng chứng thu hồi số tiếp nhận trong dữ liệu hiện có.</x:v>
      </x:c>
      <x:c r="Q114" t="str">
        <x:v>A++</x:v>
      </x:c>
    </x:row>
    <x:row r="115">
      <x:c r="A115" t="str">
        <x:v>ACT-00114</x:v>
      </x:c>
      <x:c r="B115" t="str">
        <x:v>NỘI ĐỊA</x:v>
      </x:c>
      <x:c r="C115" t="n">
        <x:v>2023</x:v>
      </x:c>
      <x:c r="D115" s="330" t="n">
        <x:v>45013</x:v>
      </x:c>
      <x:c r="E115" s="330" t="n">
        <x:f>IF(D115="","",DATE(YEAR(D115)+5,MONTH(D115),DAY(D115)))</x:f>
        <x:v>46840</x:v>
      </x:c>
      <x:c r="F115" t="str">
        <x:v>001011/23/CBMP-HCM</x:v>
      </x:c>
      <x:c r="G115" t="str">
        <x:v>Công ty TNHH sản xuất và thương mại mỹ phẩm Đăng Dương</x:v>
      </x:c>
      <x:c r="H115" t="str">
        <x:v>Kem dưỡng trắng giúp ngừa lão hóa da</x:v>
      </x:c>
      <x:c r="I115"/>
      <x:c r="J115" t="str">
        <x:v>Chi nhánh - Công ty TNHH sản xuất và thương mại mỹ phẩm Đăng Dương</x:v>
      </x:c>
      <x:c r="K115" t="str">
        <x:v>TP. Hồ Chí Minh</x:v>
      </x:c>
      <x:c r="L115" t="str">
        <x:v>Đình chỉ/thu hồi toàn bộ sản phẩm (2025)</x:v>
      </x:c>
      <x:c r="M115" t="str">
        <x:f>IF(D115="","CẦN NGÀY CẤP",IF(E115&gt;=TODAY(),"TRONG 5 NĂM","HẾT 5 NĂM"))</x:f>
        <x:v>TRONG 5 NĂM</x:v>
      </x:c>
      <x:c r="N115" t="str">
        <x:v>Nguồn chính quyền địa phương dẫn Văn bản Sở Y tế; có số CBMP, ngày cấp, company, manufacturer</x:v>
      </x:c>
      <x:c r="O115" t="str">
        <x:v>https://songray.dongnai.gov.vn/vi/news/canh-bao/dinh-chi-luu-hanh-thu-hoi-tren-toan-quoc-doi-voi-05-san-pham-cua-cong-ty-tnhh-san-xuat-va-thuong-mai-my-pham-dang-duong-120.html</x:v>
      </x:c>
      <x:c r="P115" t="str">
        <x:v>Không có bằng chứng thu hồi số tiếp nhận trong dữ liệu hiện có.</x:v>
      </x:c>
      <x:c r="Q115" t="str">
        <x:v>A++</x:v>
      </x:c>
    </x:row>
    <x:row r="116">
      <x:c r="A116" t="str">
        <x:v>ACT-00115</x:v>
      </x:c>
      <x:c r="B116" t="str">
        <x:v>NỘI ĐỊA</x:v>
      </x:c>
      <x:c r="C116" t="n">
        <x:v>2023</x:v>
      </x:c>
      <x:c r="D116" s="330" t="n">
        <x:v>45013</x:v>
      </x:c>
      <x:c r="E116" s="330" t="n">
        <x:f>IF(D116="","",DATE(YEAR(D116)+5,MONTH(D116),DAY(D116)))</x:f>
        <x:v>46840</x:v>
      </x:c>
      <x:c r="F116" t="str">
        <x:v>001047/23/CBMP-HCM</x:v>
      </x:c>
      <x:c r="G116" t="str">
        <x:v>Công ty TNHH sản xuất và thương mại mỹ phẩm Đăng Dương</x:v>
      </x:c>
      <x:c r="H116" t="str">
        <x:v>Kem dưỡng trắng giúp phục hồi da</x:v>
      </x:c>
      <x:c r="I116"/>
      <x:c r="J116" t="str">
        <x:v>Chi nhánh - Công ty TNHH sản xuất và thương mại mỹ phẩm Đăng Dương</x:v>
      </x:c>
      <x:c r="K116" t="str">
        <x:v>TP. Hồ Chí Minh</x:v>
      </x:c>
      <x:c r="L116" t="str">
        <x:v>Đình chỉ/thu hồi toàn bộ sản phẩm (2025)</x:v>
      </x:c>
      <x:c r="M116" t="str">
        <x:f>IF(D116="","CẦN NGÀY CẤP",IF(E116&gt;=TODAY(),"TRONG 5 NĂM","HẾT 5 NĂM"))</x:f>
        <x:v>TRONG 5 NĂM</x:v>
      </x:c>
      <x:c r="N116" t="str">
        <x:v>Nguồn chính quyền địa phương dẫn Văn bản Sở Y tế; có số CBMP, ngày cấp, company, manufacturer</x:v>
      </x:c>
      <x:c r="O116" t="str">
        <x:v>https://songray.dongnai.gov.vn/vi/news/canh-bao/dinh-chi-luu-hanh-thu-hoi-tren-toan-quoc-doi-voi-05-san-pham-cua-cong-ty-tnhh-san-xuat-va-thuong-mai-my-pham-dang-duong-120.html</x:v>
      </x:c>
      <x:c r="P116" t="str">
        <x:v>Không có bằng chứng thu hồi số tiếp nhận trong dữ liệu hiện có.</x:v>
      </x:c>
      <x:c r="Q116" t="str">
        <x:v>A++</x:v>
      </x:c>
    </x:row>
    <x:row r="117">
      <x:c r="A117" t="str">
        <x:v>ACT-00116</x:v>
      </x:c>
      <x:c r="B117" t="str">
        <x:v>NỘI ĐỊA</x:v>
      </x:c>
      <x:c r="C117" t="n">
        <x:v>2023</x:v>
      </x:c>
      <x:c r="D117" s="330" t="n">
        <x:v>45013</x:v>
      </x:c>
      <x:c r="E117" s="330" t="n">
        <x:f>IF(D117="","",DATE(YEAR(D117)+5,MONTH(D117),DAY(D117)))</x:f>
        <x:v>46840</x:v>
      </x:c>
      <x:c r="F117" t="str">
        <x:v>001048/23/CBMP-HCM</x:v>
      </x:c>
      <x:c r="G117" t="str">
        <x:v>Công ty TNHH sản xuất và thương mại mỹ phẩm Đăng Dương</x:v>
      </x:c>
      <x:c r="H117" t="str">
        <x:v>Kem dưỡng trắng giúp tái tạo da</x:v>
      </x:c>
      <x:c r="I117"/>
      <x:c r="J117" t="str">
        <x:v>Chi nhánh - Công ty TNHH sản xuất và thương mại mỹ phẩm Đăng Dương</x:v>
      </x:c>
      <x:c r="K117" t="str">
        <x:v>TP. Hồ Chí Minh</x:v>
      </x:c>
      <x:c r="L117" t="str">
        <x:v>Đình chỉ/thu hồi toàn bộ sản phẩm (2025)</x:v>
      </x:c>
      <x:c r="M117" t="str">
        <x:f>IF(D117="","CẦN NGÀY CẤP",IF(E117&gt;=TODAY(),"TRONG 5 NĂM","HẾT 5 NĂM"))</x:f>
        <x:v>TRONG 5 NĂM</x:v>
      </x:c>
      <x:c r="N117" t="str">
        <x:v>Nguồn chính quyền địa phương dẫn Văn bản Sở Y tế; có số CBMP, ngày cấp, company, manufacturer</x:v>
      </x:c>
      <x:c r="O117" t="str">
        <x:v>https://songray.dongnai.gov.vn/vi/news/canh-bao/dinh-chi-luu-hanh-thu-hoi-tren-toan-quoc-doi-voi-05-san-pham-cua-cong-ty-tnhh-san-xuat-va-thuong-mai-my-pham-dang-duong-120.html</x:v>
      </x:c>
      <x:c r="P117" t="str">
        <x:v>Không có bằng chứng thu hồi số tiếp nhận trong dữ liệu hiện có.</x:v>
      </x:c>
      <x:c r="Q117" t="str">
        <x:v>A++</x:v>
      </x:c>
    </x:row>
    <x:row r="118">
      <x:c r="A118" t="str">
        <x:v>ACT-00117</x:v>
      </x:c>
      <x:c r="B118" t="str">
        <x:v>NỘI ĐỊA</x:v>
      </x:c>
      <x:c r="C118" t="n">
        <x:v>2023</x:v>
      </x:c>
      <x:c r="D118" s="330" t="n">
        <x:v>45013</x:v>
      </x:c>
      <x:c r="E118" s="330" t="n">
        <x:f>IF(D118="","",DATE(YEAR(D118)+5,MONTH(D118),DAY(D118)))</x:f>
        <x:v>46840</x:v>
      </x:c>
      <x:c r="F118" t="str">
        <x:v>001053/23/CBMP-HCM</x:v>
      </x:c>
      <x:c r="G118" t="str">
        <x:v>Công ty TNHH sản xuất và thương mại mỹ phẩm Đăng Dương</x:v>
      </x:c>
      <x:c r="H118" t="str">
        <x:v>Kem ngừa nám cao cấp</x:v>
      </x:c>
      <x:c r="I118"/>
      <x:c r="J118" t="str">
        <x:v>Chi nhánh - Công ty TNHH sản xuất và thương mại mỹ phẩm Đăng Dương</x:v>
      </x:c>
      <x:c r="K118" t="str">
        <x:v>TP. Hồ Chí Minh</x:v>
      </x:c>
      <x:c r="L118" t="str">
        <x:v>Đình chỉ/thu hồi toàn bộ sản phẩm (2025)</x:v>
      </x:c>
      <x:c r="M118" t="str">
        <x:f>IF(D118="","CẦN NGÀY CẤP",IF(E118&gt;=TODAY(),"TRONG 5 NĂM","HẾT 5 NĂM"))</x:f>
        <x:v>TRONG 5 NĂM</x:v>
      </x:c>
      <x:c r="N118" t="str">
        <x:v>Nguồn chính quyền địa phương dẫn Văn bản Sở Y tế; có số CBMP, ngày cấp, company, manufacturer</x:v>
      </x:c>
      <x:c r="O118" t="str">
        <x:v>https://songray.dongnai.gov.vn/vi/news/canh-bao/dinh-chi-luu-hanh-thu-hoi-tren-toan-quoc-doi-voi-05-san-pham-cua-cong-ty-tnhh-san-xuat-va-thuong-mai-my-pham-dang-duong-120.html</x:v>
      </x:c>
      <x:c r="P118" t="str">
        <x:v>Không có bằng chứng thu hồi số tiếp nhận trong dữ liệu hiện có.</x:v>
      </x:c>
      <x:c r="Q118" t="str">
        <x:v>A++</x:v>
      </x:c>
    </x:row>
    <x:row r="119">
      <x:c r="A119" t="str">
        <x:v>ACT-00118</x:v>
      </x:c>
      <x:c r="B119" t="str">
        <x:v>NỘI ĐỊA</x:v>
      </x:c>
      <x:c r="C119" t="n">
        <x:v>2023</x:v>
      </x:c>
      <x:c r="D119" s="330" t="n">
        <x:v>45042</x:v>
      </x:c>
      <x:c r="E119" s="330" t="n">
        <x:f>IF(D119="","",DATE(YEAR(D119)+5,MONTH(D119),DAY(D119)))</x:f>
        <x:v>46869</x:v>
      </x:c>
      <x:c r="F119" t="str">
        <x:v>001680/23/CBMP-HCM</x:v>
      </x:c>
      <x:c r="G119" t="str">
        <x:v>Công ty TNHH sản xuất và thương mại mỹ phẩm Đăng Dương</x:v>
      </x:c>
      <x:c r="H119" t="str">
        <x:v>Kem nám tàn nhang đồi mồi</x:v>
      </x:c>
      <x:c r="I119"/>
      <x:c r="J119" t="str">
        <x:v>Chi nhánh - Công ty TNHH sản xuất và thương mại mỹ phẩm Đăng Dương</x:v>
      </x:c>
      <x:c r="K119" t="str">
        <x:v>TP. Hồ Chí Minh</x:v>
      </x:c>
      <x:c r="L119" t="str">
        <x:v>Đình chỉ/thu hồi toàn bộ sản phẩm (2025)</x:v>
      </x:c>
      <x:c r="M119" t="str">
        <x:f>IF(D119="","CẦN NGÀY CẤP",IF(E119&gt;=TODAY(),"TRONG 5 NĂM","HẾT 5 NĂM"))</x:f>
        <x:v>TRONG 5 NĂM</x:v>
      </x:c>
      <x:c r="N119" t="str">
        <x:v>Nguồn chính quyền địa phương dẫn Văn bản Sở Y tế; có số CBMP, ngày cấp, company, manufacturer</x:v>
      </x:c>
      <x:c r="O119" t="str">
        <x:v>https://songray.dongnai.gov.vn/vi/news/canh-bao/dinh-chi-luu-hanh-thu-hoi-tren-toan-quoc-doi-voi-05-san-pham-cua-cong-ty-tnhh-san-xuat-va-thuong-mai-my-pham-dang-duong-120.html</x:v>
      </x:c>
      <x:c r="P119" t="str">
        <x:v>Không có bằng chứng thu hồi số tiếp nhận trong dữ liệu hiện có.</x:v>
      </x:c>
      <x:c r="Q119" t="str">
        <x:v>A++</x:v>
      </x:c>
    </x:row>
    <x:row r="120">
      <x:c r="A120" t="str">
        <x:v>ACT-00119</x:v>
      </x:c>
      <x:c r="B120" t="str">
        <x:v>NỘI ĐỊA</x:v>
      </x:c>
      <x:c r="C120" t="n">
        <x:v>2022</x:v>
      </x:c>
      <x:c r="D120" s="330"/>
      <x:c r="E120" s="330" t="str">
        <x:f>IF(D120="","",DATE(YEAR(D120)+5,MONTH(D120),DAY(D120)))</x:f>
      </x:c>
      <x:c r="F120" t="str">
        <x:v>2083/22/CBMP-HCM</x:v>
      </x:c>
      <x:c r="G120" t="str">
        <x:v>Công ty cổ phần Ellie</x:v>
      </x:c>
      <x:c r="H120" t="str">
        <x:v>Nước súc miệng Lesgo trẻ em</x:v>
      </x:c>
      <x:c r="I120"/>
      <x:c r="J120" t="str">
        <x:v>Công ty cổ phần Ellie</x:v>
      </x:c>
      <x:c r="K120" t="str">
        <x:v>TP. Hồ Chí Minh</x:v>
      </x:c>
      <x:c r="L120" t="str">
        <x:v>Đình chỉ/thu hồi lô (2025)</x:v>
      </x:c>
      <x:c r="M120" t="str">
        <x:f>IF(D120="","CẦN NGÀY CẤP",IF(E120&gt;=TODAY(),"TRONG 5 NĂM","HẾT 5 NĂM"))</x:f>
        <x:v>CẦN NGÀY CẤP</x:v>
      </x:c>
      <x:c r="N120" t="str">
        <x:v>Cổng chính quyền Đắk Lắk công khai số CBMP + company + manufacturer; source literal ghi 2083/22/CBMPHCM</x:v>
      </x:c>
      <x:c r="O120" t="str">
        <x:v>https://thanhnhat.daklak.gov.vn/cuc-quan-ly-duoc-bo-y-te-thong-bao-dinh-chi-luu-hanh-thu-hoi-va-tieu-huy-my-pham-khong-dat-chat-luong-2420-2400-2399-2308-11212.html</x:v>
      </x:c>
      <x:c r="P120" t="str">
        <x:v>Không có bằng chứng thu hồi số tiếp nhận trong dữ liệu hiện có.</x:v>
      </x:c>
      <x:c r="Q120" t="str">
        <x:v>A++</x:v>
      </x:c>
    </x:row>
    <x:row r="121">
      <x:c r="A121" t="str">
        <x:v>ACT-00120</x:v>
      </x:c>
      <x:c r="B121" t="str">
        <x:v>NỘI ĐỊA</x:v>
      </x:c>
      <x:c r="C121" t="n">
        <x:v>2022</x:v>
      </x:c>
      <x:c r="D121" s="330"/>
      <x:c r="E121" s="330" t="str">
        <x:f>IF(D121="","",DATE(YEAR(D121)+5,MONTH(D121),DAY(D121)))</x:f>
      </x:c>
      <x:c r="F121" t="str">
        <x:v>003402/22/CBMP-HCM</x:v>
      </x:c>
      <x:c r="G121" t="str">
        <x:v>Công ty cổ phần mỹ phẩm Long Phụng Khang</x:v>
      </x:c>
      <x:c r="H121" t="str">
        <x:v>Kem trắng da, ngừa mụn, mờ vết thâm LYNSHAO</x:v>
      </x:c>
      <x:c r="I121" t="str">
        <x:v>LYNSHAO</x:v>
      </x:c>
      <x:c r="J121" t="str">
        <x:v>Công ty cổ phần mỹ phẩm Long Phụng Khang</x:v>
      </x:c>
      <x:c r="K121" t="str">
        <x:v>TP. Hồ Chí Minh</x:v>
      </x:c>
      <x:c r="L121" t="str">
        <x:v>Đình chỉ/thu hồi lô (2025)</x:v>
      </x:c>
      <x:c r="M121" t="str">
        <x:f>IF(D121="","CẦN NGÀY CẤP",IF(E121&gt;=TODAY(),"TRONG 5 NĂM","HẾT 5 NĂM"))</x:f>
        <x:v>CẦN NGÀY CẤP</x:v>
      </x:c>
      <x:c r="N121" t="str">
        <x:v>Sở Y tế Hà Nội công khai số CBMP + company</x:v>
      </x:c>
      <x:c r="O121" t="str">
        <x:v>https://soyte.hanoi.gov.vn/duoc-pham-65229/dinh-chi-luu-hanh-thu-hoi-tren-toan-quoc-lo-san-pham-kem-trang-da-ngua-mun-mo-vet-tham-lynshao-2849251228164739661.htm</x:v>
      </x:c>
      <x:c r="P121" t="str">
        <x:v>Không có bằng chứng thu hồi số tiếp nhận trong dữ liệu hiện có.</x:v>
      </x:c>
      <x:c r="Q121" t="str">
        <x:v>A++</x:v>
      </x:c>
    </x:row>
    <x:row r="122">
      <x:c r="A122" t="str">
        <x:v>ACT-00121</x:v>
      </x:c>
      <x:c r="B122" t="str">
        <x:v>NỘI ĐỊA</x:v>
      </x:c>
      <x:c r="C122" t="n">
        <x:v>2022</x:v>
      </x:c>
      <x:c r="D122" s="330"/>
      <x:c r="E122" s="330" t="str">
        <x:f>IF(D122="","",DATE(YEAR(D122)+5,MONTH(D122),DAY(D122)))</x:f>
      </x:c>
      <x:c r="F122" t="str">
        <x:v>000330/22/CBMP-HCM</x:v>
      </x:c>
      <x:c r="G122" t="str">
        <x:v>Công ty cổ phần Nam Đô</x:v>
      </x:c>
      <x:c r="H122" t="str">
        <x:v>Y lang Dầu gội đầu Y lang chí</x:v>
      </x:c>
      <x:c r="I122" t="str">
        <x:v>Y lang</x:v>
      </x:c>
      <x:c r="J122" t="str">
        <x:v>Công ty cổ phần Nam Đô</x:v>
      </x:c>
      <x:c r="K122" t="str">
        <x:v>TP. Hồ Chí Minh</x:v>
      </x:c>
      <x:c r="L122" t="str">
        <x:v>Đình chỉ/thu hồi lô; sản phẩm không được phân loại là mỹ phẩm (2025)</x:v>
      </x:c>
      <x:c r="M122" t="str">
        <x:f>IF(D122="","CẦN NGÀY CẤP",IF(E122&gt;=TODAY(),"TRONG 5 NĂM","HẾT 5 NĂM"))</x:f>
        <x:v>CẦN NGÀY CẤP</x:v>
      </x:c>
      <x:c r="N122" t="str">
        <x:v>Nguồn chính quyền công khai số CBMP + company</x:v>
      </x:c>
      <x:c r="O122" t="str">
        <x:v>https://thanhsen.hatinh.gov.vn/vi/bai-viet/uy-ban-nhan-dan-phuong-thanh-sen-thong-bao-ve-viec-dinh-chi-luu-hanh-thu-hoi-va-tieu-huy-san-pham-vi-pham</x:v>
      </x:c>
      <x:c r="P122" t="str">
        <x:v>Không có bằng chứng thu hồi số tiếp nhận trong dữ liệu hiện có.</x:v>
      </x:c>
      <x:c r="Q122" t="str">
        <x:v>A++</x:v>
      </x:c>
    </x:row>
    <x:row r="123">
      <x:c r="A123" t="str">
        <x:v>ACT-00122</x:v>
      </x:c>
      <x:c r="B123" t="str">
        <x:v>NỘI ĐỊA</x:v>
      </x:c>
      <x:c r="C123" t="n">
        <x:v>2022</x:v>
      </x:c>
      <x:c r="D123" s="330"/>
      <x:c r="E123" s="330" t="str">
        <x:f>IF(D123="","",DATE(YEAR(D123)+5,MONTH(D123),DAY(D123)))</x:f>
      </x:c>
      <x:c r="F123" t="str">
        <x:v>001052/22/CBMP-HCM</x:v>
      </x:c>
      <x:c r="G123" t="str">
        <x:v>Công ty TNHH hóa mỹ phẩm Chi Chi</x:v>
      </x:c>
      <x:c r="H123" t="str">
        <x:v>Kem dưỡng trắng da Young One</x:v>
      </x:c>
      <x:c r="I123" t="str">
        <x:v>Young One</x:v>
      </x:c>
      <x:c r="J123" t="str">
        <x:v>Công ty TNHH hóa mỹ phẩm Chi Chi</x:v>
      </x:c>
      <x:c r="K123" t="str">
        <x:v>TP. Hồ Chí Minh</x:v>
      </x:c>
      <x:c r="L123" t="str">
        <x:v>Đình chỉ/thu hồi lô (2024)</x:v>
      </x:c>
      <x:c r="M123" t="str">
        <x:f>IF(D123="","CẦN NGÀY CẤP",IF(E123&gt;=TODAY(),"TRONG 5 NĂM","HẾT 5 NĂM"))</x:f>
        <x:v>CẦN NGÀY CẤP</x:v>
      </x:c>
      <x:c r="N123" t="str">
        <x:v>Sở Y tế Hà Tĩnh công khai số CBMP + company + manufacturer</x:v>
      </x:c>
      <x:c r="O123" t="str">
        <x:v>https://soyte.hatinh.gov.vn/tin-tuc-su-kien/thong-tin-y-te/duoc-my-pham-trang-thiet-bi-y-te/dinh-chi-luu-hanh-thu-hoi-va-tieu-huy-my-pham-kem-duong-tran.html</x:v>
      </x:c>
      <x:c r="P123" t="str">
        <x:v>Không có bằng chứng thu hồi số tiếp nhận trong dữ liệu hiện có.</x:v>
      </x:c>
      <x:c r="Q123" t="str">
        <x:v>A++</x:v>
      </x:c>
    </x:row>
    <x:row r="124">
      <x:c r="A124" t="str">
        <x:v>ACT-00123</x:v>
      </x:c>
      <x:c r="B124" t="str">
        <x:v>NỘI ĐỊA</x:v>
      </x:c>
      <x:c r="C124" t="n">
        <x:v>2022</x:v>
      </x:c>
      <x:c r="D124" s="330"/>
      <x:c r="E124" s="330" t="str">
        <x:f>IF(D124="","",DATE(YEAR(D124)+5,MONTH(D124),DAY(D124)))</x:f>
      </x:c>
      <x:c r="F124" t="str">
        <x:v>2908/22/CBMP-HCM</x:v>
      </x:c>
      <x:c r="G124" t="str">
        <x:v>Công ty TNHH Lady White</x:v>
      </x:c>
      <x:c r="H124" t="str">
        <x:v>Hà Mộc Anh - Kem Body sữa</x:v>
      </x:c>
      <x:c r="I124" t="str">
        <x:v>Hà Mộc Anh</x:v>
      </x:c>
      <x:c r="J124"/>
      <x:c r="K124" t="str">
        <x:v>TP. Hồ Chí Minh</x:v>
      </x:c>
      <x:c r="L124" t="str">
        <x:v>Chưa đối chiếu</x:v>
      </x:c>
      <x:c r="M124" t="str">
        <x:f>IF(D124="","CẦN NGÀY CẤP",IF(E124&gt;=TODAY(),"TRONG 5 NĂM","HẾT 5 NĂM"))</x:f>
        <x:v>CẦN NGÀY CẤP</x:v>
      </x:c>
      <x:c r="N124" t="str">
        <x:v>Đã xác minh từ chỉ mục MEDINET</x:v>
      </x:c>
      <x:c r="O124" t="str">
        <x:v>https://qldichvuyte.medinet.gov.vn/my-pham/phieu-cong-bo-san-pham-my-pham-ngay-cap-nhat-ngay-03122022-cmobile4606-67040.aspx</x:v>
      </x:c>
      <x:c r="P124" t="str">
        <x:v>Không có bằng chứng thu hồi số tiếp nhận trong dữ liệu hiện có.</x:v>
      </x:c>
      <x:c r="Q124" t="str">
        <x:v>A++</x:v>
      </x:c>
    </x:row>
    <x:row r="125">
      <x:c r="A125" t="str">
        <x:v>ACT-00124</x:v>
      </x:c>
      <x:c r="B125" t="str">
        <x:v>NỘI ĐỊA</x:v>
      </x:c>
      <x:c r="C125" t="n">
        <x:v>2022</x:v>
      </x:c>
      <x:c r="D125" s="330" t="n">
        <x:v>44923</x:v>
      </x:c>
      <x:c r="E125" s="330" t="n">
        <x:f>IF(D125="","",DATE(YEAR(D125)+5,MONTH(D125),DAY(D125)))</x:f>
        <x:v>46749</x:v>
      </x:c>
      <x:c r="F125" t="str">
        <x:v>005294/22/CBMP-HCM</x:v>
      </x:c>
      <x:c r="G125" t="str">
        <x:v>Công ty TNHH MTV sản xuất dược - mỹ phẩm GAMMA</x:v>
      </x:c>
      <x:c r="H125" t="str">
        <x:v>Lucci</x:v>
      </x:c>
      <x:c r="I125"/>
      <x:c r="J125" t="str">
        <x:v>Chi nhánh - Công ty TNHH MTV sản xuất dược - mỹ phẩm GAMMA</x:v>
      </x:c>
      <x:c r="K125" t="str">
        <x:v>TP. Hồ Chí Minh</x:v>
      </x:c>
      <x:c r="L125" t="str">
        <x:v>Đình chỉ/thu hồi toàn bộ sản phẩm (2025)</x:v>
      </x:c>
      <x:c r="M125" t="str">
        <x:f>IF(D125="","CẦN NGÀY CẤP",IF(E125&gt;=TODAY(),"TRONG 5 NĂM","HẾT 5 NĂM"))</x:f>
        <x:v>TRONG 5 NĂM</x:v>
      </x:c>
      <x:c r="N125" t="str">
        <x:v>Sở Y tế Hà Nội công khai số CBMP, ngày cấp, company/manufacturer</x:v>
      </x:c>
      <x:c r="O125" t="str">
        <x:v>https://soyte.hanoi.gov.vn/duoc-pham-65229/dinh-chi-luu-hanh-thu-hoi-doi-voi-9-san-pham-my-pham-vi-pham-2849250925092345442.htm</x:v>
      </x:c>
      <x:c r="P125" t="str">
        <x:v>Không có bằng chứng thu hồi số tiếp nhận trong dữ liệu hiện có.</x:v>
      </x:c>
      <x:c r="Q125" t="str">
        <x:v>A++</x:v>
      </x:c>
    </x:row>
    <x:row r="126">
      <x:c r="A126" t="str">
        <x:v>ACT-00125</x:v>
      </x:c>
      <x:c r="B126" t="str">
        <x:v>NỘI ĐỊA</x:v>
      </x:c>
      <x:c r="C126" t="n">
        <x:v>2022</x:v>
      </x:c>
      <x:c r="D126" s="330"/>
      <x:c r="E126" s="330" t="str">
        <x:f>IF(D126="","",DATE(YEAR(D126)+5,MONTH(D126),DAY(D126)))</x:f>
      </x:c>
      <x:c r="F126" t="str">
        <x:v>004/22/CBMP-BD</x:v>
      </x:c>
      <x:c r="G126" t="str">
        <x:v>CÔNG TY TNHH ROHTO-MENTHOLATUM (VIỆT NAM)</x:v>
      </x:c>
      <x:c r="H126" t="str">
        <x:v>ACNES BLEMISH CLEAR CREAM</x:v>
      </x:c>
      <x:c r="I126" t="str">
        <x:v>ACNES</x:v>
      </x:c>
      <x:c r="J126"/>
      <x:c r="K126" t="str">
        <x:v>TP. Hồ Chí Minh</x:v>
      </x:c>
      <x:c r="L126" t="str">
        <x:v>Chưa đối chiếu thu hồi</x:v>
      </x:c>
      <x:c r="M126" t="str">
        <x:f>IF(D126="","CẦN NGÀY CẤP",IF(E126&gt;=TODAY(),"TRONG 5 NĂM","HẾT 5 NĂM"))</x:f>
        <x:v>CẦN NGÀY CẤP</x:v>
      </x:c>
      <x:c r="N126" t="str">
        <x:v>Nguồn chính thức Sở Y tế TP.HCM – cross-check số công bố</x:v>
      </x:c>
      <x:c r="O126" t="str">
        <x:v>https://tracuu.medinet.org.vn/category/cosodulieukhac/quangcao-mypham</x:v>
      </x:c>
      <x:c r="P126" t="str">
        <x:v>Không có bằng chứng thu hồi số tiếp nhận trong dữ liệu hiện có.</x:v>
      </x:c>
      <x:c r="Q126" t="str">
        <x:v>A++</x:v>
      </x:c>
    </x:row>
    <x:row r="127">
      <x:c r="A127" t="str">
        <x:v>ACT-00126</x:v>
      </x:c>
      <x:c r="B127" t="str">
        <x:v>NỘI ĐỊA</x:v>
      </x:c>
      <x:c r="C127" t="n">
        <x:v>2022</x:v>
      </x:c>
      <x:c r="D127" s="330"/>
      <x:c r="E127" s="330" t="str">
        <x:f>IF(D127="","",DATE(YEAR(D127)+5,MONTH(D127),DAY(D127)))</x:f>
      </x:c>
      <x:c r="F127" t="str">
        <x:v>039/22/CBMP-BD</x:v>
      </x:c>
      <x:c r="G127" t="str">
        <x:v>CÔNG TY TNHH ROHTO-MENTHOLATUM (VIỆT NAM)</x:v>
      </x:c>
      <x:c r="H127" t="str">
        <x:v>ACNES SEALING JELL</x:v>
      </x:c>
      <x:c r="I127" t="str">
        <x:v>ACNES</x:v>
      </x:c>
      <x:c r="J127"/>
      <x:c r="K127" t="str">
        <x:v>TP. Hồ Chí Minh</x:v>
      </x:c>
      <x:c r="L127" t="str">
        <x:v>Chưa đối chiếu thu hồi</x:v>
      </x:c>
      <x:c r="M127" t="str">
        <x:f>IF(D127="","CẦN NGÀY CẤP",IF(E127&gt;=TODAY(),"TRONG 5 NĂM","HẾT 5 NĂM"))</x:f>
        <x:v>CẦN NGÀY CẤP</x:v>
      </x:c>
      <x:c r="N127" t="str">
        <x:v>Nguồn chính thức Sở Y tế TP.HCM – cross-check số công bố</x:v>
      </x:c>
      <x:c r="O127" t="str">
        <x:v>https://tracuu.medinet.org.vn/category/cosodulieukhac/quangcao-mypham</x:v>
      </x:c>
      <x:c r="P127" t="str">
        <x:v>Không có bằng chứng thu hồi số tiếp nhận trong dữ liệu hiện có.</x:v>
      </x:c>
      <x:c r="Q127" t="str">
        <x:v>A++</x:v>
      </x:c>
    </x:row>
    <x:row r="128">
      <x:c r="A128" t="str">
        <x:v>ACT-00127</x:v>
      </x:c>
      <x:c r="B128" t="str">
        <x:v>NỘI ĐỊA</x:v>
      </x:c>
      <x:c r="C128" t="n">
        <x:v>2022</x:v>
      </x:c>
      <x:c r="D128" s="330"/>
      <x:c r="E128" s="330" t="str">
        <x:f>IF(D128="","",DATE(YEAR(D128)+5,MONTH(D128),DAY(D128)))</x:f>
      </x:c>
      <x:c r="F128" t="str">
        <x:v>063/22/CBMP-BD</x:v>
      </x:c>
      <x:c r="G128" t="str">
        <x:v>CÔNG TY TNHH ROHTO-MENTHOLATUM (VIỆT NAM)</x:v>
      </x:c>
      <x:c r="H128" t="str">
        <x:v>ACNES OIL CONTROL CLEANSER</x:v>
      </x:c>
      <x:c r="I128" t="str">
        <x:v>ACNES</x:v>
      </x:c>
      <x:c r="J128"/>
      <x:c r="K128" t="str">
        <x:v>TP. Hồ Chí Minh</x:v>
      </x:c>
      <x:c r="L128" t="str">
        <x:v>Chưa đối chiếu thu hồi</x:v>
      </x:c>
      <x:c r="M128" t="str">
        <x:f>IF(D128="","CẦN NGÀY CẤP",IF(E128&gt;=TODAY(),"TRONG 5 NĂM","HẾT 5 NĂM"))</x:f>
        <x:v>CẦN NGÀY CẤP</x:v>
      </x:c>
      <x:c r="N128" t="str">
        <x:v>Nguồn chính thức Sở Y tế TP.HCM – cross-check số công bố</x:v>
      </x:c>
      <x:c r="O128" t="str">
        <x:v>https://tracuu.medinet.org.vn/category/cosodulieukhac/quangcao-mypham</x:v>
      </x:c>
      <x:c r="P128" t="str">
        <x:v>Không có bằng chứng thu hồi số tiếp nhận trong dữ liệu hiện có.</x:v>
      </x:c>
      <x:c r="Q128" t="str">
        <x:v>A++</x:v>
      </x:c>
    </x:row>
    <x:row r="129">
      <x:c r="A129" t="str">
        <x:v>ACT-00128</x:v>
      </x:c>
      <x:c r="B129" t="str">
        <x:v>NỘI ĐỊA</x:v>
      </x:c>
      <x:c r="C129" t="n">
        <x:v>2022</x:v>
      </x:c>
      <x:c r="D129" s="330"/>
      <x:c r="E129" s="330" t="str">
        <x:f>IF(D129="","",DATE(YEAR(D129)+5,MONTH(D129),DAY(D129)))</x:f>
      </x:c>
      <x:c r="F129" t="str">
        <x:v>417/22/CBMP-BD</x:v>
      </x:c>
      <x:c r="G129" t="str">
        <x:v>CÔNG TY TNHH ROHTO-MENTHOLATUM (VIỆT NAM)</x:v>
      </x:c>
      <x:c r="H129" t="str">
        <x:v>ACNES SCAR CARE</x:v>
      </x:c>
      <x:c r="I129" t="str">
        <x:v>ACNES</x:v>
      </x:c>
      <x:c r="J129"/>
      <x:c r="K129" t="str">
        <x:v>TP. Hồ Chí Minh</x:v>
      </x:c>
      <x:c r="L129" t="str">
        <x:v>Chưa đối chiếu thu hồi</x:v>
      </x:c>
      <x:c r="M129" t="str">
        <x:f>IF(D129="","CẦN NGÀY CẤP",IF(E129&gt;=TODAY(),"TRONG 5 NĂM","HẾT 5 NĂM"))</x:f>
        <x:v>CẦN NGÀY CẤP</x:v>
      </x:c>
      <x:c r="N129" t="str">
        <x:v>Nguồn chính thức Sở Y tế TP.HCM – cross-check số công bố</x:v>
      </x:c>
      <x:c r="O129" t="str">
        <x:v>https://tracuu.medinet.org.vn/category/cosodulieukhac/quangcao-mypham</x:v>
      </x:c>
      <x:c r="P129" t="str">
        <x:v>Không có bằng chứng thu hồi số tiếp nhận trong dữ liệu hiện có.</x:v>
      </x:c>
      <x:c r="Q129" t="str">
        <x:v>A++</x:v>
      </x:c>
    </x:row>
    <x:row r="130">
      <x:c r="A130" t="str">
        <x:v>ACT-00129</x:v>
      </x:c>
      <x:c r="B130" t="str">
        <x:v>NỘI ĐỊA</x:v>
      </x:c>
      <x:c r="C130" t="n">
        <x:v>2022</x:v>
      </x:c>
      <x:c r="D130" s="330"/>
      <x:c r="E130" s="330" t="str">
        <x:f>IF(D130="","",DATE(YEAR(D130)+5,MONTH(D130),DAY(D130)))</x:f>
      </x:c>
      <x:c r="F130" t="str">
        <x:v>475/22/CBMP-BD</x:v>
      </x:c>
      <x:c r="G130" t="str">
        <x:v>CÔNG TY TNHH ROHTO-MENTHOLATUM (VIỆT NAM)</x:v>
      </x:c>
      <x:c r="H130" t="str">
        <x:v>ACNES MICELLAR WATER</x:v>
      </x:c>
      <x:c r="I130" t="str">
        <x:v>ACNES</x:v>
      </x:c>
      <x:c r="J130"/>
      <x:c r="K130" t="str">
        <x:v>TP. Hồ Chí Minh</x:v>
      </x:c>
      <x:c r="L130" t="str">
        <x:v>Chưa đối chiếu thu hồi</x:v>
      </x:c>
      <x:c r="M130" t="str">
        <x:f>IF(D130="","CẦN NGÀY CẤP",IF(E130&gt;=TODAY(),"TRONG 5 NĂM","HẾT 5 NĂM"))</x:f>
        <x:v>CẦN NGÀY CẤP</x:v>
      </x:c>
      <x:c r="N130" t="str">
        <x:v>Nguồn chính thức Sở Y tế TP.HCM – cross-check số công bố</x:v>
      </x:c>
      <x:c r="O130" t="str">
        <x:v>https://tracuu.medinet.org.vn/category/cosodulieukhac/quangcao-mypham</x:v>
      </x:c>
      <x:c r="P130" t="str">
        <x:v>Không có bằng chứng thu hồi số tiếp nhận trong dữ liệu hiện có.</x:v>
      </x:c>
      <x:c r="Q130" t="str">
        <x:v>A++</x:v>
      </x:c>
    </x:row>
    <x:row r="131">
      <x:c r="A131" t="str">
        <x:v>ACT-00130</x:v>
      </x:c>
      <x:c r="B131" t="str">
        <x:v>NỘI ĐỊA</x:v>
      </x:c>
      <x:c r="C131" t="n">
        <x:v>2022</x:v>
      </x:c>
      <x:c r="D131" s="330"/>
      <x:c r="E131" s="330" t="str">
        <x:f>IF(D131="","",DATE(YEAR(D131)+5,MONTH(D131),DAY(D131)))</x:f>
      </x:c>
      <x:c r="F131" t="str">
        <x:v>566/22/CBMP-BD</x:v>
      </x:c>
      <x:c r="G131" t="str">
        <x:v>CÔNG TY TNHH ROHTO-MENTHOLATUM (VIỆT NAM)</x:v>
      </x:c>
      <x:c r="H131" t="str">
        <x:v>ACNES BLEMISH CONTROL SUNSCREEN</x:v>
      </x:c>
      <x:c r="I131" t="str">
        <x:v>ACNES</x:v>
      </x:c>
      <x:c r="J131"/>
      <x:c r="K131" t="str">
        <x:v>TP. Hồ Chí Minh</x:v>
      </x:c>
      <x:c r="L131" t="str">
        <x:v>Chưa đối chiếu thu hồi</x:v>
      </x:c>
      <x:c r="M131" t="str">
        <x:f>IF(D131="","CẦN NGÀY CẤP",IF(E131&gt;=TODAY(),"TRONG 5 NĂM","HẾT 5 NĂM"))</x:f>
        <x:v>CẦN NGÀY CẤP</x:v>
      </x:c>
      <x:c r="N131" t="str">
        <x:v>Nguồn chính thức Sở Y tế TP.HCM – cross-check số công bố</x:v>
      </x:c>
      <x:c r="O131" t="str">
        <x:v>https://tracuu.medinet.org.vn/category/cosodulieukhac/quangcao-mypham</x:v>
      </x:c>
      <x:c r="P131" t="str">
        <x:v>Không có bằng chứng thu hồi số tiếp nhận trong dữ liệu hiện có.</x:v>
      </x:c>
      <x:c r="Q131" t="str">
        <x:v>A++</x:v>
      </x:c>
    </x:row>
    <x:row r="132">
      <x:c r="A132" t="str">
        <x:v>ACT-00131</x:v>
      </x:c>
      <x:c r="B132" t="str">
        <x:v>NỘI ĐỊA</x:v>
      </x:c>
      <x:c r="C132" t="n">
        <x:v>2022</x:v>
      </x:c>
      <x:c r="D132" s="330"/>
      <x:c r="E132" s="330" t="str">
        <x:f>IF(D132="","",DATE(YEAR(D132)+5,MONTH(D132),DAY(D132)))</x:f>
      </x:c>
      <x:c r="F132" t="str">
        <x:v>2936/22/CBMP-HCM</x:v>
      </x:c>
      <x:c r="G132" t="str">
        <x:v>Công ty TNHH Thương mại Dịch vụ Sản xuất Mỹ phẩm Azona</x:v>
      </x:c>
      <x:c r="H132" t="str">
        <x:v>Akzona - Dầu gội Collagen Keratin</x:v>
      </x:c>
      <x:c r="I132" t="str">
        <x:v>Akzona</x:v>
      </x:c>
      <x:c r="J132"/>
      <x:c r="K132" t="str">
        <x:v>TP. Hồ Chí Minh</x:v>
      </x:c>
      <x:c r="L132" t="str">
        <x:v>Chưa đối chiếu</x:v>
      </x:c>
      <x:c r="M132" t="str">
        <x:f>IF(D132="","CẦN NGÀY CẤP",IF(E132&gt;=TODAY(),"TRONG 5 NĂM","HẾT 5 NĂM"))</x:f>
        <x:v>CẦN NGÀY CẤP</x:v>
      </x:c>
      <x:c r="N132" t="str">
        <x:v>Đã xác minh từ chỉ mục MEDINET</x:v>
      </x:c>
      <x:c r="O132" t="str">
        <x:v>https://qldichvuyte.medinet.gov.vn/my-pham/phieu-cong-bo-san-pham-my-pham-ngay-cap-nhat-ngay-03122022-cmobile4606-67040.aspx</x:v>
      </x:c>
      <x:c r="P132" t="str">
        <x:v>Không có bằng chứng thu hồi số tiếp nhận trong dữ liệu hiện có.</x:v>
      </x:c>
      <x:c r="Q132" t="str">
        <x:v>A++</x:v>
      </x:c>
    </x:row>
    <x:row r="133">
      <x:c r="A133"/>
      <x:c r="B133"/>
      <x:c r="C133"/>
      <x:c r="D133" s="330"/>
      <x:c r="E133" s="330"/>
      <x:c r="F133"/>
      <x:c r="G133"/>
      <x:c r="H133"/>
      <x:c r="I133"/>
      <x:c r="J133"/>
      <x:c r="K133"/>
      <x:c r="L133"/>
      <x:c r="M133"/>
      <x:c r="N133"/>
      <x:c r="O133"/>
      <x:c r="P133"/>
      <x:c r="Q133"/>
    </x:row>
    <x:row r="134">
      <x:c r="A134"/>
      <x:c r="B134"/>
      <x:c r="C134"/>
      <x:c r="D134" s="330"/>
      <x:c r="E134" s="330"/>
      <x:c r="F134"/>
      <x:c r="G134"/>
      <x:c r="H134"/>
      <x:c r="I134"/>
      <x:c r="J134"/>
      <x:c r="K134"/>
      <x:c r="L134"/>
      <x:c r="M134"/>
      <x:c r="N134"/>
      <x:c r="O134"/>
      <x:c r="P134"/>
      <x:c r="Q134"/>
    </x:row>
    <x:row r="135">
      <x:c r="A135"/>
      <x:c r="B135"/>
      <x:c r="C135"/>
      <x:c r="D135" s="330"/>
      <x:c r="E135" s="330"/>
      <x:c r="F135"/>
      <x:c r="G135"/>
      <x:c r="H135"/>
      <x:c r="I135"/>
      <x:c r="J135"/>
      <x:c r="K135"/>
      <x:c r="L135"/>
      <x:c r="M135"/>
      <x:c r="N135"/>
      <x:c r="O135"/>
      <x:c r="P135"/>
      <x:c r="Q135"/>
    </x:row>
    <x:row r="136">
      <x:c r="A136"/>
      <x:c r="B136"/>
      <x:c r="C136"/>
      <x:c r="D136" s="330"/>
      <x:c r="E136" s="330"/>
      <x:c r="F136"/>
      <x:c r="G136"/>
      <x:c r="H136"/>
      <x:c r="I136"/>
      <x:c r="J136"/>
      <x:c r="K136"/>
      <x:c r="L136"/>
      <x:c r="M136"/>
      <x:c r="N136"/>
      <x:c r="O136"/>
      <x:c r="P136"/>
      <x:c r="Q136"/>
    </x:row>
    <x:row r="137">
      <x:c r="A137"/>
      <x:c r="B137"/>
      <x:c r="C137"/>
      <x:c r="D137" s="330"/>
      <x:c r="E137" s="330"/>
      <x:c r="F137"/>
      <x:c r="G137"/>
      <x:c r="H137"/>
      <x:c r="I137"/>
      <x:c r="J137"/>
      <x:c r="K137"/>
      <x:c r="L137"/>
      <x:c r="M137"/>
      <x:c r="N137"/>
      <x:c r="O137"/>
      <x:c r="P137"/>
      <x:c r="Q137"/>
    </x:row>
    <x:row r="138">
      <x:c r="A138"/>
      <x:c r="B138"/>
      <x:c r="C138"/>
      <x:c r="D138" s="330"/>
      <x:c r="E138" s="330"/>
      <x:c r="F138"/>
      <x:c r="G138"/>
      <x:c r="H138"/>
      <x:c r="I138"/>
      <x:c r="J138"/>
      <x:c r="K138"/>
      <x:c r="L138"/>
      <x:c r="M138"/>
      <x:c r="N138"/>
      <x:c r="O138"/>
      <x:c r="P138"/>
      <x:c r="Q138"/>
    </x:row>
    <x:row r="139">
      <x:c r="A139"/>
      <x:c r="B139"/>
      <x:c r="C139"/>
      <x:c r="D139" s="330"/>
      <x:c r="E139" s="330"/>
      <x:c r="F139"/>
      <x:c r="G139"/>
      <x:c r="H139"/>
      <x:c r="I139"/>
      <x:c r="J139"/>
      <x:c r="K139"/>
      <x:c r="L139"/>
      <x:c r="M139"/>
      <x:c r="N139"/>
      <x:c r="O139"/>
      <x:c r="P139"/>
      <x:c r="Q139"/>
    </x:row>
    <x:row r="140">
      <x:c r="A140"/>
      <x:c r="B140"/>
      <x:c r="C140"/>
      <x:c r="D140" s="330"/>
      <x:c r="E140" s="330"/>
      <x:c r="F140"/>
      <x:c r="G140"/>
      <x:c r="H140"/>
      <x:c r="I140"/>
      <x:c r="J140"/>
      <x:c r="K140"/>
      <x:c r="L140"/>
      <x:c r="M140"/>
      <x:c r="N140"/>
      <x:c r="O140"/>
      <x:c r="P140"/>
      <x:c r="Q140"/>
    </x:row>
    <x:row r="141">
      <x:c r="A141"/>
      <x:c r="B141"/>
      <x:c r="C141"/>
      <x:c r="D141" s="330"/>
      <x:c r="E141" s="330"/>
      <x:c r="F141"/>
      <x:c r="G141"/>
      <x:c r="H141"/>
      <x:c r="I141"/>
      <x:c r="J141"/>
      <x:c r="K141"/>
      <x:c r="L141"/>
      <x:c r="M141"/>
      <x:c r="N141"/>
      <x:c r="O141"/>
      <x:c r="P141"/>
      <x:c r="Q141"/>
    </x:row>
    <x:row r="142">
      <x:c r="A142"/>
      <x:c r="B142"/>
      <x:c r="C142"/>
      <x:c r="D142" s="330"/>
      <x:c r="E142" s="330"/>
      <x:c r="F142"/>
      <x:c r="G142"/>
      <x:c r="H142"/>
      <x:c r="I142"/>
      <x:c r="J142"/>
      <x:c r="K142"/>
      <x:c r="L142"/>
      <x:c r="M142"/>
      <x:c r="N142"/>
      <x:c r="O142"/>
      <x:c r="P142"/>
      <x:c r="Q142"/>
    </x:row>
    <x:row r="143">
      <x:c r="A143"/>
      <x:c r="B143"/>
      <x:c r="C143"/>
      <x:c r="D143" s="330"/>
      <x:c r="E143" s="330"/>
      <x:c r="F143"/>
      <x:c r="G143"/>
      <x:c r="H143"/>
      <x:c r="I143"/>
      <x:c r="J143"/>
      <x:c r="K143"/>
      <x:c r="L143"/>
      <x:c r="M143"/>
      <x:c r="N143"/>
      <x:c r="O143"/>
      <x:c r="P143"/>
      <x:c r="Q143"/>
    </x:row>
    <x:row r="144">
      <x:c r="A144"/>
      <x:c r="B144"/>
      <x:c r="C144"/>
      <x:c r="D144" s="330"/>
      <x:c r="E144" s="330"/>
      <x:c r="F144"/>
      <x:c r="G144"/>
      <x:c r="H144"/>
      <x:c r="I144"/>
      <x:c r="J144"/>
      <x:c r="K144"/>
      <x:c r="L144"/>
      <x:c r="M144"/>
      <x:c r="N144"/>
      <x:c r="O144"/>
      <x:c r="P144"/>
      <x:c r="Q144"/>
    </x:row>
    <x:row r="145">
      <x:c r="A145"/>
      <x:c r="B145"/>
      <x:c r="C145"/>
      <x:c r="D145" s="330"/>
      <x:c r="E145" s="330"/>
      <x:c r="F145"/>
      <x:c r="G145"/>
      <x:c r="H145"/>
      <x:c r="I145"/>
      <x:c r="J145"/>
      <x:c r="K145"/>
      <x:c r="L145"/>
      <x:c r="M145"/>
      <x:c r="N145"/>
      <x:c r="O145"/>
      <x:c r="P145"/>
      <x:c r="Q145"/>
    </x:row>
    <x:row r="146">
      <x:c r="A146"/>
      <x:c r="B146"/>
      <x:c r="C146"/>
      <x:c r="D146" s="330"/>
      <x:c r="E146" s="330"/>
      <x:c r="F146"/>
      <x:c r="G146"/>
      <x:c r="H146"/>
      <x:c r="I146"/>
      <x:c r="J146"/>
      <x:c r="K146"/>
      <x:c r="L146"/>
      <x:c r="M146"/>
      <x:c r="N146"/>
      <x:c r="O146"/>
      <x:c r="P146"/>
      <x:c r="Q146"/>
    </x:row>
    <x:row r="147">
      <x:c r="A147"/>
      <x:c r="B147"/>
      <x:c r="C147"/>
      <x:c r="D147" s="330"/>
      <x:c r="E147" s="330"/>
      <x:c r="F147"/>
      <x:c r="G147"/>
      <x:c r="H147"/>
      <x:c r="I147"/>
      <x:c r="J147"/>
      <x:c r="K147"/>
      <x:c r="L147"/>
      <x:c r="M147"/>
      <x:c r="N147"/>
      <x:c r="O147"/>
      <x:c r="P147"/>
      <x:c r="Q147"/>
    </x:row>
    <x:row r="148">
      <x:c r="A148"/>
      <x:c r="B148"/>
      <x:c r="C148"/>
      <x:c r="D148" s="330"/>
      <x:c r="E148" s="330"/>
      <x:c r="F148"/>
      <x:c r="G148"/>
      <x:c r="H148"/>
      <x:c r="I148"/>
      <x:c r="J148"/>
      <x:c r="K148"/>
      <x:c r="L148"/>
      <x:c r="M148"/>
      <x:c r="N148"/>
      <x:c r="O148"/>
      <x:c r="P148"/>
      <x:c r="Q148"/>
    </x:row>
    <x:row r="149">
      <x:c r="A149"/>
      <x:c r="B149"/>
      <x:c r="C149"/>
      <x:c r="D149" s="330"/>
      <x:c r="E149" s="330"/>
      <x:c r="F149"/>
      <x:c r="G149"/>
      <x:c r="H149"/>
      <x:c r="I149"/>
      <x:c r="J149"/>
      <x:c r="K149"/>
      <x:c r="L149"/>
      <x:c r="M149"/>
      <x:c r="N149"/>
      <x:c r="O149"/>
      <x:c r="P149"/>
      <x:c r="Q149"/>
    </x:row>
    <x:row r="150">
      <x:c r="A150"/>
      <x:c r="B150"/>
      <x:c r="C150"/>
      <x:c r="D150" s="330"/>
      <x:c r="E150" s="330"/>
      <x:c r="F150"/>
      <x:c r="G150"/>
      <x:c r="H150"/>
      <x:c r="I150"/>
      <x:c r="J150"/>
      <x:c r="K150"/>
      <x:c r="L150"/>
      <x:c r="M150"/>
      <x:c r="N150"/>
      <x:c r="O150"/>
      <x:c r="P150"/>
      <x:c r="Q150"/>
    </x:row>
    <x:row r="151">
      <x:c r="A151"/>
      <x:c r="B151"/>
      <x:c r="C151"/>
      <x:c r="D151" s="330"/>
      <x:c r="E151" s="330"/>
      <x:c r="F151"/>
      <x:c r="G151"/>
      <x:c r="H151"/>
      <x:c r="I151"/>
      <x:c r="J151"/>
      <x:c r="K151"/>
      <x:c r="L151"/>
      <x:c r="M151"/>
      <x:c r="N151"/>
      <x:c r="O151"/>
      <x:c r="P151"/>
      <x:c r="Q151"/>
    </x:row>
    <x:row r="152">
      <x:c r="A152"/>
      <x:c r="B152"/>
      <x:c r="C152"/>
      <x:c r="D152" s="330"/>
      <x:c r="E152" s="330"/>
      <x:c r="F152"/>
      <x:c r="G152"/>
      <x:c r="H152"/>
      <x:c r="I152"/>
      <x:c r="J152"/>
      <x:c r="K152"/>
      <x:c r="L152"/>
      <x:c r="M152"/>
      <x:c r="N152"/>
      <x:c r="O152"/>
      <x:c r="P152"/>
      <x:c r="Q152"/>
    </x:row>
    <x:row r="153">
      <x:c r="A153"/>
      <x:c r="B153"/>
      <x:c r="C153"/>
      <x:c r="D153" s="330"/>
      <x:c r="E153" s="330"/>
      <x:c r="F153"/>
      <x:c r="G153"/>
      <x:c r="H153"/>
      <x:c r="I153"/>
      <x:c r="J153"/>
      <x:c r="K153"/>
      <x:c r="L153"/>
      <x:c r="M153"/>
      <x:c r="N153"/>
      <x:c r="O153"/>
      <x:c r="P153"/>
      <x:c r="Q153"/>
    </x:row>
    <x:row r="154">
      <x:c r="A154"/>
      <x:c r="B154"/>
      <x:c r="C154"/>
      <x:c r="D154" s="330"/>
      <x:c r="E154" s="330"/>
      <x:c r="F154"/>
      <x:c r="G154"/>
      <x:c r="H154"/>
      <x:c r="I154"/>
      <x:c r="J154"/>
      <x:c r="K154"/>
      <x:c r="L154"/>
      <x:c r="M154"/>
      <x:c r="N154"/>
      <x:c r="O154"/>
      <x:c r="P154"/>
      <x:c r="Q154"/>
    </x:row>
    <x:row r="155">
      <x:c r="A155"/>
      <x:c r="B155"/>
      <x:c r="C155"/>
      <x:c r="D155" s="330"/>
      <x:c r="E155" s="330"/>
      <x:c r="F155"/>
      <x:c r="G155"/>
      <x:c r="H155"/>
      <x:c r="I155"/>
      <x:c r="J155"/>
      <x:c r="K155"/>
      <x:c r="L155"/>
      <x:c r="M155"/>
      <x:c r="N155"/>
      <x:c r="O155"/>
      <x:c r="P155"/>
      <x:c r="Q155"/>
    </x:row>
    <x:row r="156">
      <x:c r="A156"/>
      <x:c r="B156"/>
      <x:c r="C156"/>
      <x:c r="D156" s="330"/>
      <x:c r="E156" s="330"/>
      <x:c r="F156"/>
      <x:c r="G156"/>
      <x:c r="H156"/>
      <x:c r="I156"/>
      <x:c r="J156"/>
      <x:c r="K156"/>
      <x:c r="L156"/>
      <x:c r="M156"/>
      <x:c r="N156"/>
      <x:c r="O156"/>
      <x:c r="P156"/>
      <x:c r="Q156"/>
    </x:row>
    <x:row r="157">
      <x:c r="A157"/>
      <x:c r="B157"/>
      <x:c r="C157"/>
      <x:c r="D157" s="330"/>
      <x:c r="E157" s="330"/>
      <x:c r="F157"/>
      <x:c r="G157"/>
      <x:c r="H157"/>
      <x:c r="I157"/>
      <x:c r="J157"/>
      <x:c r="K157"/>
      <x:c r="L157"/>
      <x:c r="M157"/>
      <x:c r="N157"/>
      <x:c r="O157"/>
      <x:c r="P157"/>
      <x:c r="Q157"/>
    </x:row>
    <x:row r="158">
      <x:c r="A158"/>
      <x:c r="B158"/>
      <x:c r="C158"/>
      <x:c r="D158" s="330"/>
      <x:c r="E158" s="330"/>
      <x:c r="F158"/>
      <x:c r="G158"/>
      <x:c r="H158"/>
      <x:c r="I158"/>
      <x:c r="J158"/>
      <x:c r="K158"/>
      <x:c r="L158"/>
      <x:c r="M158"/>
      <x:c r="N158"/>
      <x:c r="O158"/>
      <x:c r="P158"/>
      <x:c r="Q158"/>
    </x:row>
    <x:row r="159">
      <x:c r="A159"/>
      <x:c r="B159"/>
      <x:c r="C159"/>
      <x:c r="D159" s="330"/>
      <x:c r="E159" s="330"/>
      <x:c r="F159"/>
      <x:c r="G159"/>
      <x:c r="H159"/>
      <x:c r="I159"/>
      <x:c r="J159"/>
      <x:c r="K159"/>
      <x:c r="L159"/>
      <x:c r="M159"/>
      <x:c r="N159"/>
      <x:c r="O159"/>
      <x:c r="P159"/>
      <x:c r="Q159"/>
    </x:row>
    <x:row r="160">
      <x:c r="A160"/>
      <x:c r="B160"/>
      <x:c r="C160"/>
      <x:c r="D160" s="330"/>
      <x:c r="E160" s="330"/>
      <x:c r="F160"/>
      <x:c r="G160"/>
      <x:c r="H160"/>
      <x:c r="I160"/>
      <x:c r="J160"/>
      <x:c r="K160"/>
      <x:c r="L160"/>
      <x:c r="M160"/>
      <x:c r="N160"/>
      <x:c r="O160"/>
      <x:c r="P160"/>
      <x:c r="Q160"/>
    </x:row>
    <x:row r="161">
      <x:c r="A161"/>
      <x:c r="B161"/>
      <x:c r="C161"/>
      <x:c r="D161" s="330"/>
      <x:c r="E161" s="330"/>
      <x:c r="F161"/>
      <x:c r="G161"/>
      <x:c r="H161"/>
      <x:c r="I161"/>
      <x:c r="J161"/>
      <x:c r="K161"/>
      <x:c r="L161"/>
      <x:c r="M161"/>
      <x:c r="N161"/>
      <x:c r="O161"/>
      <x:c r="P161"/>
      <x:c r="Q161"/>
    </x:row>
    <x:row r="162">
      <x:c r="A162"/>
      <x:c r="B162"/>
      <x:c r="C162"/>
      <x:c r="D162" s="330"/>
      <x:c r="E162" s="330"/>
      <x:c r="F162"/>
      <x:c r="G162"/>
      <x:c r="H162"/>
      <x:c r="I162"/>
      <x:c r="J162"/>
      <x:c r="K162"/>
      <x:c r="L162"/>
      <x:c r="M162"/>
      <x:c r="N162"/>
      <x:c r="O162"/>
      <x:c r="P162"/>
      <x:c r="Q162"/>
    </x:row>
    <x:row r="163">
      <x:c r="A163"/>
      <x:c r="B163"/>
      <x:c r="C163"/>
      <x:c r="D163" s="330"/>
      <x:c r="E163" s="330"/>
      <x:c r="F163"/>
      <x:c r="G163"/>
      <x:c r="H163"/>
      <x:c r="I163"/>
      <x:c r="J163"/>
      <x:c r="K163"/>
      <x:c r="L163"/>
      <x:c r="M163"/>
      <x:c r="N163"/>
      <x:c r="O163"/>
      <x:c r="P163"/>
      <x:c r="Q163"/>
    </x:row>
    <x:row r="164">
      <x:c r="A164"/>
      <x:c r="B164"/>
      <x:c r="C164"/>
      <x:c r="D164" s="330"/>
      <x:c r="E164" s="330"/>
      <x:c r="F164"/>
      <x:c r="G164"/>
      <x:c r="H164"/>
      <x:c r="I164"/>
      <x:c r="J164"/>
      <x:c r="K164"/>
      <x:c r="L164"/>
      <x:c r="M164"/>
      <x:c r="N164"/>
      <x:c r="O164"/>
      <x:c r="P164"/>
      <x:c r="Q164"/>
    </x:row>
    <x:row r="165">
      <x:c r="A165"/>
      <x:c r="B165"/>
      <x:c r="C165"/>
      <x:c r="D165" s="330"/>
      <x:c r="E165" s="330"/>
      <x:c r="F165"/>
      <x:c r="G165"/>
      <x:c r="H165"/>
      <x:c r="I165"/>
      <x:c r="J165"/>
      <x:c r="K165"/>
      <x:c r="L165"/>
      <x:c r="M165"/>
      <x:c r="N165"/>
      <x:c r="O165"/>
      <x:c r="P165"/>
      <x:c r="Q165"/>
    </x:row>
    <x:row r="166">
      <x:c r="A166"/>
      <x:c r="B166"/>
      <x:c r="C166"/>
      <x:c r="D166" s="330"/>
      <x:c r="E166" s="330"/>
      <x:c r="F166"/>
      <x:c r="G166"/>
      <x:c r="H166"/>
      <x:c r="I166"/>
      <x:c r="J166"/>
      <x:c r="K166"/>
      <x:c r="L166"/>
      <x:c r="M166"/>
      <x:c r="N166"/>
      <x:c r="O166"/>
      <x:c r="P166"/>
      <x:c r="Q166"/>
    </x:row>
    <x:row r="167">
      <x:c r="A167"/>
      <x:c r="B167"/>
      <x:c r="C167"/>
      <x:c r="D167" s="330"/>
      <x:c r="E167" s="330"/>
      <x:c r="F167"/>
      <x:c r="G167"/>
      <x:c r="H167"/>
      <x:c r="I167"/>
      <x:c r="J167"/>
      <x:c r="K167"/>
      <x:c r="L167"/>
      <x:c r="M167"/>
      <x:c r="N167"/>
      <x:c r="O167"/>
      <x:c r="P167"/>
      <x:c r="Q167"/>
    </x:row>
    <x:row r="168">
      <x:c r="A168"/>
      <x:c r="B168"/>
      <x:c r="C168"/>
      <x:c r="D168" s="330"/>
      <x:c r="E168" s="330"/>
      <x:c r="F168"/>
      <x:c r="G168"/>
      <x:c r="H168"/>
      <x:c r="I168"/>
      <x:c r="J168"/>
      <x:c r="K168"/>
      <x:c r="L168"/>
      <x:c r="M168"/>
      <x:c r="N168"/>
      <x:c r="O168"/>
      <x:c r="P168"/>
      <x:c r="Q168"/>
    </x:row>
    <x:row r="169">
      <x:c r="A169"/>
      <x:c r="B169"/>
      <x:c r="C169"/>
      <x:c r="D169" s="330"/>
      <x:c r="E169" s="330"/>
      <x:c r="F169"/>
      <x:c r="G169"/>
      <x:c r="H169"/>
      <x:c r="I169"/>
      <x:c r="J169"/>
      <x:c r="K169"/>
      <x:c r="L169"/>
      <x:c r="M169"/>
      <x:c r="N169"/>
      <x:c r="O169"/>
      <x:c r="P169"/>
      <x:c r="Q169"/>
    </x:row>
    <x:row r="170">
      <x:c r="A170"/>
      <x:c r="B170"/>
      <x:c r="C170"/>
      <x:c r="D170" s="330"/>
      <x:c r="E170" s="330"/>
      <x:c r="F170"/>
      <x:c r="G170"/>
      <x:c r="H170"/>
      <x:c r="I170"/>
      <x:c r="J170"/>
      <x:c r="K170"/>
      <x:c r="L170"/>
      <x:c r="M170"/>
      <x:c r="N170"/>
      <x:c r="O170"/>
      <x:c r="P170"/>
      <x:c r="Q170"/>
    </x:row>
    <x:row r="171">
      <x:c r="A171"/>
      <x:c r="B171"/>
      <x:c r="C171"/>
      <x:c r="D171" s="330"/>
      <x:c r="E171" s="330"/>
      <x:c r="F171"/>
      <x:c r="G171"/>
      <x:c r="H171"/>
      <x:c r="I171"/>
      <x:c r="J171"/>
      <x:c r="K171"/>
      <x:c r="L171"/>
      <x:c r="M171"/>
      <x:c r="N171"/>
      <x:c r="O171"/>
      <x:c r="P171"/>
      <x:c r="Q171"/>
    </x:row>
    <x:row r="172">
      <x:c r="A172"/>
      <x:c r="B172"/>
      <x:c r="C172"/>
      <x:c r="D172" s="330"/>
      <x:c r="E172" s="330"/>
      <x:c r="F172"/>
      <x:c r="G172"/>
      <x:c r="H172"/>
      <x:c r="I172"/>
      <x:c r="J172"/>
      <x:c r="K172"/>
      <x:c r="L172"/>
      <x:c r="M172"/>
      <x:c r="N172"/>
      <x:c r="O172"/>
      <x:c r="P172"/>
      <x:c r="Q172"/>
    </x:row>
    <x:row r="173">
      <x:c r="A173"/>
      <x:c r="B173"/>
      <x:c r="C173"/>
      <x:c r="D173" s="330"/>
      <x:c r="E173" s="330"/>
      <x:c r="F173"/>
      <x:c r="G173"/>
      <x:c r="H173"/>
      <x:c r="I173"/>
      <x:c r="J173"/>
      <x:c r="K173"/>
      <x:c r="L173"/>
      <x:c r="M173"/>
      <x:c r="N173"/>
      <x:c r="O173"/>
      <x:c r="P173"/>
      <x:c r="Q173"/>
    </x:row>
    <x:row r="174">
      <x:c r="A174"/>
      <x:c r="B174"/>
      <x:c r="C174"/>
      <x:c r="D174" s="330"/>
      <x:c r="E174" s="330"/>
      <x:c r="F174"/>
      <x:c r="G174"/>
      <x:c r="H174"/>
      <x:c r="I174"/>
      <x:c r="J174"/>
      <x:c r="K174"/>
      <x:c r="L174"/>
      <x:c r="M174"/>
      <x:c r="N174"/>
      <x:c r="O174"/>
      <x:c r="P174"/>
      <x:c r="Q174"/>
    </x:row>
    <x:row r="175">
      <x:c r="A175"/>
      <x:c r="B175"/>
      <x:c r="C175"/>
      <x:c r="D175" s="330"/>
      <x:c r="E175" s="330"/>
      <x:c r="F175"/>
      <x:c r="G175"/>
      <x:c r="H175"/>
      <x:c r="I175"/>
      <x:c r="J175"/>
      <x:c r="K175"/>
      <x:c r="L175"/>
      <x:c r="M175"/>
      <x:c r="N175"/>
      <x:c r="O175"/>
      <x:c r="P175"/>
      <x:c r="Q175"/>
    </x:row>
    <x:row r="176">
      <x:c r="A176"/>
      <x:c r="B176"/>
      <x:c r="C176"/>
      <x:c r="D176" s="330"/>
      <x:c r="E176" s="330"/>
      <x:c r="F176"/>
      <x:c r="G176"/>
      <x:c r="H176"/>
      <x:c r="I176"/>
      <x:c r="J176"/>
      <x:c r="K176"/>
      <x:c r="L176"/>
      <x:c r="M176"/>
      <x:c r="N176"/>
      <x:c r="O176"/>
      <x:c r="P176"/>
      <x:c r="Q176"/>
    </x:row>
    <x:row r="177">
      <x:c r="A177"/>
      <x:c r="B177"/>
      <x:c r="C177"/>
      <x:c r="D177" s="330"/>
      <x:c r="E177" s="330"/>
      <x:c r="F177"/>
      <x:c r="G177"/>
      <x:c r="H177"/>
      <x:c r="I177"/>
      <x:c r="J177"/>
      <x:c r="K177"/>
      <x:c r="L177"/>
      <x:c r="M177"/>
      <x:c r="N177"/>
      <x:c r="O177"/>
      <x:c r="P177"/>
      <x:c r="Q177"/>
    </x:row>
    <x:row r="178">
      <x:c r="A178"/>
      <x:c r="B178"/>
      <x:c r="C178"/>
      <x:c r="D178" s="330"/>
      <x:c r="E178" s="330"/>
      <x:c r="F178"/>
      <x:c r="G178"/>
      <x:c r="H178"/>
      <x:c r="I178"/>
      <x:c r="J178"/>
      <x:c r="K178"/>
      <x:c r="L178"/>
      <x:c r="M178"/>
      <x:c r="N178"/>
      <x:c r="O178"/>
      <x:c r="P178"/>
      <x:c r="Q178"/>
    </x:row>
    <x:row r="179">
      <x:c r="A179"/>
      <x:c r="B179"/>
      <x:c r="C179"/>
      <x:c r="D179" s="330"/>
      <x:c r="E179" s="330"/>
      <x:c r="F179"/>
      <x:c r="G179"/>
      <x:c r="H179"/>
      <x:c r="I179"/>
      <x:c r="J179"/>
      <x:c r="K179"/>
      <x:c r="L179"/>
      <x:c r="M179"/>
      <x:c r="N179"/>
      <x:c r="O179"/>
      <x:c r="P179"/>
      <x:c r="Q179"/>
    </x:row>
    <x:row r="180">
      <x:c r="A180"/>
      <x:c r="B180"/>
      <x:c r="C180"/>
      <x:c r="D180" s="330"/>
      <x:c r="E180" s="330"/>
      <x:c r="F180"/>
      <x:c r="G180"/>
      <x:c r="H180"/>
      <x:c r="I180"/>
      <x:c r="J180"/>
      <x:c r="K180"/>
      <x:c r="L180"/>
      <x:c r="M180"/>
      <x:c r="N180"/>
      <x:c r="O180"/>
      <x:c r="P180"/>
      <x:c r="Q180"/>
    </x:row>
    <x:row r="181">
      <x:c r="A181"/>
      <x:c r="B181"/>
      <x:c r="C181"/>
      <x:c r="D181" s="330"/>
      <x:c r="E181" s="330"/>
      <x:c r="F181"/>
      <x:c r="G181"/>
      <x:c r="H181"/>
      <x:c r="I181"/>
      <x:c r="J181"/>
      <x:c r="K181"/>
      <x:c r="L181"/>
      <x:c r="M181"/>
      <x:c r="N181"/>
      <x:c r="O181"/>
      <x:c r="P181"/>
      <x:c r="Q181"/>
    </x:row>
    <x:row r="182">
      <x:c r="A182"/>
      <x:c r="B182"/>
      <x:c r="C182"/>
      <x:c r="D182" s="330"/>
      <x:c r="E182" s="330"/>
      <x:c r="F182"/>
      <x:c r="G182"/>
      <x:c r="H182"/>
      <x:c r="I182"/>
      <x:c r="J182"/>
      <x:c r="K182"/>
      <x:c r="L182"/>
      <x:c r="M182"/>
      <x:c r="N182"/>
      <x:c r="O182"/>
      <x:c r="P182"/>
      <x:c r="Q182"/>
    </x:row>
    <x:row r="183">
      <x:c r="D183" s="99"/>
      <x:c r="E183" s="99"/>
    </x:row>
    <x:row r="184">
      <x:c r="D184" s="99"/>
      <x:c r="E184" s="99"/>
    </x:row>
    <x:row r="185">
      <x:c r="D185" s="99"/>
      <x:c r="E185" s="99"/>
    </x:row>
    <x:row r="186">
      <x:c r="D186" s="99"/>
      <x:c r="E186" s="99"/>
    </x:row>
    <x:row r="187">
      <x:c r="D187" s="99"/>
      <x:c r="E187" s="99"/>
    </x:row>
    <x:row r="188">
      <x:c r="D188" s="99"/>
      <x:c r="E188" s="99"/>
    </x:row>
    <x:row r="189">
      <x:c r="D189" s="99"/>
      <x:c r="E189" s="99"/>
    </x:row>
    <x:row r="190">
      <x:c r="D190" s="99"/>
      <x:c r="E190" s="99"/>
    </x:row>
    <x:row r="191">
      <x:c r="D191" s="99"/>
      <x:c r="E191" s="99"/>
    </x:row>
    <x:row r="192">
      <x:c r="D192" s="99"/>
      <x:c r="E192" s="99"/>
    </x:row>
    <x:row r="193">
      <x:c r="D193" s="99"/>
      <x:c r="E193" s="99"/>
    </x:row>
    <x:row r="194">
      <x:c r="D194" s="99"/>
      <x:c r="E194" s="99"/>
    </x:row>
    <x:row r="195">
      <x:c r="D195" s="99"/>
      <x:c r="E195" s="99"/>
    </x:row>
    <x:row r="196">
      <x:c r="D196" s="99"/>
      <x:c r="E196" s="99"/>
    </x:row>
    <x:row r="197">
      <x:c r="D197" s="99"/>
      <x:c r="E197" s="99"/>
    </x:row>
    <x:row r="198">
      <x:c r="D198" s="99"/>
      <x:c r="E198" s="99"/>
    </x:row>
    <x:row r="199">
      <x:c r="D199" s="99"/>
      <x:c r="E199" s="99"/>
    </x:row>
    <x:row r="200">
      <x:c r="D200" s="99"/>
      <x:c r="E200" s="99"/>
    </x:row>
    <x:row r="201">
      <x:c r="D201" s="99"/>
      <x:c r="E201" s="99"/>
    </x:row>
    <x:row r="202">
      <x:c r="D202" s="99"/>
      <x:c r="E202" s="99"/>
    </x:row>
    <x:row r="203">
      <x:c r="D203" s="99"/>
      <x:c r="E203" s="99"/>
    </x:row>
    <x:row r="204">
      <x:c r="D204" s="99"/>
      <x:c r="E204" s="99"/>
    </x:row>
    <x:row r="205">
      <x:c r="D205" s="99"/>
      <x:c r="E205" s="99"/>
    </x:row>
    <x:row r="206">
      <x:c r="D206" s="99"/>
      <x:c r="E206" s="99"/>
    </x:row>
    <x:row r="207">
      <x:c r="D207" s="99"/>
      <x:c r="E207" s="99"/>
    </x:row>
    <x:row r="208">
      <x:c r="D208" s="99"/>
      <x:c r="E208" s="99"/>
    </x:row>
    <x:row r="209">
      <x:c r="D209" s="99"/>
      <x:c r="E209" s="99"/>
    </x:row>
    <x:row r="210">
      <x:c r="D210" s="99"/>
      <x:c r="E210" s="99"/>
    </x:row>
    <x:row r="211">
      <x:c r="D211" s="99"/>
      <x:c r="E211" s="99"/>
    </x:row>
    <x:row r="212">
      <x:c r="D212" s="99"/>
      <x:c r="E212" s="99"/>
    </x:row>
    <x:row r="213">
      <x:c r="D213" s="99"/>
      <x:c r="E213" s="99"/>
    </x:row>
    <x:row r="214">
      <x:c r="D214" s="99"/>
      <x:c r="E214" s="99"/>
    </x:row>
    <x:row r="215">
      <x:c r="D215" s="99"/>
      <x:c r="E215" s="99"/>
    </x:row>
    <x:row r="216">
      <x:c r="D216" s="99"/>
      <x:c r="E216" s="99"/>
    </x:row>
    <x:row r="217">
      <x:c r="D217" s="99"/>
      <x:c r="E217" s="99"/>
    </x:row>
    <x:row r="218">
      <x:c r="D218" s="99"/>
      <x:c r="E218" s="99"/>
    </x:row>
    <x:row r="219">
      <x:c r="D219" s="99"/>
      <x:c r="E219" s="99"/>
    </x:row>
    <x:row r="220">
      <x:c r="D220" s="99"/>
      <x:c r="E220" s="99"/>
    </x:row>
    <x:row r="221">
      <x:c r="D221" s="99"/>
      <x:c r="E221" s="99"/>
    </x:row>
    <x:row r="222">
      <x:c r="D222" s="99"/>
      <x:c r="E222" s="99"/>
    </x:row>
    <x:row r="223">
      <x:c r="D223" s="99"/>
      <x:c r="E223" s="99"/>
    </x:row>
    <x:row r="224">
      <x:c r="D224" s="99"/>
      <x:c r="E224" s="99"/>
    </x:row>
    <x:row r="225">
      <x:c r="D225" s="99"/>
      <x:c r="E225" s="99"/>
    </x:row>
    <x:row r="226">
      <x:c r="D226" s="99"/>
      <x:c r="E226" s="99"/>
    </x:row>
    <x:row r="227">
      <x:c r="D227" s="99"/>
      <x:c r="E227" s="99"/>
    </x:row>
    <x:row r="228">
      <x:c r="D228" s="99"/>
      <x:c r="E228" s="99"/>
    </x:row>
    <x:row r="229">
      <x:c r="D229" s="99"/>
      <x:c r="E229" s="99"/>
    </x:row>
    <x:row r="230">
      <x:c r="D230" s="99"/>
      <x:c r="E230" s="99"/>
    </x:row>
    <x:row r="231">
      <x:c r="D231" s="99"/>
      <x:c r="E231" s="99"/>
    </x:row>
    <x:row r="232">
      <x:c r="D232" s="99"/>
      <x:c r="E232" s="99"/>
    </x:row>
    <x:row r="233">
      <x:c r="D233" s="99"/>
      <x:c r="E233" s="99"/>
    </x:row>
    <x:row r="234">
      <x:c r="D234" s="99"/>
      <x:c r="E234" s="99"/>
    </x:row>
    <x:row r="235">
      <x:c r="D235" s="99"/>
      <x:c r="E235" s="99"/>
    </x:row>
    <x:row r="236">
      <x:c r="D236" s="99"/>
      <x:c r="E236" s="99"/>
    </x:row>
    <x:row r="237">
      <x:c r="D237" s="99"/>
      <x:c r="E237" s="99"/>
    </x:row>
    <x:row r="238">
      <x:c r="D238" s="99"/>
      <x:c r="E238" s="99"/>
    </x:row>
    <x:row r="239">
      <x:c r="D239" s="99"/>
      <x:c r="E239" s="99"/>
    </x:row>
    <x:row r="240">
      <x:c r="D240" s="99"/>
      <x:c r="E240" s="99"/>
    </x:row>
    <x:row r="241">
      <x:c r="D241" s="99"/>
      <x:c r="E241" s="99"/>
    </x:row>
    <x:row r="242">
      <x:c r="D242" s="99"/>
      <x:c r="E242" s="99"/>
    </x:row>
    <x:row r="243">
      <x:c r="D243" s="99"/>
      <x:c r="E243" s="99"/>
    </x:row>
    <x:row r="244">
      <x:c r="D244" s="99"/>
      <x:c r="E244" s="99"/>
    </x:row>
    <x:row r="245">
      <x:c r="D245" s="99"/>
      <x:c r="E245" s="99"/>
    </x:row>
    <x:row r="246">
      <x:c r="D246" s="99"/>
      <x:c r="E246" s="99"/>
    </x:row>
    <x:row r="247">
      <x:c r="D247" s="99"/>
      <x:c r="E247" s="99"/>
    </x:row>
    <x:row r="248">
      <x:c r="D248" s="99"/>
      <x:c r="E248" s="99"/>
    </x:row>
    <x:row r="249">
      <x:c r="D249" s="99"/>
      <x:c r="E249" s="99"/>
    </x:row>
    <x:row r="250">
      <x:c r="D250" s="99"/>
      <x:c r="E250" s="99"/>
    </x:row>
    <x:row r="251">
      <x:c r="D251" s="99"/>
      <x:c r="E251" s="99"/>
    </x:row>
    <x:row r="252">
      <x:c r="D252" s="99"/>
      <x:c r="E252" s="99"/>
    </x:row>
    <x:row r="253">
      <x:c r="D253" s="99"/>
      <x:c r="E253" s="99"/>
    </x:row>
    <x:row r="254">
      <x:c r="D254" s="99"/>
      <x:c r="E254" s="99"/>
    </x:row>
    <x:row r="255">
      <x:c r="D255" s="99"/>
      <x:c r="E255" s="99"/>
    </x:row>
    <x:row r="256">
      <x:c r="D256" s="99"/>
      <x:c r="E256" s="99"/>
    </x:row>
    <x:row r="257">
      <x:c r="D257" s="99"/>
      <x:c r="E257" s="99"/>
    </x:row>
    <x:row r="258">
      <x:c r="D258" s="99"/>
      <x:c r="E258" s="99"/>
    </x:row>
    <x:row r="259">
      <x:c r="D259" s="99"/>
      <x:c r="E259" s="99"/>
    </x:row>
    <x:row r="260">
      <x:c r="D260" s="99"/>
      <x:c r="E260" s="99"/>
    </x:row>
    <x:row r="261">
      <x:c r="D261" s="99"/>
      <x:c r="E261" s="99"/>
    </x:row>
    <x:row r="262">
      <x:c r="D262" s="99"/>
      <x:c r="E262" s="99"/>
    </x:row>
    <x:row r="263">
      <x:c r="D263" s="99"/>
      <x:c r="E263" s="99"/>
    </x:row>
    <x:row r="264">
      <x:c r="D264" s="99"/>
      <x:c r="E264" s="99"/>
    </x:row>
    <x:row r="265">
      <x:c r="D265" s="99"/>
      <x:c r="E265" s="99"/>
    </x:row>
    <x:row r="266">
      <x:c r="D266" s="99"/>
      <x:c r="E266" s="99"/>
    </x:row>
    <x:row r="267">
      <x:c r="D267" s="99"/>
      <x:c r="E267" s="99"/>
    </x:row>
    <x:row r="268">
      <x:c r="D268" s="99"/>
      <x:c r="E268" s="99"/>
    </x:row>
    <x:row r="269">
      <x:c r="D269" s="99"/>
      <x:c r="E269" s="99"/>
    </x:row>
    <x:row r="270">
      <x:c r="D270" s="99"/>
      <x:c r="E270" s="99"/>
    </x:row>
    <x:row r="271">
      <x:c r="D271" s="99"/>
      <x:c r="E271" s="99"/>
    </x:row>
    <x:row r="272">
      <x:c r="D272" s="99"/>
      <x:c r="E272" s="99"/>
    </x:row>
    <x:row r="273">
      <x:c r="D273" s="99"/>
      <x:c r="E273" s="99"/>
    </x:row>
    <x:row r="274">
      <x:c r="D274" s="99"/>
      <x:c r="E274" s="99"/>
    </x:row>
    <x:row r="275">
      <x:c r="D275" s="99"/>
      <x:c r="E275" s="99"/>
    </x:row>
    <x:row r="276">
      <x:c r="D276" s="99"/>
      <x:c r="E276" s="99"/>
    </x:row>
    <x:row r="277">
      <x:c r="D277" s="99"/>
      <x:c r="E277" s="99"/>
    </x:row>
    <x:row r="278">
      <x:c r="D278" s="99"/>
      <x:c r="E278" s="99"/>
    </x:row>
    <x:row r="279">
      <x:c r="D279" s="99"/>
      <x:c r="E279" s="99"/>
    </x:row>
    <x:row r="280">
      <x:c r="D280" s="99"/>
      <x:c r="E280" s="99"/>
    </x:row>
    <x:row r="281">
      <x:c r="D281" s="99"/>
      <x:c r="E281" s="99"/>
    </x:row>
    <x:row r="282">
      <x:c r="D282" s="99"/>
      <x:c r="E282" s="99"/>
    </x:row>
    <x:row r="283">
      <x:c r="D283" s="99"/>
      <x:c r="E283" s="99"/>
    </x:row>
    <x:row r="284">
      <x:c r="D284" s="99"/>
      <x:c r="E284" s="99"/>
    </x:row>
    <x:row r="285">
      <x:c r="D285" s="99"/>
      <x:c r="E285" s="99"/>
    </x:row>
    <x:row r="286">
      <x:c r="D286" s="99"/>
      <x:c r="E286" s="99"/>
    </x:row>
    <x:row r="287">
      <x:c r="D287" s="99"/>
      <x:c r="E287" s="99"/>
    </x:row>
    <x:row r="288">
      <x:c r="D288" s="99"/>
      <x:c r="E288" s="99"/>
    </x:row>
    <x:row r="289">
      <x:c r="D289" s="99"/>
      <x:c r="E289" s="99"/>
    </x:row>
    <x:row r="290">
      <x:c r="D290" s="99"/>
      <x:c r="E290" s="99"/>
    </x:row>
    <x:row r="291">
      <x:c r="D291" s="99"/>
      <x:c r="E291" s="99"/>
    </x:row>
    <x:row r="292">
      <x:c r="D292" s="99"/>
      <x:c r="E292" s="99"/>
    </x:row>
    <x:row r="293">
      <x:c r="D293" s="99"/>
      <x:c r="E293" s="99"/>
    </x:row>
    <x:row r="294">
      <x:c r="D294" s="99"/>
      <x:c r="E294" s="99"/>
    </x:row>
    <x:row r="295">
      <x:c r="D295" s="99"/>
      <x:c r="E295" s="99"/>
    </x:row>
    <x:row r="296">
      <x:c r="D296" s="99"/>
      <x:c r="E296" s="99"/>
    </x:row>
    <x:row r="297">
      <x:c r="D297" s="99"/>
      <x:c r="E297" s="99"/>
    </x:row>
    <x:row r="298">
      <x:c r="D298" s="99"/>
      <x:c r="E298" s="99"/>
    </x:row>
    <x:row r="299">
      <x:c r="D299" s="99"/>
      <x:c r="E299" s="99"/>
    </x:row>
    <x:row r="300">
      <x:c r="D300" s="99"/>
      <x:c r="E300" s="99"/>
    </x:row>
    <x:row r="301">
      <x:c r="D301" s="99"/>
      <x:c r="E301" s="99"/>
    </x:row>
    <x:row r="302">
      <x:c r="D302" s="99"/>
      <x:c r="E302" s="99"/>
    </x:row>
    <x:row r="303">
      <x:c r="D303" s="99"/>
      <x:c r="E303" s="99"/>
    </x:row>
    <x:row r="304">
      <x:c r="D304" s="99"/>
      <x:c r="E304" s="99"/>
    </x:row>
    <x:row r="305">
      <x:c r="D305" s="99"/>
      <x:c r="E305" s="99"/>
    </x:row>
    <x:row r="306">
      <x:c r="D306" s="99"/>
      <x:c r="E306" s="99"/>
    </x:row>
    <x:row r="307">
      <x:c r="D307" s="99"/>
      <x:c r="E307" s="99"/>
    </x:row>
    <x:row r="308">
      <x:c r="D308" s="99"/>
      <x:c r="E308" s="99"/>
    </x:row>
    <x:row r="309">
      <x:c r="D309" s="99"/>
      <x:c r="E309" s="99"/>
    </x:row>
    <x:row r="310">
      <x:c r="D310" s="99"/>
      <x:c r="E310" s="99"/>
    </x:row>
    <x:row r="311">
      <x:c r="D311" s="99"/>
      <x:c r="E311" s="99"/>
    </x:row>
    <x:row r="312">
      <x:c r="D312" s="99"/>
      <x:c r="E312" s="99"/>
    </x:row>
    <x:row r="313">
      <x:c r="D313" s="99"/>
      <x:c r="E313" s="99"/>
    </x:row>
    <x:row r="314">
      <x:c r="D314" s="99"/>
      <x:c r="E314" s="99"/>
    </x:row>
    <x:row r="315">
      <x:c r="D315" s="99"/>
      <x:c r="E315" s="99"/>
    </x:row>
    <x:row r="316">
      <x:c r="D316" s="99"/>
      <x:c r="E316" s="99"/>
    </x:row>
    <x:row r="317">
      <x:c r="D317" s="99"/>
      <x:c r="E317" s="99"/>
    </x:row>
    <x:row r="318">
      <x:c r="D318" s="99"/>
      <x:c r="E318" s="99"/>
    </x:row>
    <x:row r="319">
      <x:c r="D319" s="99"/>
      <x:c r="E319" s="99"/>
    </x:row>
    <x:row r="320">
      <x:c r="D320" s="99"/>
      <x:c r="E320" s="99"/>
    </x:row>
    <x:row r="321">
      <x:c r="D321" s="99"/>
      <x:c r="E321" s="99"/>
    </x:row>
    <x:row r="322">
      <x:c r="D322" s="99"/>
      <x:c r="E322" s="99"/>
    </x:row>
    <x:row r="323">
      <x:c r="D323" s="99"/>
      <x:c r="E323" s="99"/>
    </x:row>
    <x:row r="324">
      <x:c r="D324" s="99"/>
      <x:c r="E324" s="99"/>
    </x:row>
    <x:row r="325">
      <x:c r="D325" s="99"/>
      <x:c r="E325" s="99"/>
    </x:row>
    <x:row r="326">
      <x:c r="D326" s="99"/>
      <x:c r="E326" s="99"/>
    </x:row>
    <x:row r="327">
      <x:c r="D327" s="99"/>
      <x:c r="E327" s="99"/>
    </x:row>
    <x:row r="328">
      <x:c r="D328" s="99"/>
      <x:c r="E328" s="99"/>
    </x:row>
    <x:row r="329">
      <x:c r="D329" s="99"/>
      <x:c r="E329" s="99"/>
    </x:row>
    <x:row r="330">
      <x:c r="D330" s="99"/>
      <x:c r="E330" s="99"/>
    </x:row>
    <x:row r="331">
      <x:c r="D331" s="99"/>
      <x:c r="E331" s="99"/>
    </x:row>
    <x:row r="332">
      <x:c r="D332" s="99"/>
      <x:c r="E332" s="99"/>
    </x:row>
    <x:row r="333">
      <x:c r="D333" s="99"/>
      <x:c r="E333" s="99"/>
    </x:row>
    <x:row r="334">
      <x:c r="D334" s="99"/>
      <x:c r="E334" s="99"/>
    </x:row>
    <x:row r="335">
      <x:c r="D335" s="99"/>
      <x:c r="E335" s="99"/>
    </x:row>
    <x:row r="336">
      <x:c r="D336" s="99"/>
      <x:c r="E336" s="99"/>
    </x:row>
    <x:row r="337">
      <x:c r="D337" s="99"/>
      <x:c r="E337" s="99"/>
    </x:row>
    <x:row r="338">
      <x:c r="D338" s="99"/>
      <x:c r="E338" s="99"/>
    </x:row>
    <x:row r="339">
      <x:c r="D339" s="99"/>
      <x:c r="E339" s="99"/>
    </x:row>
    <x:row r="340">
      <x:c r="D340" s="99"/>
      <x:c r="E340" s="99"/>
    </x:row>
    <x:row r="341">
      <x:c r="D341" s="99"/>
      <x:c r="E341" s="99"/>
    </x:row>
    <x:row r="342">
      <x:c r="D342" s="99"/>
      <x:c r="E342" s="99"/>
    </x:row>
    <x:row r="343">
      <x:c r="D343" s="99"/>
      <x:c r="E343" s="99"/>
    </x:row>
    <x:row r="344">
      <x:c r="D344" s="99"/>
      <x:c r="E344" s="99"/>
    </x:row>
    <x:row r="345">
      <x:c r="D345" s="99"/>
      <x:c r="E345" s="99"/>
    </x:row>
    <x:row r="346">
      <x:c r="D346" s="99"/>
      <x:c r="E346" s="99"/>
    </x:row>
    <x:row r="347">
      <x:c r="D347" s="99"/>
      <x:c r="E347" s="99"/>
    </x:row>
    <x:row r="348">
      <x:c r="D348" s="99"/>
      <x:c r="E348" s="99"/>
    </x:row>
    <x:row r="349">
      <x:c r="D349" s="99"/>
      <x:c r="E349" s="99"/>
    </x:row>
    <x:row r="350">
      <x:c r="D350" s="99"/>
      <x:c r="E350" s="99"/>
    </x:row>
    <x:row r="351">
      <x:c r="D351" s="99"/>
      <x:c r="E351" s="99"/>
    </x:row>
    <x:row r="352">
      <x:c r="D352" s="99"/>
      <x:c r="E352" s="99"/>
    </x:row>
    <x:row r="353">
      <x:c r="D353" s="99"/>
      <x:c r="E353" s="99"/>
    </x:row>
    <x:row r="354">
      <x:c r="D354" s="99"/>
      <x:c r="E354" s="99"/>
    </x:row>
    <x:row r="355">
      <x:c r="D355" s="99"/>
      <x:c r="E355" s="99"/>
    </x:row>
    <x:row r="356">
      <x:c r="D356" s="99"/>
      <x:c r="E356" s="99"/>
    </x:row>
    <x:row r="357">
      <x:c r="D357" s="99"/>
      <x:c r="E357" s="99"/>
    </x:row>
    <x:row r="358">
      <x:c r="D358" s="99"/>
      <x:c r="E358" s="99"/>
    </x:row>
    <x:row r="359">
      <x:c r="D359" s="99"/>
      <x:c r="E359" s="99"/>
    </x:row>
    <x:row r="360">
      <x:c r="D360" s="99"/>
      <x:c r="E360" s="99"/>
    </x:row>
    <x:row r="361">
      <x:c r="D361" s="99"/>
      <x:c r="E361" s="99"/>
    </x:row>
    <x:row r="362">
      <x:c r="D362" s="99"/>
      <x:c r="E362" s="99"/>
    </x:row>
    <x:row r="363">
      <x:c r="D363" s="99"/>
      <x:c r="E363" s="99"/>
    </x:row>
    <x:row r="364">
      <x:c r="D364" s="99"/>
      <x:c r="E364" s="99"/>
    </x:row>
    <x:row r="365">
      <x:c r="D365" s="99"/>
      <x:c r="E365" s="99"/>
    </x:row>
    <x:row r="366">
      <x:c r="D366" s="99"/>
      <x:c r="E366" s="99"/>
    </x:row>
    <x:row r="367">
      <x:c r="D367" s="99"/>
      <x:c r="E367" s="99"/>
    </x:row>
    <x:row r="368">
      <x:c r="D368" s="99"/>
      <x:c r="E368" s="99"/>
    </x:row>
    <x:row r="369">
      <x:c r="D369" s="99"/>
      <x:c r="E369" s="99"/>
    </x:row>
    <x:row r="370">
      <x:c r="D370" s="99"/>
      <x:c r="E370" s="99"/>
    </x:row>
    <x:row r="371">
      <x:c r="D371" s="99"/>
      <x:c r="E371" s="99"/>
    </x:row>
    <x:row r="372">
      <x:c r="D372" s="99"/>
      <x:c r="E372" s="99"/>
    </x:row>
    <x:row r="373">
      <x:c r="D373" s="99"/>
      <x:c r="E373" s="99"/>
    </x:row>
    <x:row r="374">
      <x:c r="D374" s="99"/>
      <x:c r="E374" s="99"/>
    </x:row>
    <x:row r="375">
      <x:c r="D375" s="99"/>
      <x:c r="E375" s="99"/>
    </x:row>
    <x:row r="376">
      <x:c r="D376" s="99"/>
      <x:c r="E376" s="99"/>
    </x:row>
    <x:row r="377">
      <x:c r="D377" s="99"/>
      <x:c r="E377" s="99"/>
    </x:row>
    <x:row r="378">
      <x:c r="D378" s="99"/>
      <x:c r="E378" s="99"/>
    </x:row>
    <x:row r="379">
      <x:c r="D379" s="99"/>
      <x:c r="E379" s="99"/>
    </x:row>
    <x:row r="380">
      <x:c r="D380" s="99"/>
      <x:c r="E380" s="99"/>
    </x:row>
    <x:row r="381">
      <x:c r="D381" s="99"/>
      <x:c r="E381" s="99"/>
    </x:row>
    <x:row r="382">
      <x:c r="D382" s="99"/>
      <x:c r="E382" s="99"/>
    </x:row>
    <x:row r="383">
      <x:c r="D383" s="99"/>
      <x:c r="E383" s="99"/>
    </x:row>
    <x:row r="384">
      <x:c r="D384" s="99"/>
      <x:c r="E384" s="99"/>
    </x:row>
    <x:row r="385">
      <x:c r="D385" s="99"/>
      <x:c r="E385" s="99"/>
    </x:row>
    <x:row r="386">
      <x:c r="D386" s="99"/>
      <x:c r="E386" s="99"/>
    </x:row>
    <x:row r="387">
      <x:c r="D387" s="99"/>
      <x:c r="E387" s="99"/>
    </x:row>
    <x:row r="388">
      <x:c r="D388" s="99"/>
      <x:c r="E388" s="99"/>
    </x:row>
    <x:row r="389">
      <x:c r="D389" s="99"/>
      <x:c r="E389" s="99"/>
    </x:row>
    <x:row r="390">
      <x:c r="D390" s="99"/>
      <x:c r="E390" s="99"/>
    </x:row>
    <x:row r="391">
      <x:c r="D391" s="99"/>
      <x:c r="E391" s="99"/>
    </x:row>
    <x:row r="392">
      <x:c r="D392" s="99"/>
      <x:c r="E392" s="99"/>
    </x:row>
    <x:row r="393">
      <x:c r="D393" s="99"/>
      <x:c r="E393" s="99"/>
    </x:row>
    <x:row r="394">
      <x:c r="D394" s="99"/>
      <x:c r="E394" s="99"/>
    </x:row>
    <x:row r="395">
      <x:c r="D395" s="99"/>
      <x:c r="E395" s="99"/>
    </x:row>
    <x:row r="396">
      <x:c r="D396" s="99"/>
      <x:c r="E396" s="99"/>
    </x:row>
    <x:row r="397">
      <x:c r="D397" s="99"/>
      <x:c r="E397" s="99"/>
    </x:row>
    <x:row r="398">
      <x:c r="D398" s="99"/>
      <x:c r="E398" s="99"/>
    </x:row>
    <x:row r="399">
      <x:c r="D399" s="99"/>
      <x:c r="E399" s="99"/>
    </x:row>
    <x:row r="400">
      <x:c r="D400" s="99"/>
      <x:c r="E400" s="99"/>
    </x:row>
    <x:row r="401">
      <x:c r="D401" s="99"/>
      <x:c r="E401" s="99"/>
    </x:row>
    <x:row r="402">
      <x:c r="D402" s="99"/>
      <x:c r="E402" s="99"/>
    </x:row>
    <x:row r="403">
      <x:c r="D403" s="99"/>
      <x:c r="E403" s="99"/>
    </x:row>
    <x:row r="404">
      <x:c r="D404" s="99"/>
      <x:c r="E404" s="99"/>
    </x:row>
    <x:row r="405">
      <x:c r="D405" s="99"/>
      <x:c r="E405" s="99"/>
    </x:row>
    <x:row r="406">
      <x:c r="D406" s="99"/>
      <x:c r="E406" s="99"/>
    </x:row>
    <x:row r="407">
      <x:c r="D407" s="99"/>
      <x:c r="E407" s="99"/>
    </x:row>
    <x:row r="408">
      <x:c r="D408" s="99"/>
      <x:c r="E408" s="99"/>
    </x:row>
    <x:row r="409">
      <x:c r="D409" s="99"/>
      <x:c r="E409" s="99"/>
    </x:row>
    <x:row r="410">
      <x:c r="D410" s="99"/>
      <x:c r="E410" s="99"/>
    </x:row>
    <x:row r="411">
      <x:c r="D411" s="99"/>
      <x:c r="E411" s="99"/>
    </x:row>
    <x:row r="412">
      <x:c r="D412" s="99"/>
      <x:c r="E412" s="99"/>
    </x:row>
    <x:row r="413">
      <x:c r="D413" s="99"/>
      <x:c r="E413" s="99"/>
    </x:row>
    <x:row r="414">
      <x:c r="D414" s="99"/>
      <x:c r="E414" s="99"/>
    </x:row>
    <x:row r="415">
      <x:c r="D415" s="99"/>
      <x:c r="E415" s="99"/>
    </x:row>
    <x:row r="416">
      <x:c r="D416" s="99"/>
      <x:c r="E416" s="99"/>
    </x:row>
    <x:row r="417">
      <x:c r="D417" s="99"/>
      <x:c r="E417" s="99"/>
    </x:row>
    <x:row r="418">
      <x:c r="D418" s="99"/>
      <x:c r="E418" s="99"/>
    </x:row>
    <x:row r="419">
      <x:c r="D419" s="99"/>
      <x:c r="E419" s="99"/>
    </x:row>
    <x:row r="420">
      <x:c r="D420" s="99"/>
      <x:c r="E420" s="99"/>
    </x:row>
    <x:row r="421">
      <x:c r="D421" s="99"/>
      <x:c r="E421" s="99"/>
    </x:row>
    <x:row r="422">
      <x:c r="D422" s="99"/>
      <x:c r="E422" s="99"/>
    </x:row>
    <x:row r="423">
      <x:c r="D423" s="99"/>
      <x:c r="E423" s="99"/>
    </x:row>
    <x:row r="424">
      <x:c r="D424" s="99"/>
      <x:c r="E424" s="99"/>
    </x:row>
    <x:row r="425">
      <x:c r="D425" s="99"/>
      <x:c r="E425" s="99"/>
    </x:row>
    <x:row r="426">
      <x:c r="D426" s="99"/>
      <x:c r="E426" s="99"/>
    </x:row>
    <x:row r="427">
      <x:c r="D427" s="99"/>
      <x:c r="E427" s="99"/>
    </x:row>
    <x:row r="428">
      <x:c r="D428" s="99"/>
      <x:c r="E428" s="99"/>
    </x:row>
    <x:row r="429">
      <x:c r="D429" s="99"/>
      <x:c r="E429" s="99"/>
    </x:row>
    <x:row r="430">
      <x:c r="D430" s="99"/>
      <x:c r="E430" s="99"/>
    </x:row>
    <x:row r="431">
      <x:c r="D431" s="99"/>
      <x:c r="E431" s="99"/>
    </x:row>
    <x:row r="432">
      <x:c r="D432" s="99"/>
      <x:c r="E432" s="99"/>
    </x:row>
    <x:row r="433">
      <x:c r="D433" s="99"/>
      <x:c r="E433" s="99"/>
    </x:row>
    <x:row r="434">
      <x:c r="D434" s="99"/>
      <x:c r="E434" s="99"/>
    </x:row>
    <x:row r="435">
      <x:c r="D435" s="99"/>
      <x:c r="E435" s="99"/>
    </x:row>
    <x:row r="436">
      <x:c r="D436" s="99"/>
      <x:c r="E436" s="99"/>
    </x:row>
    <x:row r="437">
      <x:c r="D437" s="99"/>
      <x:c r="E437" s="99"/>
    </x:row>
    <x:row r="438">
      <x:c r="D438" s="99"/>
      <x:c r="E438" s="99"/>
    </x:row>
    <x:row r="439">
      <x:c r="D439" s="99"/>
      <x:c r="E439" s="99"/>
    </x:row>
    <x:row r="440">
      <x:c r="D440" s="99"/>
      <x:c r="E440" s="99"/>
    </x:row>
    <x:row r="441">
      <x:c r="D441" s="99"/>
      <x:c r="E441" s="99"/>
    </x:row>
    <x:row r="442">
      <x:c r="D442" s="99"/>
      <x:c r="E442" s="99"/>
    </x:row>
    <x:row r="443">
      <x:c r="D443" s="99"/>
      <x:c r="E443" s="99"/>
    </x:row>
    <x:row r="444">
      <x:c r="D444" s="99"/>
      <x:c r="E444" s="99"/>
    </x:row>
    <x:row r="445">
      <x:c r="D445" s="99"/>
      <x:c r="E445" s="99"/>
    </x:row>
    <x:row r="446">
      <x:c r="D446" s="99"/>
      <x:c r="E446" s="99"/>
    </x:row>
    <x:row r="447">
      <x:c r="D447" s="99"/>
      <x:c r="E447" s="99"/>
    </x:row>
    <x:row r="448">
      <x:c r="D448" s="99"/>
      <x:c r="E448" s="99"/>
    </x:row>
    <x:row r="449">
      <x:c r="D449" s="99"/>
      <x:c r="E449" s="99"/>
    </x:row>
    <x:row r="450">
      <x:c r="D450" s="99"/>
      <x:c r="E450" s="99"/>
    </x:row>
    <x:row r="451">
      <x:c r="D451" s="99"/>
      <x:c r="E451" s="99"/>
    </x:row>
    <x:row r="452">
      <x:c r="D452" s="99"/>
      <x:c r="E452" s="99"/>
    </x:row>
    <x:row r="453">
      <x:c r="D453" s="99"/>
      <x:c r="E453" s="99"/>
    </x:row>
    <x:row r="454">
      <x:c r="D454" s="99"/>
      <x:c r="E454" s="99"/>
    </x:row>
    <x:row r="455">
      <x:c r="D455" s="99"/>
      <x:c r="E455" s="99"/>
    </x:row>
    <x:row r="456">
      <x:c r="D456" s="99"/>
      <x:c r="E456" s="99"/>
    </x:row>
    <x:row r="457">
      <x:c r="D457" s="99"/>
      <x:c r="E457" s="99"/>
    </x:row>
    <x:row r="458">
      <x:c r="D458" s="99"/>
      <x:c r="E458" s="99"/>
    </x:row>
    <x:row r="459">
      <x:c r="D459" s="99"/>
      <x:c r="E459" s="99"/>
    </x:row>
    <x:row r="460">
      <x:c r="D460" s="99"/>
      <x:c r="E460" s="99"/>
    </x:row>
    <x:row r="461">
      <x:c r="D461" s="99"/>
      <x:c r="E461" s="99"/>
    </x:row>
    <x:row r="462">
      <x:c r="D462" s="99"/>
      <x:c r="E462" s="99"/>
    </x:row>
    <x:row r="463">
      <x:c r="D463" s="99"/>
      <x:c r="E463" s="99"/>
    </x:row>
    <x:row r="464">
      <x:c r="D464" s="99"/>
      <x:c r="E464" s="99"/>
    </x:row>
    <x:row r="465">
      <x:c r="D465" s="99"/>
      <x:c r="E465" s="99"/>
    </x:row>
    <x:row r="466">
      <x:c r="D466" s="99"/>
      <x:c r="E466" s="99"/>
    </x:row>
    <x:row r="467">
      <x:c r="D467" s="99"/>
      <x:c r="E467" s="99"/>
    </x:row>
    <x:row r="468">
      <x:c r="D468" s="99"/>
      <x:c r="E468" s="99"/>
    </x:row>
    <x:row r="469">
      <x:c r="D469" s="99"/>
      <x:c r="E469" s="99"/>
    </x:row>
    <x:row r="470">
      <x:c r="D470" s="99"/>
      <x:c r="E470" s="99"/>
    </x:row>
    <x:row r="471">
      <x:c r="D471" s="99"/>
      <x:c r="E471" s="99"/>
    </x:row>
    <x:row r="472">
      <x:c r="D472" s="99"/>
      <x:c r="E472" s="99"/>
    </x:row>
    <x:row r="473">
      <x:c r="D473" s="99"/>
      <x:c r="E473" s="99"/>
    </x:row>
    <x:row r="474">
      <x:c r="D474" s="99"/>
      <x:c r="E474" s="99"/>
    </x:row>
    <x:row r="475">
      <x:c r="D475" s="99"/>
      <x:c r="E475" s="99"/>
    </x:row>
    <x:row r="476">
      <x:c r="D476" s="99"/>
      <x:c r="E476" s="99"/>
    </x:row>
    <x:row r="477">
      <x:c r="D477" s="99"/>
      <x:c r="E477" s="99"/>
    </x:row>
    <x:row r="478">
      <x:c r="D478" s="99"/>
      <x:c r="E478" s="99"/>
    </x:row>
    <x:row r="479">
      <x:c r="D479" s="99"/>
      <x:c r="E479" s="99"/>
    </x:row>
    <x:row r="480">
      <x:c r="D480" s="99"/>
      <x:c r="E480" s="99"/>
    </x:row>
    <x:row r="481">
      <x:c r="D481" s="99"/>
      <x:c r="E481" s="99"/>
    </x:row>
    <x:row r="482">
      <x:c r="D482" s="99"/>
      <x:c r="E482" s="99"/>
    </x:row>
    <x:row r="483">
      <x:c r="D483" s="99"/>
      <x:c r="E483" s="99"/>
    </x:row>
    <x:row r="484">
      <x:c r="D484" s="99"/>
      <x:c r="E484" s="99"/>
    </x:row>
    <x:row r="485">
      <x:c r="D485" s="99"/>
      <x:c r="E485" s="99"/>
    </x:row>
    <x:row r="486">
      <x:c r="D486" s="99"/>
      <x:c r="E486" s="99"/>
    </x:row>
    <x:row r="487">
      <x:c r="D487" s="99"/>
      <x:c r="E487" s="99"/>
    </x:row>
    <x:row r="488">
      <x:c r="D488" s="99"/>
      <x:c r="E488" s="99"/>
    </x:row>
    <x:row r="489">
      <x:c r="D489" s="99"/>
      <x:c r="E489" s="99"/>
    </x:row>
    <x:row r="490">
      <x:c r="D490" s="99"/>
      <x:c r="E490" s="99"/>
    </x:row>
    <x:row r="491">
      <x:c r="D491" s="99"/>
      <x:c r="E491" s="99"/>
    </x:row>
    <x:row r="492">
      <x:c r="D492" s="99"/>
      <x:c r="E492" s="99"/>
    </x:row>
    <x:row r="493">
      <x:c r="D493" s="99"/>
      <x:c r="E493" s="99"/>
    </x:row>
    <x:row r="494">
      <x:c r="D494" s="99"/>
      <x:c r="E494" s="99"/>
    </x:row>
    <x:row r="495">
      <x:c r="D495" s="99"/>
      <x:c r="E495" s="99"/>
    </x:row>
    <x:row r="496">
      <x:c r="D496" s="99"/>
      <x:c r="E496" s="99"/>
    </x:row>
    <x:row r="497">
      <x:c r="D497" s="99"/>
      <x:c r="E497" s="99"/>
    </x:row>
    <x:row r="498">
      <x:c r="D498" s="99"/>
      <x:c r="E498" s="99"/>
    </x:row>
    <x:row r="499">
      <x:c r="D499" s="99"/>
      <x:c r="E499" s="99"/>
    </x:row>
    <x:row r="500">
      <x:c r="D500" s="99"/>
      <x:c r="E500" s="99"/>
    </x:row>
    <x:row r="501">
      <x:c r="D501" s="99"/>
      <x:c r="E501" s="99"/>
    </x:row>
    <x:row r="502">
      <x:c r="D502" s="99"/>
      <x:c r="E502" s="99"/>
    </x:row>
    <x:row r="503">
      <x:c r="D503" s="99"/>
      <x:c r="E503" s="99"/>
    </x:row>
    <x:row r="504">
      <x:c r="D504" s="99"/>
      <x:c r="E504" s="99"/>
    </x:row>
    <x:row r="505">
      <x:c r="D505" s="99"/>
      <x:c r="E505" s="99"/>
    </x:row>
    <x:row r="506">
      <x:c r="D506" s="99"/>
      <x:c r="E506" s="99"/>
    </x:row>
    <x:row r="507">
      <x:c r="D507" s="99"/>
      <x:c r="E507" s="99"/>
    </x:row>
    <x:row r="508">
      <x:c r="D508" s="99"/>
      <x:c r="E508" s="99"/>
    </x:row>
    <x:row r="509">
      <x:c r="D509" s="99"/>
      <x:c r="E509" s="99"/>
    </x:row>
    <x:row r="510">
      <x:c r="D510" s="99"/>
      <x:c r="E510" s="99"/>
    </x:row>
    <x:row r="511">
      <x:c r="D511" s="99"/>
      <x:c r="E511" s="99"/>
    </x:row>
    <x:row r="512">
      <x:c r="D512" s="99"/>
      <x:c r="E512" s="99"/>
    </x:row>
    <x:row r="513">
      <x:c r="D513" s="99"/>
      <x:c r="E513" s="99"/>
    </x:row>
    <x:row r="514">
      <x:c r="D514" s="99"/>
      <x:c r="E514" s="99"/>
    </x:row>
    <x:row r="515">
      <x:c r="D515" s="99"/>
      <x:c r="E515" s="99"/>
    </x:row>
    <x:row r="516">
      <x:c r="D516" s="99"/>
      <x:c r="E516" s="99"/>
    </x:row>
    <x:row r="517">
      <x:c r="D517" s="99"/>
      <x:c r="E517" s="99"/>
    </x:row>
    <x:row r="518">
      <x:c r="D518" s="99"/>
      <x:c r="E518" s="99"/>
    </x:row>
    <x:row r="519">
      <x:c r="D519" s="99"/>
      <x:c r="E519" s="99"/>
    </x:row>
    <x:row r="520">
      <x:c r="D520" s="99"/>
      <x:c r="E520" s="99"/>
    </x:row>
    <x:row r="521">
      <x:c r="D521" s="99"/>
      <x:c r="E521" s="99"/>
    </x:row>
    <x:row r="522">
      <x:c r="D522" s="99"/>
      <x:c r="E522" s="99"/>
    </x:row>
    <x:row r="523">
      <x:c r="D523" s="99"/>
      <x:c r="E523" s="99"/>
    </x:row>
    <x:row r="524">
      <x:c r="D524" s="99"/>
      <x:c r="E524" s="99"/>
    </x:row>
    <x:row r="525">
      <x:c r="D525" s="99"/>
      <x:c r="E525" s="99"/>
    </x:row>
    <x:row r="526">
      <x:c r="D526" s="99"/>
      <x:c r="E526" s="99"/>
    </x:row>
    <x:row r="527">
      <x:c r="D527" s="99"/>
      <x:c r="E527" s="99"/>
    </x:row>
    <x:row r="528">
      <x:c r="D528" s="99"/>
      <x:c r="E528" s="99"/>
    </x:row>
    <x:row r="529">
      <x:c r="D529" s="99"/>
      <x:c r="E529" s="99"/>
    </x:row>
    <x:row r="530">
      <x:c r="D530" s="99"/>
      <x:c r="E530" s="99"/>
    </x:row>
    <x:row r="531">
      <x:c r="D531" s="99"/>
      <x:c r="E531" s="99"/>
    </x:row>
    <x:row r="532">
      <x:c r="D532" s="99"/>
      <x:c r="E532" s="99"/>
    </x:row>
    <x:row r="533">
      <x:c r="D533" s="99"/>
      <x:c r="E533" s="99"/>
    </x:row>
    <x:row r="534">
      <x:c r="D534" s="99"/>
      <x:c r="E534" s="99"/>
    </x:row>
    <x:row r="535">
      <x:c r="D535" s="99"/>
      <x:c r="E535" s="99"/>
    </x:row>
    <x:row r="536">
      <x:c r="D536" s="99"/>
      <x:c r="E536" s="99"/>
    </x:row>
    <x:row r="537">
      <x:c r="D537" s="99"/>
      <x:c r="E537" s="99"/>
    </x:row>
    <x:row r="538">
      <x:c r="D538" s="99"/>
      <x:c r="E538" s="99"/>
    </x:row>
    <x:row r="539">
      <x:c r="D539" s="99"/>
      <x:c r="E539" s="99"/>
    </x:row>
    <x:row r="540">
      <x:c r="D540" s="99"/>
      <x:c r="E540" s="99"/>
    </x:row>
    <x:row r="541">
      <x:c r="D541" s="99"/>
      <x:c r="E541" s="99"/>
    </x:row>
    <x:row r="542">
      <x:c r="D542" s="99"/>
      <x:c r="E542" s="99"/>
    </x:row>
    <x:row r="543">
      <x:c r="D543" s="99"/>
      <x:c r="E543" s="99"/>
    </x:row>
    <x:row r="544">
      <x:c r="D544" s="99"/>
      <x:c r="E544" s="99"/>
    </x:row>
    <x:row r="545">
      <x:c r="D545" s="99"/>
      <x:c r="E545" s="99"/>
    </x:row>
    <x:row r="546">
      <x:c r="D546" s="99"/>
      <x:c r="E546" s="99"/>
    </x:row>
    <x:row r="547">
      <x:c r="D547" s="99"/>
      <x:c r="E547" s="99"/>
    </x:row>
    <x:row r="548">
      <x:c r="D548" s="99"/>
      <x:c r="E548" s="99"/>
    </x:row>
    <x:row r="549">
      <x:c r="D549" s="99"/>
      <x:c r="E549" s="99"/>
    </x:row>
    <x:row r="550">
      <x:c r="D550" s="99"/>
      <x:c r="E550" s="99"/>
    </x:row>
    <x:row r="551">
      <x:c r="D551" s="99"/>
      <x:c r="E551" s="99"/>
    </x:row>
    <x:row r="552">
      <x:c r="D552" s="99"/>
      <x:c r="E552" s="99"/>
    </x:row>
    <x:row r="553">
      <x:c r="D553" s="99"/>
      <x:c r="E553" s="99"/>
    </x:row>
    <x:row r="554">
      <x:c r="D554" s="99"/>
      <x:c r="E554" s="99"/>
    </x:row>
    <x:row r="555">
      <x:c r="D555" s="99"/>
      <x:c r="E555" s="99"/>
    </x:row>
    <x:row r="556">
      <x:c r="D556" s="99"/>
      <x:c r="E556" s="99"/>
    </x:row>
    <x:row r="557">
      <x:c r="D557" s="99"/>
      <x:c r="E557" s="99"/>
    </x:row>
    <x:row r="558">
      <x:c r="D558" s="99"/>
      <x:c r="E558" s="99"/>
    </x:row>
    <x:row r="559">
      <x:c r="D559" s="99"/>
      <x:c r="E559" s="99"/>
    </x:row>
    <x:row r="560">
      <x:c r="D560" s="99"/>
      <x:c r="E560" s="99"/>
    </x:row>
    <x:row r="561">
      <x:c r="D561" s="99"/>
      <x:c r="E561" s="99"/>
    </x:row>
    <x:row r="562">
      <x:c r="D562" s="99"/>
      <x:c r="E562" s="99"/>
    </x:row>
    <x:row r="563">
      <x:c r="D563" s="99"/>
      <x:c r="E563" s="99"/>
    </x:row>
    <x:row r="564">
      <x:c r="D564" s="99"/>
      <x:c r="E564" s="99"/>
    </x:row>
    <x:row r="565">
      <x:c r="D565" s="99"/>
      <x:c r="E565" s="99"/>
    </x:row>
    <x:row r="566">
      <x:c r="D566" s="99"/>
      <x:c r="E566" s="99"/>
    </x:row>
    <x:row r="567">
      <x:c r="D567" s="99"/>
      <x:c r="E567" s="99"/>
    </x:row>
    <x:row r="568">
      <x:c r="D568" s="99"/>
      <x:c r="E568" s="99"/>
    </x:row>
    <x:row r="569">
      <x:c r="D569" s="99"/>
      <x:c r="E569" s="99"/>
    </x:row>
    <x:row r="570">
      <x:c r="D570" s="99"/>
      <x:c r="E570" s="99"/>
    </x:row>
    <x:row r="571">
      <x:c r="D571" s="99"/>
      <x:c r="E571" s="99"/>
    </x:row>
    <x:row r="572">
      <x:c r="D572" s="99"/>
      <x:c r="E572" s="99"/>
    </x:row>
    <x:row r="573">
      <x:c r="D573" s="99"/>
      <x:c r="E573" s="99"/>
    </x:row>
    <x:row r="574">
      <x:c r="D574" s="99"/>
      <x:c r="E574" s="99"/>
    </x:row>
    <x:row r="575">
      <x:c r="D575" s="99"/>
      <x:c r="E575" s="99"/>
    </x:row>
    <x:row r="576">
      <x:c r="D576" s="99"/>
      <x:c r="E576" s="99"/>
    </x:row>
    <x:row r="577">
      <x:c r="D577" s="99"/>
      <x:c r="E577" s="99"/>
    </x:row>
    <x:row r="578">
      <x:c r="D578" s="99"/>
      <x:c r="E578" s="99"/>
    </x:row>
    <x:row r="579">
      <x:c r="D579" s="99"/>
      <x:c r="E579" s="99"/>
    </x:row>
    <x:row r="580">
      <x:c r="D580" s="99"/>
      <x:c r="E580" s="99"/>
    </x:row>
    <x:row r="581">
      <x:c r="D581" s="99"/>
      <x:c r="E581" s="99"/>
    </x:row>
    <x:row r="582">
      <x:c r="D582" s="99"/>
      <x:c r="E582" s="99"/>
    </x:row>
    <x:row r="583">
      <x:c r="D583" s="99"/>
      <x:c r="E583" s="99"/>
    </x:row>
    <x:row r="584">
      <x:c r="D584" s="99"/>
      <x:c r="E584" s="99"/>
    </x:row>
    <x:row r="585">
      <x:c r="D585" s="99"/>
      <x:c r="E585" s="99"/>
    </x:row>
    <x:row r="586">
      <x:c r="D586" s="99"/>
      <x:c r="E586" s="99"/>
    </x:row>
    <x:row r="587">
      <x:c r="D587" s="99"/>
      <x:c r="E587" s="99"/>
    </x:row>
    <x:row r="588">
      <x:c r="D588" s="99"/>
      <x:c r="E588" s="99"/>
    </x:row>
    <x:row r="589">
      <x:c r="D589" s="99"/>
      <x:c r="E589" s="99"/>
    </x:row>
    <x:row r="590">
      <x:c r="D590" s="99"/>
      <x:c r="E590" s="99"/>
    </x:row>
    <x:row r="591">
      <x:c r="D591" s="99"/>
      <x:c r="E591" s="99"/>
    </x:row>
    <x:row r="592">
      <x:c r="D592" s="99"/>
      <x:c r="E592" s="99"/>
    </x:row>
    <x:row r="593">
      <x:c r="D593" s="99"/>
      <x:c r="E593" s="99"/>
    </x:row>
    <x:row r="594">
      <x:c r="D594" s="99"/>
      <x:c r="E594" s="99"/>
    </x:row>
    <x:row r="595">
      <x:c r="D595" s="99"/>
      <x:c r="E595" s="99"/>
    </x:row>
    <x:row r="596">
      <x:c r="D596" s="99"/>
      <x:c r="E596" s="99"/>
    </x:row>
    <x:row r="597">
      <x:c r="D597" s="99"/>
      <x:c r="E597" s="99"/>
    </x:row>
    <x:row r="598">
      <x:c r="D598" s="99"/>
      <x:c r="E598" s="99"/>
    </x:row>
    <x:row r="599">
      <x:c r="D599" s="99"/>
      <x:c r="E599" s="99"/>
    </x:row>
    <x:row r="600">
      <x:c r="D600" s="99"/>
      <x:c r="E600" s="99"/>
    </x:row>
    <x:row r="601">
      <x:c r="D601" s="99"/>
      <x:c r="E601" s="99"/>
    </x:row>
    <x:row r="602">
      <x:c r="D602" s="99"/>
      <x:c r="E602" s="99"/>
    </x:row>
    <x:row r="603">
      <x:c r="D603" s="99"/>
      <x:c r="E603" s="99"/>
    </x:row>
    <x:row r="604">
      <x:c r="D604" s="99"/>
      <x:c r="E604" s="99"/>
    </x:row>
    <x:row r="605">
      <x:c r="D605" s="99"/>
      <x:c r="E605" s="99"/>
    </x:row>
    <x:row r="606">
      <x:c r="D606" s="99"/>
      <x:c r="E606" s="99"/>
    </x:row>
    <x:row r="607">
      <x:c r="D607" s="99"/>
      <x:c r="E607" s="99"/>
    </x:row>
    <x:row r="608">
      <x:c r="D608" s="99"/>
      <x:c r="E608" s="99"/>
    </x:row>
    <x:row r="609">
      <x:c r="D609" s="99"/>
      <x:c r="E609" s="99"/>
    </x:row>
    <x:row r="610">
      <x:c r="D610" s="99"/>
      <x:c r="E610" s="99"/>
    </x:row>
    <x:row r="611">
      <x:c r="D611" s="99"/>
      <x:c r="E611" s="99"/>
    </x:row>
    <x:row r="612">
      <x:c r="D612" s="99"/>
      <x:c r="E612" s="99"/>
    </x:row>
    <x:row r="613">
      <x:c r="D613" s="99"/>
      <x:c r="E613" s="99"/>
    </x:row>
    <x:row r="614">
      <x:c r="D614" s="99"/>
      <x:c r="E614" s="99"/>
    </x:row>
    <x:row r="615">
      <x:c r="D615" s="99"/>
      <x:c r="E615" s="99"/>
    </x:row>
    <x:row r="616">
      <x:c r="D616" s="99"/>
      <x:c r="E616" s="99"/>
    </x:row>
    <x:row r="617">
      <x:c r="D617" s="99"/>
      <x:c r="E617" s="99"/>
    </x:row>
    <x:row r="618">
      <x:c r="D618" s="99"/>
      <x:c r="E618" s="99"/>
    </x:row>
    <x:row r="619">
      <x:c r="D619" s="99"/>
      <x:c r="E619" s="99"/>
    </x:row>
    <x:row r="620">
      <x:c r="D620" s="99"/>
      <x:c r="E620" s="99"/>
    </x:row>
    <x:row r="621">
      <x:c r="D621" s="99"/>
      <x:c r="E621" s="99"/>
    </x:row>
    <x:row r="622">
      <x:c r="D622" s="99"/>
      <x:c r="E622" s="99"/>
    </x:row>
    <x:row r="623">
      <x:c r="D623" s="99"/>
      <x:c r="E623" s="99"/>
    </x:row>
    <x:row r="624">
      <x:c r="D624" s="99"/>
      <x:c r="E624" s="99"/>
    </x:row>
    <x:row r="625">
      <x:c r="D625" s="99"/>
      <x:c r="E625" s="99"/>
    </x:row>
    <x:row r="626">
      <x:c r="D626" s="99"/>
      <x:c r="E626" s="99"/>
    </x:row>
    <x:row r="627">
      <x:c r="D627" s="99"/>
      <x:c r="E627" s="99"/>
    </x:row>
    <x:row r="628">
      <x:c r="D628" s="99"/>
      <x:c r="E628" s="99"/>
    </x:row>
    <x:row r="629">
      <x:c r="D629" s="99"/>
      <x:c r="E629" s="99"/>
    </x:row>
    <x:row r="630">
      <x:c r="D630" s="99"/>
      <x:c r="E630" s="99"/>
    </x:row>
    <x:row r="631">
      <x:c r="D631" s="99"/>
      <x:c r="E631" s="99"/>
    </x:row>
    <x:row r="632">
      <x:c r="D632" s="99"/>
      <x:c r="E632" s="99"/>
    </x:row>
    <x:row r="633">
      <x:c r="D633" s="99"/>
      <x:c r="E633" s="99"/>
    </x:row>
    <x:row r="634">
      <x:c r="D634" s="99"/>
      <x:c r="E634" s="99"/>
    </x:row>
    <x:row r="635">
      <x:c r="D635" s="99"/>
      <x:c r="E635" s="99"/>
    </x:row>
    <x:row r="636">
      <x:c r="D636" s="99"/>
      <x:c r="E636" s="99"/>
    </x:row>
    <x:row r="637">
      <x:c r="D637" s="99"/>
      <x:c r="E637" s="99"/>
    </x:row>
    <x:row r="638">
      <x:c r="D638" s="99"/>
      <x:c r="E638" s="99"/>
    </x:row>
    <x:row r="639">
      <x:c r="D639" s="99"/>
      <x:c r="E639" s="99"/>
    </x:row>
    <x:row r="640">
      <x:c r="D640" s="99"/>
      <x:c r="E640" s="99"/>
    </x:row>
    <x:row r="641">
      <x:c r="D641" s="99"/>
      <x:c r="E641" s="99"/>
    </x:row>
    <x:row r="642">
      <x:c r="D642" s="99"/>
      <x:c r="E642" s="99"/>
    </x:row>
    <x:row r="643">
      <x:c r="D643" s="99"/>
      <x:c r="E643" s="99"/>
    </x:row>
    <x:row r="644">
      <x:c r="D644" s="99"/>
      <x:c r="E644" s="99"/>
    </x:row>
    <x:row r="645">
      <x:c r="D645" s="99"/>
      <x:c r="E645" s="99"/>
    </x:row>
    <x:row r="646">
      <x:c r="D646" s="99"/>
      <x:c r="E646" s="99"/>
    </x:row>
    <x:row r="647">
      <x:c r="D647" s="99"/>
      <x:c r="E647" s="99"/>
    </x:row>
    <x:row r="648">
      <x:c r="D648" s="99"/>
      <x:c r="E648" s="99"/>
    </x:row>
    <x:row r="649">
      <x:c r="D649" s="99"/>
      <x:c r="E649" s="99"/>
    </x:row>
    <x:row r="650">
      <x:c r="D650" s="99"/>
      <x:c r="E650" s="99"/>
    </x:row>
    <x:row r="651">
      <x:c r="D651" s="99"/>
      <x:c r="E651" s="99"/>
    </x:row>
    <x:row r="652">
      <x:c r="D652" s="99"/>
      <x:c r="E652" s="99"/>
    </x:row>
    <x:row r="653">
      <x:c r="D653" s="99"/>
      <x:c r="E653" s="99"/>
    </x:row>
    <x:row r="654">
      <x:c r="D654" s="99"/>
      <x:c r="E654" s="99"/>
    </x:row>
    <x:row r="655">
      <x:c r="D655" s="99"/>
      <x:c r="E655" s="99"/>
    </x:row>
    <x:row r="656">
      <x:c r="D656" s="99"/>
      <x:c r="E656" s="99"/>
    </x:row>
    <x:row r="657">
      <x:c r="D657" s="99"/>
      <x:c r="E657" s="99"/>
    </x:row>
    <x:row r="658">
      <x:c r="D658" s="99"/>
      <x:c r="E658" s="99"/>
    </x:row>
    <x:row r="659">
      <x:c r="D659" s="99"/>
      <x:c r="E659" s="99"/>
    </x:row>
    <x:row r="660">
      <x:c r="D660" s="99"/>
      <x:c r="E660" s="99"/>
    </x:row>
    <x:row r="661">
      <x:c r="D661" s="99"/>
      <x:c r="E661" s="99"/>
    </x:row>
    <x:row r="662">
      <x:c r="D662" s="99"/>
      <x:c r="E662" s="99"/>
    </x:row>
    <x:row r="663">
      <x:c r="D663" s="99"/>
      <x:c r="E663" s="99"/>
    </x:row>
    <x:row r="664">
      <x:c r="D664" s="99"/>
      <x:c r="E664" s="99"/>
    </x:row>
    <x:row r="665">
      <x:c r="D665" s="99"/>
      <x:c r="E665" s="99"/>
    </x:row>
    <x:row r="666">
      <x:c r="D666" s="99"/>
      <x:c r="E666" s="99"/>
    </x:row>
    <x:row r="667">
      <x:c r="D667" s="99"/>
      <x:c r="E667" s="99"/>
    </x:row>
    <x:row r="668">
      <x:c r="D668" s="99"/>
      <x:c r="E668" s="99"/>
    </x:row>
    <x:row r="669">
      <x:c r="D669" s="99"/>
      <x:c r="E669" s="99"/>
    </x:row>
    <x:row r="670">
      <x:c r="D670" s="99"/>
      <x:c r="E670" s="99"/>
    </x:row>
    <x:row r="671">
      <x:c r="D671" s="99"/>
      <x:c r="E671" s="99"/>
    </x:row>
    <x:row r="672">
      <x:c r="D672" s="99"/>
      <x:c r="E672" s="99"/>
    </x:row>
    <x:row r="673">
      <x:c r="D673" s="99"/>
      <x:c r="E673" s="99"/>
    </x:row>
    <x:row r="674">
      <x:c r="D674" s="99"/>
      <x:c r="E674" s="99"/>
    </x:row>
    <x:row r="675">
      <x:c r="D675" s="99"/>
      <x:c r="E675" s="99"/>
    </x:row>
    <x:row r="676">
      <x:c r="D676" s="99"/>
      <x:c r="E676" s="99"/>
    </x:row>
    <x:row r="677">
      <x:c r="D677" s="99"/>
      <x:c r="E677" s="99"/>
    </x:row>
    <x:row r="678">
      <x:c r="D678" s="99"/>
      <x:c r="E678" s="99"/>
    </x:row>
    <x:row r="679">
      <x:c r="D679" s="99"/>
      <x:c r="E679" s="99"/>
    </x:row>
    <x:row r="680">
      <x:c r="D680" s="99"/>
      <x:c r="E680" s="99"/>
    </x:row>
    <x:row r="681">
      <x:c r="D681" s="99"/>
      <x:c r="E681" s="99"/>
    </x:row>
    <x:row r="682">
      <x:c r="D682" s="99"/>
      <x:c r="E682" s="99"/>
    </x:row>
    <x:row r="683">
      <x:c r="D683" s="99"/>
      <x:c r="E683" s="99"/>
    </x:row>
    <x:row r="684">
      <x:c r="D684" s="99"/>
      <x:c r="E684" s="99"/>
    </x:row>
    <x:row r="685">
      <x:c r="D685" s="99"/>
      <x:c r="E685" s="99"/>
    </x:row>
    <x:row r="686">
      <x:c r="D686" s="99"/>
      <x:c r="E686" s="99"/>
    </x:row>
    <x:row r="687">
      <x:c r="D687" s="99"/>
      <x:c r="E687" s="99"/>
    </x:row>
    <x:row r="688">
      <x:c r="D688" s="99"/>
      <x:c r="E688" s="99"/>
    </x:row>
    <x:row r="689">
      <x:c r="D689" s="99"/>
      <x:c r="E689" s="99"/>
    </x:row>
    <x:row r="690">
      <x:c r="D690" s="99"/>
      <x:c r="E690" s="99"/>
    </x:row>
    <x:row r="691">
      <x:c r="D691" s="99"/>
      <x:c r="E691" s="99"/>
    </x:row>
    <x:row r="692">
      <x:c r="D692" s="99"/>
      <x:c r="E692" s="99"/>
    </x:row>
    <x:row r="693">
      <x:c r="D693" s="99"/>
      <x:c r="E693" s="99"/>
    </x:row>
    <x:row r="694">
      <x:c r="D694" s="99"/>
      <x:c r="E694" s="99"/>
    </x:row>
    <x:row r="695">
      <x:c r="D695" s="99"/>
      <x:c r="E695" s="99"/>
    </x:row>
    <x:row r="696">
      <x:c r="D696" s="99"/>
      <x:c r="E696" s="99"/>
    </x:row>
    <x:row r="697">
      <x:c r="D697" s="99"/>
      <x:c r="E697" s="99"/>
    </x:row>
    <x:row r="698">
      <x:c r="D698" s="99"/>
      <x:c r="E698" s="99"/>
    </x:row>
    <x:row r="699">
      <x:c r="D699" s="99"/>
      <x:c r="E699" s="99"/>
    </x:row>
    <x:row r="700">
      <x:c r="D700" s="99"/>
      <x:c r="E700" s="99"/>
    </x:row>
    <x:row r="701">
      <x:c r="D701" s="99"/>
      <x:c r="E701" s="99"/>
    </x:row>
    <x:row r="702">
      <x:c r="D702" s="99"/>
      <x:c r="E702" s="99"/>
    </x:row>
    <x:row r="703">
      <x:c r="D703" s="99"/>
      <x:c r="E703" s="99"/>
    </x:row>
    <x:row r="704">
      <x:c r="D704" s="99"/>
      <x:c r="E704" s="99"/>
    </x:row>
    <x:row r="705">
      <x:c r="D705" s="99"/>
      <x:c r="E705" s="99"/>
    </x:row>
    <x:row r="706">
      <x:c r="D706" s="99"/>
      <x:c r="E706" s="99"/>
    </x:row>
    <x:row r="707">
      <x:c r="D707" s="99"/>
      <x:c r="E707" s="99"/>
    </x:row>
    <x:row r="708">
      <x:c r="D708" s="99"/>
      <x:c r="E708" s="99"/>
    </x:row>
    <x:row r="709">
      <x:c r="D709" s="99"/>
      <x:c r="E709" s="99"/>
    </x:row>
    <x:row r="710">
      <x:c r="D710" s="99"/>
      <x:c r="E710" s="99"/>
    </x:row>
    <x:row r="711">
      <x:c r="D711" s="99"/>
      <x:c r="E711" s="99"/>
    </x:row>
    <x:row r="712">
      <x:c r="D712" s="99"/>
      <x:c r="E712" s="99"/>
    </x:row>
    <x:row r="713">
      <x:c r="D713" s="99"/>
      <x:c r="E713" s="99"/>
    </x:row>
    <x:row r="714">
      <x:c r="D714" s="99"/>
      <x:c r="E714" s="99"/>
    </x:row>
    <x:row r="715">
      <x:c r="D715" s="99"/>
      <x:c r="E715" s="99"/>
    </x:row>
    <x:row r="716">
      <x:c r="D716" s="99"/>
      <x:c r="E716" s="99"/>
    </x:row>
    <x:row r="717">
      <x:c r="D717" s="99"/>
      <x:c r="E717" s="99"/>
    </x:row>
    <x:row r="718">
      <x:c r="D718" s="99"/>
      <x:c r="E718" s="99"/>
    </x:row>
    <x:row r="719">
      <x:c r="D719" s="99"/>
      <x:c r="E719" s="99"/>
    </x:row>
    <x:row r="720">
      <x:c r="D720" s="99"/>
      <x:c r="E720" s="99"/>
    </x:row>
    <x:row r="721">
      <x:c r="D721" s="99"/>
      <x:c r="E721" s="99"/>
    </x:row>
    <x:row r="722">
      <x:c r="D722" s="99"/>
      <x:c r="E722" s="99"/>
    </x:row>
    <x:row r="723">
      <x:c r="D723" s="99"/>
      <x:c r="E723" s="99"/>
    </x:row>
    <x:row r="724">
      <x:c r="D724" s="99"/>
      <x:c r="E724" s="99"/>
    </x:row>
    <x:row r="725">
      <x:c r="D725" s="99"/>
      <x:c r="E725" s="99"/>
    </x:row>
    <x:row r="726">
      <x:c r="D726" s="99"/>
      <x:c r="E726" s="99"/>
    </x:row>
    <x:row r="727">
      <x:c r="D727" s="99"/>
      <x:c r="E727" s="99"/>
    </x:row>
    <x:row r="728">
      <x:c r="D728" s="99"/>
      <x:c r="E728" s="99"/>
    </x:row>
    <x:row r="729">
      <x:c r="D729" s="99"/>
      <x:c r="E729" s="99"/>
    </x:row>
    <x:row r="730">
      <x:c r="D730" s="99"/>
      <x:c r="E730" s="99"/>
    </x:row>
    <x:row r="731">
      <x:c r="D731" s="99"/>
      <x:c r="E731" s="99"/>
    </x:row>
    <x:row r="732">
      <x:c r="D732" s="99"/>
      <x:c r="E732" s="99"/>
    </x:row>
    <x:row r="733">
      <x:c r="D733" s="99"/>
      <x:c r="E733" s="99"/>
    </x:row>
    <x:row r="734">
      <x:c r="D734" s="99"/>
      <x:c r="E734" s="99"/>
    </x:row>
    <x:row r="735">
      <x:c r="D735" s="99"/>
      <x:c r="E735" s="99"/>
    </x:row>
    <x:row r="736">
      <x:c r="D736" s="99"/>
      <x:c r="E736" s="99"/>
    </x:row>
    <x:row r="737">
      <x:c r="D737" s="99"/>
      <x:c r="E737" s="99"/>
    </x:row>
    <x:row r="738">
      <x:c r="D738" s="99"/>
      <x:c r="E738" s="99"/>
    </x:row>
    <x:row r="739">
      <x:c r="D739" s="99"/>
      <x:c r="E739" s="99"/>
    </x:row>
    <x:row r="740">
      <x:c r="D740" s="99"/>
      <x:c r="E740" s="99"/>
    </x:row>
    <x:row r="741">
      <x:c r="D741" s="99"/>
      <x:c r="E741" s="99"/>
    </x:row>
    <x:row r="742">
      <x:c r="D742" s="99"/>
      <x:c r="E742" s="99"/>
    </x:row>
    <x:row r="743">
      <x:c r="D743" s="99"/>
      <x:c r="E743" s="99"/>
    </x:row>
    <x:row r="744">
      <x:c r="D744" s="99"/>
      <x:c r="E744" s="99"/>
    </x:row>
    <x:row r="745">
      <x:c r="D745" s="99"/>
      <x:c r="E745" s="99"/>
    </x:row>
    <x:row r="746">
      <x:c r="D746" s="99"/>
      <x:c r="E746" s="99"/>
    </x:row>
    <x:row r="747">
      <x:c r="D747" s="99"/>
      <x:c r="E747" s="99"/>
    </x:row>
    <x:row r="748">
      <x:c r="D748" s="99"/>
      <x:c r="E748" s="99"/>
    </x:row>
    <x:row r="749">
      <x:c r="D749" s="99"/>
      <x:c r="E749" s="99"/>
    </x:row>
    <x:row r="750">
      <x:c r="D750" s="99"/>
      <x:c r="E750" s="99"/>
    </x:row>
    <x:row r="751">
      <x:c r="D751" s="99"/>
      <x:c r="E751" s="99"/>
    </x:row>
    <x:row r="752">
      <x:c r="D752" s="99"/>
      <x:c r="E752" s="99"/>
    </x:row>
    <x:row r="753">
      <x:c r="D753" s="99"/>
      <x:c r="E753" s="99"/>
    </x:row>
    <x:row r="754">
      <x:c r="D754" s="99"/>
      <x:c r="E754" s="99"/>
    </x:row>
    <x:row r="755">
      <x:c r="D755" s="99"/>
      <x:c r="E755" s="99"/>
    </x:row>
    <x:row r="756">
      <x:c r="D756" s="99"/>
      <x:c r="E756" s="99"/>
    </x:row>
    <x:row r="757">
      <x:c r="D757" s="99"/>
      <x:c r="E757" s="99"/>
    </x:row>
    <x:row r="758">
      <x:c r="D758" s="99"/>
      <x:c r="E758" s="99"/>
    </x:row>
    <x:row r="759">
      <x:c r="D759" s="99"/>
      <x:c r="E759" s="99"/>
    </x:row>
    <x:row r="760">
      <x:c r="D760" s="99"/>
      <x:c r="E760" s="99"/>
    </x:row>
    <x:row r="761">
      <x:c r="D761" s="99"/>
      <x:c r="E761" s="99"/>
    </x:row>
    <x:row r="762">
      <x:c r="D762" s="99"/>
      <x:c r="E762" s="99"/>
    </x:row>
    <x:row r="763">
      <x:c r="D763" s="99"/>
      <x:c r="E763" s="99"/>
    </x:row>
    <x:row r="764">
      <x:c r="D764" s="99"/>
      <x:c r="E764" s="99"/>
    </x:row>
    <x:row r="765">
      <x:c r="D765" s="99"/>
      <x:c r="E765" s="99"/>
    </x:row>
    <x:row r="766">
      <x:c r="D766" s="99"/>
      <x:c r="E766" s="99"/>
    </x:row>
    <x:row r="767">
      <x:c r="D767" s="99"/>
      <x:c r="E767" s="99"/>
    </x:row>
    <x:row r="768">
      <x:c r="D768" s="99"/>
      <x:c r="E768" s="99"/>
    </x:row>
    <x:row r="769">
      <x:c r="D769" s="99"/>
      <x:c r="E769" s="99"/>
    </x:row>
    <x:row r="770">
      <x:c r="D770" s="99"/>
      <x:c r="E770" s="99"/>
    </x:row>
    <x:row r="771">
      <x:c r="D771" s="99"/>
      <x:c r="E771" s="99"/>
    </x:row>
    <x:row r="772">
      <x:c r="D772" s="99"/>
      <x:c r="E772" s="99"/>
    </x:row>
    <x:row r="773">
      <x:c r="D773" s="99"/>
      <x:c r="E773" s="99"/>
    </x:row>
    <x:row r="774">
      <x:c r="D774" s="99"/>
      <x:c r="E774" s="99"/>
    </x:row>
    <x:row r="775">
      <x:c r="D775" s="99"/>
      <x:c r="E775" s="99"/>
    </x:row>
    <x:row r="776">
      <x:c r="D776" s="99"/>
      <x:c r="E776" s="99"/>
    </x:row>
    <x:row r="777">
      <x:c r="D777" s="99"/>
      <x:c r="E777" s="99"/>
    </x:row>
    <x:row r="778">
      <x:c r="D778" s="99"/>
      <x:c r="E778" s="99"/>
    </x:row>
    <x:row r="779">
      <x:c r="D779" s="99"/>
      <x:c r="E779" s="99"/>
    </x:row>
    <x:row r="780">
      <x:c r="D780" s="99"/>
      <x:c r="E780" s="99"/>
    </x:row>
    <x:row r="781">
      <x:c r="D781" s="99"/>
      <x:c r="E781" s="99"/>
    </x:row>
    <x:row r="782">
      <x:c r="D782" s="99"/>
      <x:c r="E782" s="99"/>
    </x:row>
    <x:row r="783">
      <x:c r="D783" s="99"/>
      <x:c r="E783" s="99"/>
    </x:row>
    <x:row r="784">
      <x:c r="D784" s="99"/>
      <x:c r="E784" s="99"/>
    </x:row>
    <x:row r="785">
      <x:c r="D785" s="99"/>
      <x:c r="E785" s="99"/>
    </x:row>
    <x:row r="786">
      <x:c r="D786" s="99"/>
      <x:c r="E786" s="99"/>
    </x:row>
    <x:row r="787">
      <x:c r="D787" s="99"/>
      <x:c r="E787" s="99"/>
    </x:row>
    <x:row r="788">
      <x:c r="D788" s="99"/>
      <x:c r="E788" s="99"/>
    </x:row>
    <x:row r="789">
      <x:c r="D789" s="99"/>
      <x:c r="E789" s="99"/>
    </x:row>
    <x:row r="790">
      <x:c r="D790" s="99"/>
      <x:c r="E790" s="99"/>
    </x:row>
    <x:row r="791">
      <x:c r="D791" s="99"/>
      <x:c r="E791" s="99"/>
    </x:row>
    <x:row r="792">
      <x:c r="D792" s="99"/>
      <x:c r="E792" s="99"/>
    </x:row>
    <x:row r="793">
      <x:c r="D793" s="99"/>
      <x:c r="E793" s="99"/>
    </x:row>
    <x:row r="794">
      <x:c r="D794" s="99"/>
      <x:c r="E794" s="99"/>
    </x:row>
    <x:row r="795">
      <x:c r="D795" s="99"/>
      <x:c r="E795" s="99"/>
    </x:row>
    <x:row r="796">
      <x:c r="D796" s="99"/>
      <x:c r="E796" s="99"/>
    </x:row>
    <x:row r="797">
      <x:c r="D797" s="99"/>
      <x:c r="E797" s="99"/>
    </x:row>
    <x:row r="798">
      <x:c r="D798" s="99"/>
      <x:c r="E798" s="99"/>
    </x:row>
    <x:row r="799">
      <x:c r="D799" s="99"/>
      <x:c r="E799" s="99"/>
    </x:row>
    <x:row r="800">
      <x:c r="D800" s="99"/>
      <x:c r="E800" s="99"/>
    </x:row>
    <x:row r="801">
      <x:c r="D801" s="99"/>
      <x:c r="E801" s="99"/>
    </x:row>
    <x:row r="802">
      <x:c r="D802" s="99"/>
      <x:c r="E802" s="99"/>
    </x:row>
    <x:row r="803">
      <x:c r="D803" s="99"/>
      <x:c r="E803" s="99"/>
    </x:row>
    <x:row r="804">
      <x:c r="D804" s="99"/>
      <x:c r="E804" s="99"/>
    </x:row>
    <x:row r="805">
      <x:c r="D805" s="99"/>
      <x:c r="E805" s="99"/>
    </x:row>
    <x:row r="806">
      <x:c r="D806" s="99"/>
      <x:c r="E806" s="99"/>
    </x:row>
    <x:row r="807">
      <x:c r="D807" s="99"/>
      <x:c r="E807" s="99"/>
    </x:row>
    <x:row r="808">
      <x:c r="D808" s="99"/>
      <x:c r="E808" s="99"/>
    </x:row>
    <x:row r="809">
      <x:c r="D809" s="99"/>
      <x:c r="E809" s="99"/>
    </x:row>
    <x:row r="810">
      <x:c r="D810" s="99"/>
      <x:c r="E810" s="99"/>
    </x:row>
    <x:row r="811">
      <x:c r="D811" s="99"/>
      <x:c r="E811" s="99"/>
    </x:row>
    <x:row r="812">
      <x:c r="D812" s="99"/>
      <x:c r="E812" s="99"/>
    </x:row>
    <x:row r="813">
      <x:c r="D813" s="99"/>
      <x:c r="E813" s="99"/>
    </x:row>
    <x:row r="814">
      <x:c r="D814" s="99"/>
      <x:c r="E814" s="99"/>
    </x:row>
    <x:row r="815">
      <x:c r="D815" s="99"/>
      <x:c r="E815" s="99"/>
    </x:row>
    <x:row r="816">
      <x:c r="D816" s="99"/>
      <x:c r="E816" s="99"/>
    </x:row>
    <x:row r="817">
      <x:c r="D817" s="99"/>
      <x:c r="E817" s="99"/>
    </x:row>
    <x:row r="818">
      <x:c r="D818" s="99"/>
      <x:c r="E818" s="99"/>
    </x:row>
    <x:row r="819">
      <x:c r="D819" s="99"/>
      <x:c r="E819" s="99"/>
    </x:row>
    <x:row r="820">
      <x:c r="D820" s="99"/>
      <x:c r="E820" s="99"/>
    </x:row>
    <x:row r="821">
      <x:c r="D821" s="99"/>
      <x:c r="E821" s="99"/>
    </x:row>
    <x:row r="822">
      <x:c r="D822" s="99"/>
      <x:c r="E822" s="99"/>
    </x:row>
    <x:row r="823">
      <x:c r="D823" s="99"/>
      <x:c r="E823" s="99"/>
    </x:row>
    <x:row r="824">
      <x:c r="D824" s="99"/>
      <x:c r="E824" s="99"/>
    </x:row>
    <x:row r="825">
      <x:c r="D825" s="99"/>
      <x:c r="E825" s="99"/>
    </x:row>
    <x:row r="826">
      <x:c r="D826" s="99"/>
      <x:c r="E826" s="99"/>
    </x:row>
    <x:row r="827">
      <x:c r="D827" s="99"/>
      <x:c r="E827" s="99"/>
    </x:row>
    <x:row r="828">
      <x:c r="D828" s="99"/>
      <x:c r="E828" s="99"/>
    </x:row>
    <x:row r="829">
      <x:c r="D829" s="99"/>
      <x:c r="E829" s="99"/>
    </x:row>
    <x:row r="830">
      <x:c r="D830" s="99"/>
      <x:c r="E830" s="99"/>
    </x:row>
    <x:row r="831">
      <x:c r="D831" s="99"/>
      <x:c r="E831" s="99"/>
    </x:row>
    <x:row r="832">
      <x:c r="D832" s="99"/>
      <x:c r="E832" s="99"/>
    </x:row>
    <x:row r="833">
      <x:c r="D833" s="99"/>
      <x:c r="E833" s="99"/>
    </x:row>
    <x:row r="834">
      <x:c r="D834" s="99"/>
      <x:c r="E834" s="99"/>
    </x:row>
    <x:row r="835">
      <x:c r="D835" s="99"/>
      <x:c r="E835" s="99"/>
    </x:row>
    <x:row r="836">
      <x:c r="D836" s="99"/>
      <x:c r="E836" s="99"/>
    </x:row>
    <x:row r="837">
      <x:c r="D837" s="99"/>
      <x:c r="E837" s="99"/>
    </x:row>
    <x:row r="838">
      <x:c r="D838" s="99"/>
      <x:c r="E838" s="99"/>
    </x:row>
    <x:row r="839">
      <x:c r="D839" s="99"/>
      <x:c r="E839" s="99"/>
    </x:row>
    <x:row r="840">
      <x:c r="D840" s="99"/>
      <x:c r="E840" s="99"/>
    </x:row>
    <x:row r="841">
      <x:c r="D841" s="99"/>
      <x:c r="E841" s="99"/>
    </x:row>
    <x:row r="842">
      <x:c r="D842" s="99"/>
      <x:c r="E842" s="99"/>
    </x:row>
    <x:row r="843">
      <x:c r="D843" s="99"/>
      <x:c r="E843" s="99"/>
    </x:row>
    <x:row r="844">
      <x:c r="D844" s="99"/>
      <x:c r="E844" s="99"/>
    </x:row>
    <x:row r="845">
      <x:c r="D845" s="99"/>
      <x:c r="E845" s="99"/>
    </x:row>
    <x:row r="846">
      <x:c r="D846" s="99"/>
      <x:c r="E846" s="99"/>
    </x:row>
    <x:row r="847">
      <x:c r="D847" s="99"/>
      <x:c r="E847" s="99"/>
    </x:row>
    <x:row r="848">
      <x:c r="D848" s="99"/>
      <x:c r="E848" s="99"/>
    </x:row>
    <x:row r="849">
      <x:c r="D849" s="99"/>
      <x:c r="E849" s="99"/>
    </x:row>
    <x:row r="850">
      <x:c r="D850" s="99"/>
      <x:c r="E850" s="99"/>
    </x:row>
    <x:row r="851">
      <x:c r="D851" s="99"/>
      <x:c r="E851" s="99"/>
    </x:row>
    <x:row r="852">
      <x:c r="D852" s="99"/>
      <x:c r="E852" s="99"/>
    </x:row>
    <x:row r="853">
      <x:c r="D853" s="99"/>
      <x:c r="E853" s="99"/>
    </x:row>
    <x:row r="854">
      <x:c r="D854" s="99"/>
      <x:c r="E854" s="99"/>
    </x:row>
    <x:row r="855">
      <x:c r="D855" s="99"/>
      <x:c r="E855" s="99"/>
    </x:row>
    <x:row r="856">
      <x:c r="D856" s="99"/>
      <x:c r="E856" s="99"/>
    </x:row>
    <x:row r="857">
      <x:c r="D857" s="99"/>
      <x:c r="E857" s="99"/>
    </x:row>
    <x:row r="858">
      <x:c r="D858" s="99"/>
      <x:c r="E858" s="99"/>
    </x:row>
    <x:row r="859">
      <x:c r="D859" s="99"/>
      <x:c r="E859" s="99"/>
    </x:row>
    <x:row r="860">
      <x:c r="D860" s="99"/>
      <x:c r="E860" s="99"/>
    </x:row>
    <x:row r="861">
      <x:c r="D861" s="99"/>
      <x:c r="E861" s="99"/>
    </x:row>
    <x:row r="862">
      <x:c r="D862" s="99"/>
      <x:c r="E862" s="99"/>
    </x:row>
    <x:row r="863">
      <x:c r="D863" s="99"/>
      <x:c r="E863" s="99"/>
    </x:row>
    <x:row r="864">
      <x:c r="D864" s="99"/>
      <x:c r="E864" s="99"/>
    </x:row>
    <x:row r="865">
      <x:c r="D865" s="99"/>
      <x:c r="E865" s="99"/>
    </x:row>
    <x:row r="866">
      <x:c r="D866" s="99"/>
      <x:c r="E866" s="99"/>
    </x:row>
    <x:row r="867">
      <x:c r="D867" s="99"/>
      <x:c r="E867" s="99"/>
    </x:row>
    <x:row r="868">
      <x:c r="D868" s="99"/>
      <x:c r="E868" s="99"/>
    </x:row>
    <x:row r="869">
      <x:c r="D869" s="99"/>
      <x:c r="E869" s="99"/>
    </x:row>
    <x:row r="870">
      <x:c r="D870" s="99"/>
      <x:c r="E870" s="99"/>
    </x:row>
    <x:row r="871">
      <x:c r="D871" s="99"/>
      <x:c r="E871" s="99"/>
    </x:row>
    <x:row r="872">
      <x:c r="D872" s="99"/>
      <x:c r="E872" s="99"/>
    </x:row>
    <x:row r="873">
      <x:c r="D873" s="99"/>
      <x:c r="E873" s="99"/>
    </x:row>
    <x:row r="874">
      <x:c r="D874" s="99"/>
      <x:c r="E874" s="99"/>
    </x:row>
    <x:row r="875">
      <x:c r="D875" s="99"/>
      <x:c r="E875" s="99"/>
    </x:row>
    <x:row r="876">
      <x:c r="D876" s="99"/>
      <x:c r="E876" s="99"/>
    </x:row>
    <x:row r="877">
      <x:c r="D877" s="99"/>
      <x:c r="E877" s="99"/>
    </x:row>
    <x:row r="878">
      <x:c r="D878" s="99"/>
      <x:c r="E878" s="99"/>
    </x:row>
    <x:row r="879">
      <x:c r="D879" s="99"/>
      <x:c r="E879" s="99"/>
    </x:row>
    <x:row r="880">
      <x:c r="D880" s="99"/>
      <x:c r="E880" s="99"/>
    </x:row>
    <x:row r="881">
      <x:c r="D881" s="99"/>
      <x:c r="E881" s="99"/>
    </x:row>
    <x:row r="882">
      <x:c r="D882" s="99"/>
      <x:c r="E882" s="99"/>
    </x:row>
    <x:row r="883">
      <x:c r="D883" s="99"/>
      <x:c r="E883" s="99"/>
    </x:row>
    <x:row r="884">
      <x:c r="D884" s="99"/>
      <x:c r="E884" s="99"/>
    </x:row>
    <x:row r="885">
      <x:c r="D885" s="99"/>
      <x:c r="E885" s="99"/>
    </x:row>
    <x:row r="886">
      <x:c r="D886" s="99"/>
      <x:c r="E886" s="99"/>
    </x:row>
    <x:row r="887">
      <x:c r="D887" s="99"/>
      <x:c r="E887" s="99"/>
    </x:row>
    <x:row r="888">
      <x:c r="D888" s="99"/>
      <x:c r="E888" s="99"/>
    </x:row>
    <x:row r="889">
      <x:c r="D889" s="99"/>
      <x:c r="E889" s="99"/>
    </x:row>
    <x:row r="890">
      <x:c r="D890" s="99"/>
      <x:c r="E890" s="99"/>
    </x:row>
    <x:row r="891">
      <x:c r="D891" s="99"/>
      <x:c r="E891" s="99"/>
    </x:row>
    <x:row r="892">
      <x:c r="D892" s="99"/>
      <x:c r="E892" s="99"/>
    </x:row>
    <x:row r="893">
      <x:c r="D893" s="99"/>
      <x:c r="E893" s="99"/>
    </x:row>
    <x:row r="894">
      <x:c r="D894" s="99"/>
      <x:c r="E894" s="99"/>
    </x:row>
    <x:row r="895">
      <x:c r="D895" s="99"/>
      <x:c r="E895" s="99"/>
    </x:row>
    <x:row r="896">
      <x:c r="D896" s="99"/>
      <x:c r="E896" s="99"/>
    </x:row>
    <x:row r="897">
      <x:c r="D897" s="99"/>
      <x:c r="E897" s="99"/>
    </x:row>
    <x:row r="898">
      <x:c r="D898" s="99"/>
      <x:c r="E898" s="99"/>
    </x:row>
    <x:row r="899">
      <x:c r="D899" s="99"/>
      <x:c r="E899" s="99"/>
    </x:row>
    <x:row r="900">
      <x:c r="D900" s="99"/>
      <x:c r="E900" s="99"/>
    </x:row>
    <x:row r="901">
      <x:c r="D901" s="99"/>
      <x:c r="E901" s="99"/>
    </x:row>
    <x:row r="902">
      <x:c r="D902" s="99"/>
      <x:c r="E902" s="99"/>
    </x:row>
    <x:row r="903">
      <x:c r="D903" s="99"/>
      <x:c r="E903" s="99"/>
    </x:row>
    <x:row r="904">
      <x:c r="D904" s="99"/>
      <x:c r="E904" s="99"/>
    </x:row>
    <x:row r="905">
      <x:c r="D905" s="99"/>
      <x:c r="E905" s="99"/>
    </x:row>
    <x:row r="906">
      <x:c r="D906" s="99"/>
      <x:c r="E906" s="99"/>
    </x:row>
    <x:row r="907">
      <x:c r="D907" s="99"/>
      <x:c r="E907" s="99"/>
    </x:row>
    <x:row r="908">
      <x:c r="D908" s="99"/>
      <x:c r="E908" s="99"/>
    </x:row>
    <x:row r="909">
      <x:c r="D909" s="99"/>
      <x:c r="E909" s="99"/>
    </x:row>
    <x:row r="910">
      <x:c r="D910" s="99"/>
      <x:c r="E910" s="99"/>
    </x:row>
    <x:row r="911">
      <x:c r="D911" s="99"/>
      <x:c r="E911" s="99"/>
    </x:row>
    <x:row r="912">
      <x:c r="D912" s="99"/>
      <x:c r="E912" s="99"/>
    </x:row>
    <x:row r="913">
      <x:c r="D913" s="99"/>
      <x:c r="E913" s="99"/>
    </x:row>
    <x:row r="914">
      <x:c r="D914" s="99"/>
      <x:c r="E914" s="99"/>
    </x:row>
    <x:row r="915">
      <x:c r="D915" s="99"/>
      <x:c r="E915" s="99"/>
    </x:row>
    <x:row r="916">
      <x:c r="D916" s="99"/>
      <x:c r="E916" s="99"/>
    </x:row>
    <x:row r="917">
      <x:c r="D917" s="99"/>
      <x:c r="E917" s="99"/>
    </x:row>
    <x:row r="918">
      <x:c r="D918" s="99"/>
      <x:c r="E918" s="99"/>
    </x:row>
    <x:row r="919">
      <x:c r="D919" s="99"/>
      <x:c r="E919" s="99"/>
    </x:row>
    <x:row r="920">
      <x:c r="D920" s="99"/>
      <x:c r="E920" s="99"/>
    </x:row>
    <x:row r="921">
      <x:c r="D921" s="99"/>
      <x:c r="E921" s="99"/>
    </x:row>
    <x:row r="922">
      <x:c r="D922" s="99"/>
      <x:c r="E922" s="99"/>
    </x:row>
    <x:row r="923">
      <x:c r="D923" s="99"/>
      <x:c r="E923" s="99"/>
    </x:row>
    <x:row r="924">
      <x:c r="D924" s="99"/>
      <x:c r="E924" s="99"/>
    </x:row>
    <x:row r="925">
      <x:c r="D925" s="99"/>
      <x:c r="E925" s="99"/>
    </x:row>
    <x:row r="926">
      <x:c r="D926" s="99"/>
      <x:c r="E926" s="99"/>
    </x:row>
    <x:row r="927">
      <x:c r="D927" s="99"/>
      <x:c r="E927" s="99"/>
    </x:row>
    <x:row r="928">
      <x:c r="D928" s="99"/>
      <x:c r="E928" s="99"/>
    </x:row>
    <x:row r="929">
      <x:c r="D929" s="99"/>
      <x:c r="E929" s="99"/>
    </x:row>
    <x:row r="930">
      <x:c r="D930" s="99"/>
      <x:c r="E930" s="99"/>
    </x:row>
    <x:row r="931">
      <x:c r="D931" s="99"/>
      <x:c r="E931" s="99"/>
    </x:row>
    <x:row r="932">
      <x:c r="D932" s="99"/>
      <x:c r="E932" s="99"/>
    </x:row>
    <x:row r="933">
      <x:c r="D933" s="99"/>
      <x:c r="E933" s="99"/>
    </x:row>
    <x:row r="934">
      <x:c r="D934" s="99"/>
      <x:c r="E934" s="99"/>
    </x:row>
    <x:row r="935">
      <x:c r="D935" s="99"/>
      <x:c r="E935" s="99"/>
    </x:row>
    <x:row r="936">
      <x:c r="D936" s="99"/>
      <x:c r="E936" s="99"/>
    </x:row>
    <x:row r="937">
      <x:c r="D937" s="99"/>
      <x:c r="E937" s="99"/>
    </x:row>
    <x:row r="938">
      <x:c r="D938" s="99"/>
      <x:c r="E938" s="99"/>
    </x:row>
    <x:row r="939">
      <x:c r="D939" s="99"/>
      <x:c r="E939" s="99"/>
    </x:row>
    <x:row r="940">
      <x:c r="D940" s="99"/>
      <x:c r="E940" s="99"/>
    </x:row>
    <x:row r="941">
      <x:c r="D941" s="99"/>
      <x:c r="E941" s="99"/>
    </x:row>
    <x:row r="942">
      <x:c r="D942" s="99"/>
      <x:c r="E942" s="99"/>
    </x:row>
    <x:row r="943">
      <x:c r="D943" s="99"/>
      <x:c r="E943" s="99"/>
    </x:row>
    <x:row r="944">
      <x:c r="D944" s="99"/>
      <x:c r="E944" s="99"/>
    </x:row>
    <x:row r="945">
      <x:c r="D945" s="99"/>
      <x:c r="E945" s="99"/>
    </x:row>
    <x:row r="946">
      <x:c r="D946" s="99"/>
      <x:c r="E946" s="99"/>
    </x:row>
    <x:row r="947">
      <x:c r="D947" s="99"/>
      <x:c r="E947" s="99"/>
    </x:row>
    <x:row r="948">
      <x:c r="D948" s="99"/>
      <x:c r="E948" s="99"/>
    </x:row>
    <x:row r="949">
      <x:c r="D949" s="99"/>
      <x:c r="E949" s="99"/>
    </x:row>
    <x:row r="950">
      <x:c r="D950" s="99"/>
      <x:c r="E950" s="99"/>
    </x:row>
    <x:row r="951">
      <x:c r="D951" s="99"/>
      <x:c r="E951" s="99"/>
    </x:row>
    <x:row r="952">
      <x:c r="D952" s="99"/>
      <x:c r="E952" s="99"/>
    </x:row>
    <x:row r="953">
      <x:c r="D953" s="99"/>
      <x:c r="E953" s="99"/>
    </x:row>
    <x:row r="954">
      <x:c r="D954" s="99"/>
      <x:c r="E954" s="99"/>
    </x:row>
    <x:row r="955">
      <x:c r="D955" s="99"/>
      <x:c r="E955" s="99"/>
    </x:row>
    <x:row r="956">
      <x:c r="D956" s="99"/>
      <x:c r="E956" s="99"/>
    </x:row>
    <x:row r="957">
      <x:c r="D957" s="99"/>
      <x:c r="E957" s="99"/>
    </x:row>
    <x:row r="958">
      <x:c r="D958" s="99"/>
      <x:c r="E958" s="99"/>
    </x:row>
    <x:row r="959">
      <x:c r="D959" s="99"/>
      <x:c r="E959" s="99"/>
    </x:row>
    <x:row r="960">
      <x:c r="D960" s="99"/>
      <x:c r="E960" s="99"/>
    </x:row>
    <x:row r="961">
      <x:c r="D961" s="99"/>
      <x:c r="E961" s="99"/>
    </x:row>
    <x:row r="962">
      <x:c r="D962" s="99"/>
      <x:c r="E962" s="99"/>
    </x:row>
    <x:row r="963">
      <x:c r="D963" s="99"/>
      <x:c r="E963" s="99"/>
    </x:row>
    <x:row r="964">
      <x:c r="D964" s="99"/>
      <x:c r="E964" s="99"/>
    </x:row>
    <x:row r="965">
      <x:c r="D965" s="99"/>
      <x:c r="E965" s="99"/>
    </x:row>
    <x:row r="966">
      <x:c r="D966" s="99"/>
      <x:c r="E966" s="99"/>
    </x:row>
    <x:row r="967">
      <x:c r="D967" s="99"/>
      <x:c r="E967" s="99"/>
    </x:row>
    <x:row r="968">
      <x:c r="D968" s="99"/>
      <x:c r="E968" s="99"/>
    </x:row>
    <x:row r="969">
      <x:c r="D969" s="99"/>
      <x:c r="E969" s="99"/>
    </x:row>
    <x:row r="970">
      <x:c r="D970" s="99"/>
      <x:c r="E970" s="99"/>
    </x:row>
    <x:row r="971">
      <x:c r="D971" s="99"/>
      <x:c r="E971" s="99"/>
    </x:row>
    <x:row r="972">
      <x:c r="D972" s="99"/>
      <x:c r="E972" s="99"/>
    </x:row>
    <x:row r="973">
      <x:c r="D973" s="99"/>
      <x:c r="E973" s="99"/>
    </x:row>
    <x:row r="974">
      <x:c r="D974" s="99"/>
      <x:c r="E974" s="99"/>
    </x:row>
    <x:row r="975">
      <x:c r="D975" s="99"/>
      <x:c r="E975" s="99"/>
    </x:row>
    <x:row r="976">
      <x:c r="D976" s="99"/>
      <x:c r="E976" s="99"/>
    </x:row>
    <x:row r="977">
      <x:c r="D977" s="99"/>
      <x:c r="E977" s="99"/>
    </x:row>
    <x:row r="978">
      <x:c r="D978" s="99"/>
      <x:c r="E978" s="99"/>
    </x:row>
    <x:row r="979">
      <x:c r="D979" s="99"/>
      <x:c r="E979" s="99"/>
    </x:row>
    <x:row r="980">
      <x:c r="D980" s="99"/>
      <x:c r="E980" s="99"/>
    </x:row>
    <x:row r="981">
      <x:c r="D981" s="99"/>
      <x:c r="E981" s="99"/>
    </x:row>
    <x:row r="982">
      <x:c r="D982" s="99"/>
      <x:c r="E982" s="99"/>
    </x:row>
    <x:row r="983">
      <x:c r="D983" s="99"/>
      <x:c r="E983" s="99"/>
    </x:row>
    <x:row r="984">
      <x:c r="D984" s="99"/>
      <x:c r="E984" s="99"/>
    </x:row>
    <x:row r="985">
      <x:c r="D985" s="99"/>
      <x:c r="E985" s="99"/>
    </x:row>
    <x:row r="986">
      <x:c r="D986" s="99"/>
      <x:c r="E986" s="99"/>
    </x:row>
    <x:row r="987">
      <x:c r="D987" s="99"/>
      <x:c r="E987" s="99"/>
    </x:row>
    <x:row r="988">
      <x:c r="D988" s="99"/>
      <x:c r="E988" s="99"/>
    </x:row>
    <x:row r="989">
      <x:c r="D989" s="99"/>
      <x:c r="E989" s="99"/>
    </x:row>
    <x:row r="990">
      <x:c r="D990" s="99"/>
      <x:c r="E990" s="99"/>
    </x:row>
    <x:row r="991">
      <x:c r="D991" s="99"/>
      <x:c r="E991" s="99"/>
    </x:row>
    <x:row r="992">
      <x:c r="D992" s="99"/>
      <x:c r="E992" s="99"/>
    </x:row>
    <x:row r="993">
      <x:c r="D993" s="99"/>
      <x:c r="E993" s="99"/>
    </x:row>
    <x:row r="994">
      <x:c r="D994" s="99"/>
      <x:c r="E994" s="99"/>
    </x:row>
    <x:row r="995">
      <x:c r="D995" s="99"/>
      <x:c r="E995" s="99"/>
    </x:row>
    <x:row r="996">
      <x:c r="D996" s="99"/>
      <x:c r="E996" s="99"/>
    </x:row>
    <x:row r="997">
      <x:c r="D997" s="99"/>
      <x:c r="E997" s="99"/>
    </x:row>
    <x:row r="998">
      <x:c r="D998" s="99"/>
      <x:c r="E998" s="99"/>
    </x:row>
    <x:row r="999">
      <x:c r="D999" s="99"/>
      <x:c r="E999" s="99"/>
    </x:row>
    <x:row r="1000">
      <x:c r="D1000" s="99"/>
      <x:c r="E1000" s="99"/>
    </x:row>
    <x:row r="1001">
      <x:c r="D1001" s="99"/>
      <x:c r="E1001" s="99"/>
    </x:row>
    <x:row r="1002">
      <x:c r="D1002" s="99"/>
      <x:c r="E1002" s="99"/>
    </x:row>
    <x:row r="1003">
      <x:c r="D1003" s="99"/>
      <x:c r="E1003" s="99"/>
    </x:row>
    <x:row r="1004">
      <x:c r="D1004" s="99"/>
      <x:c r="E1004" s="99"/>
    </x:row>
    <x:row r="1005">
      <x:c r="D1005" s="99"/>
      <x:c r="E1005" s="99"/>
    </x:row>
    <x:row r="1006">
      <x:c r="D1006" s="99"/>
      <x:c r="E1006" s="99"/>
    </x:row>
    <x:row r="1007">
      <x:c r="D1007" s="99"/>
      <x:c r="E1007" s="99"/>
    </x:row>
    <x:row r="1008">
      <x:c r="D1008" s="99"/>
      <x:c r="E1008" s="99"/>
    </x:row>
    <x:row r="1009">
      <x:c r="D1009" s="99"/>
      <x:c r="E1009" s="99"/>
    </x:row>
    <x:row r="1010">
      <x:c r="D1010" s="99"/>
      <x:c r="E1010" s="99"/>
    </x:row>
    <x:row r="1011">
      <x:c r="D1011" s="99"/>
      <x:c r="E1011" s="99"/>
    </x:row>
    <x:row r="1012">
      <x:c r="D1012" s="99"/>
      <x:c r="E1012" s="99"/>
    </x:row>
    <x:row r="1013">
      <x:c r="D1013" s="99"/>
      <x:c r="E1013" s="99"/>
    </x:row>
    <x:row r="1014">
      <x:c r="D1014" s="99"/>
      <x:c r="E1014" s="99"/>
    </x:row>
    <x:row r="1015">
      <x:c r="D1015" s="99"/>
      <x:c r="E1015" s="99"/>
    </x:row>
    <x:row r="1016">
      <x:c r="D1016" s="99"/>
      <x:c r="E1016" s="99"/>
    </x:row>
    <x:row r="1017">
      <x:c r="D1017" s="99"/>
      <x:c r="E1017" s="99"/>
    </x:row>
    <x:row r="1018">
      <x:c r="D1018" s="99"/>
      <x:c r="E1018" s="99"/>
    </x:row>
    <x:row r="1019">
      <x:c r="D1019" s="99"/>
      <x:c r="E1019" s="99"/>
    </x:row>
    <x:row r="1020">
      <x:c r="D1020" s="99"/>
      <x:c r="E1020" s="99"/>
    </x:row>
    <x:row r="1021">
      <x:c r="D1021" s="99"/>
      <x:c r="E1021" s="99"/>
    </x:row>
    <x:row r="1022">
      <x:c r="D1022" s="99"/>
      <x:c r="E1022" s="99"/>
    </x:row>
    <x:row r="1023">
      <x:c r="D1023" s="99"/>
      <x:c r="E1023" s="99"/>
    </x:row>
    <x:row r="1024">
      <x:c r="D1024" s="99"/>
      <x:c r="E1024" s="99"/>
    </x:row>
    <x:row r="1025">
      <x:c r="D1025" s="99"/>
      <x:c r="E1025" s="99"/>
    </x:row>
    <x:row r="1026">
      <x:c r="D1026" s="99"/>
      <x:c r="E1026" s="99"/>
    </x:row>
    <x:row r="1027">
      <x:c r="D1027" s="99"/>
      <x:c r="E1027" s="99"/>
    </x:row>
    <x:row r="1028">
      <x:c r="D1028" s="99"/>
      <x:c r="E1028" s="99"/>
    </x:row>
    <x:row r="1029">
      <x:c r="D1029" s="99"/>
      <x:c r="E1029" s="99"/>
    </x:row>
    <x:row r="1030">
      <x:c r="D1030" s="99"/>
      <x:c r="E1030" s="99"/>
    </x:row>
    <x:row r="1031">
      <x:c r="D1031" s="99"/>
      <x:c r="E1031" s="99"/>
    </x:row>
    <x:row r="1032">
      <x:c r="D1032" s="99"/>
      <x:c r="E1032" s="99"/>
    </x:row>
    <x:row r="1033">
      <x:c r="D1033" s="99"/>
      <x:c r="E1033" s="99"/>
    </x:row>
    <x:row r="1034">
      <x:c r="D1034" s="99"/>
      <x:c r="E1034" s="99"/>
    </x:row>
    <x:row r="1035">
      <x:c r="D1035" s="99"/>
      <x:c r="E1035" s="99"/>
    </x:row>
    <x:row r="1036">
      <x:c r="D1036" s="99"/>
      <x:c r="E1036" s="99"/>
    </x:row>
    <x:row r="1037">
      <x:c r="D1037" s="99"/>
      <x:c r="E1037" s="99"/>
    </x:row>
    <x:row r="1038">
      <x:c r="D1038" s="99"/>
      <x:c r="E1038" s="99"/>
    </x:row>
    <x:row r="1039">
      <x:c r="D1039" s="99"/>
      <x:c r="E1039" s="99"/>
    </x:row>
    <x:row r="1040">
      <x:c r="D1040" s="99"/>
      <x:c r="E1040" s="99"/>
    </x:row>
    <x:row r="1041">
      <x:c r="D1041" s="99"/>
      <x:c r="E1041" s="99"/>
    </x:row>
    <x:row r="1042">
      <x:c r="D1042" s="99"/>
      <x:c r="E1042" s="99"/>
    </x:row>
    <x:row r="1043">
      <x:c r="D1043" s="99"/>
      <x:c r="E1043" s="99"/>
    </x:row>
    <x:row r="1044">
      <x:c r="D1044" s="99"/>
      <x:c r="E1044" s="99"/>
    </x:row>
    <x:row r="1045">
      <x:c r="D1045" s="99"/>
      <x:c r="E1045" s="99"/>
    </x:row>
    <x:row r="1046">
      <x:c r="D1046" s="99"/>
      <x:c r="E1046" s="99"/>
    </x:row>
    <x:row r="1047">
      <x:c r="D1047" s="99"/>
      <x:c r="E1047" s="99"/>
    </x:row>
    <x:row r="1048">
      <x:c r="D1048" s="99"/>
      <x:c r="E1048" s="99"/>
    </x:row>
    <x:row r="1049">
      <x:c r="D1049" s="99"/>
      <x:c r="E1049" s="99"/>
    </x:row>
    <x:row r="1050">
      <x:c r="D1050" s="99"/>
      <x:c r="E1050" s="99"/>
    </x:row>
    <x:row r="1051">
      <x:c r="D1051" s="99"/>
      <x:c r="E1051" s="99"/>
    </x:row>
    <x:row r="1052">
      <x:c r="D1052" s="99"/>
      <x:c r="E1052" s="99"/>
    </x:row>
    <x:row r="1053">
      <x:c r="D1053" s="99"/>
      <x:c r="E1053" s="99"/>
    </x:row>
    <x:row r="1054">
      <x:c r="D1054" s="99"/>
      <x:c r="E1054" s="99"/>
    </x:row>
    <x:row r="1055">
      <x:c r="D1055" s="99"/>
      <x:c r="E1055" s="99"/>
    </x:row>
    <x:row r="1056">
      <x:c r="D1056" s="99"/>
      <x:c r="E1056" s="99"/>
    </x:row>
    <x:row r="1057">
      <x:c r="D1057" s="99"/>
      <x:c r="E1057" s="99"/>
    </x:row>
    <x:row r="1058">
      <x:c r="D1058" s="99"/>
      <x:c r="E1058" s="99"/>
    </x:row>
    <x:row r="1059">
      <x:c r="D1059" s="99"/>
      <x:c r="E1059" s="99"/>
    </x:row>
    <x:row r="1060">
      <x:c r="D1060" s="99"/>
      <x:c r="E1060" s="99"/>
    </x:row>
    <x:row r="1061">
      <x:c r="D1061" s="99"/>
      <x:c r="E1061" s="99"/>
    </x:row>
    <x:row r="1062">
      <x:c r="D1062" s="99"/>
      <x:c r="E1062" s="99"/>
    </x:row>
    <x:row r="1063">
      <x:c r="D1063" s="99"/>
      <x:c r="E1063" s="99"/>
    </x:row>
    <x:row r="1064">
      <x:c r="D1064" s="99"/>
      <x:c r="E1064" s="99"/>
    </x:row>
    <x:row r="1065">
      <x:c r="D1065" s="99"/>
      <x:c r="E1065" s="99"/>
    </x:row>
    <x:row r="1066">
      <x:c r="D1066" s="99"/>
      <x:c r="E1066" s="99"/>
    </x:row>
    <x:row r="1067">
      <x:c r="D1067" s="99"/>
      <x:c r="E1067" s="99"/>
    </x:row>
    <x:row r="1068">
      <x:c r="D1068" s="99"/>
      <x:c r="E1068" s="99"/>
    </x:row>
    <x:row r="1069">
      <x:c r="D1069" s="99"/>
      <x:c r="E1069" s="99"/>
    </x:row>
    <x:row r="1070">
      <x:c r="D1070" s="99"/>
      <x:c r="E1070" s="99"/>
    </x:row>
    <x:row r="1071">
      <x:c r="D1071" s="99"/>
      <x:c r="E1071" s="99"/>
    </x:row>
    <x:row r="1072">
      <x:c r="D1072" s="99"/>
      <x:c r="E1072" s="99"/>
    </x:row>
    <x:row r="1073">
      <x:c r="D1073" s="99"/>
      <x:c r="E1073" s="99"/>
    </x:row>
    <x:row r="1074">
      <x:c r="D1074" s="99"/>
      <x:c r="E1074" s="99"/>
    </x:row>
    <x:row r="1075">
      <x:c r="D1075" s="99"/>
      <x:c r="E1075" s="99"/>
    </x:row>
    <x:row r="1076">
      <x:c r="D1076" s="99"/>
      <x:c r="E1076" s="99"/>
    </x:row>
    <x:row r="1077">
      <x:c r="D1077" s="99"/>
      <x:c r="E1077" s="99"/>
    </x:row>
    <x:row r="1078">
      <x:c r="D1078" s="99"/>
      <x:c r="E1078" s="99"/>
    </x:row>
    <x:row r="1079">
      <x:c r="D1079" s="99"/>
      <x:c r="E1079" s="99"/>
    </x:row>
    <x:row r="1080">
      <x:c r="D1080" s="99"/>
      <x:c r="E1080" s="99"/>
    </x:row>
    <x:row r="1081">
      <x:c r="D1081" s="99"/>
      <x:c r="E1081" s="99"/>
    </x:row>
    <x:row r="1082">
      <x:c r="D1082" s="99"/>
      <x:c r="E1082" s="99"/>
    </x:row>
    <x:row r="1083">
      <x:c r="D1083" s="99"/>
      <x:c r="E1083" s="99"/>
    </x:row>
    <x:row r="1084">
      <x:c r="D1084" s="99"/>
      <x:c r="E1084" s="99"/>
    </x:row>
    <x:row r="1085">
      <x:c r="D1085" s="99"/>
      <x:c r="E1085" s="99"/>
    </x:row>
    <x:row r="1086">
      <x:c r="D1086" s="99"/>
      <x:c r="E1086" s="99"/>
    </x:row>
    <x:row r="1087">
      <x:c r="D1087" s="99"/>
      <x:c r="E1087" s="99"/>
    </x:row>
    <x:row r="1088">
      <x:c r="D1088" s="99"/>
      <x:c r="E1088" s="99"/>
    </x:row>
    <x:row r="1089">
      <x:c r="D1089" s="99"/>
      <x:c r="E1089" s="99"/>
    </x:row>
    <x:row r="1090">
      <x:c r="D1090" s="99"/>
      <x:c r="E1090" s="99"/>
    </x:row>
    <x:row r="1091">
      <x:c r="D1091" s="99"/>
      <x:c r="E1091" s="99"/>
    </x:row>
    <x:row r="1092">
      <x:c r="D1092" s="99"/>
      <x:c r="E1092" s="99"/>
    </x:row>
    <x:row r="1093">
      <x:c r="D1093" s="99"/>
      <x:c r="E1093" s="99"/>
    </x:row>
    <x:row r="1094">
      <x:c r="D1094" s="99"/>
      <x:c r="E1094" s="99"/>
    </x:row>
    <x:row r="1095">
      <x:c r="D1095" s="99"/>
      <x:c r="E1095" s="99"/>
    </x:row>
    <x:row r="1096">
      <x:c r="D1096" s="99"/>
      <x:c r="E1096" s="99"/>
    </x:row>
    <x:row r="1097">
      <x:c r="D1097" s="99"/>
      <x:c r="E1097" s="99"/>
    </x:row>
    <x:row r="1098">
      <x:c r="D1098" s="99"/>
      <x:c r="E1098" s="99"/>
    </x:row>
    <x:row r="1099">
      <x:c r="D1099" s="99"/>
      <x:c r="E1099" s="99"/>
    </x:row>
    <x:row r="1100">
      <x:c r="D1100" s="99"/>
      <x:c r="E1100" s="99"/>
    </x:row>
    <x:row r="1101">
      <x:c r="D1101" s="99"/>
      <x:c r="E1101" s="99"/>
    </x:row>
    <x:row r="1102">
      <x:c r="D1102" s="99"/>
      <x:c r="E1102" s="99"/>
    </x:row>
    <x:row r="1103">
      <x:c r="D1103" s="99"/>
      <x:c r="E1103" s="99"/>
    </x:row>
    <x:row r="1104">
      <x:c r="D1104" s="99"/>
      <x:c r="E1104" s="99"/>
    </x:row>
    <x:row r="1105">
      <x:c r="D1105" s="99"/>
      <x:c r="E1105" s="99"/>
    </x:row>
    <x:row r="1106">
      <x:c r="D1106" s="99"/>
      <x:c r="E1106" s="99"/>
    </x:row>
    <x:row r="1107">
      <x:c r="D1107" s="99"/>
      <x:c r="E1107" s="99"/>
    </x:row>
    <x:row r="1108">
      <x:c r="D1108" s="99"/>
      <x:c r="E1108" s="99"/>
    </x:row>
    <x:row r="1109">
      <x:c r="D1109" s="99"/>
      <x:c r="E1109" s="99"/>
    </x:row>
    <x:row r="1110">
      <x:c r="D1110" s="99"/>
      <x:c r="E1110" s="99"/>
    </x:row>
    <x:row r="1111">
      <x:c r="D1111" s="99"/>
      <x:c r="E1111" s="99"/>
    </x:row>
    <x:row r="1112">
      <x:c r="D1112" s="99"/>
      <x:c r="E1112" s="99"/>
    </x:row>
    <x:row r="1113">
      <x:c r="D1113" s="99"/>
      <x:c r="E1113" s="99"/>
    </x:row>
    <x:row r="1114">
      <x:c r="D1114" s="99"/>
      <x:c r="E1114" s="99"/>
    </x:row>
    <x:row r="1115">
      <x:c r="D1115" s="99"/>
      <x:c r="E1115" s="99"/>
    </x:row>
    <x:row r="1116">
      <x:c r="D1116" s="99"/>
      <x:c r="E1116" s="99"/>
    </x:row>
    <x:row r="1117">
      <x:c r="D1117" s="99"/>
      <x:c r="E1117" s="99"/>
    </x:row>
    <x:row r="1118">
      <x:c r="D1118" s="99"/>
      <x:c r="E1118" s="99"/>
    </x:row>
    <x:row r="1119">
      <x:c r="D1119" s="99"/>
      <x:c r="E1119" s="99"/>
    </x:row>
    <x:row r="1120">
      <x:c r="D1120" s="99"/>
      <x:c r="E1120" s="99"/>
    </x:row>
    <x:row r="1121">
      <x:c r="D1121" s="99"/>
      <x:c r="E1121" s="99"/>
    </x:row>
    <x:row r="1122">
      <x:c r="D1122" s="99"/>
      <x:c r="E1122" s="99"/>
    </x:row>
    <x:row r="1123">
      <x:c r="D1123" s="99"/>
      <x:c r="E1123" s="99"/>
    </x:row>
    <x:row r="1124">
      <x:c r="D1124" s="99"/>
      <x:c r="E1124" s="99"/>
    </x:row>
    <x:row r="1125">
      <x:c r="D1125" s="99"/>
      <x:c r="E1125" s="99"/>
    </x:row>
    <x:row r="1126">
      <x:c r="D1126" s="99"/>
      <x:c r="E1126" s="99"/>
    </x:row>
    <x:row r="1127">
      <x:c r="D1127" s="99"/>
      <x:c r="E1127" s="99"/>
    </x:row>
    <x:row r="1128">
      <x:c r="D1128" s="99"/>
      <x:c r="E1128" s="99"/>
    </x:row>
    <x:row r="1129">
      <x:c r="D1129" s="99"/>
      <x:c r="E1129" s="99"/>
    </x:row>
    <x:row r="1130">
      <x:c r="D1130" s="99"/>
      <x:c r="E1130" s="99"/>
    </x:row>
    <x:row r="1131">
      <x:c r="D1131" s="99"/>
      <x:c r="E1131" s="99"/>
    </x:row>
    <x:row r="1132">
      <x:c r="D1132" s="99"/>
      <x:c r="E1132" s="99"/>
    </x:row>
    <x:row r="1133">
      <x:c r="D1133" s="99"/>
      <x:c r="E1133" s="99"/>
    </x:row>
    <x:row r="1134">
      <x:c r="D1134" s="99"/>
      <x:c r="E1134" s="99"/>
    </x:row>
    <x:row r="1135">
      <x:c r="D1135" s="99"/>
      <x:c r="E1135" s="99"/>
    </x:row>
    <x:row r="1136">
      <x:c r="D1136" s="99"/>
      <x:c r="E1136" s="99"/>
    </x:row>
    <x:row r="1137">
      <x:c r="D1137" s="99"/>
      <x:c r="E1137" s="99"/>
    </x:row>
    <x:row r="1138">
      <x:c r="D1138" s="99"/>
      <x:c r="E1138" s="99"/>
    </x:row>
    <x:row r="1139">
      <x:c r="D1139" s="99"/>
      <x:c r="E1139" s="99"/>
    </x:row>
    <x:row r="1140">
      <x:c r="D1140" s="99"/>
      <x:c r="E1140" s="99"/>
    </x:row>
    <x:row r="1141">
      <x:c r="D1141" s="99"/>
      <x:c r="E1141" s="99"/>
    </x:row>
    <x:row r="1142">
      <x:c r="D1142" s="99"/>
      <x:c r="E1142" s="99"/>
    </x:row>
    <x:row r="1143">
      <x:c r="D1143" s="99"/>
      <x:c r="E1143" s="99"/>
    </x:row>
    <x:row r="1144">
      <x:c r="D1144" s="99"/>
      <x:c r="E1144" s="99"/>
    </x:row>
    <x:row r="1145">
      <x:c r="D1145" s="99"/>
      <x:c r="E1145" s="99"/>
    </x:row>
    <x:row r="1146">
      <x:c r="D1146" s="99"/>
      <x:c r="E1146" s="99"/>
    </x:row>
    <x:row r="1147">
      <x:c r="D1147" s="99"/>
      <x:c r="E1147" s="99"/>
    </x:row>
    <x:row r="1148">
      <x:c r="D1148" s="99"/>
      <x:c r="E1148" s="99"/>
    </x:row>
    <x:row r="1149">
      <x:c r="D1149" s="99"/>
      <x:c r="E1149" s="99"/>
    </x:row>
    <x:row r="1150">
      <x:c r="D1150" s="99"/>
      <x:c r="E1150" s="99"/>
    </x:row>
    <x:row r="1151">
      <x:c r="D1151" s="99"/>
      <x:c r="E1151" s="99"/>
    </x:row>
    <x:row r="1152">
      <x:c r="D1152" s="99"/>
      <x:c r="E1152" s="99"/>
    </x:row>
    <x:row r="1153">
      <x:c r="D1153" s="99"/>
      <x:c r="E1153" s="99"/>
    </x:row>
    <x:row r="1154">
      <x:c r="D1154" s="99"/>
      <x:c r="E1154" s="99"/>
    </x:row>
    <x:row r="1155">
      <x:c r="D1155" s="99"/>
      <x:c r="E1155" s="99"/>
    </x:row>
    <x:row r="1156">
      <x:c r="D1156" s="99"/>
      <x:c r="E1156" s="99"/>
    </x:row>
    <x:row r="1157">
      <x:c r="D1157" s="99"/>
      <x:c r="E1157" s="99"/>
    </x:row>
    <x:row r="1158">
      <x:c r="D1158" s="99"/>
      <x:c r="E1158" s="99"/>
    </x:row>
    <x:row r="1159">
      <x:c r="D1159" s="99"/>
      <x:c r="E1159" s="99"/>
    </x:row>
    <x:row r="1160">
      <x:c r="D1160" s="99"/>
      <x:c r="E1160" s="99"/>
    </x:row>
    <x:row r="1161">
      <x:c r="D1161" s="99"/>
      <x:c r="E1161" s="99"/>
    </x:row>
    <x:row r="1162">
      <x:c r="D1162" s="99"/>
      <x:c r="E1162" s="99"/>
    </x:row>
    <x:row r="1163">
      <x:c r="D1163" s="99"/>
      <x:c r="E1163" s="99"/>
    </x:row>
    <x:row r="1164">
      <x:c r="D1164" s="99"/>
      <x:c r="E1164" s="99"/>
    </x:row>
    <x:row r="1165">
      <x:c r="D1165" s="99"/>
      <x:c r="E1165" s="99"/>
    </x:row>
    <x:row r="1166">
      <x:c r="D1166" s="99"/>
      <x:c r="E1166" s="99"/>
    </x:row>
    <x:row r="1167">
      <x:c r="D1167" s="99"/>
      <x:c r="E1167" s="99"/>
    </x:row>
    <x:row r="1168">
      <x:c r="D1168" s="99"/>
      <x:c r="E1168" s="99"/>
    </x:row>
    <x:row r="1169">
      <x:c r="D1169" s="99"/>
      <x:c r="E1169" s="99"/>
    </x:row>
    <x:row r="1170">
      <x:c r="D1170" s="99"/>
      <x:c r="E1170" s="99"/>
    </x:row>
    <x:row r="1171">
      <x:c r="D1171" s="99"/>
      <x:c r="E1171" s="99"/>
    </x:row>
    <x:row r="1172">
      <x:c r="D1172" s="99"/>
      <x:c r="E1172" s="99"/>
    </x:row>
    <x:row r="1173">
      <x:c r="D1173" s="99"/>
      <x:c r="E1173" s="99"/>
    </x:row>
    <x:row r="1174">
      <x:c r="D1174" s="99"/>
      <x:c r="E1174" s="99"/>
    </x:row>
    <x:row r="1175">
      <x:c r="D1175" s="99"/>
      <x:c r="E1175" s="99"/>
    </x:row>
    <x:row r="1176">
      <x:c r="D1176" s="99"/>
      <x:c r="E1176" s="99"/>
    </x:row>
    <x:row r="1177">
      <x:c r="D1177" s="99"/>
      <x:c r="E1177" s="99"/>
    </x:row>
    <x:row r="1178">
      <x:c r="D1178" s="99"/>
      <x:c r="E1178" s="99"/>
    </x:row>
    <x:row r="1179">
      <x:c r="D1179" s="99"/>
      <x:c r="E1179" s="99"/>
    </x:row>
    <x:row r="1180">
      <x:c r="D1180" s="99"/>
      <x:c r="E1180" s="99"/>
    </x:row>
    <x:row r="1181">
      <x:c r="D1181" s="99"/>
      <x:c r="E1181" s="99"/>
    </x:row>
    <x:row r="1182">
      <x:c r="D1182" s="99"/>
      <x:c r="E1182" s="99"/>
    </x:row>
    <x:row r="1183">
      <x:c r="D1183" s="99"/>
      <x:c r="E1183" s="99"/>
    </x:row>
    <x:row r="1184">
      <x:c r="D1184" s="99"/>
      <x:c r="E1184" s="99"/>
    </x:row>
    <x:row r="1185">
      <x:c r="D1185" s="99"/>
      <x:c r="E1185" s="99"/>
    </x:row>
    <x:row r="1186">
      <x:c r="D1186" s="99"/>
      <x:c r="E1186" s="99"/>
    </x:row>
    <x:row r="1187">
      <x:c r="D1187" s="99"/>
      <x:c r="E1187" s="99"/>
    </x:row>
    <x:row r="1188">
      <x:c r="D1188" s="99"/>
      <x:c r="E1188" s="99"/>
    </x:row>
    <x:row r="1189">
      <x:c r="D1189" s="99"/>
      <x:c r="E1189" s="99"/>
    </x:row>
    <x:row r="1190">
      <x:c r="D1190" s="99"/>
      <x:c r="E1190" s="99"/>
    </x:row>
    <x:row r="1191">
      <x:c r="D1191" s="99"/>
      <x:c r="E1191" s="99"/>
    </x:row>
    <x:row r="1192">
      <x:c r="D1192" s="99"/>
      <x:c r="E1192" s="99"/>
    </x:row>
    <x:row r="1193">
      <x:c r="D1193" s="99"/>
      <x:c r="E1193" s="99"/>
    </x:row>
    <x:row r="1194">
      <x:c r="D1194" s="99"/>
      <x:c r="E1194" s="99"/>
    </x:row>
    <x:row r="1195">
      <x:c r="D1195" s="99"/>
      <x:c r="E1195" s="99"/>
    </x:row>
    <x:row r="1196">
      <x:c r="D1196" s="99"/>
      <x:c r="E1196" s="99"/>
    </x:row>
    <x:row r="1197">
      <x:c r="D1197" s="99"/>
      <x:c r="E1197" s="99"/>
    </x:row>
    <x:row r="1198">
      <x:c r="D1198" s="99"/>
      <x:c r="E1198" s="99"/>
    </x:row>
    <x:row r="1199">
      <x:c r="D1199" s="99"/>
      <x:c r="E1199" s="99"/>
    </x:row>
    <x:row r="1200">
      <x:c r="D1200" s="99"/>
      <x:c r="E1200" s="99"/>
    </x:row>
    <x:row r="1201">
      <x:c r="D1201" s="99"/>
      <x:c r="E1201" s="99"/>
    </x:row>
    <x:row r="1202">
      <x:c r="D1202" s="99"/>
      <x:c r="E1202" s="99"/>
    </x:row>
    <x:row r="1203">
      <x:c r="D1203" s="99"/>
      <x:c r="E1203" s="99"/>
    </x:row>
    <x:row r="1204">
      <x:c r="D1204" s="99"/>
      <x:c r="E1204" s="99"/>
    </x:row>
    <x:row r="1205">
      <x:c r="D1205" s="99"/>
      <x:c r="E1205" s="99"/>
    </x:row>
    <x:row r="1206">
      <x:c r="D1206" s="99"/>
      <x:c r="E1206" s="99"/>
    </x:row>
    <x:row r="1207">
      <x:c r="D1207" s="99"/>
      <x:c r="E1207" s="99"/>
    </x:row>
    <x:row r="1208">
      <x:c r="D1208" s="99"/>
      <x:c r="E1208" s="99"/>
    </x:row>
    <x:row r="1209">
      <x:c r="D1209" s="99"/>
      <x:c r="E1209" s="99"/>
    </x:row>
    <x:row r="1210">
      <x:c r="D1210" s="99"/>
      <x:c r="E1210" s="99"/>
    </x:row>
    <x:row r="1211">
      <x:c r="D1211" s="99"/>
      <x:c r="E1211" s="99"/>
    </x:row>
    <x:row r="1212">
      <x:c r="D1212" s="99"/>
      <x:c r="E1212" s="99"/>
    </x:row>
    <x:row r="1213">
      <x:c r="D1213" s="99"/>
      <x:c r="E1213" s="99"/>
    </x:row>
    <x:row r="1214">
      <x:c r="D1214" s="99"/>
      <x:c r="E1214" s="99"/>
    </x:row>
    <x:row r="1215">
      <x:c r="D1215" s="99"/>
      <x:c r="E1215" s="99"/>
    </x:row>
    <x:row r="1216">
      <x:c r="D1216" s="99"/>
      <x:c r="E1216" s="99"/>
    </x:row>
    <x:row r="1217">
      <x:c r="D1217" s="99"/>
      <x:c r="E1217" s="99"/>
    </x:row>
    <x:row r="1218">
      <x:c r="D1218" s="99"/>
      <x:c r="E1218" s="99"/>
    </x:row>
    <x:row r="1219">
      <x:c r="D1219" s="99"/>
      <x:c r="E1219" s="99"/>
    </x:row>
    <x:row r="1220">
      <x:c r="D1220" s="99"/>
      <x:c r="E1220" s="99"/>
    </x:row>
    <x:row r="1221">
      <x:c r="D1221" s="99"/>
      <x:c r="E1221" s="99"/>
    </x:row>
    <x:row r="1222">
      <x:c r="D1222" s="99"/>
      <x:c r="E1222" s="99"/>
    </x:row>
    <x:row r="1223">
      <x:c r="D1223" s="99"/>
      <x:c r="E1223" s="99"/>
    </x:row>
    <x:row r="1224">
      <x:c r="D1224" s="99"/>
      <x:c r="E1224" s="99"/>
    </x:row>
    <x:row r="1225">
      <x:c r="D1225" s="99"/>
      <x:c r="E1225" s="99"/>
    </x:row>
    <x:row r="1226">
      <x:c r="D1226" s="99"/>
      <x:c r="E1226" s="99"/>
    </x:row>
    <x:row r="1227">
      <x:c r="D1227" s="99"/>
      <x:c r="E1227" s="99"/>
    </x:row>
    <x:row r="1228">
      <x:c r="D1228" s="99"/>
      <x:c r="E1228" s="99"/>
    </x:row>
    <x:row r="1229">
      <x:c r="D1229" s="99"/>
      <x:c r="E1229" s="99"/>
    </x:row>
    <x:row r="1230">
      <x:c r="D1230" s="99"/>
      <x:c r="E1230" s="99"/>
    </x:row>
    <x:row r="1231">
      <x:c r="D1231" s="99"/>
      <x:c r="E1231" s="99"/>
    </x:row>
    <x:row r="1232">
      <x:c r="D1232" s="99"/>
      <x:c r="E1232" s="99"/>
    </x:row>
    <x:row r="1233">
      <x:c r="D1233" s="99"/>
      <x:c r="E1233" s="99"/>
    </x:row>
    <x:row r="1234">
      <x:c r="D1234" s="99"/>
      <x:c r="E1234" s="99"/>
    </x:row>
    <x:row r="1235">
      <x:c r="D1235" s="99"/>
      <x:c r="E1235" s="99"/>
    </x:row>
    <x:row r="1236">
      <x:c r="D1236" s="99"/>
      <x:c r="E1236" s="99"/>
    </x:row>
    <x:row r="1237">
      <x:c r="D1237" s="99"/>
      <x:c r="E1237" s="99"/>
    </x:row>
    <x:row r="1238">
      <x:c r="D1238" s="99"/>
      <x:c r="E1238" s="99"/>
    </x:row>
    <x:row r="1239">
      <x:c r="D1239" s="99"/>
      <x:c r="E1239" s="99"/>
    </x:row>
    <x:row r="1240">
      <x:c r="D1240" s="99"/>
      <x:c r="E1240" s="99"/>
    </x:row>
    <x:row r="1241">
      <x:c r="D1241" s="99"/>
      <x:c r="E1241" s="99"/>
    </x:row>
    <x:row r="1242">
      <x:c r="D1242" s="99"/>
      <x:c r="E1242" s="99"/>
    </x:row>
    <x:row r="1243">
      <x:c r="D1243" s="99"/>
      <x:c r="E1243" s="99"/>
    </x:row>
    <x:row r="1244">
      <x:c r="D1244" s="99"/>
      <x:c r="E1244" s="99"/>
    </x:row>
    <x:row r="1245">
      <x:c r="D1245" s="99"/>
      <x:c r="E1245" s="99"/>
    </x:row>
    <x:row r="1246">
      <x:c r="D1246" s="99"/>
      <x:c r="E1246" s="99"/>
    </x:row>
    <x:row r="1247">
      <x:c r="D1247" s="99"/>
      <x:c r="E1247" s="99"/>
    </x:row>
    <x:row r="1248">
      <x:c r="D1248" s="99"/>
      <x:c r="E1248" s="99"/>
    </x:row>
    <x:row r="1249">
      <x:c r="D1249" s="99"/>
      <x:c r="E1249" s="99"/>
    </x:row>
    <x:row r="1250">
      <x:c r="D1250" s="99"/>
      <x:c r="E1250" s="99"/>
    </x:row>
    <x:row r="1251">
      <x:c r="D1251" s="99"/>
      <x:c r="E1251" s="99"/>
    </x:row>
    <x:row r="1252">
      <x:c r="D1252" s="99"/>
      <x:c r="E1252" s="99"/>
    </x:row>
    <x:row r="1253">
      <x:c r="D1253" s="99"/>
      <x:c r="E1253" s="99"/>
    </x:row>
    <x:row r="1254">
      <x:c r="D1254" s="99"/>
      <x:c r="E1254" s="99"/>
    </x:row>
    <x:row r="1255">
      <x:c r="D1255" s="99"/>
      <x:c r="E1255" s="99"/>
    </x:row>
    <x:row r="1256">
      <x:c r="D1256" s="99"/>
      <x:c r="E1256" s="99"/>
    </x:row>
    <x:row r="1257">
      <x:c r="D1257" s="99"/>
      <x:c r="E1257" s="99"/>
    </x:row>
    <x:row r="1258">
      <x:c r="D1258" s="99"/>
      <x:c r="E1258" s="99"/>
    </x:row>
    <x:row r="1259">
      <x:c r="D1259" s="99"/>
      <x:c r="E1259" s="99"/>
    </x:row>
    <x:row r="1260">
      <x:c r="D1260" s="99"/>
      <x:c r="E1260" s="99"/>
    </x:row>
    <x:row r="1261">
      <x:c r="D1261" s="99"/>
      <x:c r="E1261" s="99"/>
    </x:row>
    <x:row r="1262">
      <x:c r="D1262" s="99"/>
      <x:c r="E1262" s="99"/>
    </x:row>
    <x:row r="1263">
      <x:c r="D1263" s="99"/>
      <x:c r="E1263" s="99"/>
    </x:row>
    <x:row r="1264">
      <x:c r="D1264" s="99"/>
      <x:c r="E1264" s="99"/>
    </x:row>
    <x:row r="1265">
      <x:c r="D1265" s="99"/>
      <x:c r="E1265" s="99"/>
    </x:row>
    <x:row r="1266">
      <x:c r="D1266" s="99"/>
      <x:c r="E1266" s="99"/>
    </x:row>
    <x:row r="1267">
      <x:c r="D1267" s="99"/>
      <x:c r="E1267" s="99"/>
    </x:row>
    <x:row r="1268">
      <x:c r="D1268" s="99"/>
      <x:c r="E1268" s="99"/>
    </x:row>
    <x:row r="1269">
      <x:c r="D1269" s="99"/>
      <x:c r="E1269" s="99"/>
    </x:row>
    <x:row r="1270">
      <x:c r="D1270" s="99"/>
      <x:c r="E1270" s="99"/>
    </x:row>
    <x:row r="1271">
      <x:c r="D1271" s="99"/>
      <x:c r="E1271" s="99"/>
    </x:row>
    <x:row r="1272">
      <x:c r="D1272" s="99"/>
      <x:c r="E1272" s="99"/>
    </x:row>
    <x:row r="1273">
      <x:c r="D1273" s="99"/>
      <x:c r="E1273" s="99"/>
    </x:row>
    <x:row r="1274">
      <x:c r="D1274" s="99"/>
      <x:c r="E1274" s="99"/>
    </x:row>
    <x:row r="1275">
      <x:c r="D1275" s="99"/>
      <x:c r="E1275" s="99"/>
    </x:row>
    <x:row r="1276">
      <x:c r="D1276" s="99"/>
      <x:c r="E1276" s="99"/>
    </x:row>
    <x:row r="1277">
      <x:c r="D1277" s="99"/>
      <x:c r="E1277" s="99"/>
    </x:row>
    <x:row r="1278">
      <x:c r="D1278" s="99"/>
      <x:c r="E1278" s="99"/>
    </x:row>
    <x:row r="1279">
      <x:c r="D1279" s="99"/>
      <x:c r="E1279" s="99"/>
    </x:row>
    <x:row r="1280">
      <x:c r="D1280" s="99"/>
      <x:c r="E1280" s="99"/>
    </x:row>
    <x:row r="1281">
      <x:c r="D1281" s="99"/>
      <x:c r="E1281" s="99"/>
    </x:row>
    <x:row r="1282">
      <x:c r="D1282" s="99"/>
      <x:c r="E1282" s="99"/>
    </x:row>
    <x:row r="1283">
      <x:c r="D1283" s="99"/>
      <x:c r="E1283" s="99"/>
    </x:row>
    <x:row r="1284">
      <x:c r="D1284" s="99"/>
      <x:c r="E1284" s="99"/>
    </x:row>
    <x:row r="1285">
      <x:c r="D1285" s="99"/>
      <x:c r="E1285" s="99"/>
    </x:row>
    <x:row r="1286">
      <x:c r="D1286" s="99"/>
      <x:c r="E1286" s="99"/>
    </x:row>
    <x:row r="1287">
      <x:c r="D1287" s="99"/>
      <x:c r="E1287" s="99"/>
    </x:row>
    <x:row r="1288">
      <x:c r="D1288" s="99"/>
      <x:c r="E1288" s="99"/>
    </x:row>
    <x:row r="1289">
      <x:c r="D1289" s="99"/>
      <x:c r="E1289" s="99"/>
    </x:row>
    <x:row r="1290">
      <x:c r="D1290" s="99"/>
      <x:c r="E1290" s="99"/>
    </x:row>
    <x:row r="1291">
      <x:c r="D1291" s="99"/>
      <x:c r="E1291" s="99"/>
    </x:row>
    <x:row r="1292">
      <x:c r="D1292" s="99"/>
      <x:c r="E1292" s="99"/>
    </x:row>
    <x:row r="1293">
      <x:c r="D1293" s="99"/>
      <x:c r="E1293" s="99"/>
    </x:row>
    <x:row r="1294">
      <x:c r="D1294" s="99"/>
      <x:c r="E1294" s="99"/>
    </x:row>
    <x:row r="1295">
      <x:c r="D1295" s="99"/>
      <x:c r="E1295" s="99"/>
    </x:row>
    <x:row r="1296">
      <x:c r="D1296" s="99"/>
      <x:c r="E1296" s="99"/>
    </x:row>
    <x:row r="1297">
      <x:c r="D1297" s="99"/>
      <x:c r="E1297" s="99"/>
    </x:row>
    <x:row r="1298">
      <x:c r="D1298" s="99"/>
      <x:c r="E1298" s="99"/>
    </x:row>
    <x:row r="1299">
      <x:c r="D1299" s="99"/>
      <x:c r="E1299" s="99"/>
    </x:row>
    <x:row r="1300">
      <x:c r="D1300" s="99"/>
      <x:c r="E1300" s="99"/>
    </x:row>
    <x:row r="1301">
      <x:c r="D1301" s="99"/>
      <x:c r="E1301" s="99"/>
    </x:row>
    <x:row r="1302">
      <x:c r="D1302" s="99"/>
      <x:c r="E1302" s="99"/>
    </x:row>
    <x:row r="1303">
      <x:c r="D1303" s="99"/>
      <x:c r="E1303" s="99"/>
    </x:row>
    <x:row r="1304">
      <x:c r="D1304" s="99"/>
      <x:c r="E1304" s="99"/>
    </x:row>
    <x:row r="1305">
      <x:c r="D1305" s="99"/>
      <x:c r="E1305" s="99"/>
    </x:row>
    <x:row r="1306">
      <x:c r="D1306" s="99"/>
      <x:c r="E1306" s="99"/>
    </x:row>
    <x:row r="1307">
      <x:c r="D1307" s="99"/>
      <x:c r="E1307" s="99"/>
    </x:row>
    <x:row r="1308">
      <x:c r="D1308" s="99"/>
      <x:c r="E1308" s="99"/>
    </x:row>
    <x:row r="1309">
      <x:c r="D1309" s="99"/>
      <x:c r="E1309" s="99"/>
    </x:row>
    <x:row r="1310">
      <x:c r="D1310" s="99"/>
      <x:c r="E1310" s="99"/>
    </x:row>
    <x:row r="1311">
      <x:c r="D1311" s="99"/>
      <x:c r="E1311" s="99"/>
    </x:row>
    <x:row r="1312">
      <x:c r="D1312" s="99"/>
      <x:c r="E1312" s="99"/>
    </x:row>
    <x:row r="1313">
      <x:c r="D1313" s="99"/>
      <x:c r="E1313" s="99"/>
    </x:row>
    <x:row r="1314">
      <x:c r="D1314" s="99"/>
      <x:c r="E1314" s="99"/>
    </x:row>
    <x:row r="1315">
      <x:c r="D1315" s="99"/>
      <x:c r="E1315" s="99"/>
    </x:row>
    <x:row r="1316">
      <x:c r="D1316" s="99"/>
      <x:c r="E1316" s="99"/>
    </x:row>
    <x:row r="1317">
      <x:c r="D1317" s="99"/>
      <x:c r="E1317" s="99"/>
    </x:row>
    <x:row r="1318">
      <x:c r="D1318" s="99"/>
      <x:c r="E1318" s="99"/>
    </x:row>
    <x:row r="1319">
      <x:c r="D1319" s="99"/>
      <x:c r="E1319" s="99"/>
    </x:row>
    <x:row r="1320">
      <x:c r="D1320" s="99"/>
      <x:c r="E1320" s="99"/>
    </x:row>
    <x:row r="1321">
      <x:c r="D1321" s="99"/>
      <x:c r="E1321" s="99"/>
    </x:row>
    <x:row r="1322">
      <x:c r="D1322" s="99"/>
      <x:c r="E1322" s="99"/>
    </x:row>
    <x:row r="1323">
      <x:c r="D1323" s="99"/>
      <x:c r="E1323" s="99"/>
    </x:row>
    <x:row r="1324">
      <x:c r="D1324" s="99"/>
      <x:c r="E1324" s="99"/>
    </x:row>
    <x:row r="1325">
      <x:c r="D1325" s="99"/>
      <x:c r="E1325" s="99"/>
    </x:row>
    <x:row r="1326">
      <x:c r="D1326" s="99"/>
      <x:c r="E1326" s="99"/>
    </x:row>
    <x:row r="1327">
      <x:c r="D1327" s="99"/>
      <x:c r="E1327" s="99"/>
    </x:row>
    <x:row r="1328">
      <x:c r="D1328" s="99"/>
      <x:c r="E1328" s="99"/>
    </x:row>
    <x:row r="1329">
      <x:c r="D1329" s="99"/>
      <x:c r="E1329" s="99"/>
    </x:row>
    <x:row r="1330">
      <x:c r="D1330" s="99"/>
      <x:c r="E1330" s="99"/>
    </x:row>
    <x:row r="1331">
      <x:c r="D1331" s="99"/>
      <x:c r="E1331" s="99"/>
    </x:row>
    <x:row r="1332">
      <x:c r="D1332" s="99"/>
      <x:c r="E1332" s="99"/>
    </x:row>
    <x:row r="1333">
      <x:c r="D1333" s="99"/>
      <x:c r="E1333" s="99"/>
    </x:row>
    <x:row r="1334">
      <x:c r="D1334" s="99"/>
      <x:c r="E1334" s="99"/>
    </x:row>
    <x:row r="1335">
      <x:c r="D1335" s="99"/>
      <x:c r="E1335" s="99"/>
    </x:row>
    <x:row r="1336">
      <x:c r="D1336" s="99"/>
      <x:c r="E1336" s="99"/>
    </x:row>
    <x:row r="1337">
      <x:c r="D1337" s="99"/>
      <x:c r="E1337" s="99"/>
    </x:row>
    <x:row r="1338">
      <x:c r="D1338" s="99"/>
      <x:c r="E1338" s="99"/>
    </x:row>
    <x:row r="1339">
      <x:c r="D1339" s="99"/>
      <x:c r="E1339" s="99"/>
    </x:row>
    <x:row r="1340">
      <x:c r="D1340" s="99"/>
      <x:c r="E1340" s="99"/>
    </x:row>
    <x:row r="1341">
      <x:c r="D1341" s="99"/>
      <x:c r="E1341" s="99"/>
    </x:row>
    <x:row r="1342">
      <x:c r="D1342" s="99"/>
      <x:c r="E1342" s="99"/>
    </x:row>
    <x:row r="1343">
      <x:c r="D1343" s="99"/>
      <x:c r="E1343" s="99"/>
    </x:row>
    <x:row r="1344">
      <x:c r="D1344" s="99"/>
      <x:c r="E1344" s="99"/>
    </x:row>
    <x:row r="1345">
      <x:c r="D1345" s="99"/>
      <x:c r="E1345" s="99"/>
    </x:row>
    <x:row r="1346">
      <x:c r="D1346" s="99"/>
      <x:c r="E1346" s="99"/>
    </x:row>
    <x:row r="1347">
      <x:c r="D1347" s="99"/>
      <x:c r="E1347" s="99"/>
    </x:row>
    <x:row r="1348">
      <x:c r="D1348" s="99"/>
      <x:c r="E1348" s="99"/>
    </x:row>
    <x:row r="1349">
      <x:c r="D1349" s="99"/>
      <x:c r="E1349" s="99"/>
    </x:row>
    <x:row r="1350">
      <x:c r="D1350" s="99"/>
      <x:c r="E1350" s="99"/>
    </x:row>
    <x:row r="1351">
      <x:c r="D1351" s="99"/>
      <x:c r="E1351" s="99"/>
    </x:row>
    <x:row r="1352">
      <x:c r="D1352" s="99"/>
      <x:c r="E1352" s="99"/>
    </x:row>
    <x:row r="1353">
      <x:c r="D1353" s="99"/>
      <x:c r="E1353" s="99"/>
    </x:row>
    <x:row r="1354">
      <x:c r="D1354" s="99"/>
      <x:c r="E1354" s="99"/>
    </x:row>
    <x:row r="1355">
      <x:c r="D1355" s="99"/>
      <x:c r="E1355" s="99"/>
    </x:row>
    <x:row r="1356">
      <x:c r="D1356" s="99"/>
      <x:c r="E1356" s="99"/>
    </x:row>
    <x:row r="1357">
      <x:c r="D1357" s="99"/>
      <x:c r="E1357" s="99"/>
    </x:row>
    <x:row r="1358">
      <x:c r="D1358" s="99"/>
      <x:c r="E1358" s="99"/>
    </x:row>
    <x:row r="1359">
      <x:c r="D1359" s="99"/>
      <x:c r="E1359" s="99"/>
    </x:row>
    <x:row r="1360">
      <x:c r="D1360" s="99"/>
      <x:c r="E1360" s="99"/>
    </x:row>
    <x:row r="1361">
      <x:c r="D1361" s="99"/>
      <x:c r="E1361" s="99"/>
    </x:row>
    <x:row r="1362">
      <x:c r="D1362" s="99"/>
      <x:c r="E1362" s="99"/>
    </x:row>
    <x:row r="1363">
      <x:c r="D1363" s="99"/>
      <x:c r="E1363" s="99"/>
    </x:row>
    <x:row r="1364">
      <x:c r="D1364" s="99"/>
      <x:c r="E1364" s="99"/>
    </x:row>
    <x:row r="1365">
      <x:c r="D1365" s="99"/>
      <x:c r="E1365" s="99"/>
    </x:row>
    <x:row r="1366">
      <x:c r="D1366" s="99"/>
      <x:c r="E1366" s="99"/>
    </x:row>
    <x:row r="1367">
      <x:c r="D1367" s="99"/>
      <x:c r="E1367" s="99"/>
    </x:row>
    <x:row r="1368">
      <x:c r="D1368" s="99"/>
      <x:c r="E1368" s="99"/>
    </x:row>
    <x:row r="1369">
      <x:c r="D1369" s="99"/>
      <x:c r="E1369" s="99"/>
    </x:row>
    <x:row r="1370">
      <x:c r="D1370" s="99"/>
      <x:c r="E1370" s="99"/>
    </x:row>
    <x:row r="1371">
      <x:c r="D1371" s="99"/>
      <x:c r="E1371" s="99"/>
    </x:row>
    <x:row r="1372">
      <x:c r="D1372" s="99"/>
      <x:c r="E1372" s="99"/>
    </x:row>
    <x:row r="1373">
      <x:c r="D1373" s="99"/>
      <x:c r="E1373" s="99"/>
    </x:row>
    <x:row r="1374">
      <x:c r="D1374" s="99"/>
      <x:c r="E1374" s="99"/>
    </x:row>
    <x:row r="1375">
      <x:c r="D1375" s="99"/>
      <x:c r="E1375" s="99"/>
    </x:row>
    <x:row r="1376">
      <x:c r="D1376" s="99"/>
      <x:c r="E1376" s="99"/>
    </x:row>
    <x:row r="1377">
      <x:c r="D1377" s="99"/>
      <x:c r="E1377" s="99"/>
    </x:row>
    <x:row r="1378">
      <x:c r="D1378" s="99"/>
      <x:c r="E1378" s="99"/>
    </x:row>
    <x:row r="1379">
      <x:c r="D1379" s="99"/>
      <x:c r="E1379" s="99"/>
    </x:row>
    <x:row r="1380">
      <x:c r="D1380" s="99"/>
      <x:c r="E1380" s="99"/>
    </x:row>
    <x:row r="1381">
      <x:c r="D1381" s="99"/>
      <x:c r="E1381" s="99"/>
    </x:row>
    <x:row r="1382">
      <x:c r="D1382" s="99"/>
      <x:c r="E1382" s="99"/>
    </x:row>
    <x:row r="1383">
      <x:c r="D1383" s="99"/>
      <x:c r="E1383" s="99"/>
    </x:row>
    <x:row r="1384">
      <x:c r="D1384" s="99"/>
      <x:c r="E1384" s="99"/>
    </x:row>
    <x:row r="1385">
      <x:c r="D1385" s="99"/>
      <x:c r="E1385" s="99"/>
    </x:row>
    <x:row r="1386">
      <x:c r="D1386" s="99"/>
      <x:c r="E1386" s="99"/>
    </x:row>
    <x:row r="1387">
      <x:c r="D1387" s="99"/>
      <x:c r="E1387" s="99"/>
    </x:row>
    <x:row r="1388">
      <x:c r="D1388" s="99"/>
      <x:c r="E1388" s="99"/>
    </x:row>
    <x:row r="1389">
      <x:c r="D1389" s="99"/>
      <x:c r="E1389" s="99"/>
    </x:row>
    <x:row r="1390">
      <x:c r="D1390" s="99"/>
      <x:c r="E1390" s="99"/>
    </x:row>
    <x:row r="1391">
      <x:c r="D1391" s="99"/>
      <x:c r="E1391" s="99"/>
    </x:row>
    <x:row r="1392">
      <x:c r="D1392" s="99"/>
      <x:c r="E1392" s="99"/>
    </x:row>
    <x:row r="1393">
      <x:c r="D1393" s="99"/>
      <x:c r="E1393" s="99"/>
    </x:row>
    <x:row r="1394">
      <x:c r="D1394" s="99"/>
      <x:c r="E1394" s="99"/>
    </x:row>
    <x:row r="1395">
      <x:c r="D1395" s="99"/>
      <x:c r="E1395" s="99"/>
    </x:row>
    <x:row r="1396">
      <x:c r="D1396" s="99"/>
      <x:c r="E1396" s="99"/>
    </x:row>
    <x:row r="1397">
      <x:c r="D1397" s="99"/>
      <x:c r="E1397" s="99"/>
    </x:row>
    <x:row r="1398">
      <x:c r="D1398" s="99"/>
      <x:c r="E1398" s="99"/>
    </x:row>
    <x:row r="1399">
      <x:c r="D1399" s="99"/>
      <x:c r="E1399" s="99"/>
    </x:row>
    <x:row r="1400">
      <x:c r="D1400" s="99"/>
      <x:c r="E1400" s="99"/>
    </x:row>
    <x:row r="1401">
      <x:c r="D1401" s="99"/>
      <x:c r="E1401" s="99"/>
    </x:row>
    <x:row r="1402">
      <x:c r="D1402" s="99"/>
      <x:c r="E1402" s="99"/>
    </x:row>
    <x:row r="1403">
      <x:c r="D1403" s="99"/>
      <x:c r="E1403" s="99"/>
    </x:row>
    <x:row r="1404">
      <x:c r="D1404" s="99"/>
      <x:c r="E1404" s="99"/>
    </x:row>
    <x:row r="1405">
      <x:c r="D1405" s="99"/>
      <x:c r="E1405" s="99"/>
    </x:row>
    <x:row r="1406">
      <x:c r="D1406" s="99"/>
      <x:c r="E1406" s="99"/>
    </x:row>
    <x:row r="1407">
      <x:c r="D1407" s="99"/>
      <x:c r="E1407" s="99"/>
    </x:row>
    <x:row r="1408">
      <x:c r="D1408" s="99"/>
      <x:c r="E1408" s="99"/>
    </x:row>
    <x:row r="1409">
      <x:c r="D1409" s="99"/>
      <x:c r="E1409" s="99"/>
    </x:row>
    <x:row r="1410">
      <x:c r="D1410" s="99"/>
      <x:c r="E1410" s="99"/>
    </x:row>
    <x:row r="1411">
      <x:c r="D1411" s="99"/>
      <x:c r="E1411" s="99"/>
    </x:row>
    <x:row r="1412">
      <x:c r="D1412" s="99"/>
      <x:c r="E1412" s="99"/>
    </x:row>
    <x:row r="1413">
      <x:c r="D1413" s="99"/>
      <x:c r="E1413" s="99"/>
    </x:row>
    <x:row r="1414">
      <x:c r="D1414" s="99"/>
      <x:c r="E1414" s="99"/>
    </x:row>
    <x:row r="1415">
      <x:c r="D1415" s="99"/>
      <x:c r="E1415" s="99"/>
    </x:row>
    <x:row r="1416">
      <x:c r="D1416" s="99"/>
      <x:c r="E1416" s="99"/>
    </x:row>
    <x:row r="1417">
      <x:c r="D1417" s="99"/>
      <x:c r="E1417" s="99"/>
    </x:row>
    <x:row r="1418">
      <x:c r="D1418" s="99"/>
      <x:c r="E1418" s="99"/>
    </x:row>
    <x:row r="1419">
      <x:c r="D1419" s="99"/>
      <x:c r="E1419" s="99"/>
    </x:row>
    <x:row r="1420">
      <x:c r="D1420" s="99"/>
      <x:c r="E1420" s="99"/>
    </x:row>
    <x:row r="1421">
      <x:c r="D1421" s="99"/>
      <x:c r="E1421" s="99"/>
    </x:row>
    <x:row r="1422">
      <x:c r="D1422" s="99"/>
      <x:c r="E1422" s="99"/>
    </x:row>
    <x:row r="1423">
      <x:c r="D1423" s="99"/>
      <x:c r="E1423" s="99"/>
    </x:row>
    <x:row r="1424">
      <x:c r="D1424" s="99"/>
      <x:c r="E1424" s="99"/>
    </x:row>
    <x:row r="1425">
      <x:c r="D1425" s="99"/>
      <x:c r="E1425" s="99"/>
    </x:row>
    <x:row r="1426">
      <x:c r="D1426" s="99"/>
      <x:c r="E1426" s="99"/>
    </x:row>
    <x:row r="1427">
      <x:c r="D1427" s="99"/>
      <x:c r="E1427" s="99"/>
    </x:row>
    <x:row r="1428">
      <x:c r="D1428" s="99"/>
      <x:c r="E1428" s="99"/>
    </x:row>
    <x:row r="1429">
      <x:c r="D1429" s="99"/>
      <x:c r="E1429" s="99"/>
    </x:row>
    <x:row r="1430">
      <x:c r="D1430" s="99"/>
      <x:c r="E1430" s="99"/>
    </x:row>
    <x:row r="1431">
      <x:c r="D1431" s="99"/>
      <x:c r="E1431" s="99"/>
    </x:row>
    <x:row r="1432">
      <x:c r="D1432" s="99"/>
      <x:c r="E1432" s="99"/>
    </x:row>
    <x:row r="1433">
      <x:c r="D1433" s="99"/>
      <x:c r="E1433" s="99"/>
    </x:row>
    <x:row r="1434">
      <x:c r="D1434" s="99"/>
      <x:c r="E1434" s="99"/>
    </x:row>
    <x:row r="1435">
      <x:c r="D1435" s="99"/>
      <x:c r="E1435" s="99"/>
    </x:row>
    <x:row r="1436">
      <x:c r="D1436" s="99"/>
      <x:c r="E1436" s="99"/>
    </x:row>
    <x:row r="1437">
      <x:c r="D1437" s="99"/>
      <x:c r="E1437" s="99"/>
    </x:row>
    <x:row r="1438">
      <x:c r="D1438" s="99"/>
      <x:c r="E1438" s="99"/>
    </x:row>
    <x:row r="1439">
      <x:c r="D1439" s="99"/>
      <x:c r="E1439" s="99"/>
    </x:row>
    <x:row r="1440">
      <x:c r="D1440" s="99"/>
      <x:c r="E1440" s="99"/>
    </x:row>
    <x:row r="1441">
      <x:c r="D1441" s="99"/>
      <x:c r="E1441" s="99"/>
    </x:row>
    <x:row r="1442">
      <x:c r="D1442" s="99"/>
      <x:c r="E1442" s="99"/>
    </x:row>
    <x:row r="1443">
      <x:c r="D1443" s="99"/>
      <x:c r="E1443" s="99"/>
    </x:row>
    <x:row r="1444">
      <x:c r="D1444" s="99"/>
      <x:c r="E1444" s="99"/>
    </x:row>
    <x:row r="1445">
      <x:c r="D1445" s="99"/>
      <x:c r="E1445" s="99"/>
    </x:row>
    <x:row r="1446">
      <x:c r="D1446" s="99"/>
      <x:c r="E1446" s="99"/>
    </x:row>
    <x:row r="1447">
      <x:c r="D1447" s="99"/>
      <x:c r="E1447" s="99"/>
    </x:row>
    <x:row r="1448">
      <x:c r="D1448" s="99"/>
      <x:c r="E1448" s="99"/>
    </x:row>
    <x:row r="1449">
      <x:c r="D1449" s="99"/>
      <x:c r="E1449" s="99"/>
    </x:row>
    <x:row r="1450">
      <x:c r="D1450" s="99"/>
      <x:c r="E1450" s="99"/>
    </x:row>
    <x:row r="1451">
      <x:c r="D1451" s="99"/>
      <x:c r="E1451" s="99"/>
    </x:row>
    <x:row r="1452">
      <x:c r="D1452" s="99"/>
      <x:c r="E1452" s="99"/>
    </x:row>
    <x:row r="1453">
      <x:c r="D1453" s="99"/>
      <x:c r="E1453" s="99"/>
    </x:row>
    <x:row r="1454">
      <x:c r="D1454" s="99"/>
      <x:c r="E1454" s="99"/>
    </x:row>
    <x:row r="1455">
      <x:c r="D1455" s="99"/>
      <x:c r="E1455" s="99"/>
    </x:row>
    <x:row r="1456">
      <x:c r="D1456" s="99"/>
      <x:c r="E1456" s="99"/>
    </x:row>
    <x:row r="1457">
      <x:c r="D1457" s="99"/>
      <x:c r="E1457" s="99"/>
    </x:row>
    <x:row r="1458">
      <x:c r="D1458" s="99"/>
      <x:c r="E1458" s="99"/>
    </x:row>
    <x:row r="1459">
      <x:c r="D1459" s="99"/>
      <x:c r="E1459" s="99"/>
    </x:row>
    <x:row r="1460">
      <x:c r="D1460" s="99"/>
      <x:c r="E1460" s="99"/>
    </x:row>
    <x:row r="1461">
      <x:c r="D1461" s="99"/>
      <x:c r="E1461" s="99"/>
    </x:row>
    <x:row r="1462">
      <x:c r="D1462" s="99"/>
      <x:c r="E1462" s="99"/>
    </x:row>
    <x:row r="1463">
      <x:c r="D1463" s="99"/>
      <x:c r="E1463" s="99"/>
    </x:row>
    <x:row r="1464">
      <x:c r="D1464" s="99"/>
      <x:c r="E1464" s="99"/>
    </x:row>
    <x:row r="1465">
      <x:c r="D1465" s="99"/>
      <x:c r="E1465" s="99"/>
    </x:row>
    <x:row r="1466">
      <x:c r="D1466" s="99"/>
      <x:c r="E1466" s="99"/>
    </x:row>
    <x:row r="1467">
      <x:c r="D1467" s="99"/>
      <x:c r="E1467" s="99"/>
    </x:row>
    <x:row r="1468">
      <x:c r="D1468" s="99"/>
      <x:c r="E1468" s="99"/>
    </x:row>
    <x:row r="1469">
      <x:c r="D1469" s="99"/>
      <x:c r="E1469" s="99"/>
    </x:row>
    <x:row r="1470">
      <x:c r="D1470" s="99"/>
      <x:c r="E1470" s="99"/>
    </x:row>
    <x:row r="1471">
      <x:c r="D1471" s="99"/>
      <x:c r="E1471" s="99"/>
    </x:row>
    <x:row r="1472">
      <x:c r="D1472" s="99"/>
      <x:c r="E1472" s="99"/>
    </x:row>
    <x:row r="1473">
      <x:c r="D1473" s="99"/>
      <x:c r="E1473" s="99"/>
    </x:row>
    <x:row r="1474">
      <x:c r="D1474" s="99"/>
      <x:c r="E1474" s="99"/>
    </x:row>
    <x:row r="1475">
      <x:c r="D1475" s="99"/>
      <x:c r="E1475" s="99"/>
    </x:row>
    <x:row r="1476">
      <x:c r="D1476" s="99"/>
      <x:c r="E1476" s="99"/>
    </x:row>
    <x:row r="1477">
      <x:c r="D1477" s="99"/>
      <x:c r="E1477" s="99"/>
    </x:row>
    <x:row r="1478">
      <x:c r="D1478" s="99"/>
      <x:c r="E1478" s="99"/>
    </x:row>
    <x:row r="1479">
      <x:c r="D1479" s="99"/>
      <x:c r="E1479" s="99"/>
    </x:row>
    <x:row r="1480">
      <x:c r="D1480" s="99"/>
      <x:c r="E1480" s="99"/>
    </x:row>
    <x:row r="1481">
      <x:c r="D1481" s="99"/>
      <x:c r="E1481" s="99"/>
    </x:row>
    <x:row r="1482">
      <x:c r="D1482" s="99"/>
      <x:c r="E1482" s="99"/>
    </x:row>
    <x:row r="1483">
      <x:c r="D1483" s="99"/>
      <x:c r="E1483" s="99"/>
    </x:row>
    <x:row r="1484">
      <x:c r="D1484" s="99"/>
      <x:c r="E1484" s="99"/>
    </x:row>
    <x:row r="1485">
      <x:c r="D1485" s="99"/>
      <x:c r="E1485" s="99"/>
    </x:row>
    <x:row r="1486">
      <x:c r="D1486" s="99"/>
      <x:c r="E1486" s="99"/>
    </x:row>
    <x:row r="1487">
      <x:c r="D1487" s="99"/>
      <x:c r="E1487" s="99"/>
    </x:row>
    <x:row r="1488">
      <x:c r="D1488" s="99"/>
      <x:c r="E1488" s="99"/>
    </x:row>
    <x:row r="1489">
      <x:c r="D1489" s="99"/>
      <x:c r="E1489" s="99"/>
    </x:row>
    <x:row r="1490">
      <x:c r="D1490" s="99"/>
      <x:c r="E1490" s="99"/>
    </x:row>
    <x:row r="1491">
      <x:c r="D1491" s="99"/>
      <x:c r="E1491" s="99"/>
    </x:row>
    <x:row r="1492">
      <x:c r="D1492" s="99"/>
      <x:c r="E1492" s="99"/>
    </x:row>
    <x:row r="1493">
      <x:c r="D1493" s="99"/>
      <x:c r="E1493" s="99"/>
    </x:row>
    <x:row r="1494">
      <x:c r="D1494" s="99"/>
      <x:c r="E1494" s="99"/>
    </x:row>
    <x:row r="1495">
      <x:c r="D1495" s="99"/>
      <x:c r="E1495" s="99"/>
    </x:row>
    <x:row r="1496">
      <x:c r="D1496" s="99"/>
      <x:c r="E1496" s="99"/>
    </x:row>
    <x:row r="1497">
      <x:c r="D1497" s="99"/>
      <x:c r="E1497" s="99"/>
    </x:row>
    <x:row r="1498">
      <x:c r="D1498" s="99"/>
      <x:c r="E1498" s="99"/>
    </x:row>
    <x:row r="1499">
      <x:c r="D1499" s="99"/>
      <x:c r="E1499" s="99"/>
    </x:row>
    <x:row r="1500">
      <x:c r="D1500" s="99"/>
      <x:c r="E1500" s="99"/>
    </x:row>
    <x:row r="1501">
      <x:c r="D1501" s="99"/>
      <x:c r="E1501" s="99"/>
    </x:row>
    <x:row r="1502">
      <x:c r="D1502" s="99"/>
      <x:c r="E1502" s="99"/>
    </x:row>
    <x:row r="1503">
      <x:c r="D1503" s="99"/>
      <x:c r="E1503" s="99"/>
    </x:row>
    <x:row r="1504">
      <x:c r="D1504" s="99"/>
      <x:c r="E1504" s="99"/>
    </x:row>
    <x:row r="1505">
      <x:c r="D1505" s="99"/>
      <x:c r="E1505" s="99"/>
    </x:row>
    <x:row r="1506">
      <x:c r="D1506" s="99"/>
      <x:c r="E1506" s="99"/>
    </x:row>
    <x:row r="1507">
      <x:c r="D1507" s="99"/>
      <x:c r="E1507" s="99"/>
    </x:row>
    <x:row r="1508">
      <x:c r="D1508" s="99"/>
      <x:c r="E1508" s="99"/>
    </x:row>
    <x:row r="1509">
      <x:c r="D1509" s="99"/>
      <x:c r="E1509" s="99"/>
    </x:row>
    <x:row r="1510">
      <x:c r="D1510" s="99"/>
      <x:c r="E1510" s="99"/>
    </x:row>
    <x:row r="1511">
      <x:c r="D1511" s="99"/>
      <x:c r="E1511" s="99"/>
    </x:row>
    <x:row r="1512">
      <x:c r="D1512" s="99"/>
      <x:c r="E1512" s="99"/>
    </x:row>
    <x:row r="1513">
      <x:c r="D1513" s="99"/>
      <x:c r="E1513" s="99"/>
    </x:row>
    <x:row r="1514">
      <x:c r="D1514" s="99"/>
      <x:c r="E1514" s="99"/>
    </x:row>
    <x:row r="1515">
      <x:c r="D1515" s="99"/>
      <x:c r="E1515" s="99"/>
    </x:row>
    <x:row r="1516">
      <x:c r="D1516" s="99"/>
      <x:c r="E1516" s="99"/>
    </x:row>
    <x:row r="1517">
      <x:c r="D1517" s="99"/>
      <x:c r="E1517" s="99"/>
    </x:row>
    <x:row r="1518">
      <x:c r="D1518" s="99"/>
      <x:c r="E1518" s="99"/>
    </x:row>
    <x:row r="1519">
      <x:c r="D1519" s="99"/>
      <x:c r="E1519" s="99"/>
    </x:row>
    <x:row r="1520">
      <x:c r="D1520" s="99"/>
      <x:c r="E1520" s="99"/>
    </x:row>
    <x:row r="1521">
      <x:c r="D1521" s="99"/>
      <x:c r="E1521" s="99"/>
    </x:row>
    <x:row r="1522">
      <x:c r="D1522" s="99"/>
      <x:c r="E1522" s="99"/>
    </x:row>
    <x:row r="1523">
      <x:c r="D1523" s="99"/>
      <x:c r="E1523" s="99"/>
    </x:row>
    <x:row r="1524">
      <x:c r="D1524" s="99"/>
      <x:c r="E1524" s="99"/>
    </x:row>
    <x:row r="1525">
      <x:c r="D1525" s="99"/>
      <x:c r="E1525" s="99"/>
    </x:row>
    <x:row r="1526">
      <x:c r="D1526" s="99"/>
      <x:c r="E1526" s="99"/>
    </x:row>
    <x:row r="1527">
      <x:c r="D1527" s="99"/>
      <x:c r="E1527" s="99"/>
    </x:row>
    <x:row r="1528">
      <x:c r="D1528" s="99"/>
      <x:c r="E1528" s="99"/>
    </x:row>
    <x:row r="1529">
      <x:c r="D1529" s="99"/>
      <x:c r="E1529" s="99"/>
    </x:row>
    <x:row r="1530">
      <x:c r="D1530" s="99"/>
      <x:c r="E1530" s="99"/>
    </x:row>
    <x:row r="1531">
      <x:c r="D1531" s="99"/>
      <x:c r="E1531" s="99"/>
    </x:row>
    <x:row r="1532">
      <x:c r="D1532" s="99"/>
      <x:c r="E1532" s="99"/>
    </x:row>
    <x:row r="1533">
      <x:c r="D1533" s="99"/>
      <x:c r="E1533" s="99"/>
    </x:row>
    <x:row r="1534">
      <x:c r="D1534" s="99"/>
      <x:c r="E1534" s="99"/>
    </x:row>
    <x:row r="1535">
      <x:c r="D1535" s="99"/>
      <x:c r="E1535" s="99"/>
    </x:row>
    <x:row r="1536">
      <x:c r="D1536" s="99"/>
      <x:c r="E1536" s="99"/>
    </x:row>
    <x:row r="1537">
      <x:c r="D1537" s="99"/>
      <x:c r="E1537" s="99"/>
    </x:row>
    <x:row r="1538">
      <x:c r="D1538" s="99"/>
      <x:c r="E1538" s="99"/>
    </x:row>
    <x:row r="1539">
      <x:c r="D1539" s="99"/>
      <x:c r="E1539" s="99"/>
    </x:row>
    <x:row r="1540">
      <x:c r="D1540" s="99"/>
      <x:c r="E1540" s="99"/>
    </x:row>
    <x:row r="1541">
      <x:c r="D1541" s="99"/>
      <x:c r="E1541" s="99"/>
    </x:row>
    <x:row r="1542">
      <x:c r="D1542" s="99"/>
      <x:c r="E1542" s="99"/>
    </x:row>
    <x:row r="1543">
      <x:c r="D1543" s="99"/>
      <x:c r="E1543" s="99"/>
    </x:row>
    <x:row r="1544">
      <x:c r="D1544" s="99"/>
      <x:c r="E1544" s="99"/>
    </x:row>
    <x:row r="1545">
      <x:c r="D1545" s="99"/>
      <x:c r="E1545" s="99"/>
    </x:row>
    <x:row r="1546">
      <x:c r="D1546" s="99"/>
      <x:c r="E1546" s="99"/>
    </x:row>
    <x:row r="1547">
      <x:c r="D1547" s="99"/>
      <x:c r="E1547" s="99"/>
    </x:row>
    <x:row r="1548">
      <x:c r="D1548" s="99"/>
      <x:c r="E1548" s="99"/>
    </x:row>
    <x:row r="1549">
      <x:c r="D1549" s="99"/>
      <x:c r="E1549" s="99"/>
    </x:row>
    <x:row r="1550">
      <x:c r="D1550" s="99"/>
      <x:c r="E1550" s="99"/>
    </x:row>
    <x:row r="1551">
      <x:c r="D1551" s="99"/>
      <x:c r="E1551" s="99"/>
    </x:row>
    <x:row r="1552">
      <x:c r="D1552" s="99"/>
      <x:c r="E1552" s="99"/>
    </x:row>
    <x:row r="1553">
      <x:c r="D1553" s="99"/>
      <x:c r="E1553" s="99"/>
    </x:row>
    <x:row r="1554">
      <x:c r="D1554" s="99"/>
      <x:c r="E1554" s="99"/>
    </x:row>
    <x:row r="1555">
      <x:c r="D1555" s="99"/>
      <x:c r="E1555" s="99"/>
    </x:row>
    <x:row r="1556">
      <x:c r="D1556" s="99"/>
      <x:c r="E1556" s="99"/>
    </x:row>
    <x:row r="1557">
      <x:c r="D1557" s="99"/>
      <x:c r="E1557" s="99"/>
    </x:row>
    <x:row r="1558">
      <x:c r="D1558" s="99"/>
      <x:c r="E1558" s="99"/>
    </x:row>
    <x:row r="1559">
      <x:c r="D1559" s="99"/>
      <x:c r="E1559" s="99"/>
    </x:row>
    <x:row r="1560">
      <x:c r="D1560" s="99"/>
      <x:c r="E1560" s="99"/>
    </x:row>
    <x:row r="1561">
      <x:c r="D1561" s="99"/>
      <x:c r="E1561" s="99"/>
    </x:row>
    <x:row r="1562">
      <x:c r="D1562" s="99"/>
      <x:c r="E1562" s="99"/>
    </x:row>
    <x:row r="1563">
      <x:c r="D1563" s="99"/>
      <x:c r="E1563" s="99"/>
    </x:row>
    <x:row r="1564">
      <x:c r="D1564" s="99"/>
      <x:c r="E1564" s="99"/>
    </x:row>
    <x:row r="1565">
      <x:c r="D1565" s="99"/>
      <x:c r="E1565" s="99"/>
    </x:row>
    <x:row r="1566">
      <x:c r="D1566" s="99"/>
      <x:c r="E1566" s="99"/>
    </x:row>
    <x:row r="1567">
      <x:c r="D1567" s="99"/>
      <x:c r="E1567" s="99"/>
    </x:row>
    <x:row r="1568">
      <x:c r="D1568" s="99"/>
      <x:c r="E1568" s="99"/>
    </x:row>
    <x:row r="1569">
      <x:c r="D1569" s="99"/>
      <x:c r="E1569" s="99"/>
    </x:row>
    <x:row r="1570">
      <x:c r="D1570" s="99"/>
      <x:c r="E1570" s="99"/>
    </x:row>
    <x:row r="1571">
      <x:c r="D1571" s="99"/>
      <x:c r="E1571" s="99"/>
    </x:row>
    <x:row r="1572">
      <x:c r="D1572" s="99"/>
      <x:c r="E1572" s="99"/>
    </x:row>
    <x:row r="1573">
      <x:c r="D1573" s="99"/>
      <x:c r="E1573" s="99"/>
    </x:row>
    <x:row r="1574">
      <x:c r="D1574" s="99"/>
      <x:c r="E1574" s="99"/>
    </x:row>
    <x:row r="1575">
      <x:c r="D1575" s="99"/>
      <x:c r="E1575" s="99"/>
    </x:row>
    <x:row r="1576">
      <x:c r="D1576" s="99"/>
      <x:c r="E1576" s="99"/>
    </x:row>
    <x:row r="1577">
      <x:c r="D1577" s="99"/>
      <x:c r="E1577" s="99"/>
    </x:row>
    <x:row r="1578">
      <x:c r="D1578" s="99"/>
      <x:c r="E1578" s="99"/>
    </x:row>
    <x:row r="1579">
      <x:c r="D1579" s="99"/>
      <x:c r="E1579" s="99"/>
    </x:row>
    <x:row r="1580">
      <x:c r="D1580" s="99"/>
      <x:c r="E1580" s="99"/>
    </x:row>
    <x:row r="1581">
      <x:c r="D1581" s="99"/>
      <x:c r="E1581" s="99"/>
    </x:row>
    <x:row r="1582">
      <x:c r="D1582" s="99"/>
      <x:c r="E1582" s="99"/>
    </x:row>
    <x:row r="1583">
      <x:c r="D1583" s="99"/>
      <x:c r="E1583" s="99"/>
    </x:row>
    <x:row r="1584">
      <x:c r="D1584" s="99"/>
      <x:c r="E1584" s="99"/>
    </x:row>
    <x:row r="1585">
      <x:c r="D1585" s="99"/>
      <x:c r="E1585" s="99"/>
    </x:row>
    <x:row r="1586">
      <x:c r="D1586" s="99"/>
      <x:c r="E1586" s="99"/>
    </x:row>
    <x:row r="1587">
      <x:c r="D1587" s="99"/>
      <x:c r="E1587" s="99"/>
    </x:row>
    <x:row r="1588">
      <x:c r="D1588" s="99"/>
      <x:c r="E1588" s="99"/>
    </x:row>
    <x:row r="1589">
      <x:c r="D1589" s="99"/>
      <x:c r="E1589" s="99"/>
    </x:row>
    <x:row r="1590">
      <x:c r="D1590" s="99"/>
      <x:c r="E1590" s="99"/>
    </x:row>
    <x:row r="1591">
      <x:c r="D1591" s="99"/>
      <x:c r="E1591" s="99"/>
    </x:row>
    <x:row r="1592">
      <x:c r="D1592" s="99"/>
      <x:c r="E1592" s="99"/>
    </x:row>
    <x:row r="1593">
      <x:c r="D1593" s="99"/>
      <x:c r="E1593" s="99"/>
    </x:row>
    <x:row r="1594">
      <x:c r="D1594" s="99"/>
      <x:c r="E1594" s="99"/>
    </x:row>
    <x:row r="1595">
      <x:c r="D1595" s="99"/>
      <x:c r="E1595" s="99"/>
    </x:row>
    <x:row r="1596">
      <x:c r="D1596" s="99"/>
      <x:c r="E1596" s="99"/>
    </x:row>
    <x:row r="1597">
      <x:c r="D1597" s="99"/>
      <x:c r="E1597" s="99"/>
    </x:row>
    <x:row r="1598">
      <x:c r="D1598" s="99"/>
      <x:c r="E1598" s="99"/>
    </x:row>
    <x:row r="1599">
      <x:c r="D1599" s="99"/>
      <x:c r="E1599" s="99"/>
    </x:row>
    <x:row r="1600">
      <x:c r="D1600" s="99"/>
      <x:c r="E1600" s="99"/>
    </x:row>
    <x:row r="1601">
      <x:c r="D1601" s="99"/>
      <x:c r="E1601" s="99"/>
    </x:row>
    <x:row r="1602">
      <x:c r="D1602" s="99"/>
      <x:c r="E1602" s="99"/>
    </x:row>
    <x:row r="1603">
      <x:c r="D1603" s="99"/>
      <x:c r="E1603" s="99"/>
    </x:row>
    <x:row r="1604">
      <x:c r="D1604" s="99"/>
      <x:c r="E1604" s="99"/>
    </x:row>
    <x:row r="1605">
      <x:c r="D1605" s="99"/>
      <x:c r="E1605" s="99"/>
    </x:row>
    <x:row r="1606">
      <x:c r="D1606" s="99"/>
      <x:c r="E1606" s="99"/>
    </x:row>
    <x:row r="1607">
      <x:c r="D1607" s="99"/>
      <x:c r="E1607" s="99"/>
    </x:row>
    <x:row r="1608">
      <x:c r="D1608" s="99"/>
      <x:c r="E1608" s="99"/>
    </x:row>
    <x:row r="1609">
      <x:c r="D1609" s="99"/>
      <x:c r="E1609" s="99"/>
    </x:row>
    <x:row r="1610">
      <x:c r="D1610" s="99"/>
      <x:c r="E1610" s="99"/>
    </x:row>
    <x:row r="1611">
      <x:c r="D1611" s="99"/>
      <x:c r="E1611" s="99"/>
    </x:row>
    <x:row r="1612">
      <x:c r="D1612" s="99"/>
      <x:c r="E1612" s="99"/>
    </x:row>
    <x:row r="1613">
      <x:c r="D1613" s="99"/>
      <x:c r="E1613" s="99"/>
    </x:row>
    <x:row r="1614">
      <x:c r="D1614" s="99"/>
      <x:c r="E1614" s="99"/>
    </x:row>
    <x:row r="1615">
      <x:c r="D1615" s="99"/>
      <x:c r="E1615" s="99"/>
    </x:row>
    <x:row r="1616">
      <x:c r="D1616" s="99"/>
      <x:c r="E1616" s="99"/>
    </x:row>
    <x:row r="1617">
      <x:c r="D1617" s="99"/>
      <x:c r="E1617" s="99"/>
    </x:row>
    <x:row r="1618">
      <x:c r="D1618" s="99"/>
      <x:c r="E1618" s="99"/>
    </x:row>
    <x:row r="1619">
      <x:c r="D1619" s="99"/>
      <x:c r="E1619" s="99"/>
    </x:row>
    <x:row r="1620">
      <x:c r="D1620" s="99"/>
      <x:c r="E1620" s="99"/>
    </x:row>
    <x:row r="1621">
      <x:c r="D1621" s="99"/>
      <x:c r="E1621" s="99"/>
    </x:row>
    <x:row r="1622">
      <x:c r="D1622" s="99"/>
      <x:c r="E1622" s="99"/>
    </x:row>
    <x:row r="1623">
      <x:c r="D1623" s="99"/>
      <x:c r="E1623" s="99"/>
    </x:row>
    <x:row r="1624">
      <x:c r="D1624" s="99"/>
      <x:c r="E1624" s="99"/>
    </x:row>
    <x:row r="1625">
      <x:c r="D1625" s="99"/>
      <x:c r="E1625" s="99"/>
    </x:row>
    <x:row r="1626">
      <x:c r="D1626" s="99"/>
      <x:c r="E1626" s="99"/>
    </x:row>
    <x:row r="1627">
      <x:c r="D1627" s="99"/>
      <x:c r="E1627" s="99"/>
    </x:row>
    <x:row r="1628">
      <x:c r="D1628" s="99"/>
      <x:c r="E1628" s="99"/>
    </x:row>
    <x:row r="1629">
      <x:c r="D1629" s="99"/>
      <x:c r="E1629" s="99"/>
    </x:row>
    <x:row r="1630">
      <x:c r="D1630" s="99"/>
      <x:c r="E1630" s="99"/>
    </x:row>
    <x:row r="1631">
      <x:c r="D1631" s="99"/>
      <x:c r="E1631" s="99"/>
    </x:row>
    <x:row r="1632">
      <x:c r="D1632" s="99"/>
      <x:c r="E1632" s="99"/>
    </x:row>
    <x:row r="1633">
      <x:c r="D1633" s="99"/>
      <x:c r="E1633" s="99"/>
    </x:row>
    <x:row r="1634">
      <x:c r="D1634" s="99"/>
      <x:c r="E1634" s="99"/>
    </x:row>
    <x:row r="1635">
      <x:c r="D1635" s="99"/>
      <x:c r="E1635" s="99"/>
    </x:row>
    <x:row r="1636">
      <x:c r="D1636" s="99"/>
      <x:c r="E1636" s="99"/>
    </x:row>
    <x:row r="1637">
      <x:c r="D1637" s="99"/>
      <x:c r="E1637" s="99"/>
    </x:row>
    <x:row r="1638">
      <x:c r="D1638" s="99"/>
      <x:c r="E1638" s="99"/>
    </x:row>
    <x:row r="1639">
      <x:c r="D1639" s="99"/>
      <x:c r="E1639" s="99"/>
    </x:row>
    <x:row r="1640">
      <x:c r="D1640" s="99"/>
      <x:c r="E1640" s="99"/>
    </x:row>
    <x:row r="1641">
      <x:c r="D1641" s="99"/>
      <x:c r="E1641" s="99"/>
    </x:row>
    <x:row r="1642">
      <x:c r="D1642" s="99"/>
      <x:c r="E1642" s="99"/>
    </x:row>
    <x:row r="1643">
      <x:c r="D1643" s="99"/>
      <x:c r="E1643" s="99"/>
    </x:row>
    <x:row r="1644">
      <x:c r="D1644" s="99"/>
      <x:c r="E1644" s="99"/>
    </x:row>
    <x:row r="1645">
      <x:c r="D1645" s="99"/>
      <x:c r="E1645" s="99"/>
    </x:row>
    <x:row r="1646">
      <x:c r="D1646" s="99"/>
      <x:c r="E1646" s="99"/>
    </x:row>
    <x:row r="1647">
      <x:c r="D1647" s="99"/>
      <x:c r="E1647" s="99"/>
    </x:row>
    <x:row r="1648">
      <x:c r="D1648" s="99"/>
      <x:c r="E1648" s="99"/>
    </x:row>
    <x:row r="1649">
      <x:c r="D1649" s="99"/>
      <x:c r="E1649" s="99"/>
    </x:row>
    <x:row r="1650">
      <x:c r="D1650" s="99"/>
      <x:c r="E1650" s="99"/>
    </x:row>
    <x:row r="1651">
      <x:c r="D1651" s="99"/>
      <x:c r="E1651" s="99"/>
    </x:row>
    <x:row r="1652">
      <x:c r="D1652" s="99"/>
      <x:c r="E1652" s="99"/>
    </x:row>
    <x:row r="1653">
      <x:c r="D1653" s="99"/>
      <x:c r="E1653" s="99"/>
    </x:row>
    <x:row r="1654">
      <x:c r="D1654" s="99"/>
      <x:c r="E1654" s="99"/>
    </x:row>
    <x:row r="1655">
      <x:c r="D1655" s="99"/>
      <x:c r="E1655" s="99"/>
    </x:row>
    <x:row r="1656">
      <x:c r="D1656" s="99"/>
      <x:c r="E1656" s="99"/>
    </x:row>
    <x:row r="1657">
      <x:c r="D1657" s="99"/>
      <x:c r="E1657" s="99"/>
    </x:row>
    <x:row r="1658">
      <x:c r="D1658" s="99"/>
      <x:c r="E1658" s="99"/>
    </x:row>
    <x:row r="1659">
      <x:c r="D1659" s="99"/>
      <x:c r="E1659" s="99"/>
    </x:row>
    <x:row r="1660">
      <x:c r="D1660" s="99"/>
      <x:c r="E1660" s="99"/>
    </x:row>
    <x:row r="1661">
      <x:c r="D1661" s="99"/>
      <x:c r="E1661" s="99"/>
    </x:row>
    <x:row r="1662">
      <x:c r="D1662" s="99"/>
      <x:c r="E1662" s="99"/>
    </x:row>
    <x:row r="1663">
      <x:c r="D1663" s="99"/>
      <x:c r="E1663" s="99"/>
    </x:row>
    <x:row r="1664">
      <x:c r="D1664" s="99"/>
      <x:c r="E1664" s="99"/>
    </x:row>
    <x:row r="1665">
      <x:c r="D1665" s="99"/>
      <x:c r="E1665" s="99"/>
    </x:row>
    <x:row r="1666">
      <x:c r="D1666" s="99"/>
      <x:c r="E1666" s="99"/>
    </x:row>
    <x:row r="1667">
      <x:c r="D1667" s="99"/>
      <x:c r="E1667" s="99"/>
    </x:row>
    <x:row r="1668">
      <x:c r="D1668" s="99"/>
      <x:c r="E1668" s="99"/>
    </x:row>
    <x:row r="1669">
      <x:c r="D1669" s="99"/>
      <x:c r="E1669" s="99"/>
    </x:row>
    <x:row r="1670">
      <x:c r="D1670" s="99"/>
      <x:c r="E1670" s="99"/>
    </x:row>
    <x:row r="1671">
      <x:c r="D1671" s="99"/>
      <x:c r="E1671" s="99"/>
    </x:row>
    <x:row r="1672">
      <x:c r="D1672" s="99"/>
      <x:c r="E1672" s="99"/>
    </x:row>
    <x:row r="1673">
      <x:c r="D1673" s="99"/>
      <x:c r="E1673" s="99"/>
    </x:row>
    <x:row r="1674">
      <x:c r="D1674" s="99"/>
      <x:c r="E1674" s="99"/>
    </x:row>
    <x:row r="1675">
      <x:c r="D1675" s="99"/>
      <x:c r="E1675" s="99"/>
    </x:row>
    <x:row r="1676">
      <x:c r="D1676" s="99"/>
      <x:c r="E1676" s="99"/>
    </x:row>
    <x:row r="1677">
      <x:c r="D1677" s="99"/>
      <x:c r="E1677" s="99"/>
    </x:row>
    <x:row r="1678">
      <x:c r="D1678" s="99"/>
      <x:c r="E1678" s="99"/>
    </x:row>
    <x:row r="1679">
      <x:c r="D1679" s="99"/>
      <x:c r="E1679" s="99"/>
    </x:row>
    <x:row r="1680">
      <x:c r="D1680" s="99"/>
      <x:c r="E1680" s="99"/>
    </x:row>
    <x:row r="1681">
      <x:c r="D1681" s="99"/>
      <x:c r="E1681" s="99"/>
    </x:row>
    <x:row r="1682">
      <x:c r="D1682" s="99"/>
      <x:c r="E1682" s="99"/>
    </x:row>
    <x:row r="1683">
      <x:c r="D1683" s="99"/>
      <x:c r="E1683" s="99"/>
    </x:row>
    <x:row r="1684">
      <x:c r="D1684" s="99"/>
      <x:c r="E1684" s="99"/>
    </x:row>
    <x:row r="1685">
      <x:c r="D1685" s="99"/>
      <x:c r="E1685" s="99"/>
    </x:row>
    <x:row r="1686">
      <x:c r="D1686" s="99"/>
      <x:c r="E1686" s="99"/>
    </x:row>
    <x:row r="1687">
      <x:c r="D1687" s="99"/>
      <x:c r="E1687" s="99"/>
    </x:row>
    <x:row r="1688">
      <x:c r="D1688" s="99"/>
      <x:c r="E1688" s="99"/>
    </x:row>
    <x:row r="1689">
      <x:c r="D1689" s="99"/>
      <x:c r="E1689" s="99"/>
    </x:row>
    <x:row r="1690">
      <x:c r="D1690" s="99"/>
      <x:c r="E1690" s="99"/>
    </x:row>
    <x:row r="1691">
      <x:c r="D1691" s="99"/>
      <x:c r="E1691" s="99"/>
    </x:row>
    <x:row r="1692">
      <x:c r="D1692" s="99"/>
      <x:c r="E1692" s="99"/>
    </x:row>
    <x:row r="1693">
      <x:c r="D1693" s="99"/>
      <x:c r="E1693" s="99"/>
    </x:row>
    <x:row r="1694">
      <x:c r="D1694" s="99"/>
      <x:c r="E1694" s="99"/>
    </x:row>
    <x:row r="1695">
      <x:c r="D1695" s="99"/>
      <x:c r="E1695" s="99"/>
    </x:row>
    <x:row r="1696">
      <x:c r="D1696" s="99"/>
      <x:c r="E1696" s="99"/>
    </x:row>
    <x:row r="1697">
      <x:c r="D1697" s="99"/>
      <x:c r="E1697" s="99"/>
    </x:row>
    <x:row r="1698">
      <x:c r="D1698" s="99"/>
      <x:c r="E1698" s="99"/>
    </x:row>
    <x:row r="1699">
      <x:c r="D1699" s="99"/>
      <x:c r="E1699" s="99"/>
    </x:row>
    <x:row r="1700">
      <x:c r="D1700" s="99"/>
      <x:c r="E1700" s="99"/>
    </x:row>
    <x:row r="1701">
      <x:c r="D1701" s="99"/>
      <x:c r="E1701" s="99"/>
    </x:row>
    <x:row r="1702">
      <x:c r="D1702" s="99"/>
      <x:c r="E1702" s="99"/>
    </x:row>
    <x:row r="1703">
      <x:c r="D1703" s="99"/>
      <x:c r="E1703" s="99"/>
    </x:row>
    <x:row r="1704">
      <x:c r="D1704" s="99"/>
      <x:c r="E1704" s="99"/>
    </x:row>
    <x:row r="1705">
      <x:c r="D1705" s="99"/>
      <x:c r="E1705" s="99"/>
    </x:row>
    <x:row r="1706">
      <x:c r="D1706" s="99"/>
      <x:c r="E1706" s="99"/>
    </x:row>
    <x:row r="1707">
      <x:c r="D1707" s="99"/>
      <x:c r="E1707" s="99"/>
    </x:row>
    <x:row r="1708">
      <x:c r="D1708" s="99"/>
      <x:c r="E1708" s="99"/>
    </x:row>
    <x:row r="1709">
      <x:c r="D1709" s="99"/>
      <x:c r="E1709" s="99"/>
    </x:row>
    <x:row r="1710">
      <x:c r="D1710" s="99"/>
      <x:c r="E1710" s="99"/>
    </x:row>
    <x:row r="1711">
      <x:c r="D1711" s="99"/>
      <x:c r="E1711" s="99"/>
    </x:row>
    <x:row r="1712">
      <x:c r="D1712" s="99"/>
      <x:c r="E1712" s="99"/>
    </x:row>
    <x:row r="1713">
      <x:c r="D1713" s="99"/>
      <x:c r="E1713" s="99"/>
    </x:row>
    <x:row r="1714">
      <x:c r="D1714" s="99"/>
      <x:c r="E1714" s="99"/>
    </x:row>
    <x:row r="1715">
      <x:c r="D1715" s="99"/>
      <x:c r="E1715" s="99"/>
    </x:row>
    <x:row r="1716">
      <x:c r="D1716" s="99"/>
      <x:c r="E1716" s="99"/>
    </x:row>
    <x:row r="1717">
      <x:c r="D1717" s="99"/>
      <x:c r="E1717" s="99"/>
    </x:row>
    <x:row r="1718">
      <x:c r="D1718" s="99"/>
      <x:c r="E1718" s="99"/>
    </x:row>
    <x:row r="1719">
      <x:c r="D1719" s="99"/>
      <x:c r="E1719" s="99"/>
    </x:row>
    <x:row r="1720">
      <x:c r="D1720" s="99"/>
      <x:c r="E1720" s="99"/>
    </x:row>
    <x:row r="1721">
      <x:c r="D1721" s="99"/>
      <x:c r="E1721" s="99"/>
    </x:row>
    <x:row r="1722">
      <x:c r="D1722" s="99"/>
      <x:c r="E1722" s="99"/>
    </x:row>
    <x:row r="1723">
      <x:c r="D1723" s="99"/>
      <x:c r="E1723" s="99"/>
    </x:row>
    <x:row r="1724">
      <x:c r="D1724" s="99"/>
      <x:c r="E1724" s="99"/>
    </x:row>
    <x:row r="1725">
      <x:c r="D1725" s="99"/>
      <x:c r="E1725" s="99"/>
    </x:row>
    <x:row r="1726">
      <x:c r="D1726" s="99"/>
      <x:c r="E1726" s="99"/>
    </x:row>
    <x:row r="1727">
      <x:c r="D1727" s="99"/>
      <x:c r="E1727" s="99"/>
    </x:row>
    <x:row r="1728">
      <x:c r="D1728" s="99"/>
      <x:c r="E1728" s="99"/>
    </x:row>
    <x:row r="1729">
      <x:c r="D1729" s="99"/>
      <x:c r="E1729" s="99"/>
    </x:row>
    <x:row r="1730">
      <x:c r="D1730" s="99"/>
      <x:c r="E1730" s="99"/>
    </x:row>
    <x:row r="1731">
      <x:c r="D1731" s="99"/>
      <x:c r="E1731" s="99"/>
    </x:row>
    <x:row r="1732">
      <x:c r="D1732" s="99"/>
      <x:c r="E1732" s="99"/>
    </x:row>
    <x:row r="1733">
      <x:c r="D1733" s="99"/>
      <x:c r="E1733" s="99"/>
    </x:row>
    <x:row r="1734">
      <x:c r="D1734" s="99"/>
      <x:c r="E1734" s="99"/>
    </x:row>
    <x:row r="1735">
      <x:c r="D1735" s="99"/>
      <x:c r="E1735" s="99"/>
    </x:row>
    <x:row r="1736">
      <x:c r="D1736" s="99"/>
      <x:c r="E1736" s="99"/>
    </x:row>
    <x:row r="1737">
      <x:c r="D1737" s="99"/>
      <x:c r="E1737" s="99"/>
    </x:row>
    <x:row r="1738">
      <x:c r="D1738" s="99"/>
      <x:c r="E1738" s="99"/>
    </x:row>
    <x:row r="1739">
      <x:c r="D1739" s="99"/>
      <x:c r="E1739" s="99"/>
    </x:row>
    <x:row r="1740">
      <x:c r="D1740" s="99"/>
      <x:c r="E1740" s="99"/>
    </x:row>
    <x:row r="1741">
      <x:c r="D1741" s="99"/>
      <x:c r="E1741" s="99"/>
    </x:row>
    <x:row r="1742">
      <x:c r="D1742" s="99"/>
      <x:c r="E1742" s="99"/>
    </x:row>
    <x:row r="1743">
      <x:c r="D1743" s="99"/>
      <x:c r="E1743" s="99"/>
    </x:row>
    <x:row r="1744">
      <x:c r="D1744" s="99"/>
      <x:c r="E1744" s="99"/>
    </x:row>
    <x:row r="1745">
      <x:c r="D1745" s="99"/>
      <x:c r="E1745" s="99"/>
    </x:row>
    <x:row r="1746">
      <x:c r="D1746" s="99"/>
      <x:c r="E1746" s="99"/>
    </x:row>
    <x:row r="1747">
      <x:c r="D1747" s="99"/>
      <x:c r="E1747" s="99"/>
    </x:row>
    <x:row r="1748">
      <x:c r="D1748" s="99"/>
      <x:c r="E1748" s="99"/>
    </x:row>
    <x:row r="1749">
      <x:c r="D1749" s="99"/>
      <x:c r="E1749" s="99"/>
    </x:row>
    <x:row r="1750">
      <x:c r="D1750" s="99"/>
      <x:c r="E1750" s="99"/>
    </x:row>
    <x:row r="1751">
      <x:c r="D1751" s="99"/>
      <x:c r="E1751" s="99"/>
    </x:row>
    <x:row r="1752">
      <x:c r="D1752" s="99"/>
      <x:c r="E1752" s="99"/>
    </x:row>
    <x:row r="1753">
      <x:c r="D1753" s="99"/>
      <x:c r="E1753" s="99"/>
    </x:row>
    <x:row r="1754">
      <x:c r="D1754" s="99"/>
      <x:c r="E1754" s="99"/>
    </x:row>
    <x:row r="1755">
      <x:c r="D1755" s="99"/>
      <x:c r="E1755" s="99"/>
    </x:row>
    <x:row r="1756">
      <x:c r="D1756" s="99"/>
      <x:c r="E1756" s="99"/>
    </x:row>
    <x:row r="1757">
      <x:c r="D1757" s="99"/>
      <x:c r="E1757" s="99"/>
    </x:row>
    <x:row r="1758">
      <x:c r="D1758" s="99"/>
      <x:c r="E1758" s="99"/>
    </x:row>
    <x:row r="1759">
      <x:c r="D1759" s="99"/>
      <x:c r="E1759" s="99"/>
    </x:row>
    <x:row r="1760">
      <x:c r="D1760" s="99"/>
      <x:c r="E1760" s="99"/>
    </x:row>
    <x:row r="1761">
      <x:c r="D1761" s="99"/>
      <x:c r="E1761" s="99"/>
    </x:row>
    <x:row r="1762">
      <x:c r="D1762" s="99"/>
      <x:c r="E1762" s="99"/>
    </x:row>
    <x:row r="1763">
      <x:c r="D1763" s="99"/>
      <x:c r="E1763" s="99"/>
    </x:row>
    <x:row r="1764">
      <x:c r="D1764" s="99"/>
      <x:c r="E1764" s="99"/>
    </x:row>
    <x:row r="1765">
      <x:c r="D1765" s="99"/>
      <x:c r="E1765" s="99"/>
    </x:row>
    <x:row r="1766">
      <x:c r="D1766" s="99"/>
      <x:c r="E1766" s="99"/>
    </x:row>
    <x:row r="1767">
      <x:c r="D1767" s="99"/>
      <x:c r="E1767" s="99"/>
    </x:row>
    <x:row r="1768">
      <x:c r="D1768" s="99"/>
      <x:c r="E1768" s="99"/>
    </x:row>
    <x:row r="1769">
      <x:c r="D1769" s="99"/>
      <x:c r="E1769" s="99"/>
    </x:row>
    <x:row r="1770">
      <x:c r="D1770" s="99"/>
      <x:c r="E1770" s="99"/>
    </x:row>
    <x:row r="1771">
      <x:c r="D1771" s="99"/>
      <x:c r="E1771" s="99"/>
    </x:row>
    <x:row r="1772">
      <x:c r="D1772" s="99"/>
      <x:c r="E1772" s="99"/>
    </x:row>
    <x:row r="1773">
      <x:c r="D1773" s="99"/>
      <x:c r="E1773" s="99"/>
    </x:row>
    <x:row r="1774">
      <x:c r="D1774" s="99"/>
      <x:c r="E1774" s="99"/>
    </x:row>
    <x:row r="1775">
      <x:c r="D1775" s="99"/>
      <x:c r="E1775" s="99"/>
    </x:row>
    <x:row r="1776">
      <x:c r="D1776" s="99"/>
      <x:c r="E1776" s="99"/>
    </x:row>
    <x:row r="1777">
      <x:c r="D1777" s="99"/>
      <x:c r="E1777" s="99"/>
    </x:row>
    <x:row r="1778">
      <x:c r="D1778" s="99"/>
      <x:c r="E1778" s="99"/>
    </x:row>
    <x:row r="1779">
      <x:c r="D1779" s="99"/>
      <x:c r="E1779" s="99"/>
    </x:row>
    <x:row r="1780">
      <x:c r="D1780" s="99"/>
      <x:c r="E1780" s="99"/>
    </x:row>
    <x:row r="1781">
      <x:c r="D1781" s="99"/>
      <x:c r="E1781" s="99"/>
    </x:row>
    <x:row r="1782">
      <x:c r="D1782" s="99"/>
      <x:c r="E1782" s="99"/>
    </x:row>
    <x:row r="1783">
      <x:c r="D1783" s="99"/>
      <x:c r="E1783" s="99"/>
    </x:row>
    <x:row r="1784">
      <x:c r="D1784" s="99"/>
      <x:c r="E1784" s="99"/>
    </x:row>
    <x:row r="1785">
      <x:c r="D1785" s="99"/>
      <x:c r="E1785" s="99"/>
    </x:row>
    <x:row r="1786">
      <x:c r="D1786" s="99"/>
      <x:c r="E1786" s="99"/>
    </x:row>
    <x:row r="1787">
      <x:c r="D1787" s="99"/>
      <x:c r="E1787" s="99"/>
    </x:row>
    <x:row r="1788">
      <x:c r="D1788" s="99"/>
      <x:c r="E1788" s="99"/>
    </x:row>
    <x:row r="1789">
      <x:c r="D1789" s="99"/>
      <x:c r="E1789" s="99"/>
    </x:row>
    <x:row r="1790">
      <x:c r="D1790" s="99"/>
      <x:c r="E1790" s="99"/>
    </x:row>
    <x:row r="1791">
      <x:c r="D1791" s="99"/>
      <x:c r="E1791" s="99"/>
    </x:row>
    <x:row r="1792">
      <x:c r="D1792" s="99"/>
      <x:c r="E1792" s="99"/>
    </x:row>
    <x:row r="1793">
      <x:c r="D1793" s="99"/>
      <x:c r="E1793" s="99"/>
    </x:row>
    <x:row r="1794">
      <x:c r="D1794" s="99"/>
      <x:c r="E1794" s="99"/>
    </x:row>
    <x:row r="1795">
      <x:c r="D1795" s="99"/>
      <x:c r="E1795" s="99"/>
    </x:row>
    <x:row r="1796">
      <x:c r="D1796" s="99"/>
      <x:c r="E1796" s="99"/>
    </x:row>
    <x:row r="1797">
      <x:c r="D1797" s="99"/>
      <x:c r="E1797" s="99"/>
    </x:row>
    <x:row r="1798">
      <x:c r="D1798" s="99"/>
      <x:c r="E1798" s="99"/>
    </x:row>
    <x:row r="1799">
      <x:c r="D1799" s="99"/>
      <x:c r="E1799" s="99"/>
    </x:row>
    <x:row r="1800">
      <x:c r="D1800" s="99"/>
      <x:c r="E1800" s="99"/>
    </x:row>
    <x:row r="1801">
      <x:c r="D1801" s="99"/>
      <x:c r="E1801" s="99"/>
    </x:row>
    <x:row r="1802">
      <x:c r="D1802" s="99"/>
      <x:c r="E1802" s="99"/>
    </x:row>
    <x:row r="1803">
      <x:c r="D1803" s="99"/>
      <x:c r="E1803" s="99"/>
    </x:row>
    <x:row r="1804">
      <x:c r="D1804" s="99"/>
      <x:c r="E1804" s="99"/>
    </x:row>
    <x:row r="1805">
      <x:c r="D1805" s="99"/>
      <x:c r="E1805" s="99"/>
    </x:row>
    <x:row r="1806">
      <x:c r="D1806" s="99"/>
      <x:c r="E1806" s="99"/>
    </x:row>
    <x:row r="1807">
      <x:c r="D1807" s="99"/>
      <x:c r="E1807" s="99"/>
    </x:row>
    <x:row r="1808">
      <x:c r="D1808" s="99"/>
      <x:c r="E1808" s="99"/>
    </x:row>
    <x:row r="1809">
      <x:c r="D1809" s="99"/>
      <x:c r="E1809" s="99"/>
    </x:row>
    <x:row r="1810">
      <x:c r="D1810" s="99"/>
      <x:c r="E1810" s="99"/>
    </x:row>
    <x:row r="1811">
      <x:c r="D1811" s="99"/>
      <x:c r="E1811" s="99"/>
    </x:row>
    <x:row r="1812">
      <x:c r="D1812" s="99"/>
      <x:c r="E1812" s="99"/>
    </x:row>
    <x:row r="1813">
      <x:c r="D1813" s="99"/>
      <x:c r="E1813" s="99"/>
    </x:row>
    <x:row r="1814">
      <x:c r="D1814" s="99"/>
      <x:c r="E1814" s="99"/>
    </x:row>
    <x:row r="1815">
      <x:c r="D1815" s="99"/>
      <x:c r="E1815" s="99"/>
    </x:row>
    <x:row r="1816">
      <x:c r="D1816" s="99"/>
      <x:c r="E1816" s="99"/>
    </x:row>
    <x:row r="1817">
      <x:c r="D1817" s="99"/>
      <x:c r="E1817" s="99"/>
    </x:row>
    <x:row r="1818">
      <x:c r="D1818" s="99"/>
      <x:c r="E1818" s="99"/>
    </x:row>
    <x:row r="1819">
      <x:c r="D1819" s="99"/>
      <x:c r="E1819" s="99"/>
    </x:row>
    <x:row r="1820">
      <x:c r="D1820" s="99"/>
      <x:c r="E1820" s="99"/>
    </x:row>
    <x:row r="1821">
      <x:c r="D1821" s="99"/>
      <x:c r="E1821" s="99"/>
    </x:row>
    <x:row r="1822">
      <x:c r="D1822" s="99"/>
      <x:c r="E1822" s="99"/>
    </x:row>
    <x:row r="1823">
      <x:c r="D1823" s="99"/>
      <x:c r="E1823" s="99"/>
    </x:row>
    <x:row r="1824">
      <x:c r="D1824" s="99"/>
      <x:c r="E1824" s="99"/>
    </x:row>
    <x:row r="1825">
      <x:c r="D1825" s="99"/>
      <x:c r="E1825" s="99"/>
    </x:row>
    <x:row r="1826">
      <x:c r="D1826" s="99"/>
      <x:c r="E1826" s="99"/>
    </x:row>
    <x:row r="1827">
      <x:c r="D1827" s="99"/>
      <x:c r="E1827" s="99"/>
    </x:row>
    <x:row r="1828">
      <x:c r="D1828" s="99"/>
      <x:c r="E1828" s="99"/>
    </x:row>
    <x:row r="1829">
      <x:c r="D1829" s="99"/>
      <x:c r="E1829" s="99"/>
    </x:row>
    <x:row r="1830">
      <x:c r="D1830" s="99"/>
      <x:c r="E1830" s="99"/>
    </x:row>
    <x:row r="1831">
      <x:c r="D1831" s="99"/>
      <x:c r="E1831" s="99"/>
    </x:row>
    <x:row r="1832">
      <x:c r="D1832" s="99"/>
      <x:c r="E1832" s="99"/>
    </x:row>
    <x:row r="1833">
      <x:c r="D1833" s="99"/>
      <x:c r="E1833" s="99"/>
    </x:row>
    <x:row r="1834">
      <x:c r="D1834" s="99"/>
      <x:c r="E1834" s="99"/>
    </x:row>
    <x:row r="1835">
      <x:c r="D1835" s="99"/>
      <x:c r="E1835" s="99"/>
    </x:row>
    <x:row r="1836">
      <x:c r="D1836" s="99"/>
      <x:c r="E1836" s="99"/>
    </x:row>
    <x:row r="1837">
      <x:c r="D1837" s="99"/>
      <x:c r="E1837" s="99"/>
    </x:row>
    <x:row r="1838">
      <x:c r="D1838" s="99"/>
      <x:c r="E1838" s="99"/>
    </x:row>
    <x:row r="1839">
      <x:c r="D1839" s="99"/>
      <x:c r="E1839" s="99"/>
    </x:row>
    <x:row r="1840">
      <x:c r="D1840" s="99"/>
      <x:c r="E1840" s="99"/>
    </x:row>
    <x:row r="1841">
      <x:c r="D1841" s="99"/>
      <x:c r="E1841" s="99"/>
    </x:row>
    <x:row r="1842">
      <x:c r="D1842" s="99"/>
      <x:c r="E1842" s="99"/>
    </x:row>
    <x:row r="1843">
      <x:c r="D1843" s="99"/>
      <x:c r="E1843" s="99"/>
    </x:row>
    <x:row r="1844">
      <x:c r="D1844" s="99"/>
      <x:c r="E1844" s="99"/>
    </x:row>
    <x:row r="1845">
      <x:c r="D1845" s="99"/>
      <x:c r="E1845" s="99"/>
    </x:row>
    <x:row r="1846">
      <x:c r="D1846" s="99"/>
      <x:c r="E1846" s="99"/>
    </x:row>
    <x:row r="1847">
      <x:c r="D1847" s="99"/>
      <x:c r="E1847" s="99"/>
    </x:row>
    <x:row r="1848">
      <x:c r="D1848" s="99"/>
      <x:c r="E1848" s="99"/>
    </x:row>
    <x:row r="1849">
      <x:c r="D1849" s="99"/>
      <x:c r="E1849" s="99"/>
    </x:row>
    <x:row r="1850">
      <x:c r="D1850" s="99"/>
      <x:c r="E1850" s="99"/>
    </x:row>
    <x:row r="1851">
      <x:c r="D1851" s="99"/>
      <x:c r="E1851" s="99"/>
    </x:row>
    <x:row r="1852">
      <x:c r="D1852" s="99"/>
      <x:c r="E1852" s="99"/>
    </x:row>
    <x:row r="1853">
      <x:c r="D1853" s="99"/>
      <x:c r="E1853" s="99"/>
    </x:row>
    <x:row r="1854">
      <x:c r="D1854" s="99"/>
      <x:c r="E1854" s="99"/>
    </x:row>
    <x:row r="1855">
      <x:c r="D1855" s="99"/>
      <x:c r="E1855" s="99"/>
    </x:row>
    <x:row r="1856">
      <x:c r="D1856" s="99"/>
      <x:c r="E1856" s="99"/>
    </x:row>
    <x:row r="1857">
      <x:c r="D1857" s="99"/>
      <x:c r="E1857" s="99"/>
    </x:row>
    <x:row r="1858">
      <x:c r="D1858" s="99"/>
      <x:c r="E1858" s="99"/>
    </x:row>
    <x:row r="1859">
      <x:c r="D1859" s="99"/>
      <x:c r="E1859" s="99"/>
    </x:row>
    <x:row r="1860">
      <x:c r="D1860" s="99"/>
      <x:c r="E1860" s="99"/>
    </x:row>
    <x:row r="1861">
      <x:c r="D1861" s="99"/>
      <x:c r="E1861" s="99"/>
    </x:row>
    <x:row r="1862">
      <x:c r="D1862" s="99"/>
      <x:c r="E1862" s="99"/>
    </x:row>
    <x:row r="1863">
      <x:c r="D1863" s="99"/>
      <x:c r="E1863" s="99"/>
    </x:row>
    <x:row r="1864">
      <x:c r="D1864" s="99"/>
      <x:c r="E1864" s="99"/>
    </x:row>
    <x:row r="1865">
      <x:c r="D1865" s="99"/>
      <x:c r="E1865" s="99"/>
    </x:row>
    <x:row r="1866">
      <x:c r="D1866" s="99"/>
      <x:c r="E1866" s="99"/>
    </x:row>
    <x:row r="1867">
      <x:c r="D1867" s="99"/>
      <x:c r="E1867" s="99"/>
    </x:row>
    <x:row r="1868">
      <x:c r="D1868" s="99"/>
      <x:c r="E1868" s="99"/>
    </x:row>
    <x:row r="1869">
      <x:c r="D1869" s="99"/>
      <x:c r="E1869" s="99"/>
    </x:row>
    <x:row r="1870">
      <x:c r="D1870" s="99"/>
      <x:c r="E1870" s="99"/>
    </x:row>
    <x:row r="1871">
      <x:c r="D1871" s="99"/>
      <x:c r="E1871" s="99"/>
    </x:row>
    <x:row r="1872">
      <x:c r="D1872" s="99"/>
      <x:c r="E1872" s="99"/>
    </x:row>
    <x:row r="1873">
      <x:c r="D1873" s="99"/>
      <x:c r="E1873" s="99"/>
    </x:row>
    <x:row r="1874">
      <x:c r="D1874" s="99"/>
      <x:c r="E1874" s="99"/>
    </x:row>
    <x:row r="1875">
      <x:c r="D1875" s="99"/>
      <x:c r="E1875" s="99"/>
    </x:row>
    <x:row r="1876">
      <x:c r="D1876" s="99"/>
      <x:c r="E1876" s="99"/>
    </x:row>
    <x:row r="1877">
      <x:c r="D1877" s="99"/>
      <x:c r="E1877" s="99"/>
    </x:row>
    <x:row r="1878">
      <x:c r="D1878" s="99"/>
      <x:c r="E1878" s="99"/>
    </x:row>
    <x:row r="1879">
      <x:c r="D1879" s="99"/>
      <x:c r="E1879" s="99"/>
    </x:row>
    <x:row r="1880">
      <x:c r="D1880" s="99"/>
      <x:c r="E1880" s="99"/>
    </x:row>
    <x:row r="1881">
      <x:c r="D1881" s="99"/>
      <x:c r="E1881" s="99"/>
    </x:row>
    <x:row r="1882">
      <x:c r="D1882" s="99"/>
      <x:c r="E1882" s="99"/>
    </x:row>
    <x:row r="1883">
      <x:c r="D1883" s="99"/>
      <x:c r="E1883" s="99"/>
    </x:row>
    <x:row r="1884">
      <x:c r="D1884" s="99"/>
      <x:c r="E1884" s="99"/>
    </x:row>
    <x:row r="1885">
      <x:c r="D1885" s="99"/>
      <x:c r="E1885" s="99"/>
    </x:row>
    <x:row r="1886">
      <x:c r="D1886" s="99"/>
      <x:c r="E1886" s="99"/>
    </x:row>
    <x:row r="1887">
      <x:c r="D1887" s="99"/>
      <x:c r="E1887" s="99"/>
    </x:row>
    <x:row r="1888">
      <x:c r="D1888" s="99"/>
      <x:c r="E1888" s="99"/>
    </x:row>
    <x:row r="1889">
      <x:c r="D1889" s="99"/>
      <x:c r="E1889" s="99"/>
    </x:row>
    <x:row r="1890">
      <x:c r="D1890" s="99"/>
      <x:c r="E1890" s="99"/>
    </x:row>
    <x:row r="1891">
      <x:c r="D1891" s="99"/>
      <x:c r="E1891" s="99"/>
    </x:row>
    <x:row r="1892">
      <x:c r="D1892" s="99"/>
      <x:c r="E1892" s="99"/>
    </x:row>
    <x:row r="1893">
      <x:c r="D1893" s="99"/>
      <x:c r="E1893" s="99"/>
    </x:row>
    <x:row r="1894">
      <x:c r="D1894" s="99"/>
      <x:c r="E1894" s="99"/>
    </x:row>
    <x:row r="1895">
      <x:c r="D1895" s="99"/>
      <x:c r="E1895" s="99"/>
    </x:row>
    <x:row r="1896">
      <x:c r="D1896" s="99"/>
      <x:c r="E1896" s="99"/>
    </x:row>
    <x:row r="1897">
      <x:c r="D1897" s="99"/>
      <x:c r="E1897" s="99"/>
    </x:row>
    <x:row r="1898">
      <x:c r="D1898" s="99"/>
      <x:c r="E1898" s="99"/>
    </x:row>
    <x:row r="1899">
      <x:c r="D1899" s="99"/>
      <x:c r="E1899" s="99"/>
    </x:row>
    <x:row r="1900">
      <x:c r="D1900" s="99"/>
      <x:c r="E1900" s="99"/>
    </x:row>
    <x:row r="1901">
      <x:c r="D1901" s="99"/>
      <x:c r="E1901" s="99"/>
    </x:row>
    <x:row r="1902">
      <x:c r="D1902" s="99"/>
      <x:c r="E1902" s="99"/>
    </x:row>
    <x:row r="1903">
      <x:c r="D1903" s="99"/>
      <x:c r="E1903" s="99"/>
    </x:row>
    <x:row r="1904">
      <x:c r="D1904" s="99"/>
      <x:c r="E1904" s="99"/>
    </x:row>
    <x:row r="1905">
      <x:c r="D1905" s="99"/>
      <x:c r="E1905" s="99"/>
    </x:row>
    <x:row r="1906">
      <x:c r="D1906" s="99"/>
      <x:c r="E1906" s="99"/>
    </x:row>
    <x:row r="1907">
      <x:c r="D1907" s="99"/>
      <x:c r="E1907" s="99"/>
    </x:row>
    <x:row r="1908">
      <x:c r="D1908" s="99"/>
      <x:c r="E1908" s="99"/>
    </x:row>
    <x:row r="1909">
      <x:c r="D1909" s="99"/>
      <x:c r="E1909" s="99"/>
    </x:row>
    <x:row r="1910">
      <x:c r="D1910" s="99"/>
      <x:c r="E1910" s="99"/>
    </x:row>
    <x:row r="1911">
      <x:c r="D1911" s="99"/>
      <x:c r="E1911" s="99"/>
    </x:row>
    <x:row r="1912">
      <x:c r="D1912" s="99"/>
      <x:c r="E1912" s="99"/>
    </x:row>
    <x:row r="1913">
      <x:c r="D1913" s="99"/>
      <x:c r="E1913" s="99"/>
    </x:row>
    <x:row r="1914">
      <x:c r="D1914" s="99"/>
      <x:c r="E1914" s="99"/>
    </x:row>
    <x:row r="1915">
      <x:c r="D1915" s="99"/>
      <x:c r="E1915" s="99"/>
    </x:row>
    <x:row r="1916">
      <x:c r="D1916" s="99"/>
      <x:c r="E1916" s="99"/>
    </x:row>
    <x:row r="1917">
      <x:c r="D1917" s="99"/>
      <x:c r="E1917" s="99"/>
    </x:row>
    <x:row r="1918">
      <x:c r="D1918" s="99"/>
      <x:c r="E1918" s="99"/>
    </x:row>
    <x:row r="1919">
      <x:c r="D1919" s="99"/>
      <x:c r="E1919" s="99"/>
    </x:row>
    <x:row r="1920">
      <x:c r="D1920" s="99"/>
      <x:c r="E1920" s="99"/>
    </x:row>
    <x:row r="1921">
      <x:c r="D1921" s="99"/>
      <x:c r="E1921" s="99"/>
    </x:row>
    <x:row r="1922">
      <x:c r="D1922" s="99"/>
      <x:c r="E1922" s="99"/>
    </x:row>
    <x:row r="1923">
      <x:c r="D1923" s="99"/>
      <x:c r="E1923" s="99"/>
    </x:row>
    <x:row r="1924">
      <x:c r="D1924" s="99"/>
      <x:c r="E1924" s="99"/>
    </x:row>
    <x:row r="1925">
      <x:c r="D1925" s="99"/>
      <x:c r="E1925" s="99"/>
    </x:row>
    <x:row r="1926">
      <x:c r="D1926" s="99"/>
      <x:c r="E1926" s="99"/>
    </x:row>
    <x:row r="1927">
      <x:c r="D1927" s="99"/>
      <x:c r="E1927" s="99"/>
    </x:row>
    <x:row r="1928">
      <x:c r="D1928" s="99"/>
      <x:c r="E1928" s="99"/>
    </x:row>
    <x:row r="1929">
      <x:c r="D1929" s="99"/>
      <x:c r="E1929" s="99"/>
    </x:row>
    <x:row r="1930">
      <x:c r="D1930" s="99"/>
      <x:c r="E1930" s="99"/>
    </x:row>
    <x:row r="1931">
      <x:c r="D1931" s="99"/>
      <x:c r="E1931" s="99"/>
    </x:row>
    <x:row r="1932">
      <x:c r="D1932" s="99"/>
      <x:c r="E1932" s="99"/>
    </x:row>
    <x:row r="1933">
      <x:c r="D1933" s="99"/>
      <x:c r="E1933" s="99"/>
    </x:row>
    <x:row r="1934">
      <x:c r="D1934" s="99"/>
      <x:c r="E1934" s="99"/>
    </x:row>
    <x:row r="1935">
      <x:c r="D1935" s="99"/>
      <x:c r="E1935" s="99"/>
    </x:row>
    <x:row r="1936">
      <x:c r="D1936" s="99"/>
      <x:c r="E1936" s="99"/>
    </x:row>
    <x:row r="1937">
      <x:c r="D1937" s="99"/>
      <x:c r="E1937" s="99"/>
    </x:row>
    <x:row r="1938">
      <x:c r="D1938" s="99"/>
      <x:c r="E1938" s="99"/>
    </x:row>
    <x:row r="1939">
      <x:c r="D1939" s="99"/>
      <x:c r="E1939" s="99"/>
    </x:row>
    <x:row r="1940">
      <x:c r="D1940" s="99"/>
      <x:c r="E1940" s="99"/>
    </x:row>
    <x:row r="1941">
      <x:c r="D1941" s="99"/>
      <x:c r="E1941" s="99"/>
    </x:row>
    <x:row r="1942">
      <x:c r="D1942" s="99"/>
      <x:c r="E1942" s="99"/>
    </x:row>
    <x:row r="1943">
      <x:c r="D1943" s="99"/>
      <x:c r="E1943" s="99"/>
    </x:row>
    <x:row r="1944">
      <x:c r="D1944" s="99"/>
      <x:c r="E1944" s="99"/>
    </x:row>
    <x:row r="1945">
      <x:c r="D1945" s="99"/>
      <x:c r="E1945" s="99"/>
    </x:row>
    <x:row r="1946">
      <x:c r="D1946" s="99"/>
      <x:c r="E1946" s="99"/>
    </x:row>
    <x:row r="1947">
      <x:c r="D1947" s="99"/>
      <x:c r="E1947" s="99"/>
    </x:row>
    <x:row r="1948">
      <x:c r="D1948" s="99"/>
      <x:c r="E1948" s="99"/>
    </x:row>
    <x:row r="1949">
      <x:c r="D1949" s="99"/>
      <x:c r="E1949" s="99"/>
    </x:row>
    <x:row r="1950">
      <x:c r="D1950" s="99"/>
      <x:c r="E1950" s="99"/>
    </x:row>
    <x:row r="1951">
      <x:c r="D1951" s="99"/>
      <x:c r="E1951" s="99"/>
    </x:row>
    <x:row r="1952">
      <x:c r="D1952" s="99"/>
      <x:c r="E1952" s="99"/>
    </x:row>
    <x:row r="1953">
      <x:c r="D1953" s="99"/>
      <x:c r="E1953" s="99"/>
    </x:row>
    <x:row r="1954">
      <x:c r="D1954" s="99"/>
      <x:c r="E1954" s="99"/>
    </x:row>
    <x:row r="1955">
      <x:c r="D1955" s="99"/>
      <x:c r="E1955" s="99"/>
    </x:row>
    <x:row r="1956">
      <x:c r="D1956" s="99"/>
      <x:c r="E1956" s="99"/>
    </x:row>
    <x:row r="1957">
      <x:c r="D1957" s="99"/>
      <x:c r="E1957" s="99"/>
    </x:row>
    <x:row r="1958">
      <x:c r="D1958" s="99"/>
      <x:c r="E1958" s="99"/>
    </x:row>
    <x:row r="1959">
      <x:c r="D1959" s="99"/>
      <x:c r="E1959" s="99"/>
    </x:row>
    <x:row r="1960">
      <x:c r="D1960" s="99"/>
      <x:c r="E1960" s="99"/>
    </x:row>
    <x:row r="1961">
      <x:c r="D1961" s="99"/>
      <x:c r="E1961" s="99"/>
    </x:row>
    <x:row r="1962">
      <x:c r="D1962" s="99"/>
      <x:c r="E1962" s="99"/>
    </x:row>
    <x:row r="1963">
      <x:c r="D1963" s="99"/>
      <x:c r="E1963" s="99"/>
    </x:row>
    <x:row r="1964">
      <x:c r="D1964" s="99"/>
      <x:c r="E1964" s="99"/>
    </x:row>
    <x:row r="1965">
      <x:c r="D1965" s="99"/>
      <x:c r="E1965" s="99"/>
    </x:row>
    <x:row r="1966">
      <x:c r="D1966" s="99"/>
      <x:c r="E1966" s="99"/>
    </x:row>
    <x:row r="1967">
      <x:c r="D1967" s="99"/>
      <x:c r="E1967" s="99"/>
    </x:row>
    <x:row r="1968">
      <x:c r="D1968" s="99"/>
      <x:c r="E1968" s="99"/>
    </x:row>
    <x:row r="1969">
      <x:c r="D1969" s="99"/>
      <x:c r="E1969" s="99"/>
    </x:row>
    <x:row r="1970">
      <x:c r="D1970" s="99"/>
      <x:c r="E1970" s="99"/>
    </x:row>
    <x:row r="1971">
      <x:c r="D1971" s="99"/>
      <x:c r="E1971" s="99"/>
    </x:row>
    <x:row r="1972">
      <x:c r="D1972" s="99"/>
      <x:c r="E1972" s="99"/>
    </x:row>
    <x:row r="1973">
      <x:c r="D1973" s="99"/>
      <x:c r="E1973" s="99"/>
    </x:row>
    <x:row r="1974">
      <x:c r="D1974" s="99"/>
      <x:c r="E1974" s="99"/>
    </x:row>
    <x:row r="1975">
      <x:c r="D1975" s="99"/>
      <x:c r="E1975" s="99"/>
    </x:row>
    <x:row r="1976">
      <x:c r="D1976" s="99"/>
      <x:c r="E1976" s="99"/>
    </x:row>
    <x:row r="1977">
      <x:c r="D1977" s="99"/>
      <x:c r="E1977" s="99"/>
    </x:row>
    <x:row r="1978">
      <x:c r="D1978" s="99"/>
      <x:c r="E1978" s="99"/>
    </x:row>
    <x:row r="1979">
      <x:c r="D1979" s="99"/>
      <x:c r="E1979" s="99"/>
    </x:row>
    <x:row r="1980">
      <x:c r="D1980" s="99"/>
      <x:c r="E1980" s="99"/>
    </x:row>
    <x:row r="1981">
      <x:c r="D1981" s="99"/>
      <x:c r="E1981" s="99"/>
    </x:row>
    <x:row r="1982">
      <x:c r="D1982" s="99"/>
      <x:c r="E1982" s="99"/>
    </x:row>
    <x:row r="1983">
      <x:c r="D1983" s="99"/>
      <x:c r="E1983" s="99"/>
    </x:row>
    <x:row r="1984">
      <x:c r="D1984" s="99"/>
      <x:c r="E1984" s="99"/>
    </x:row>
    <x:row r="1985">
      <x:c r="D1985" s="99"/>
      <x:c r="E1985" s="99"/>
    </x:row>
    <x:row r="1986">
      <x:c r="D1986" s="99"/>
      <x:c r="E1986" s="99"/>
    </x:row>
    <x:row r="1987">
      <x:c r="D1987" s="99"/>
      <x:c r="E1987" s="99"/>
    </x:row>
    <x:row r="1988">
      <x:c r="D1988" s="99"/>
      <x:c r="E1988" s="99"/>
    </x:row>
    <x:row r="1989">
      <x:c r="D1989" s="99"/>
      <x:c r="E1989" s="99"/>
    </x:row>
    <x:row r="1990">
      <x:c r="D1990" s="99"/>
      <x:c r="E1990" s="99"/>
    </x:row>
    <x:row r="1991">
      <x:c r="D1991" s="99"/>
      <x:c r="E1991" s="99"/>
    </x:row>
    <x:row r="1992">
      <x:c r="D1992" s="99"/>
      <x:c r="E1992" s="99"/>
    </x:row>
    <x:row r="1993">
      <x:c r="D1993" s="99"/>
      <x:c r="E1993" s="99"/>
    </x:row>
    <x:row r="1994">
      <x:c r="D1994" s="99"/>
      <x:c r="E1994" s="99"/>
    </x:row>
    <x:row r="1995">
      <x:c r="D1995" s="99"/>
      <x:c r="E1995" s="99"/>
    </x:row>
    <x:row r="1996">
      <x:c r="D1996" s="99"/>
      <x:c r="E1996" s="99"/>
    </x:row>
    <x:row r="1997">
      <x:c r="D1997" s="99"/>
      <x:c r="E1997" s="99"/>
    </x:row>
    <x:row r="1998">
      <x:c r="D1998" s="99"/>
      <x:c r="E1998" s="99"/>
    </x:row>
    <x:row r="1999">
      <x:c r="D1999" s="99"/>
      <x:c r="E1999" s="99"/>
    </x:row>
    <x:row r="2000">
      <x:c r="D2000" s="99"/>
      <x:c r="E2000" s="99"/>
    </x:row>
    <x:row r="2001">
      <x:c r="D2001" s="99"/>
      <x:c r="E2001" s="99"/>
    </x:row>
    <x:row r="2002">
      <x:c r="D2002" s="99"/>
      <x:c r="E2002" s="99"/>
    </x:row>
    <x:row r="2003">
      <x:c r="D2003" s="99"/>
      <x:c r="E2003" s="99"/>
    </x:row>
    <x:row r="2004">
      <x:c r="D2004" s="99"/>
      <x:c r="E2004" s="99"/>
    </x:row>
    <x:row r="2005">
      <x:c r="D2005" s="99"/>
      <x:c r="E2005" s="99"/>
    </x:row>
    <x:row r="2006">
      <x:c r="D2006" s="99"/>
      <x:c r="E2006" s="99"/>
    </x:row>
    <x:row r="2007">
      <x:c r="D2007" s="99"/>
      <x:c r="E2007" s="99"/>
    </x:row>
    <x:row r="2008">
      <x:c r="D2008" s="99"/>
      <x:c r="E2008" s="99"/>
    </x:row>
    <x:row r="2009">
      <x:c r="D2009" s="99"/>
      <x:c r="E2009" s="99"/>
    </x:row>
    <x:row r="2010">
      <x:c r="D2010" s="99"/>
      <x:c r="E2010" s="99"/>
    </x:row>
    <x:row r="2011">
      <x:c r="D2011" s="99"/>
      <x:c r="E2011" s="99"/>
    </x:row>
    <x:row r="2012">
      <x:c r="D2012" s="99"/>
      <x:c r="E2012" s="99"/>
    </x:row>
    <x:row r="2013">
      <x:c r="D2013" s="99"/>
      <x:c r="E2013" s="99"/>
    </x:row>
    <x:row r="2014">
      <x:c r="D2014" s="99"/>
      <x:c r="E2014" s="99"/>
    </x:row>
    <x:row r="2015">
      <x:c r="D2015" s="99"/>
      <x:c r="E2015" s="99"/>
    </x:row>
    <x:row r="2016">
      <x:c r="D2016" s="99"/>
      <x:c r="E2016" s="99"/>
    </x:row>
    <x:row r="2017">
      <x:c r="D2017" s="99"/>
      <x:c r="E2017" s="99"/>
    </x:row>
    <x:row r="2018">
      <x:c r="D2018" s="99"/>
      <x:c r="E2018" s="99"/>
    </x:row>
    <x:row r="2019">
      <x:c r="D2019" s="99"/>
      <x:c r="E2019" s="99"/>
    </x:row>
    <x:row r="2020">
      <x:c r="D2020" s="99"/>
      <x:c r="E2020" s="99"/>
    </x:row>
    <x:row r="2021">
      <x:c r="D2021" s="99"/>
      <x:c r="E2021" s="99"/>
    </x:row>
    <x:row r="2022">
      <x:c r="D2022" s="99"/>
      <x:c r="E2022" s="99"/>
    </x:row>
    <x:row r="2023">
      <x:c r="D2023" s="99"/>
      <x:c r="E2023" s="99"/>
    </x:row>
    <x:row r="2024">
      <x:c r="D2024" s="99"/>
      <x:c r="E2024" s="99"/>
    </x:row>
    <x:row r="2025">
      <x:c r="D2025" s="99"/>
      <x:c r="E2025" s="99"/>
    </x:row>
    <x:row r="2026">
      <x:c r="D2026" s="99"/>
      <x:c r="E2026" s="99"/>
    </x:row>
    <x:row r="2027">
      <x:c r="D2027" s="99"/>
      <x:c r="E2027" s="99"/>
    </x:row>
    <x:row r="2028">
      <x:c r="D2028" s="99"/>
      <x:c r="E2028" s="99"/>
    </x:row>
    <x:row r="2029">
      <x:c r="D2029" s="99"/>
      <x:c r="E2029" s="99"/>
    </x:row>
    <x:row r="2030">
      <x:c r="D2030" s="99"/>
      <x:c r="E2030" s="99"/>
    </x:row>
    <x:row r="2031">
      <x:c r="D2031" s="99"/>
      <x:c r="E2031" s="99"/>
    </x:row>
    <x:row r="2032">
      <x:c r="D2032" s="99"/>
      <x:c r="E2032" s="99"/>
    </x:row>
    <x:row r="2033">
      <x:c r="D2033" s="99"/>
      <x:c r="E2033" s="99"/>
    </x:row>
    <x:row r="2034">
      <x:c r="D2034" s="99"/>
      <x:c r="E2034" s="99"/>
    </x:row>
    <x:row r="2035">
      <x:c r="D2035" s="99"/>
      <x:c r="E2035" s="99"/>
    </x:row>
    <x:row r="2036">
      <x:c r="D2036" s="99"/>
      <x:c r="E2036" s="99"/>
    </x:row>
    <x:row r="2037">
      <x:c r="D2037" s="99"/>
      <x:c r="E2037" s="99"/>
    </x:row>
    <x:row r="2038">
      <x:c r="D2038" s="99"/>
      <x:c r="E2038" s="99"/>
    </x:row>
    <x:row r="2039">
      <x:c r="D2039" s="99"/>
      <x:c r="E2039" s="99"/>
    </x:row>
    <x:row r="2040">
      <x:c r="D2040" s="99"/>
      <x:c r="E2040" s="99"/>
    </x:row>
    <x:row r="2041">
      <x:c r="D2041" s="99"/>
      <x:c r="E2041" s="99"/>
    </x:row>
    <x:row r="2042">
      <x:c r="D2042" s="99"/>
      <x:c r="E2042" s="99"/>
    </x:row>
    <x:row r="2043">
      <x:c r="D2043" s="99"/>
      <x:c r="E2043" s="99"/>
    </x:row>
    <x:row r="2044">
      <x:c r="D2044" s="99"/>
      <x:c r="E2044" s="99"/>
    </x:row>
    <x:row r="2045">
      <x:c r="D2045" s="99"/>
      <x:c r="E2045" s="99"/>
    </x:row>
    <x:row r="2046">
      <x:c r="D2046" s="99"/>
      <x:c r="E2046" s="99"/>
    </x:row>
    <x:row r="2047">
      <x:c r="D2047" s="99"/>
      <x:c r="E2047" s="99"/>
    </x:row>
    <x:row r="2048">
      <x:c r="D2048" s="99"/>
      <x:c r="E2048" s="99"/>
    </x:row>
    <x:row r="2049">
      <x:c r="D2049" s="99"/>
      <x:c r="E2049" s="99"/>
    </x:row>
    <x:row r="2050">
      <x:c r="D2050" s="99"/>
      <x:c r="E2050" s="99"/>
    </x:row>
    <x:row r="2051">
      <x:c r="D2051" s="99"/>
      <x:c r="E2051" s="99"/>
    </x:row>
    <x:row r="2052">
      <x:c r="D2052" s="99"/>
      <x:c r="E2052" s="99"/>
    </x:row>
    <x:row r="2053">
      <x:c r="D2053" s="99"/>
      <x:c r="E2053" s="99"/>
    </x:row>
    <x:row r="2054">
      <x:c r="D2054" s="99"/>
      <x:c r="E2054" s="99"/>
    </x:row>
    <x:row r="2055">
      <x:c r="D2055" s="99"/>
      <x:c r="E2055" s="99"/>
    </x:row>
    <x:row r="2056">
      <x:c r="D2056" s="99"/>
      <x:c r="E2056" s="99"/>
    </x:row>
    <x:row r="2057">
      <x:c r="D2057" s="99"/>
      <x:c r="E2057" s="99"/>
    </x:row>
    <x:row r="2058">
      <x:c r="D2058" s="99"/>
      <x:c r="E2058" s="99"/>
    </x:row>
    <x:row r="2059">
      <x:c r="D2059" s="99"/>
      <x:c r="E2059" s="99"/>
    </x:row>
    <x:row r="2060">
      <x:c r="D2060" s="99"/>
      <x:c r="E2060" s="99"/>
    </x:row>
    <x:row r="2061">
      <x:c r="D2061" s="99"/>
      <x:c r="E2061" s="99"/>
    </x:row>
    <x:row r="2062">
      <x:c r="D2062" s="99"/>
      <x:c r="E2062" s="99"/>
    </x:row>
    <x:row r="2063">
      <x:c r="D2063" s="99"/>
      <x:c r="E2063" s="99"/>
    </x:row>
    <x:row r="2064">
      <x:c r="D2064" s="99"/>
      <x:c r="E2064" s="99"/>
    </x:row>
    <x:row r="2065">
      <x:c r="D2065" s="99"/>
      <x:c r="E2065" s="99"/>
    </x:row>
    <x:row r="2066">
      <x:c r="D2066" s="99"/>
      <x:c r="E2066" s="99"/>
    </x:row>
    <x:row r="2067">
      <x:c r="D2067" s="99"/>
      <x:c r="E2067" s="99"/>
    </x:row>
    <x:row r="2068">
      <x:c r="D2068" s="99"/>
      <x:c r="E2068" s="99"/>
    </x:row>
    <x:row r="2069">
      <x:c r="D2069" s="99"/>
      <x:c r="E2069" s="99"/>
    </x:row>
    <x:row r="2070">
      <x:c r="D2070" s="99"/>
      <x:c r="E2070" s="99"/>
    </x:row>
    <x:row r="2071">
      <x:c r="D2071" s="99"/>
      <x:c r="E2071" s="99"/>
    </x:row>
    <x:row r="2072">
      <x:c r="D2072" s="99"/>
      <x:c r="E2072" s="99"/>
    </x:row>
    <x:row r="2073">
      <x:c r="D2073" s="99"/>
      <x:c r="E2073" s="99"/>
    </x:row>
    <x:row r="2074">
      <x:c r="D2074" s="99"/>
      <x:c r="E2074" s="99"/>
    </x:row>
    <x:row r="2075">
      <x:c r="D2075" s="99"/>
      <x:c r="E2075" s="99"/>
    </x:row>
    <x:row r="2076">
      <x:c r="D2076" s="99"/>
      <x:c r="E2076" s="99"/>
    </x:row>
    <x:row r="2077">
      <x:c r="D2077" s="99"/>
      <x:c r="E2077" s="99"/>
    </x:row>
    <x:row r="2078">
      <x:c r="D2078" s="99"/>
      <x:c r="E2078" s="99"/>
    </x:row>
    <x:row r="2079">
      <x:c r="D2079" s="99"/>
      <x:c r="E2079" s="99"/>
    </x:row>
    <x:row r="2080">
      <x:c r="D2080" s="99"/>
      <x:c r="E2080" s="99"/>
    </x:row>
    <x:row r="2081">
      <x:c r="D2081" s="99"/>
      <x:c r="E2081" s="99"/>
    </x:row>
    <x:row r="2082">
      <x:c r="D2082" s="99"/>
      <x:c r="E2082" s="99"/>
    </x:row>
    <x:row r="2083">
      <x:c r="D2083" s="99"/>
      <x:c r="E2083" s="99"/>
    </x:row>
    <x:row r="2084">
      <x:c r="D2084" s="99"/>
      <x:c r="E2084" s="99"/>
    </x:row>
    <x:row r="2085">
      <x:c r="D2085" s="99"/>
      <x:c r="E2085" s="99"/>
    </x:row>
    <x:row r="2086">
      <x:c r="D2086" s="99"/>
      <x:c r="E2086" s="99"/>
    </x:row>
    <x:row r="2087">
      <x:c r="D2087" s="99"/>
      <x:c r="E2087" s="99"/>
    </x:row>
    <x:row r="2088">
      <x:c r="D2088" s="99"/>
      <x:c r="E2088" s="99"/>
    </x:row>
    <x:row r="2089">
      <x:c r="D2089" s="99"/>
      <x:c r="E2089" s="99"/>
    </x:row>
    <x:row r="2090">
      <x:c r="D2090" s="99"/>
      <x:c r="E2090" s="99"/>
    </x:row>
    <x:row r="2091">
      <x:c r="D2091" s="99"/>
      <x:c r="E2091" s="99"/>
    </x:row>
    <x:row r="2092">
      <x:c r="D2092" s="99"/>
      <x:c r="E2092" s="99"/>
    </x:row>
    <x:row r="2093">
      <x:c r="D2093" s="99"/>
      <x:c r="E2093" s="99"/>
    </x:row>
    <x:row r="2094">
      <x:c r="D2094" s="99"/>
      <x:c r="E2094" s="99"/>
    </x:row>
    <x:row r="2095">
      <x:c r="D2095" s="99"/>
      <x:c r="E2095" s="99"/>
    </x:row>
    <x:row r="2096">
      <x:c r="D2096" s="99"/>
      <x:c r="E2096" s="99"/>
    </x:row>
    <x:row r="2097">
      <x:c r="D2097" s="99"/>
      <x:c r="E2097" s="99"/>
    </x:row>
    <x:row r="2098">
      <x:c r="D2098" s="99"/>
      <x:c r="E2098" s="99"/>
    </x:row>
    <x:row r="2099">
      <x:c r="D2099" s="99"/>
      <x:c r="E2099" s="99"/>
    </x:row>
    <x:row r="2100">
      <x:c r="D2100" s="99"/>
      <x:c r="E2100" s="99"/>
    </x:row>
    <x:row r="2101">
      <x:c r="D2101" s="99"/>
      <x:c r="E2101" s="99"/>
    </x:row>
    <x:row r="2102">
      <x:c r="D2102" s="99"/>
      <x:c r="E2102" s="99"/>
    </x:row>
    <x:row r="2103">
      <x:c r="D2103" s="99"/>
      <x:c r="E2103" s="99"/>
    </x:row>
    <x:row r="2104">
      <x:c r="D2104" s="99"/>
      <x:c r="E2104" s="99"/>
    </x:row>
    <x:row r="2105">
      <x:c r="D2105" s="99"/>
      <x:c r="E2105" s="99"/>
    </x:row>
    <x:row r="2106">
      <x:c r="D2106" s="99"/>
      <x:c r="E2106" s="99"/>
    </x:row>
    <x:row r="2107">
      <x:c r="D2107" s="99"/>
      <x:c r="E2107" s="99"/>
    </x:row>
    <x:row r="2108">
      <x:c r="D2108" s="99"/>
      <x:c r="E2108" s="99"/>
    </x:row>
    <x:row r="2109">
      <x:c r="D2109" s="99"/>
      <x:c r="E2109" s="99"/>
    </x:row>
    <x:row r="2110">
      <x:c r="D2110" s="99"/>
      <x:c r="E2110" s="99"/>
    </x:row>
    <x:row r="2111">
      <x:c r="D2111" s="99"/>
      <x:c r="E2111" s="99"/>
    </x:row>
    <x:row r="2112">
      <x:c r="D2112" s="99"/>
      <x:c r="E2112" s="99"/>
    </x:row>
    <x:row r="2113">
      <x:c r="D2113" s="99"/>
      <x:c r="E2113" s="99"/>
    </x:row>
    <x:row r="2114">
      <x:c r="D2114" s="99"/>
      <x:c r="E2114" s="99"/>
    </x:row>
    <x:row r="2115">
      <x:c r="D2115" s="99"/>
      <x:c r="E2115" s="99"/>
    </x:row>
    <x:row r="2116">
      <x:c r="D2116" s="99"/>
      <x:c r="E2116" s="99"/>
    </x:row>
    <x:row r="2117">
      <x:c r="D2117" s="99"/>
      <x:c r="E2117" s="99"/>
    </x:row>
    <x:row r="2118">
      <x:c r="D2118" s="99"/>
      <x:c r="E2118" s="99"/>
    </x:row>
    <x:row r="2119">
      <x:c r="D2119" s="99"/>
      <x:c r="E2119" s="99"/>
    </x:row>
    <x:row r="2120">
      <x:c r="D2120" s="99"/>
      <x:c r="E2120" s="99"/>
    </x:row>
    <x:row r="2121">
      <x:c r="D2121" s="99"/>
      <x:c r="E2121" s="99"/>
    </x:row>
    <x:row r="2122">
      <x:c r="D2122" s="99"/>
      <x:c r="E2122" s="99"/>
    </x:row>
    <x:row r="2123">
      <x:c r="D2123" s="99"/>
      <x:c r="E2123" s="99"/>
    </x:row>
    <x:row r="2124">
      <x:c r="D2124" s="99"/>
      <x:c r="E2124" s="99"/>
    </x:row>
    <x:row r="2125">
      <x:c r="D2125" s="99"/>
      <x:c r="E2125" s="99"/>
    </x:row>
    <x:row r="2126">
      <x:c r="D2126" s="99"/>
      <x:c r="E2126" s="99"/>
    </x:row>
    <x:row r="2127">
      <x:c r="D2127" s="99"/>
      <x:c r="E2127" s="99"/>
    </x:row>
    <x:row r="2128">
      <x:c r="D2128" s="99"/>
      <x:c r="E2128" s="99"/>
    </x:row>
    <x:row r="2129">
      <x:c r="D2129" s="99"/>
      <x:c r="E2129" s="99"/>
    </x:row>
    <x:row r="2130">
      <x:c r="D2130" s="99"/>
      <x:c r="E2130" s="99"/>
    </x:row>
    <x:row r="2131">
      <x:c r="D2131" s="99"/>
      <x:c r="E2131" s="99"/>
    </x:row>
    <x:row r="2132">
      <x:c r="D2132" s="99"/>
      <x:c r="E2132" s="99"/>
    </x:row>
    <x:row r="2133">
      <x:c r="D2133" s="99"/>
      <x:c r="E2133" s="99"/>
    </x:row>
    <x:row r="2134">
      <x:c r="D2134" s="99"/>
      <x:c r="E2134" s="99"/>
    </x:row>
    <x:row r="2135">
      <x:c r="D2135" s="99"/>
      <x:c r="E2135" s="99"/>
    </x:row>
    <x:row r="2136">
      <x:c r="D2136" s="99"/>
      <x:c r="E2136" s="99"/>
    </x:row>
    <x:row r="2137">
      <x:c r="D2137" s="99"/>
      <x:c r="E2137" s="99"/>
    </x:row>
    <x:row r="2138">
      <x:c r="D2138" s="99"/>
      <x:c r="E2138" s="99"/>
    </x:row>
    <x:row r="2139">
      <x:c r="D2139" s="99"/>
      <x:c r="E2139" s="99"/>
    </x:row>
    <x:row r="2140">
      <x:c r="D2140" s="99"/>
      <x:c r="E2140" s="99"/>
    </x:row>
    <x:row r="2141">
      <x:c r="D2141" s="99"/>
      <x:c r="E2141" s="99"/>
    </x:row>
    <x:row r="2142">
      <x:c r="D2142" s="99"/>
      <x:c r="E2142" s="99"/>
    </x:row>
    <x:row r="2143">
      <x:c r="D2143" s="99"/>
      <x:c r="E2143" s="99"/>
    </x:row>
    <x:row r="2144">
      <x:c r="D2144" s="99"/>
      <x:c r="E2144" s="99"/>
    </x:row>
    <x:row r="2145">
      <x:c r="D2145" s="99"/>
      <x:c r="E2145" s="99"/>
    </x:row>
    <x:row r="2146">
      <x:c r="D2146" s="99"/>
      <x:c r="E2146" s="99"/>
    </x:row>
    <x:row r="2147">
      <x:c r="D2147" s="99"/>
      <x:c r="E2147" s="99"/>
    </x:row>
    <x:row r="2148">
      <x:c r="D2148" s="99"/>
      <x:c r="E2148" s="99"/>
    </x:row>
    <x:row r="2149">
      <x:c r="D2149" s="99"/>
      <x:c r="E2149" s="99"/>
    </x:row>
    <x:row r="2150">
      <x:c r="D2150" s="99"/>
      <x:c r="E2150" s="99"/>
    </x:row>
    <x:row r="2151">
      <x:c r="D2151" s="99"/>
      <x:c r="E2151" s="99"/>
    </x:row>
    <x:row r="2152">
      <x:c r="D2152" s="99"/>
      <x:c r="E2152" s="99"/>
    </x:row>
    <x:row r="2153">
      <x:c r="D2153" s="99"/>
      <x:c r="E2153" s="99"/>
    </x:row>
    <x:row r="2154">
      <x:c r="D2154" s="99"/>
      <x:c r="E2154" s="99"/>
    </x:row>
    <x:row r="2155">
      <x:c r="D2155" s="99"/>
      <x:c r="E2155" s="99"/>
    </x:row>
    <x:row r="2156">
      <x:c r="D2156" s="99"/>
      <x:c r="E2156" s="99"/>
    </x:row>
    <x:row r="2157">
      <x:c r="D2157" s="99"/>
      <x:c r="E2157" s="99"/>
    </x:row>
    <x:row r="2158">
      <x:c r="D2158" s="99"/>
      <x:c r="E2158" s="99"/>
    </x:row>
    <x:row r="2159">
      <x:c r="D2159" s="99"/>
      <x:c r="E2159" s="99"/>
    </x:row>
    <x:row r="2160">
      <x:c r="D2160" s="99"/>
      <x:c r="E2160" s="99"/>
    </x:row>
    <x:row r="2161">
      <x:c r="D2161" s="99"/>
      <x:c r="E2161" s="99"/>
    </x:row>
    <x:row r="2162">
      <x:c r="D2162" s="99"/>
      <x:c r="E2162" s="99"/>
    </x:row>
    <x:row r="2163">
      <x:c r="D2163" s="99"/>
      <x:c r="E2163" s="99"/>
    </x:row>
    <x:row r="2164">
      <x:c r="D2164" s="99"/>
      <x:c r="E2164" s="99"/>
    </x:row>
    <x:row r="2165">
      <x:c r="D2165" s="99"/>
      <x:c r="E2165" s="99"/>
    </x:row>
    <x:row r="2166">
      <x:c r="D2166" s="99"/>
      <x:c r="E2166" s="99"/>
    </x:row>
    <x:row r="2167">
      <x:c r="D2167" s="99"/>
      <x:c r="E2167" s="99"/>
    </x:row>
    <x:row r="2168">
      <x:c r="D2168" s="99"/>
      <x:c r="E2168" s="99"/>
    </x:row>
    <x:row r="2169">
      <x:c r="D2169" s="99"/>
      <x:c r="E2169" s="99"/>
    </x:row>
    <x:row r="2170">
      <x:c r="D2170" s="99"/>
      <x:c r="E2170" s="99"/>
    </x:row>
    <x:row r="2171">
      <x:c r="D2171" s="99"/>
      <x:c r="E2171" s="99"/>
    </x:row>
    <x:row r="2172">
      <x:c r="D2172" s="99"/>
      <x:c r="E2172" s="99"/>
    </x:row>
    <x:row r="2173">
      <x:c r="D2173" s="99"/>
      <x:c r="E2173" s="99"/>
    </x:row>
    <x:row r="2174">
      <x:c r="D2174" s="99"/>
      <x:c r="E2174" s="99"/>
    </x:row>
    <x:row r="2175">
      <x:c r="D2175" s="99"/>
      <x:c r="E2175" s="99"/>
    </x:row>
    <x:row r="2176">
      <x:c r="D2176" s="99"/>
      <x:c r="E2176" s="99"/>
    </x:row>
    <x:row r="2177">
      <x:c r="D2177" s="99"/>
      <x:c r="E2177" s="99"/>
    </x:row>
    <x:row r="2178">
      <x:c r="D2178" s="99"/>
      <x:c r="E2178" s="99"/>
    </x:row>
    <x:row r="2179">
      <x:c r="D2179" s="99"/>
      <x:c r="E2179" s="99"/>
    </x:row>
    <x:row r="2180">
      <x:c r="D2180" s="99"/>
      <x:c r="E2180" s="99"/>
    </x:row>
    <x:row r="2181">
      <x:c r="D2181" s="99"/>
      <x:c r="E2181" s="99"/>
    </x:row>
    <x:row r="2182">
      <x:c r="D2182" s="99"/>
      <x:c r="E2182" s="99"/>
    </x:row>
    <x:row r="2183">
      <x:c r="D2183" s="99"/>
      <x:c r="E2183" s="99"/>
    </x:row>
    <x:row r="2184">
      <x:c r="D2184" s="99"/>
      <x:c r="E2184" s="99"/>
    </x:row>
    <x:row r="2185">
      <x:c r="D2185" s="99"/>
      <x:c r="E2185" s="99"/>
    </x:row>
    <x:row r="2186">
      <x:c r="D2186" s="99"/>
      <x:c r="E2186" s="99"/>
    </x:row>
    <x:row r="2187">
      <x:c r="D2187" s="99"/>
      <x:c r="E2187" s="99"/>
    </x:row>
    <x:row r="2188">
      <x:c r="D2188" s="99"/>
      <x:c r="E2188" s="99"/>
    </x:row>
    <x:row r="2189">
      <x:c r="D2189" s="99"/>
      <x:c r="E2189" s="99"/>
    </x:row>
    <x:row r="2190">
      <x:c r="D2190" s="99"/>
      <x:c r="E2190" s="99"/>
    </x:row>
    <x:row r="2191">
      <x:c r="D2191" s="99"/>
      <x:c r="E2191" s="99"/>
    </x:row>
    <x:row r="2192">
      <x:c r="D2192" s="99"/>
      <x:c r="E2192" s="99"/>
    </x:row>
    <x:row r="2193">
      <x:c r="D2193" s="99"/>
      <x:c r="E2193" s="99"/>
    </x:row>
    <x:row r="2194">
      <x:c r="D2194" s="99"/>
      <x:c r="E2194" s="99"/>
    </x:row>
    <x:row r="2195">
      <x:c r="D2195" s="99"/>
      <x:c r="E2195" s="99"/>
    </x:row>
    <x:row r="2196">
      <x:c r="D2196" s="99"/>
      <x:c r="E2196" s="99"/>
    </x:row>
    <x:row r="2197">
      <x:c r="D2197" s="99"/>
      <x:c r="E2197" s="99"/>
    </x:row>
    <x:row r="2198">
      <x:c r="D2198" s="99"/>
      <x:c r="E2198" s="99"/>
    </x:row>
    <x:row r="2199">
      <x:c r="D2199" s="99"/>
      <x:c r="E2199" s="99"/>
    </x:row>
    <x:row r="2200">
      <x:c r="D2200" s="99"/>
      <x:c r="E2200" s="99"/>
    </x:row>
    <x:row r="2201">
      <x:c r="D2201" s="99"/>
      <x:c r="E2201" s="99"/>
    </x:row>
    <x:row r="2202">
      <x:c r="D2202" s="99"/>
      <x:c r="E2202" s="99"/>
    </x:row>
    <x:row r="2203">
      <x:c r="D2203" s="99"/>
      <x:c r="E2203" s="99"/>
    </x:row>
    <x:row r="2204">
      <x:c r="D2204" s="99"/>
      <x:c r="E2204" s="99"/>
    </x:row>
    <x:row r="2205">
      <x:c r="D2205" s="99"/>
      <x:c r="E2205" s="99"/>
    </x:row>
    <x:row r="2206">
      <x:c r="D2206" s="99"/>
      <x:c r="E2206" s="99"/>
    </x:row>
    <x:row r="2207">
      <x:c r="D2207" s="99"/>
      <x:c r="E2207" s="99"/>
    </x:row>
    <x:row r="2208">
      <x:c r="D2208" s="99"/>
      <x:c r="E2208" s="99"/>
    </x:row>
    <x:row r="2209">
      <x:c r="D2209" s="99"/>
      <x:c r="E2209" s="99"/>
    </x:row>
    <x:row r="2210">
      <x:c r="D2210" s="99"/>
      <x:c r="E2210" s="99"/>
    </x:row>
    <x:row r="2211">
      <x:c r="D2211" s="99"/>
      <x:c r="E2211" s="99"/>
    </x:row>
    <x:row r="2212">
      <x:c r="D2212" s="99"/>
      <x:c r="E2212" s="99"/>
    </x:row>
    <x:row r="2213">
      <x:c r="D2213" s="99"/>
      <x:c r="E2213" s="99"/>
    </x:row>
    <x:row r="2214">
      <x:c r="D2214" s="99"/>
      <x:c r="E2214" s="99"/>
    </x:row>
    <x:row r="2215">
      <x:c r="D2215" s="99"/>
      <x:c r="E2215" s="99"/>
    </x:row>
    <x:row r="2216">
      <x:c r="D2216" s="99"/>
      <x:c r="E2216" s="99"/>
    </x:row>
    <x:row r="2217">
      <x:c r="D2217" s="99"/>
      <x:c r="E2217" s="99"/>
    </x:row>
    <x:row r="2218">
      <x:c r="D2218" s="99"/>
      <x:c r="E2218" s="99"/>
    </x:row>
    <x:row r="2219">
      <x:c r="D2219" s="99"/>
      <x:c r="E2219" s="99"/>
    </x:row>
    <x:row r="2220">
      <x:c r="D2220" s="99"/>
      <x:c r="E2220" s="99"/>
    </x:row>
    <x:row r="2221">
      <x:c r="D2221" s="99"/>
      <x:c r="E2221" s="99"/>
    </x:row>
    <x:row r="2222">
      <x:c r="D2222" s="99"/>
      <x:c r="E2222" s="99"/>
    </x:row>
    <x:row r="2223">
      <x:c r="D2223" s="99"/>
      <x:c r="E2223" s="99"/>
    </x:row>
    <x:row r="2224">
      <x:c r="D2224" s="99"/>
      <x:c r="E2224" s="99"/>
    </x:row>
    <x:row r="2225">
      <x:c r="D2225" s="99"/>
      <x:c r="E2225" s="99"/>
    </x:row>
    <x:row r="2226">
      <x:c r="D2226" s="99"/>
      <x:c r="E2226" s="99"/>
    </x:row>
    <x:row r="2227">
      <x:c r="D2227" s="99"/>
      <x:c r="E2227" s="99"/>
    </x:row>
    <x:row r="2228">
      <x:c r="D2228" s="99"/>
      <x:c r="E2228" s="99"/>
    </x:row>
    <x:row r="2229">
      <x:c r="D2229" s="99"/>
      <x:c r="E2229" s="99"/>
    </x:row>
    <x:row r="2230">
      <x:c r="D2230" s="99"/>
      <x:c r="E2230" s="99"/>
    </x:row>
    <x:row r="2231">
      <x:c r="D2231" s="99"/>
      <x:c r="E2231" s="99"/>
    </x:row>
    <x:row r="2232">
      <x:c r="D2232" s="99"/>
      <x:c r="E2232" s="99"/>
    </x:row>
    <x:row r="2233">
      <x:c r="D2233" s="99"/>
      <x:c r="E2233" s="99"/>
    </x:row>
    <x:row r="2234">
      <x:c r="D2234" s="99"/>
      <x:c r="E2234" s="99"/>
    </x:row>
    <x:row r="2235">
      <x:c r="D2235" s="99"/>
      <x:c r="E2235" s="99"/>
    </x:row>
    <x:row r="2236">
      <x:c r="D2236" s="99"/>
      <x:c r="E2236" s="99"/>
    </x:row>
    <x:row r="2237">
      <x:c r="D2237" s="99"/>
      <x:c r="E2237" s="99"/>
    </x:row>
    <x:row r="2238">
      <x:c r="D2238" s="99"/>
      <x:c r="E2238" s="99"/>
    </x:row>
    <x:row r="2239">
      <x:c r="D2239" s="99"/>
      <x:c r="E2239" s="99"/>
    </x:row>
    <x:row r="2240">
      <x:c r="D2240" s="99"/>
      <x:c r="E2240" s="99"/>
    </x:row>
    <x:row r="2241">
      <x:c r="D2241" s="99"/>
      <x:c r="E2241" s="99"/>
    </x:row>
    <x:row r="2242">
      <x:c r="D2242" s="99"/>
      <x:c r="E2242" s="99"/>
    </x:row>
    <x:row r="2243">
      <x:c r="D2243" s="99"/>
      <x:c r="E2243" s="99"/>
    </x:row>
    <x:row r="2244">
      <x:c r="D2244" s="99"/>
      <x:c r="E2244" s="99"/>
    </x:row>
    <x:row r="2245">
      <x:c r="D2245" s="99"/>
      <x:c r="E2245" s="99"/>
    </x:row>
    <x:row r="2246">
      <x:c r="D2246" s="99"/>
      <x:c r="E2246" s="99"/>
    </x:row>
    <x:row r="2247">
      <x:c r="D2247" s="99"/>
      <x:c r="E2247" s="99"/>
    </x:row>
    <x:row r="2248">
      <x:c r="D2248" s="99"/>
      <x:c r="E2248" s="99"/>
    </x:row>
    <x:row r="2249">
      <x:c r="D2249" s="99"/>
      <x:c r="E2249" s="99"/>
    </x:row>
    <x:row r="2250">
      <x:c r="D2250" s="99"/>
      <x:c r="E2250" s="99"/>
    </x:row>
    <x:row r="2251">
      <x:c r="D2251" s="99"/>
      <x:c r="E2251" s="99"/>
    </x:row>
    <x:row r="2252">
      <x:c r="D2252" s="99"/>
      <x:c r="E2252" s="99"/>
    </x:row>
    <x:row r="2253">
      <x:c r="D2253" s="99"/>
      <x:c r="E2253" s="99"/>
    </x:row>
    <x:row r="2254">
      <x:c r="D2254" s="99"/>
      <x:c r="E2254" s="99"/>
    </x:row>
    <x:row r="2255">
      <x:c r="D2255" s="99"/>
      <x:c r="E2255" s="99"/>
    </x:row>
    <x:row r="2256">
      <x:c r="D2256" s="99"/>
      <x:c r="E2256" s="99"/>
    </x:row>
    <x:row r="2257">
      <x:c r="D2257" s="99"/>
      <x:c r="E2257" s="99"/>
    </x:row>
    <x:row r="2258">
      <x:c r="D2258" s="99"/>
      <x:c r="E2258" s="99"/>
    </x:row>
    <x:row r="2259">
      <x:c r="D2259" s="99"/>
      <x:c r="E2259" s="99"/>
    </x:row>
    <x:row r="2260">
      <x:c r="D2260" s="99"/>
      <x:c r="E2260" s="99"/>
    </x:row>
    <x:row r="2261">
      <x:c r="D2261" s="99"/>
      <x:c r="E2261" s="99"/>
    </x:row>
    <x:row r="2262">
      <x:c r="D2262" s="99"/>
      <x:c r="E2262" s="99"/>
    </x:row>
    <x:row r="2263">
      <x:c r="D2263" s="99"/>
      <x:c r="E2263" s="99"/>
    </x:row>
    <x:row r="2264">
      <x:c r="D2264" s="99"/>
      <x:c r="E2264" s="99"/>
    </x:row>
    <x:row r="2265">
      <x:c r="D2265" s="99"/>
      <x:c r="E2265" s="99"/>
    </x:row>
    <x:row r="2266">
      <x:c r="D2266" s="99"/>
      <x:c r="E2266" s="99"/>
    </x:row>
    <x:row r="2267">
      <x:c r="D2267" s="99"/>
      <x:c r="E2267" s="99"/>
    </x:row>
    <x:row r="2268">
      <x:c r="D2268" s="99"/>
      <x:c r="E2268" s="99"/>
    </x:row>
    <x:row r="2269">
      <x:c r="D2269" s="99"/>
      <x:c r="E2269" s="99"/>
    </x:row>
    <x:row r="2270">
      <x:c r="D2270" s="99"/>
      <x:c r="E2270" s="99"/>
    </x:row>
    <x:row r="2271">
      <x:c r="D2271" s="99"/>
      <x:c r="E2271" s="99"/>
    </x:row>
    <x:row r="2272">
      <x:c r="D2272" s="99"/>
      <x:c r="E2272" s="99"/>
    </x:row>
    <x:row r="2273">
      <x:c r="D2273" s="99"/>
      <x:c r="E2273" s="99"/>
    </x:row>
    <x:row r="2274">
      <x:c r="D2274" s="99"/>
      <x:c r="E2274" s="99"/>
    </x:row>
    <x:row r="2275">
      <x:c r="D2275" s="99"/>
      <x:c r="E2275" s="99"/>
    </x:row>
    <x:row r="2276">
      <x:c r="D2276" s="99"/>
      <x:c r="E2276" s="99"/>
    </x:row>
    <x:row r="2277">
      <x:c r="D2277" s="99"/>
      <x:c r="E2277" s="99"/>
    </x:row>
    <x:row r="2278">
      <x:c r="D2278" s="99"/>
      <x:c r="E2278" s="99"/>
    </x:row>
    <x:row r="2279">
      <x:c r="D2279" s="99"/>
      <x:c r="E2279" s="99"/>
    </x:row>
    <x:row r="2280">
      <x:c r="D2280" s="99"/>
      <x:c r="E2280" s="99"/>
    </x:row>
    <x:row r="2281">
      <x:c r="D2281" s="99"/>
      <x:c r="E2281" s="99"/>
    </x:row>
    <x:row r="2282">
      <x:c r="D2282" s="99"/>
      <x:c r="E2282" s="99"/>
    </x:row>
    <x:row r="2283">
      <x:c r="D2283" s="99"/>
      <x:c r="E2283" s="99"/>
    </x:row>
    <x:row r="2284">
      <x:c r="D2284" s="99"/>
      <x:c r="E2284" s="99"/>
    </x:row>
    <x:row r="2285">
      <x:c r="D2285" s="99"/>
      <x:c r="E2285" s="99"/>
    </x:row>
    <x:row r="2286">
      <x:c r="D2286" s="99"/>
      <x:c r="E2286" s="99"/>
    </x:row>
    <x:row r="2287">
      <x:c r="D2287" s="99"/>
      <x:c r="E2287" s="99"/>
    </x:row>
    <x:row r="2288">
      <x:c r="D2288" s="99"/>
      <x:c r="E2288" s="99"/>
    </x:row>
    <x:row r="2289">
      <x:c r="D2289" s="99"/>
      <x:c r="E2289" s="99"/>
    </x:row>
    <x:row r="2290">
      <x:c r="D2290" s="99"/>
      <x:c r="E2290" s="99"/>
    </x:row>
    <x:row r="2291">
      <x:c r="D2291" s="99"/>
      <x:c r="E2291" s="99"/>
    </x:row>
    <x:row r="2292">
      <x:c r="D2292" s="99"/>
      <x:c r="E2292" s="99"/>
    </x:row>
    <x:row r="2293">
      <x:c r="D2293" s="99"/>
      <x:c r="E2293" s="99"/>
    </x:row>
    <x:row r="2294">
      <x:c r="D2294" s="99"/>
      <x:c r="E2294" s="99"/>
    </x:row>
    <x:row r="2295">
      <x:c r="D2295" s="99"/>
      <x:c r="E2295" s="99"/>
    </x:row>
    <x:row r="2296">
      <x:c r="D2296" s="99"/>
      <x:c r="E2296" s="99"/>
    </x:row>
    <x:row r="2297">
      <x:c r="D2297" s="99"/>
      <x:c r="E2297" s="99"/>
    </x:row>
    <x:row r="2298">
      <x:c r="D2298" s="99"/>
      <x:c r="E2298" s="99"/>
    </x:row>
    <x:row r="2299">
      <x:c r="D2299" s="99"/>
      <x:c r="E2299" s="99"/>
    </x:row>
    <x:row r="2300">
      <x:c r="D2300" s="99"/>
      <x:c r="E2300" s="99"/>
    </x:row>
    <x:row r="2301">
      <x:c r="D2301" s="99"/>
      <x:c r="E2301" s="99"/>
    </x:row>
    <x:row r="2302">
      <x:c r="D2302" s="99"/>
      <x:c r="E2302" s="99"/>
    </x:row>
    <x:row r="2303">
      <x:c r="D2303" s="99"/>
      <x:c r="E2303" s="99"/>
    </x:row>
    <x:row r="2304">
      <x:c r="D2304" s="99"/>
      <x:c r="E2304" s="99"/>
    </x:row>
    <x:row r="2305">
      <x:c r="D2305" s="99"/>
      <x:c r="E2305" s="99"/>
    </x:row>
    <x:row r="2306">
      <x:c r="D2306" s="99"/>
      <x:c r="E2306" s="99"/>
    </x:row>
    <x:row r="2307">
      <x:c r="D2307" s="99"/>
      <x:c r="E2307" s="99"/>
    </x:row>
    <x:row r="2308">
      <x:c r="D2308" s="99"/>
      <x:c r="E2308" s="99"/>
    </x:row>
    <x:row r="2309">
      <x:c r="D2309" s="99"/>
      <x:c r="E2309" s="99"/>
    </x:row>
    <x:row r="2310">
      <x:c r="D2310" s="99"/>
      <x:c r="E2310" s="99"/>
    </x:row>
    <x:row r="2311">
      <x:c r="D2311" s="99"/>
      <x:c r="E2311" s="99"/>
    </x:row>
    <x:row r="2312">
      <x:c r="D2312" s="99"/>
      <x:c r="E2312" s="99"/>
    </x:row>
    <x:row r="2313">
      <x:c r="D2313" s="99"/>
      <x:c r="E2313" s="99"/>
    </x:row>
    <x:row r="2314">
      <x:c r="D2314" s="99"/>
      <x:c r="E2314" s="99"/>
    </x:row>
    <x:row r="2315">
      <x:c r="D2315" s="99"/>
      <x:c r="E2315" s="99"/>
    </x:row>
    <x:row r="2316">
      <x:c r="D2316" s="99"/>
      <x:c r="E2316" s="99"/>
    </x:row>
    <x:row r="2317">
      <x:c r="D2317" s="99"/>
      <x:c r="E2317" s="99"/>
    </x:row>
    <x:row r="2318">
      <x:c r="D2318" s="99"/>
      <x:c r="E2318" s="99"/>
    </x:row>
    <x:row r="2319">
      <x:c r="D2319" s="99"/>
      <x:c r="E2319" s="99"/>
    </x:row>
    <x:row r="2320">
      <x:c r="D2320" s="99"/>
      <x:c r="E2320" s="99"/>
    </x:row>
    <x:row r="2321">
      <x:c r="D2321" s="99"/>
      <x:c r="E2321" s="99"/>
    </x:row>
    <x:row r="2322">
      <x:c r="D2322" s="99"/>
      <x:c r="E2322" s="99"/>
    </x:row>
    <x:row r="2323">
      <x:c r="D2323" s="99"/>
      <x:c r="E2323" s="99"/>
    </x:row>
    <x:row r="2324">
      <x:c r="D2324" s="99"/>
      <x:c r="E2324" s="99"/>
    </x:row>
    <x:row r="2325">
      <x:c r="D2325" s="99"/>
      <x:c r="E2325" s="99"/>
    </x:row>
    <x:row r="2326">
      <x:c r="D2326" s="99"/>
      <x:c r="E2326" s="99"/>
    </x:row>
    <x:row r="2327">
      <x:c r="D2327" s="99"/>
      <x:c r="E2327" s="99"/>
    </x:row>
    <x:row r="2328">
      <x:c r="D2328" s="99"/>
      <x:c r="E2328" s="99"/>
    </x:row>
    <x:row r="2329">
      <x:c r="D2329" s="99"/>
      <x:c r="E2329" s="99"/>
    </x:row>
    <x:row r="2330">
      <x:c r="D2330" s="99"/>
      <x:c r="E2330" s="99"/>
    </x:row>
    <x:row r="2331">
      <x:c r="D2331" s="99"/>
      <x:c r="E2331" s="99"/>
    </x:row>
    <x:row r="2332">
      <x:c r="D2332" s="99"/>
      <x:c r="E2332" s="99"/>
    </x:row>
    <x:row r="2333">
      <x:c r="D2333" s="99"/>
      <x:c r="E2333" s="99"/>
    </x:row>
    <x:row r="2334">
      <x:c r="D2334" s="99"/>
      <x:c r="E2334" s="99"/>
    </x:row>
    <x:row r="2335">
      <x:c r="D2335" s="99"/>
      <x:c r="E2335" s="99"/>
    </x:row>
    <x:row r="2336">
      <x:c r="D2336" s="99"/>
      <x:c r="E2336" s="99"/>
    </x:row>
    <x:row r="2337">
      <x:c r="D2337" s="99"/>
      <x:c r="E2337" s="99"/>
    </x:row>
    <x:row r="2338">
      <x:c r="D2338" s="99"/>
      <x:c r="E2338" s="99"/>
    </x:row>
    <x:row r="2339">
      <x:c r="D2339" s="99"/>
      <x:c r="E2339" s="99"/>
    </x:row>
    <x:row r="2340">
      <x:c r="D2340" s="99"/>
      <x:c r="E2340" s="99"/>
    </x:row>
    <x:row r="2341">
      <x:c r="D2341" s="99"/>
      <x:c r="E2341" s="99"/>
    </x:row>
    <x:row r="2342">
      <x:c r="D2342" s="99"/>
      <x:c r="E2342" s="99"/>
    </x:row>
    <x:row r="2343">
      <x:c r="D2343" s="99"/>
      <x:c r="E2343" s="99"/>
    </x:row>
    <x:row r="2344">
      <x:c r="D2344" s="99"/>
      <x:c r="E2344" s="99"/>
    </x:row>
    <x:row r="2345">
      <x:c r="D2345" s="99"/>
      <x:c r="E2345" s="99"/>
    </x:row>
    <x:row r="2346">
      <x:c r="D2346" s="99"/>
      <x:c r="E2346" s="99"/>
    </x:row>
    <x:row r="2347">
      <x:c r="D2347" s="99"/>
      <x:c r="E2347" s="99"/>
    </x:row>
    <x:row r="2348">
      <x:c r="D2348" s="99"/>
      <x:c r="E2348" s="99"/>
    </x:row>
    <x:row r="2349">
      <x:c r="D2349" s="99"/>
      <x:c r="E2349" s="99"/>
    </x:row>
    <x:row r="2350">
      <x:c r="D2350" s="99"/>
      <x:c r="E2350" s="99"/>
    </x:row>
    <x:row r="2351">
      <x:c r="D2351" s="99"/>
      <x:c r="E2351" s="99"/>
    </x:row>
    <x:row r="2352">
      <x:c r="D2352" s="99"/>
      <x:c r="E2352" s="99"/>
    </x:row>
    <x:row r="2353">
      <x:c r="D2353" s="99"/>
      <x:c r="E2353" s="99"/>
    </x:row>
    <x:row r="2354">
      <x:c r="D2354" s="99"/>
      <x:c r="E2354" s="99"/>
    </x:row>
    <x:row r="2355">
      <x:c r="D2355" s="99"/>
      <x:c r="E2355" s="99"/>
    </x:row>
    <x:row r="2356">
      <x:c r="D2356" s="99"/>
      <x:c r="E2356" s="99"/>
    </x:row>
    <x:row r="2357">
      <x:c r="D2357" s="99"/>
      <x:c r="E2357" s="99"/>
    </x:row>
    <x:row r="2358">
      <x:c r="D2358" s="99"/>
      <x:c r="E2358" s="99"/>
    </x:row>
    <x:row r="2359">
      <x:c r="D2359" s="99"/>
      <x:c r="E2359" s="99"/>
    </x:row>
    <x:row r="2360">
      <x:c r="D2360" s="99"/>
      <x:c r="E2360" s="99"/>
    </x:row>
    <x:row r="2361">
      <x:c r="D2361" s="99"/>
      <x:c r="E2361" s="99"/>
    </x:row>
    <x:row r="2362">
      <x:c r="D2362" s="99"/>
      <x:c r="E2362" s="99"/>
    </x:row>
    <x:row r="2363">
      <x:c r="D2363" s="99"/>
      <x:c r="E2363" s="99"/>
    </x:row>
    <x:row r="2364">
      <x:c r="D2364" s="99"/>
      <x:c r="E2364" s="99"/>
    </x:row>
    <x:row r="2365">
      <x:c r="D2365" s="99"/>
      <x:c r="E2365" s="99"/>
    </x:row>
    <x:row r="2366">
      <x:c r="D2366" s="99"/>
      <x:c r="E2366" s="99"/>
    </x:row>
    <x:row r="2367">
      <x:c r="D2367" s="99"/>
      <x:c r="E2367" s="99"/>
    </x:row>
    <x:row r="2368">
      <x:c r="D2368" s="99"/>
      <x:c r="E2368" s="99"/>
    </x:row>
    <x:row r="2369">
      <x:c r="D2369" s="99"/>
      <x:c r="E2369" s="99"/>
    </x:row>
    <x:row r="2370">
      <x:c r="D2370" s="99"/>
      <x:c r="E2370" s="99"/>
    </x:row>
    <x:row r="2371">
      <x:c r="D2371" s="99"/>
      <x:c r="E2371" s="99"/>
    </x:row>
    <x:row r="2372">
      <x:c r="D2372" s="99"/>
      <x:c r="E2372" s="99"/>
    </x:row>
    <x:row r="2373">
      <x:c r="D2373" s="99"/>
      <x:c r="E2373" s="99"/>
    </x:row>
    <x:row r="2374">
      <x:c r="D2374" s="99"/>
      <x:c r="E2374" s="99"/>
    </x:row>
    <x:row r="2375">
      <x:c r="D2375" s="99"/>
      <x:c r="E2375" s="99"/>
    </x:row>
    <x:row r="2376">
      <x:c r="D2376" s="99"/>
      <x:c r="E2376" s="99"/>
    </x:row>
    <x:row r="2377">
      <x:c r="D2377" s="99"/>
      <x:c r="E2377" s="99"/>
    </x:row>
    <x:row r="2378">
      <x:c r="D2378" s="99"/>
      <x:c r="E2378" s="99"/>
    </x:row>
    <x:row r="2379">
      <x:c r="D2379" s="99"/>
      <x:c r="E2379" s="99"/>
    </x:row>
    <x:row r="2380">
      <x:c r="D2380" s="99"/>
      <x:c r="E2380" s="99"/>
    </x:row>
    <x:row r="2381">
      <x:c r="D2381" s="99"/>
      <x:c r="E2381" s="99"/>
    </x:row>
    <x:row r="2382">
      <x:c r="D2382" s="99"/>
      <x:c r="E2382" s="99"/>
    </x:row>
    <x:row r="2383">
      <x:c r="D2383" s="99"/>
      <x:c r="E2383" s="99"/>
    </x:row>
    <x:row r="2384">
      <x:c r="D2384" s="99"/>
      <x:c r="E2384" s="99"/>
    </x:row>
    <x:row r="2385">
      <x:c r="D2385" s="99"/>
      <x:c r="E2385" s="99"/>
    </x:row>
    <x:row r="2386">
      <x:c r="D2386" s="99"/>
      <x:c r="E2386" s="99"/>
    </x:row>
    <x:row r="2387">
      <x:c r="D2387" s="99"/>
      <x:c r="E2387" s="99"/>
    </x:row>
    <x:row r="2388">
      <x:c r="D2388" s="99"/>
      <x:c r="E2388" s="99"/>
    </x:row>
    <x:row r="2389">
      <x:c r="D2389" s="99"/>
      <x:c r="E2389" s="99"/>
    </x:row>
    <x:row r="2390">
      <x:c r="D2390" s="99"/>
      <x:c r="E2390" s="99"/>
    </x:row>
    <x:row r="2391">
      <x:c r="D2391" s="99"/>
      <x:c r="E2391" s="99"/>
    </x:row>
    <x:row r="2392">
      <x:c r="D2392" s="99"/>
      <x:c r="E2392" s="99"/>
    </x:row>
    <x:row r="2393">
      <x:c r="D2393" s="99"/>
      <x:c r="E2393" s="99"/>
    </x:row>
    <x:row r="2394">
      <x:c r="D2394" s="99"/>
      <x:c r="E2394" s="99"/>
    </x:row>
    <x:row r="2395">
      <x:c r="D2395" s="99"/>
      <x:c r="E2395" s="99"/>
    </x:row>
    <x:row r="2396">
      <x:c r="D2396" s="99"/>
      <x:c r="E2396" s="99"/>
    </x:row>
    <x:row r="2397">
      <x:c r="D2397" s="99"/>
      <x:c r="E2397" s="99"/>
    </x:row>
    <x:row r="2398">
      <x:c r="D2398" s="99"/>
      <x:c r="E2398" s="99"/>
    </x:row>
    <x:row r="2399">
      <x:c r="D2399" s="99"/>
      <x:c r="E2399" s="99"/>
    </x:row>
    <x:row r="2400">
      <x:c r="D2400" s="99"/>
      <x:c r="E2400" s="99"/>
    </x:row>
    <x:row r="2401">
      <x:c r="D2401" s="99"/>
      <x:c r="E2401" s="99"/>
    </x:row>
    <x:row r="2402">
      <x:c r="D2402" s="99"/>
      <x:c r="E2402" s="99"/>
    </x:row>
    <x:row r="2403">
      <x:c r="D2403" s="99"/>
      <x:c r="E2403" s="99"/>
    </x:row>
    <x:row r="2404">
      <x:c r="D2404" s="99"/>
      <x:c r="E2404" s="99"/>
    </x:row>
    <x:row r="2405">
      <x:c r="D2405" s="99"/>
      <x:c r="E2405" s="99"/>
    </x:row>
    <x:row r="2406">
      <x:c r="D2406" s="99"/>
      <x:c r="E2406" s="99"/>
    </x:row>
    <x:row r="2407">
      <x:c r="D2407" s="99"/>
      <x:c r="E2407" s="99"/>
    </x:row>
    <x:row r="2408">
      <x:c r="D2408" s="99"/>
      <x:c r="E2408" s="99"/>
    </x:row>
    <x:row r="2409">
      <x:c r="D2409" s="99"/>
      <x:c r="E2409" s="99"/>
    </x:row>
    <x:row r="2410">
      <x:c r="D2410" s="99"/>
      <x:c r="E2410" s="99"/>
    </x:row>
    <x:row r="2411">
      <x:c r="D2411" s="99"/>
      <x:c r="E2411" s="99"/>
    </x:row>
    <x:row r="2412">
      <x:c r="D2412" s="99"/>
      <x:c r="E2412" s="99"/>
    </x:row>
    <x:row r="2413">
      <x:c r="D2413" s="99"/>
      <x:c r="E2413" s="99"/>
    </x:row>
    <x:row r="2414">
      <x:c r="D2414" s="99"/>
      <x:c r="E2414" s="99"/>
    </x:row>
    <x:row r="2415">
      <x:c r="D2415" s="99"/>
      <x:c r="E2415" s="99"/>
    </x:row>
    <x:row r="2416">
      <x:c r="D2416" s="99"/>
      <x:c r="E2416" s="99"/>
    </x:row>
    <x:row r="2417">
      <x:c r="D2417" s="99"/>
      <x:c r="E2417" s="99"/>
    </x:row>
    <x:row r="2418">
      <x:c r="D2418" s="99"/>
      <x:c r="E2418" s="99"/>
    </x:row>
    <x:row r="2419">
      <x:c r="D2419" s="99"/>
      <x:c r="E2419" s="99"/>
    </x:row>
    <x:row r="2420">
      <x:c r="D2420" s="99"/>
      <x:c r="E2420" s="99"/>
    </x:row>
    <x:row r="2421">
      <x:c r="D2421" s="99"/>
      <x:c r="E2421" s="99"/>
    </x:row>
    <x:row r="2422">
      <x:c r="D2422" s="99"/>
      <x:c r="E2422" s="99"/>
    </x:row>
    <x:row r="2423">
      <x:c r="D2423" s="99"/>
      <x:c r="E2423" s="99"/>
    </x:row>
    <x:row r="2424">
      <x:c r="D2424" s="99"/>
      <x:c r="E2424" s="99"/>
    </x:row>
    <x:row r="2425">
      <x:c r="D2425" s="99"/>
      <x:c r="E2425" s="99"/>
    </x:row>
    <x:row r="2426">
      <x:c r="D2426" s="99"/>
      <x:c r="E2426" s="99"/>
    </x:row>
    <x:row r="2427">
      <x:c r="D2427" s="99"/>
      <x:c r="E2427" s="99"/>
    </x:row>
    <x:row r="2428">
      <x:c r="D2428" s="99"/>
      <x:c r="E2428" s="99"/>
    </x:row>
    <x:row r="2429">
      <x:c r="D2429" s="99"/>
      <x:c r="E2429" s="99"/>
    </x:row>
    <x:row r="2430">
      <x:c r="D2430" s="99"/>
      <x:c r="E2430" s="99"/>
    </x:row>
    <x:row r="2431">
      <x:c r="D2431" s="99"/>
      <x:c r="E2431" s="99"/>
    </x:row>
    <x:row r="2432">
      <x:c r="D2432" s="99"/>
      <x:c r="E2432" s="99"/>
    </x:row>
    <x:row r="2433">
      <x:c r="D2433" s="99"/>
      <x:c r="E2433" s="99"/>
    </x:row>
    <x:row r="2434">
      <x:c r="D2434" s="99"/>
      <x:c r="E2434" s="99"/>
    </x:row>
    <x:row r="2435">
      <x:c r="D2435" s="99"/>
      <x:c r="E2435" s="99"/>
    </x:row>
    <x:row r="2436">
      <x:c r="D2436" s="99"/>
      <x:c r="E2436" s="99"/>
    </x:row>
    <x:row r="2437">
      <x:c r="D2437" s="99"/>
      <x:c r="E2437" s="99"/>
    </x:row>
    <x:row r="2438">
      <x:c r="D2438" s="99"/>
      <x:c r="E2438" s="99"/>
    </x:row>
    <x:row r="2439">
      <x:c r="D2439" s="99"/>
      <x:c r="E2439" s="99"/>
    </x:row>
    <x:row r="2440">
      <x:c r="D2440" s="99"/>
      <x:c r="E2440" s="99"/>
    </x:row>
    <x:row r="2441">
      <x:c r="D2441" s="99"/>
      <x:c r="E2441" s="99"/>
    </x:row>
    <x:row r="2442">
      <x:c r="D2442" s="99"/>
      <x:c r="E2442" s="99"/>
    </x:row>
    <x:row r="2443">
      <x:c r="D2443" s="99"/>
      <x:c r="E2443" s="99"/>
    </x:row>
    <x:row r="2444">
      <x:c r="D2444" s="99"/>
      <x:c r="E2444" s="99"/>
    </x:row>
    <x:row r="2445">
      <x:c r="D2445" s="99"/>
      <x:c r="E2445" s="99"/>
    </x:row>
    <x:row r="2446">
      <x:c r="D2446" s="99"/>
      <x:c r="E2446" s="99"/>
    </x:row>
    <x:row r="2447">
      <x:c r="D2447" s="99"/>
      <x:c r="E2447" s="99"/>
    </x:row>
    <x:row r="2448">
      <x:c r="D2448" s="99"/>
      <x:c r="E2448" s="99"/>
    </x:row>
    <x:row r="2449">
      <x:c r="D2449" s="99"/>
      <x:c r="E2449" s="99"/>
    </x:row>
    <x:row r="2450">
      <x:c r="D2450" s="99"/>
      <x:c r="E2450" s="99"/>
    </x:row>
    <x:row r="2451">
      <x:c r="D2451" s="99"/>
      <x:c r="E2451" s="99"/>
    </x:row>
    <x:row r="2452">
      <x:c r="D2452" s="99"/>
      <x:c r="E2452" s="99"/>
    </x:row>
    <x:row r="2453">
      <x:c r="D2453" s="99"/>
      <x:c r="E2453" s="99"/>
    </x:row>
    <x:row r="2454">
      <x:c r="D2454" s="99"/>
      <x:c r="E2454" s="99"/>
    </x:row>
    <x:row r="2455">
      <x:c r="D2455" s="99"/>
      <x:c r="E2455" s="99"/>
    </x:row>
    <x:row r="2456">
      <x:c r="D2456" s="99"/>
      <x:c r="E2456" s="99"/>
    </x:row>
    <x:row r="2457">
      <x:c r="D2457" s="99"/>
      <x:c r="E2457" s="99"/>
    </x:row>
    <x:row r="2458">
      <x:c r="D2458" s="99"/>
      <x:c r="E2458" s="99"/>
    </x:row>
    <x:row r="2459">
      <x:c r="D2459" s="99"/>
      <x:c r="E2459" s="99"/>
    </x:row>
    <x:row r="2460">
      <x:c r="D2460" s="99"/>
      <x:c r="E2460" s="99"/>
    </x:row>
    <x:row r="2461">
      <x:c r="D2461" s="99"/>
      <x:c r="E2461" s="99"/>
    </x:row>
    <x:row r="2462">
      <x:c r="D2462" s="99"/>
      <x:c r="E2462" s="99"/>
    </x:row>
    <x:row r="2463">
      <x:c r="D2463" s="99"/>
      <x:c r="E2463" s="99"/>
    </x:row>
    <x:row r="2464">
      <x:c r="D2464" s="99"/>
      <x:c r="E2464" s="99"/>
    </x:row>
    <x:row r="2465">
      <x:c r="D2465" s="99"/>
      <x:c r="E2465" s="99"/>
    </x:row>
    <x:row r="2466">
      <x:c r="D2466" s="99"/>
      <x:c r="E2466" s="99"/>
    </x:row>
    <x:row r="2467">
      <x:c r="D2467" s="99"/>
      <x:c r="E2467" s="99"/>
    </x:row>
    <x:row r="2468">
      <x:c r="D2468" s="99"/>
      <x:c r="E2468" s="99"/>
    </x:row>
    <x:row r="2469">
      <x:c r="D2469" s="99"/>
      <x:c r="E2469" s="99"/>
    </x:row>
    <x:row r="2470">
      <x:c r="D2470" s="99"/>
      <x:c r="E2470" s="99"/>
    </x:row>
    <x:row r="2471">
      <x:c r="D2471" s="99"/>
      <x:c r="E2471" s="99"/>
    </x:row>
    <x:row r="2472">
      <x:c r="D2472" s="99"/>
      <x:c r="E2472" s="99"/>
    </x:row>
    <x:row r="2473">
      <x:c r="D2473" s="99"/>
      <x:c r="E2473" s="99"/>
    </x:row>
    <x:row r="2474">
      <x:c r="D2474" s="99"/>
      <x:c r="E2474" s="99"/>
    </x:row>
    <x:row r="2475">
      <x:c r="D2475" s="99"/>
      <x:c r="E2475" s="99"/>
    </x:row>
    <x:row r="2476">
      <x:c r="D2476" s="99"/>
      <x:c r="E2476" s="99"/>
    </x:row>
    <x:row r="2477">
      <x:c r="D2477" s="99"/>
      <x:c r="E2477" s="99"/>
    </x:row>
    <x:row r="2478">
      <x:c r="D2478" s="99"/>
      <x:c r="E2478" s="99"/>
    </x:row>
    <x:row r="2479">
      <x:c r="D2479" s="99"/>
      <x:c r="E2479" s="99"/>
    </x:row>
    <x:row r="2480">
      <x:c r="D2480" s="99"/>
      <x:c r="E2480" s="99"/>
    </x:row>
    <x:row r="2481">
      <x:c r="D2481" s="99"/>
      <x:c r="E2481" s="99"/>
    </x:row>
    <x:row r="2482">
      <x:c r="D2482" s="99"/>
      <x:c r="E2482" s="99"/>
    </x:row>
    <x:row r="2483">
      <x:c r="D2483" s="99"/>
      <x:c r="E2483" s="99"/>
    </x:row>
    <x:row r="2484">
      <x:c r="D2484" s="99"/>
      <x:c r="E2484" s="99"/>
    </x:row>
    <x:row r="2485">
      <x:c r="D2485" s="99"/>
      <x:c r="E2485" s="99"/>
    </x:row>
    <x:row r="2486">
      <x:c r="D2486" s="99"/>
      <x:c r="E2486" s="99"/>
    </x:row>
    <x:row r="2487">
      <x:c r="D2487" s="99"/>
      <x:c r="E2487" s="99"/>
    </x:row>
    <x:row r="2488">
      <x:c r="D2488" s="99"/>
      <x:c r="E2488" s="99"/>
    </x:row>
    <x:row r="2489">
      <x:c r="D2489" s="99"/>
      <x:c r="E2489" s="99"/>
    </x:row>
    <x:row r="2490">
      <x:c r="D2490" s="99"/>
      <x:c r="E2490" s="99"/>
    </x:row>
    <x:row r="2491">
      <x:c r="D2491" s="99"/>
      <x:c r="E2491" s="99"/>
    </x:row>
    <x:row r="2492">
      <x:c r="D2492" s="99"/>
      <x:c r="E2492" s="99"/>
    </x:row>
    <x:row r="2493">
      <x:c r="D2493" s="99"/>
      <x:c r="E2493" s="99"/>
    </x:row>
    <x:row r="2494">
      <x:c r="D2494" s="99"/>
      <x:c r="E2494" s="99"/>
    </x:row>
    <x:row r="2495">
      <x:c r="D2495" s="99"/>
      <x:c r="E2495" s="99"/>
    </x:row>
    <x:row r="2496">
      <x:c r="D2496" s="99"/>
      <x:c r="E2496" s="99"/>
    </x:row>
    <x:row r="2497">
      <x:c r="D2497" s="99"/>
      <x:c r="E2497" s="99"/>
    </x:row>
    <x:row r="2498">
      <x:c r="D2498" s="99"/>
      <x:c r="E2498" s="99"/>
    </x:row>
    <x:row r="2499">
      <x:c r="D2499" s="99"/>
      <x:c r="E2499" s="99"/>
    </x:row>
    <x:row r="2500">
      <x:c r="D2500" s="99"/>
      <x:c r="E2500" s="99"/>
    </x:row>
    <x:row r="2501">
      <x:c r="D2501" s="99"/>
      <x:c r="E2501" s="99"/>
    </x:row>
    <x:row r="2502">
      <x:c r="D2502" s="99"/>
      <x:c r="E2502" s="99"/>
    </x:row>
    <x:row r="2503">
      <x:c r="D2503" s="99"/>
      <x:c r="E2503" s="99"/>
    </x:row>
    <x:row r="2504">
      <x:c r="D2504" s="99"/>
      <x:c r="E2504" s="99"/>
    </x:row>
    <x:row r="2505">
      <x:c r="D2505" s="99"/>
      <x:c r="E2505" s="99"/>
    </x:row>
    <x:row r="2506">
      <x:c r="D2506" s="99"/>
      <x:c r="E2506" s="99"/>
    </x:row>
    <x:row r="2507">
      <x:c r="D2507" s="99"/>
      <x:c r="E2507" s="99"/>
    </x:row>
    <x:row r="2508">
      <x:c r="D2508" s="99"/>
      <x:c r="E2508" s="99"/>
    </x:row>
    <x:row r="2509">
      <x:c r="D2509" s="99"/>
      <x:c r="E2509" s="99"/>
    </x:row>
    <x:row r="2510">
      <x:c r="D2510" s="99"/>
      <x:c r="E2510" s="99"/>
    </x:row>
    <x:row r="2511">
      <x:c r="D2511" s="99"/>
      <x:c r="E2511" s="99"/>
    </x:row>
    <x:row r="2512">
      <x:c r="D2512" s="99"/>
      <x:c r="E2512" s="99"/>
    </x:row>
    <x:row r="2513">
      <x:c r="D2513" s="99"/>
      <x:c r="E2513" s="99"/>
    </x:row>
    <x:row r="2514">
      <x:c r="D2514" s="99"/>
      <x:c r="E2514" s="99"/>
    </x:row>
    <x:row r="2515">
      <x:c r="D2515" s="99"/>
      <x:c r="E2515" s="99"/>
    </x:row>
    <x:row r="2516">
      <x:c r="D2516" s="99"/>
      <x:c r="E2516" s="99"/>
    </x:row>
    <x:row r="2517">
      <x:c r="D2517" s="99"/>
      <x:c r="E2517" s="99"/>
    </x:row>
    <x:row r="2518">
      <x:c r="D2518" s="99"/>
      <x:c r="E2518" s="99"/>
    </x:row>
    <x:row r="2519">
      <x:c r="D2519" s="99"/>
      <x:c r="E2519" s="99"/>
    </x:row>
    <x:row r="2520">
      <x:c r="D2520" s="99"/>
      <x:c r="E2520" s="99"/>
    </x:row>
    <x:row r="2521">
      <x:c r="D2521" s="99"/>
      <x:c r="E2521" s="99"/>
    </x:row>
    <x:row r="2522">
      <x:c r="D2522" s="99"/>
      <x:c r="E2522" s="99"/>
    </x:row>
    <x:row r="2523">
      <x:c r="D2523" s="99"/>
      <x:c r="E2523" s="99"/>
    </x:row>
    <x:row r="2524">
      <x:c r="D2524" s="99"/>
      <x:c r="E2524" s="99"/>
    </x:row>
    <x:row r="2525">
      <x:c r="D2525" s="99"/>
      <x:c r="E2525" s="99"/>
    </x:row>
    <x:row r="2526">
      <x:c r="D2526" s="99"/>
      <x:c r="E2526" s="99"/>
    </x:row>
    <x:row r="2527">
      <x:c r="D2527" s="99"/>
      <x:c r="E2527" s="99"/>
    </x:row>
    <x:row r="2528">
      <x:c r="D2528" s="99"/>
      <x:c r="E2528" s="99"/>
    </x:row>
    <x:row r="2529">
      <x:c r="D2529" s="99"/>
      <x:c r="E2529" s="99"/>
    </x:row>
    <x:row r="2530">
      <x:c r="D2530" s="99"/>
      <x:c r="E2530" s="99"/>
    </x:row>
    <x:row r="2531">
      <x:c r="D2531" s="99"/>
      <x:c r="E2531" s="99"/>
    </x:row>
    <x:row r="2532">
      <x:c r="D2532" s="99"/>
      <x:c r="E2532" s="99"/>
    </x:row>
    <x:row r="2533">
      <x:c r="D2533" s="99"/>
      <x:c r="E2533" s="99"/>
    </x:row>
    <x:row r="2534">
      <x:c r="D2534" s="99"/>
      <x:c r="E2534" s="99"/>
    </x:row>
    <x:row r="2535">
      <x:c r="D2535" s="99"/>
      <x:c r="E2535" s="99"/>
    </x:row>
    <x:row r="2536">
      <x:c r="D2536" s="99"/>
      <x:c r="E2536" s="99"/>
    </x:row>
    <x:row r="2537">
      <x:c r="D2537" s="99"/>
      <x:c r="E2537" s="99"/>
    </x:row>
    <x:row r="2538">
      <x:c r="D2538" s="99"/>
      <x:c r="E2538" s="99"/>
    </x:row>
    <x:row r="2539">
      <x:c r="D2539" s="99"/>
      <x:c r="E2539" s="99"/>
    </x:row>
    <x:row r="2540">
      <x:c r="D2540" s="99"/>
      <x:c r="E2540" s="99"/>
    </x:row>
    <x:row r="2541">
      <x:c r="D2541" s="99"/>
      <x:c r="E2541" s="99"/>
    </x:row>
    <x:row r="2542">
      <x:c r="D2542" s="99"/>
      <x:c r="E2542" s="99"/>
    </x:row>
    <x:row r="2543">
      <x:c r="D2543" s="99"/>
      <x:c r="E2543" s="99"/>
    </x:row>
    <x:row r="2544">
      <x:c r="D2544" s="99"/>
      <x:c r="E2544" s="99"/>
    </x:row>
    <x:row r="2545">
      <x:c r="D2545" s="99"/>
      <x:c r="E2545" s="99"/>
    </x:row>
    <x:row r="2546">
      <x:c r="D2546" s="99"/>
      <x:c r="E2546" s="99"/>
    </x:row>
    <x:row r="2547">
      <x:c r="D2547" s="99"/>
      <x:c r="E2547" s="99"/>
    </x:row>
    <x:row r="2548">
      <x:c r="D2548" s="99"/>
      <x:c r="E2548" s="99"/>
    </x:row>
    <x:row r="2549">
      <x:c r="D2549" s="99"/>
      <x:c r="E2549" s="99"/>
    </x:row>
    <x:row r="2550">
      <x:c r="D2550" s="99"/>
      <x:c r="E2550" s="99"/>
    </x:row>
    <x:row r="2551">
      <x:c r="D2551" s="99"/>
      <x:c r="E2551" s="99"/>
    </x:row>
    <x:row r="2552">
      <x:c r="D2552" s="99"/>
      <x:c r="E2552" s="99"/>
    </x:row>
    <x:row r="2553">
      <x:c r="D2553" s="99"/>
      <x:c r="E2553" s="99"/>
    </x:row>
    <x:row r="2554">
      <x:c r="D2554" s="99"/>
      <x:c r="E2554" s="99"/>
    </x:row>
    <x:row r="2555">
      <x:c r="D2555" s="99"/>
      <x:c r="E2555" s="99"/>
    </x:row>
    <x:row r="2556">
      <x:c r="D2556" s="99"/>
      <x:c r="E2556" s="99"/>
    </x:row>
    <x:row r="2557">
      <x:c r="D2557" s="99"/>
      <x:c r="E2557" s="99"/>
    </x:row>
    <x:row r="2558">
      <x:c r="D2558" s="99"/>
      <x:c r="E2558" s="99"/>
    </x:row>
    <x:row r="2559">
      <x:c r="D2559" s="99"/>
      <x:c r="E2559" s="99"/>
    </x:row>
    <x:row r="2560">
      <x:c r="D2560" s="99"/>
      <x:c r="E2560" s="99"/>
    </x:row>
    <x:row r="2561">
      <x:c r="D2561" s="99"/>
      <x:c r="E2561" s="99"/>
    </x:row>
    <x:row r="2562">
      <x:c r="D2562" s="99"/>
      <x:c r="E2562" s="99"/>
    </x:row>
    <x:row r="2563">
      <x:c r="D2563" s="99"/>
      <x:c r="E2563" s="99"/>
    </x:row>
    <x:row r="2564">
      <x:c r="D2564" s="99"/>
      <x:c r="E2564" s="99"/>
    </x:row>
    <x:row r="2565">
      <x:c r="D2565" s="99"/>
      <x:c r="E2565" s="99"/>
    </x:row>
    <x:row r="2566">
      <x:c r="D2566" s="99"/>
      <x:c r="E2566" s="99"/>
    </x:row>
    <x:row r="2567">
      <x:c r="D2567" s="99"/>
      <x:c r="E2567" s="99"/>
    </x:row>
    <x:row r="2568">
      <x:c r="D2568" s="99"/>
      <x:c r="E2568" s="99"/>
    </x:row>
    <x:row r="2569">
      <x:c r="D2569" s="99"/>
      <x:c r="E2569" s="99"/>
    </x:row>
    <x:row r="2570">
      <x:c r="D2570" s="99"/>
      <x:c r="E2570" s="99"/>
    </x:row>
    <x:row r="2571">
      <x:c r="D2571" s="99"/>
      <x:c r="E2571" s="99"/>
    </x:row>
    <x:row r="2572">
      <x:c r="D2572" s="99"/>
      <x:c r="E2572" s="99"/>
    </x:row>
    <x:row r="2573">
      <x:c r="D2573" s="99"/>
      <x:c r="E2573" s="99"/>
    </x:row>
    <x:row r="2574">
      <x:c r="D2574" s="99"/>
      <x:c r="E2574" s="99"/>
    </x:row>
    <x:row r="2575">
      <x:c r="D2575" s="99"/>
      <x:c r="E2575" s="99"/>
    </x:row>
    <x:row r="2576">
      <x:c r="D2576" s="99"/>
      <x:c r="E2576" s="99"/>
    </x:row>
    <x:row r="2577">
      <x:c r="D2577" s="99"/>
      <x:c r="E2577" s="99"/>
    </x:row>
    <x:row r="2578">
      <x:c r="D2578" s="99"/>
      <x:c r="E2578" s="99"/>
    </x:row>
    <x:row r="2579">
      <x:c r="D2579" s="99"/>
      <x:c r="E2579" s="99"/>
    </x:row>
    <x:row r="2580">
      <x:c r="D2580" s="99"/>
      <x:c r="E2580" s="99"/>
    </x:row>
    <x:row r="2581">
      <x:c r="D2581" s="99"/>
      <x:c r="E2581" s="99"/>
    </x:row>
    <x:row r="2582">
      <x:c r="D2582" s="99"/>
      <x:c r="E2582" s="99"/>
    </x:row>
    <x:row r="2583">
      <x:c r="D2583" s="99"/>
      <x:c r="E2583" s="99"/>
    </x:row>
    <x:row r="2584">
      <x:c r="D2584" s="99"/>
      <x:c r="E2584" s="99"/>
    </x:row>
    <x:row r="2585">
      <x:c r="D2585" s="99"/>
      <x:c r="E2585" s="99"/>
    </x:row>
    <x:row r="2586">
      <x:c r="D2586" s="99"/>
      <x:c r="E2586" s="99"/>
    </x:row>
    <x:row r="2587">
      <x:c r="D2587" s="99"/>
      <x:c r="E2587" s="99"/>
    </x:row>
    <x:row r="2588">
      <x:c r="D2588" s="99"/>
      <x:c r="E2588" s="99"/>
    </x:row>
    <x:row r="2589">
      <x:c r="D2589" s="99"/>
      <x:c r="E2589" s="99"/>
    </x:row>
    <x:row r="2590">
      <x:c r="D2590" s="99"/>
      <x:c r="E2590" s="99"/>
    </x:row>
    <x:row r="2591">
      <x:c r="D2591" s="99"/>
      <x:c r="E2591" s="99"/>
    </x:row>
    <x:row r="2592">
      <x:c r="D2592" s="99"/>
      <x:c r="E2592" s="99"/>
    </x:row>
    <x:row r="2593">
      <x:c r="D2593" s="99"/>
      <x:c r="E2593" s="99"/>
    </x:row>
    <x:row r="2594">
      <x:c r="D2594" s="99"/>
      <x:c r="E2594" s="99"/>
    </x:row>
    <x:row r="2595">
      <x:c r="D2595" s="99"/>
      <x:c r="E2595" s="99"/>
    </x:row>
    <x:row r="2596">
      <x:c r="D2596" s="99"/>
      <x:c r="E2596" s="99"/>
    </x:row>
    <x:row r="2597">
      <x:c r="D2597" s="99"/>
      <x:c r="E2597" s="99"/>
    </x:row>
    <x:row r="2598">
      <x:c r="D2598" s="99"/>
      <x:c r="E2598" s="99"/>
    </x:row>
    <x:row r="2599">
      <x:c r="D2599" s="99"/>
      <x:c r="E2599" s="99"/>
    </x:row>
    <x:row r="2600">
      <x:c r="D2600" s="99"/>
      <x:c r="E2600" s="99"/>
    </x:row>
    <x:row r="2601">
      <x:c r="D2601" s="99"/>
      <x:c r="E2601" s="99"/>
    </x:row>
    <x:row r="2602">
      <x:c r="D2602" s="99"/>
      <x:c r="E2602" s="99"/>
    </x:row>
    <x:row r="2603">
      <x:c r="D2603" s="99"/>
      <x:c r="E2603" s="99"/>
    </x:row>
    <x:row r="2604">
      <x:c r="D2604" s="99"/>
      <x:c r="E2604" s="99"/>
    </x:row>
    <x:row r="2605">
      <x:c r="D2605" s="99"/>
      <x:c r="E2605" s="99"/>
    </x:row>
    <x:row r="2606">
      <x:c r="D2606" s="99"/>
      <x:c r="E2606" s="99"/>
    </x:row>
    <x:row r="2607">
      <x:c r="D2607" s="99"/>
      <x:c r="E2607" s="99"/>
    </x:row>
    <x:row r="2608">
      <x:c r="D2608" s="99"/>
      <x:c r="E2608" s="99"/>
    </x:row>
    <x:row r="2609">
      <x:c r="D2609" s="99"/>
      <x:c r="E2609" s="99"/>
    </x:row>
    <x:row r="2610">
      <x:c r="D2610" s="99"/>
      <x:c r="E2610" s="99"/>
    </x:row>
    <x:row r="2611">
      <x:c r="D2611" s="99"/>
      <x:c r="E2611" s="99"/>
    </x:row>
    <x:row r="2612">
      <x:c r="D2612" s="99"/>
      <x:c r="E2612" s="99"/>
    </x:row>
    <x:row r="2613">
      <x:c r="D2613" s="99"/>
      <x:c r="E2613" s="99"/>
    </x:row>
    <x:row r="2614">
      <x:c r="D2614" s="99"/>
      <x:c r="E2614" s="99"/>
    </x:row>
    <x:row r="2615">
      <x:c r="D2615" s="99"/>
      <x:c r="E2615" s="99"/>
    </x:row>
    <x:row r="2616">
      <x:c r="D2616" s="99"/>
      <x:c r="E2616" s="99"/>
    </x:row>
    <x:row r="2617">
      <x:c r="D2617" s="99"/>
      <x:c r="E2617" s="99"/>
    </x:row>
    <x:row r="2618">
      <x:c r="D2618" s="99"/>
      <x:c r="E2618" s="99"/>
    </x:row>
    <x:row r="2619">
      <x:c r="D2619" s="99"/>
      <x:c r="E2619" s="99"/>
    </x:row>
    <x:row r="2620">
      <x:c r="D2620" s="99"/>
      <x:c r="E2620" s="99"/>
    </x:row>
    <x:row r="2621">
      <x:c r="D2621" s="99"/>
      <x:c r="E2621" s="99"/>
    </x:row>
    <x:row r="2622">
      <x:c r="D2622" s="99"/>
      <x:c r="E2622" s="99"/>
    </x:row>
    <x:row r="2623">
      <x:c r="D2623" s="99"/>
      <x:c r="E2623" s="99"/>
    </x:row>
    <x:row r="2624">
      <x:c r="D2624" s="99"/>
      <x:c r="E2624" s="99"/>
    </x:row>
    <x:row r="2625">
      <x:c r="D2625" s="99"/>
      <x:c r="E2625" s="99"/>
    </x:row>
    <x:row r="2626">
      <x:c r="D2626" s="99"/>
      <x:c r="E2626" s="99"/>
    </x:row>
    <x:row r="2627">
      <x:c r="D2627" s="99"/>
      <x:c r="E2627" s="99"/>
    </x:row>
    <x:row r="2628">
      <x:c r="D2628" s="99"/>
      <x:c r="E2628" s="99"/>
    </x:row>
    <x:row r="2629">
      <x:c r="D2629" s="99"/>
      <x:c r="E2629" s="99"/>
    </x:row>
    <x:row r="2630">
      <x:c r="D2630" s="99"/>
      <x:c r="E2630" s="99"/>
    </x:row>
    <x:row r="2631">
      <x:c r="D2631" s="99"/>
      <x:c r="E2631" s="99"/>
    </x:row>
    <x:row r="2632">
      <x:c r="D2632" s="99"/>
      <x:c r="E2632" s="99"/>
    </x:row>
    <x:row r="2633">
      <x:c r="D2633" s="99"/>
      <x:c r="E2633" s="99"/>
    </x:row>
    <x:row r="2634">
      <x:c r="D2634" s="99"/>
      <x:c r="E2634" s="99"/>
    </x:row>
    <x:row r="2635">
      <x:c r="D2635" s="99"/>
      <x:c r="E2635" s="99"/>
    </x:row>
    <x:row r="2636">
      <x:c r="D2636" s="99"/>
      <x:c r="E2636" s="99"/>
    </x:row>
    <x:row r="2637">
      <x:c r="D2637" s="99"/>
      <x:c r="E2637" s="99"/>
    </x:row>
    <x:row r="2638">
      <x:c r="D2638" s="99"/>
      <x:c r="E2638" s="99"/>
    </x:row>
    <x:row r="2639">
      <x:c r="D2639" s="99"/>
      <x:c r="E2639" s="99"/>
    </x:row>
    <x:row r="2640">
      <x:c r="D2640" s="99"/>
      <x:c r="E2640" s="99"/>
    </x:row>
    <x:row r="2641">
      <x:c r="D2641" s="99"/>
      <x:c r="E2641" s="99"/>
    </x:row>
    <x:row r="2642">
      <x:c r="D2642" s="99"/>
      <x:c r="E2642" s="99"/>
    </x:row>
    <x:row r="2643">
      <x:c r="D2643" s="99"/>
      <x:c r="E2643" s="99"/>
    </x:row>
    <x:row r="2644">
      <x:c r="D2644" s="99"/>
      <x:c r="E2644" s="99"/>
    </x:row>
    <x:row r="2645">
      <x:c r="D2645" s="99"/>
      <x:c r="E2645" s="99"/>
    </x:row>
    <x:row r="2646">
      <x:c r="D2646" s="99"/>
      <x:c r="E2646" s="99"/>
    </x:row>
    <x:row r="2647">
      <x:c r="D2647" s="99"/>
      <x:c r="E2647" s="99"/>
    </x:row>
    <x:row r="2648">
      <x:c r="D2648" s="99"/>
      <x:c r="E2648" s="99"/>
    </x:row>
    <x:row r="2649">
      <x:c r="D2649" s="99"/>
      <x:c r="E2649" s="99"/>
    </x:row>
    <x:row r="2650">
      <x:c r="D2650" s="99"/>
      <x:c r="E2650" s="99"/>
    </x:row>
    <x:row r="2651">
      <x:c r="D2651" s="99"/>
      <x:c r="E2651" s="99"/>
    </x:row>
    <x:row r="2652">
      <x:c r="D2652" s="99"/>
      <x:c r="E2652" s="99"/>
    </x:row>
    <x:row r="2653">
      <x:c r="D2653" s="99"/>
      <x:c r="E2653" s="99"/>
    </x:row>
    <x:row r="2654">
      <x:c r="D2654" s="99"/>
      <x:c r="E2654" s="99"/>
    </x:row>
    <x:row r="2655">
      <x:c r="D2655" s="99"/>
      <x:c r="E2655" s="99"/>
    </x:row>
    <x:row r="2656">
      <x:c r="D2656" s="99"/>
      <x:c r="E2656" s="99"/>
    </x:row>
    <x:row r="2657">
      <x:c r="D2657" s="99"/>
      <x:c r="E2657" s="99"/>
    </x:row>
    <x:row r="2658">
      <x:c r="D2658" s="99"/>
      <x:c r="E2658" s="99"/>
    </x:row>
    <x:row r="2659">
      <x:c r="D2659" s="99"/>
      <x:c r="E2659" s="99"/>
    </x:row>
    <x:row r="2660">
      <x:c r="D2660" s="99"/>
      <x:c r="E2660" s="99"/>
    </x:row>
    <x:row r="2661">
      <x:c r="D2661" s="99"/>
      <x:c r="E2661" s="99"/>
    </x:row>
    <x:row r="2662">
      <x:c r="D2662" s="99"/>
      <x:c r="E2662" s="99"/>
    </x:row>
    <x:row r="2663">
      <x:c r="D2663" s="99"/>
      <x:c r="E2663" s="99"/>
    </x:row>
    <x:row r="2664">
      <x:c r="D2664" s="99"/>
      <x:c r="E2664" s="99"/>
    </x:row>
    <x:row r="2665">
      <x:c r="D2665" s="99"/>
      <x:c r="E2665" s="99"/>
    </x:row>
    <x:row r="2666">
      <x:c r="D2666" s="99"/>
      <x:c r="E2666" s="99"/>
    </x:row>
    <x:row r="2667">
      <x:c r="D2667" s="99"/>
      <x:c r="E2667" s="99"/>
    </x:row>
    <x:row r="2668">
      <x:c r="D2668" s="99"/>
      <x:c r="E2668" s="99"/>
    </x:row>
    <x:row r="2669">
      <x:c r="D2669" s="99"/>
      <x:c r="E2669" s="99"/>
    </x:row>
    <x:row r="2670">
      <x:c r="D2670" s="99"/>
      <x:c r="E2670" s="99"/>
    </x:row>
    <x:row r="2671">
      <x:c r="D2671" s="99"/>
      <x:c r="E2671" s="99"/>
    </x:row>
    <x:row r="2672">
      <x:c r="D2672" s="99"/>
      <x:c r="E2672" s="99"/>
    </x:row>
    <x:row r="2673">
      <x:c r="D2673" s="99"/>
      <x:c r="E2673" s="99"/>
    </x:row>
    <x:row r="2674">
      <x:c r="D2674" s="99"/>
      <x:c r="E2674" s="99"/>
    </x:row>
    <x:row r="2675">
      <x:c r="D2675" s="99"/>
      <x:c r="E2675" s="99"/>
    </x:row>
    <x:row r="2676">
      <x:c r="D2676" s="99"/>
      <x:c r="E2676" s="99"/>
    </x:row>
    <x:row r="2677">
      <x:c r="D2677" s="99"/>
      <x:c r="E2677" s="99"/>
    </x:row>
    <x:row r="2678">
      <x:c r="D2678" s="99"/>
      <x:c r="E2678" s="99"/>
    </x:row>
    <x:row r="2679">
      <x:c r="D2679" s="99"/>
      <x:c r="E2679" s="99"/>
    </x:row>
    <x:row r="2680">
      <x:c r="D2680" s="99"/>
      <x:c r="E2680" s="99"/>
    </x:row>
    <x:row r="2681">
      <x:c r="D2681" s="99"/>
      <x:c r="E2681" s="99"/>
    </x:row>
    <x:row r="2682">
      <x:c r="D2682" s="99"/>
      <x:c r="E2682" s="99"/>
    </x:row>
    <x:row r="2683">
      <x:c r="D2683" s="99"/>
      <x:c r="E2683" s="99"/>
    </x:row>
    <x:row r="2684">
      <x:c r="D2684" s="99"/>
      <x:c r="E2684" s="99"/>
    </x:row>
    <x:row r="2685">
      <x:c r="D2685" s="99"/>
      <x:c r="E2685" s="99"/>
    </x:row>
    <x:row r="2686">
      <x:c r="D2686" s="99"/>
      <x:c r="E2686" s="99"/>
    </x:row>
    <x:row r="2687">
      <x:c r="D2687" s="99"/>
      <x:c r="E2687" s="99"/>
    </x:row>
    <x:row r="2688">
      <x:c r="D2688" s="99"/>
      <x:c r="E2688" s="99"/>
    </x:row>
    <x:row r="2689">
      <x:c r="D2689" s="99"/>
      <x:c r="E2689" s="99"/>
    </x:row>
    <x:row r="2690">
      <x:c r="D2690" s="99"/>
      <x:c r="E2690" s="99"/>
    </x:row>
    <x:row r="2691">
      <x:c r="D2691" s="99"/>
      <x:c r="E2691" s="99"/>
    </x:row>
    <x:row r="2692">
      <x:c r="D2692" s="99"/>
      <x:c r="E2692" s="99"/>
    </x:row>
    <x:row r="2693">
      <x:c r="D2693" s="99"/>
      <x:c r="E2693" s="99"/>
    </x:row>
    <x:row r="2694">
      <x:c r="D2694" s="99"/>
      <x:c r="E2694" s="99"/>
    </x:row>
    <x:row r="2695">
      <x:c r="D2695" s="99"/>
      <x:c r="E2695" s="99"/>
    </x:row>
    <x:row r="2696">
      <x:c r="D2696" s="99"/>
      <x:c r="E2696" s="99"/>
    </x:row>
    <x:row r="2697">
      <x:c r="D2697" s="99"/>
      <x:c r="E2697" s="99"/>
    </x:row>
    <x:row r="2698">
      <x:c r="D2698" s="99"/>
      <x:c r="E2698" s="99"/>
    </x:row>
    <x:row r="2699">
      <x:c r="D2699" s="99"/>
      <x:c r="E2699" s="99"/>
    </x:row>
    <x:row r="2700">
      <x:c r="D2700" s="99"/>
      <x:c r="E2700" s="99"/>
    </x:row>
    <x:row r="2701">
      <x:c r="D2701" s="99"/>
      <x:c r="E2701" s="99"/>
    </x:row>
    <x:row r="2702">
      <x:c r="D2702" s="99"/>
      <x:c r="E2702" s="99"/>
    </x:row>
    <x:row r="2703">
      <x:c r="D2703" s="99"/>
      <x:c r="E2703" s="99"/>
    </x:row>
    <x:row r="2704">
      <x:c r="D2704" s="99"/>
      <x:c r="E2704" s="99"/>
    </x:row>
    <x:row r="2705">
      <x:c r="D2705" s="99"/>
      <x:c r="E2705" s="99"/>
    </x:row>
    <x:row r="2706">
      <x:c r="D2706" s="99"/>
      <x:c r="E2706" s="99"/>
    </x:row>
    <x:row r="2707">
      <x:c r="D2707" s="99"/>
      <x:c r="E2707" s="99"/>
    </x:row>
    <x:row r="2708">
      <x:c r="D2708" s="99"/>
      <x:c r="E2708" s="99"/>
    </x:row>
    <x:row r="2709">
      <x:c r="D2709" s="99"/>
      <x:c r="E2709" s="99"/>
    </x:row>
    <x:row r="2710">
      <x:c r="D2710" s="99"/>
      <x:c r="E2710" s="99"/>
    </x:row>
    <x:row r="2711">
      <x:c r="D2711" s="99"/>
      <x:c r="E2711" s="99"/>
    </x:row>
    <x:row r="2712">
      <x:c r="D2712" s="99"/>
      <x:c r="E2712" s="99"/>
    </x:row>
    <x:row r="2713">
      <x:c r="D2713" s="99"/>
      <x:c r="E2713" s="99"/>
    </x:row>
    <x:row r="2714">
      <x:c r="D2714" s="99"/>
      <x:c r="E2714" s="99"/>
    </x:row>
    <x:row r="2715">
      <x:c r="D2715" s="99"/>
      <x:c r="E2715" s="99"/>
    </x:row>
    <x:row r="2716">
      <x:c r="D2716" s="99"/>
      <x:c r="E2716" s="99"/>
    </x:row>
    <x:row r="2717">
      <x:c r="D2717" s="99"/>
      <x:c r="E2717" s="99"/>
    </x:row>
    <x:row r="2718">
      <x:c r="D2718" s="99"/>
      <x:c r="E2718" s="99"/>
    </x:row>
    <x:row r="2719">
      <x:c r="D2719" s="99"/>
      <x:c r="E2719" s="99"/>
    </x:row>
    <x:row r="2720">
      <x:c r="D2720" s="99"/>
      <x:c r="E2720" s="99"/>
    </x:row>
    <x:row r="2721">
      <x:c r="D2721" s="99"/>
      <x:c r="E2721" s="99"/>
    </x:row>
    <x:row r="2722">
      <x:c r="D2722" s="99"/>
      <x:c r="E2722" s="99"/>
    </x:row>
    <x:row r="2723">
      <x:c r="D2723" s="99"/>
      <x:c r="E2723" s="99"/>
    </x:row>
    <x:row r="2724">
      <x:c r="D2724" s="99"/>
      <x:c r="E2724" s="99"/>
    </x:row>
    <x:row r="2725">
      <x:c r="D2725" s="99"/>
      <x:c r="E2725" s="99"/>
    </x:row>
    <x:row r="2726">
      <x:c r="D2726" s="99"/>
      <x:c r="E2726" s="99"/>
    </x:row>
    <x:row r="2727">
      <x:c r="D2727" s="99"/>
      <x:c r="E2727" s="99"/>
    </x:row>
    <x:row r="2728">
      <x:c r="D2728" s="99"/>
      <x:c r="E2728" s="99"/>
    </x:row>
    <x:row r="2729">
      <x:c r="D2729" s="99"/>
      <x:c r="E2729" s="99"/>
    </x:row>
    <x:row r="2730">
      <x:c r="D2730" s="99"/>
      <x:c r="E2730" s="99"/>
    </x:row>
    <x:row r="2731">
      <x:c r="D2731" s="99"/>
      <x:c r="E2731" s="99"/>
    </x:row>
    <x:row r="2732">
      <x:c r="D2732" s="99"/>
      <x:c r="E2732" s="99"/>
    </x:row>
    <x:row r="2733">
      <x:c r="D2733" s="99"/>
      <x:c r="E2733" s="99"/>
    </x:row>
    <x:row r="2734">
      <x:c r="D2734" s="99"/>
      <x:c r="E2734" s="99"/>
    </x:row>
    <x:row r="2735">
      <x:c r="D2735" s="99"/>
      <x:c r="E2735" s="99"/>
    </x:row>
    <x:row r="2736">
      <x:c r="D2736" s="99"/>
      <x:c r="E2736" s="99"/>
    </x:row>
    <x:row r="2737">
      <x:c r="D2737" s="99"/>
      <x:c r="E2737" s="99"/>
    </x:row>
    <x:row r="2738">
      <x:c r="D2738" s="99"/>
      <x:c r="E2738" s="99"/>
    </x:row>
    <x:row r="2739">
      <x:c r="D2739" s="99"/>
      <x:c r="E2739" s="99"/>
    </x:row>
    <x:row r="2740">
      <x:c r="D2740" s="99"/>
      <x:c r="E2740" s="99"/>
    </x:row>
    <x:row r="2741">
      <x:c r="D2741" s="99"/>
      <x:c r="E2741" s="99"/>
    </x:row>
    <x:row r="2742">
      <x:c r="D2742" s="99"/>
      <x:c r="E2742" s="99"/>
    </x:row>
    <x:row r="2743">
      <x:c r="D2743" s="99"/>
      <x:c r="E2743" s="99"/>
    </x:row>
    <x:row r="2744">
      <x:c r="D2744" s="99"/>
      <x:c r="E2744" s="99"/>
    </x:row>
    <x:row r="2745">
      <x:c r="D2745" s="99"/>
      <x:c r="E2745" s="99"/>
    </x:row>
    <x:row r="2746">
      <x:c r="D2746" s="99"/>
      <x:c r="E2746" s="99"/>
    </x:row>
    <x:row r="2747">
      <x:c r="D2747" s="99"/>
      <x:c r="E2747" s="99"/>
    </x:row>
    <x:row r="2748">
      <x:c r="D2748" s="99"/>
      <x:c r="E2748" s="99"/>
    </x:row>
    <x:row r="2749">
      <x:c r="D2749" s="99"/>
      <x:c r="E2749" s="99"/>
    </x:row>
    <x:row r="2750">
      <x:c r="D2750" s="99"/>
      <x:c r="E2750" s="99"/>
    </x:row>
    <x:row r="2751">
      <x:c r="D2751" s="99"/>
      <x:c r="E2751" s="99"/>
    </x:row>
    <x:row r="2752">
      <x:c r="D2752" s="99"/>
      <x:c r="E2752" s="99"/>
    </x:row>
    <x:row r="2753">
      <x:c r="D2753" s="99"/>
      <x:c r="E2753" s="99"/>
    </x:row>
    <x:row r="2754">
      <x:c r="D2754" s="99"/>
      <x:c r="E2754" s="99"/>
    </x:row>
    <x:row r="2755">
      <x:c r="D2755" s="99"/>
      <x:c r="E2755" s="99"/>
    </x:row>
    <x:row r="2756">
      <x:c r="D2756" s="99"/>
      <x:c r="E2756" s="99"/>
    </x:row>
    <x:row r="2757">
      <x:c r="D2757" s="99"/>
      <x:c r="E2757" s="99"/>
    </x:row>
    <x:row r="2758">
      <x:c r="D2758" s="99"/>
      <x:c r="E2758" s="99"/>
    </x:row>
    <x:row r="2759">
      <x:c r="D2759" s="99"/>
      <x:c r="E2759" s="99"/>
    </x:row>
    <x:row r="2760">
      <x:c r="D2760" s="99"/>
      <x:c r="E2760" s="99"/>
    </x:row>
    <x:row r="2761">
      <x:c r="D2761" s="99"/>
      <x:c r="E2761" s="99"/>
    </x:row>
    <x:row r="2762">
      <x:c r="D2762" s="99"/>
      <x:c r="E2762" s="99"/>
    </x:row>
    <x:row r="2763">
      <x:c r="D2763" s="99"/>
      <x:c r="E2763" s="99"/>
    </x:row>
    <x:row r="2764">
      <x:c r="D2764" s="99"/>
      <x:c r="E2764" s="99"/>
    </x:row>
    <x:row r="2765">
      <x:c r="D2765" s="99"/>
      <x:c r="E2765" s="99"/>
    </x:row>
    <x:row r="2766">
      <x:c r="D2766" s="99"/>
      <x:c r="E2766" s="99"/>
    </x:row>
    <x:row r="2767">
      <x:c r="D2767" s="99"/>
      <x:c r="E2767" s="99"/>
    </x:row>
    <x:row r="2768">
      <x:c r="D2768" s="99"/>
      <x:c r="E2768" s="99"/>
    </x:row>
    <x:row r="2769">
      <x:c r="D2769" s="99"/>
      <x:c r="E2769" s="99"/>
    </x:row>
    <x:row r="2770">
      <x:c r="D2770" s="99"/>
      <x:c r="E2770" s="99"/>
    </x:row>
    <x:row r="2771">
      <x:c r="D2771" s="99"/>
      <x:c r="E2771" s="99"/>
    </x:row>
    <x:row r="2772">
      <x:c r="D2772" s="99"/>
      <x:c r="E2772" s="99"/>
    </x:row>
    <x:row r="2773">
      <x:c r="D2773" s="99"/>
      <x:c r="E2773" s="99"/>
    </x:row>
    <x:row r="2774">
      <x:c r="D2774" s="99"/>
      <x:c r="E2774" s="99"/>
    </x:row>
    <x:row r="2775">
      <x:c r="D2775" s="99"/>
      <x:c r="E2775" s="99"/>
    </x:row>
    <x:row r="2776">
      <x:c r="D2776" s="99"/>
      <x:c r="E2776" s="99"/>
    </x:row>
    <x:row r="2777">
      <x:c r="D2777" s="99"/>
      <x:c r="E2777" s="99"/>
    </x:row>
    <x:row r="2778">
      <x:c r="D2778" s="99"/>
      <x:c r="E2778" s="99"/>
    </x:row>
    <x:row r="2779">
      <x:c r="D2779" s="99"/>
      <x:c r="E2779" s="99"/>
    </x:row>
    <x:row r="2780">
      <x:c r="D2780" s="99"/>
      <x:c r="E2780" s="99"/>
    </x:row>
    <x:row r="2781">
      <x:c r="D2781" s="99"/>
      <x:c r="E2781" s="99"/>
    </x:row>
    <x:row r="2782">
      <x:c r="D2782" s="99"/>
      <x:c r="E2782" s="99"/>
    </x:row>
    <x:row r="2783">
      <x:c r="D2783" s="99"/>
      <x:c r="E2783" s="99"/>
    </x:row>
    <x:row r="2784">
      <x:c r="D2784" s="99"/>
      <x:c r="E2784" s="99"/>
    </x:row>
    <x:row r="2785">
      <x:c r="D2785" s="99"/>
      <x:c r="E2785" s="99"/>
    </x:row>
    <x:row r="2786">
      <x:c r="D2786" s="99"/>
      <x:c r="E2786" s="99"/>
    </x:row>
    <x:row r="2787">
      <x:c r="D2787" s="99"/>
      <x:c r="E2787" s="99"/>
    </x:row>
    <x:row r="2788">
      <x:c r="D2788" s="99"/>
      <x:c r="E2788" s="99"/>
    </x:row>
    <x:row r="2789">
      <x:c r="D2789" s="99"/>
      <x:c r="E2789" s="99"/>
    </x:row>
    <x:row r="2790">
      <x:c r="D2790" s="99"/>
      <x:c r="E2790" s="99"/>
    </x:row>
    <x:row r="2791">
      <x:c r="D2791" s="99"/>
      <x:c r="E2791" s="99"/>
    </x:row>
    <x:row r="2792">
      <x:c r="D2792" s="99"/>
      <x:c r="E2792" s="99"/>
    </x:row>
    <x:row r="2793">
      <x:c r="D2793" s="99"/>
      <x:c r="E2793" s="99"/>
    </x:row>
    <x:row r="2794">
      <x:c r="D2794" s="99"/>
      <x:c r="E2794" s="99"/>
    </x:row>
    <x:row r="2795">
      <x:c r="D2795" s="99"/>
      <x:c r="E2795" s="99"/>
    </x:row>
    <x:row r="2796">
      <x:c r="D2796" s="99"/>
      <x:c r="E2796" s="99"/>
    </x:row>
    <x:row r="2797">
      <x:c r="D2797" s="99"/>
      <x:c r="E2797" s="99"/>
    </x:row>
    <x:row r="2798">
      <x:c r="D2798" s="99"/>
      <x:c r="E2798" s="99"/>
    </x:row>
    <x:row r="2799">
      <x:c r="D2799" s="99"/>
      <x:c r="E2799" s="99"/>
    </x:row>
    <x:row r="2800">
      <x:c r="D2800" s="99"/>
      <x:c r="E2800" s="99"/>
    </x:row>
    <x:row r="2801">
      <x:c r="D2801" s="99"/>
      <x:c r="E2801" s="99"/>
    </x:row>
    <x:row r="2802">
      <x:c r="D2802" s="99"/>
      <x:c r="E2802" s="99"/>
    </x:row>
    <x:row r="2803">
      <x:c r="D2803" s="99"/>
      <x:c r="E2803" s="99"/>
    </x:row>
    <x:row r="2804">
      <x:c r="D2804" s="99"/>
      <x:c r="E2804" s="99"/>
    </x:row>
    <x:row r="2805">
      <x:c r="D2805" s="99"/>
      <x:c r="E2805" s="99"/>
    </x:row>
    <x:row r="2806">
      <x:c r="D2806" s="99"/>
      <x:c r="E2806" s="99"/>
    </x:row>
    <x:row r="2807">
      <x:c r="D2807" s="99"/>
      <x:c r="E2807" s="99"/>
    </x:row>
    <x:row r="2808">
      <x:c r="D2808" s="99"/>
      <x:c r="E2808" s="99"/>
    </x:row>
    <x:row r="2809">
      <x:c r="D2809" s="99"/>
      <x:c r="E2809" s="99"/>
    </x:row>
    <x:row r="2810">
      <x:c r="D2810" s="99"/>
      <x:c r="E2810" s="99"/>
    </x:row>
    <x:row r="2811">
      <x:c r="D2811" s="99"/>
      <x:c r="E2811" s="99"/>
    </x:row>
    <x:row r="2812">
      <x:c r="D2812" s="99"/>
      <x:c r="E2812" s="99"/>
    </x:row>
    <x:row r="2813">
      <x:c r="D2813" s="99"/>
      <x:c r="E2813" s="99"/>
    </x:row>
    <x:row r="2814">
      <x:c r="D2814" s="99"/>
      <x:c r="E2814" s="99"/>
    </x:row>
    <x:row r="2815">
      <x:c r="D2815" s="99"/>
      <x:c r="E2815" s="99"/>
    </x:row>
    <x:row r="2816">
      <x:c r="D2816" s="99"/>
      <x:c r="E2816" s="99"/>
    </x:row>
    <x:row r="2817">
      <x:c r="D2817" s="99"/>
      <x:c r="E2817" s="99"/>
    </x:row>
    <x:row r="2818">
      <x:c r="D2818" s="99"/>
      <x:c r="E2818" s="99"/>
    </x:row>
    <x:row r="2819">
      <x:c r="D2819" s="99"/>
      <x:c r="E2819" s="99"/>
    </x:row>
    <x:row r="2820">
      <x:c r="D2820" s="99"/>
      <x:c r="E2820" s="99"/>
    </x:row>
    <x:row r="2821">
      <x:c r="D2821" s="99"/>
      <x:c r="E2821" s="99"/>
    </x:row>
    <x:row r="2822">
      <x:c r="D2822" s="99"/>
      <x:c r="E2822" s="99"/>
    </x:row>
    <x:row r="2823">
      <x:c r="D2823" s="99"/>
      <x:c r="E2823" s="99"/>
    </x:row>
    <x:row r="2824">
      <x:c r="D2824" s="99"/>
      <x:c r="E2824" s="99"/>
    </x:row>
    <x:row r="2825">
      <x:c r="D2825" s="99"/>
      <x:c r="E2825" s="99"/>
    </x:row>
    <x:row r="2826">
      <x:c r="D2826" s="99"/>
      <x:c r="E2826" s="99"/>
    </x:row>
    <x:row r="2827">
      <x:c r="D2827" s="99"/>
      <x:c r="E2827" s="99"/>
    </x:row>
    <x:row r="2828">
      <x:c r="D2828" s="99"/>
      <x:c r="E2828" s="99"/>
    </x:row>
    <x:row r="2829">
      <x:c r="D2829" s="99"/>
      <x:c r="E2829" s="99"/>
    </x:row>
    <x:row r="2830">
      <x:c r="D2830" s="99"/>
      <x:c r="E2830" s="99"/>
    </x:row>
    <x:row r="2831">
      <x:c r="D2831" s="99"/>
      <x:c r="E2831" s="99"/>
    </x:row>
    <x:row r="2832">
      <x:c r="D2832" s="99"/>
      <x:c r="E2832" s="99"/>
    </x:row>
    <x:row r="2833">
      <x:c r="D2833" s="99"/>
      <x:c r="E2833" s="99"/>
    </x:row>
    <x:row r="2834">
      <x:c r="D2834" s="99"/>
      <x:c r="E2834" s="99"/>
    </x:row>
    <x:row r="2835">
      <x:c r="D2835" s="99"/>
      <x:c r="E2835" s="99"/>
    </x:row>
    <x:row r="2836">
      <x:c r="D2836" s="99"/>
      <x:c r="E2836" s="99"/>
    </x:row>
    <x:row r="2837">
      <x:c r="D2837" s="99"/>
      <x:c r="E2837" s="99"/>
    </x:row>
    <x:row r="2838">
      <x:c r="D2838" s="99"/>
      <x:c r="E2838" s="99"/>
    </x:row>
    <x:row r="2839">
      <x:c r="D2839" s="99"/>
      <x:c r="E2839" s="99"/>
    </x:row>
    <x:row r="2840">
      <x:c r="D2840" s="99"/>
      <x:c r="E2840" s="99"/>
    </x:row>
    <x:row r="2841">
      <x:c r="D2841" s="99"/>
      <x:c r="E2841" s="99"/>
    </x:row>
    <x:row r="2842">
      <x:c r="D2842" s="99"/>
      <x:c r="E2842" s="99"/>
    </x:row>
    <x:row r="2843">
      <x:c r="D2843" s="99"/>
      <x:c r="E2843" s="99"/>
    </x:row>
    <x:row r="2844">
      <x:c r="D2844" s="99"/>
      <x:c r="E2844" s="99"/>
    </x:row>
    <x:row r="2845">
      <x:c r="D2845" s="99"/>
      <x:c r="E2845" s="99"/>
    </x:row>
    <x:row r="2846">
      <x:c r="D2846" s="99"/>
      <x:c r="E2846" s="99"/>
    </x:row>
    <x:row r="2847">
      <x:c r="D2847" s="99"/>
      <x:c r="E2847" s="99"/>
    </x:row>
    <x:row r="2848">
      <x:c r="D2848" s="99"/>
      <x:c r="E2848" s="99"/>
    </x:row>
    <x:row r="2849">
      <x:c r="D2849" s="99"/>
      <x:c r="E2849" s="99"/>
    </x:row>
    <x:row r="2850">
      <x:c r="D2850" s="99"/>
      <x:c r="E2850" s="99"/>
    </x:row>
    <x:row r="2851">
      <x:c r="D2851" s="99"/>
      <x:c r="E2851" s="99"/>
    </x:row>
    <x:row r="2852">
      <x:c r="D2852" s="99"/>
      <x:c r="E2852" s="99"/>
    </x:row>
    <x:row r="2853">
      <x:c r="D2853" s="99"/>
      <x:c r="E2853" s="99"/>
    </x:row>
    <x:row r="2854">
      <x:c r="D2854" s="99"/>
      <x:c r="E2854" s="99"/>
    </x:row>
    <x:row r="2855">
      <x:c r="D2855" s="99"/>
      <x:c r="E2855" s="99"/>
    </x:row>
    <x:row r="2856">
      <x:c r="D2856" s="99"/>
      <x:c r="E2856" s="99"/>
    </x:row>
    <x:row r="2857">
      <x:c r="D2857" s="99"/>
      <x:c r="E2857" s="99"/>
    </x:row>
    <x:row r="2858">
      <x:c r="D2858" s="99"/>
      <x:c r="E2858" s="99"/>
    </x:row>
    <x:row r="2859">
      <x:c r="D2859" s="99"/>
      <x:c r="E2859" s="99"/>
    </x:row>
    <x:row r="2860">
      <x:c r="D2860" s="99"/>
      <x:c r="E2860" s="99"/>
    </x:row>
    <x:row r="2861">
      <x:c r="D2861" s="99"/>
      <x:c r="E2861" s="99"/>
    </x:row>
    <x:row r="2862">
      <x:c r="D2862" s="99"/>
      <x:c r="E2862" s="99"/>
    </x:row>
    <x:row r="2863">
      <x:c r="D2863" s="99"/>
      <x:c r="E2863" s="99"/>
    </x:row>
    <x:row r="2864">
      <x:c r="D2864" s="99"/>
      <x:c r="E2864" s="99"/>
    </x:row>
    <x:row r="2865">
      <x:c r="D2865" s="99"/>
      <x:c r="E2865" s="99"/>
    </x:row>
    <x:row r="2866">
      <x:c r="D2866" s="99"/>
      <x:c r="E2866" s="99"/>
    </x:row>
    <x:row r="2867">
      <x:c r="D2867" s="99"/>
      <x:c r="E2867" s="99"/>
    </x:row>
    <x:row r="2868">
      <x:c r="D2868" s="99"/>
      <x:c r="E2868" s="99"/>
    </x:row>
    <x:row r="2869">
      <x:c r="D2869" s="99"/>
      <x:c r="E2869" s="99"/>
    </x:row>
    <x:row r="2870">
      <x:c r="D2870" s="99"/>
      <x:c r="E2870" s="99"/>
    </x:row>
    <x:row r="2871">
      <x:c r="D2871" s="99"/>
      <x:c r="E2871" s="99"/>
    </x:row>
    <x:row r="2872">
      <x:c r="D2872" s="99"/>
      <x:c r="E2872" s="99"/>
    </x:row>
    <x:row r="2873">
      <x:c r="D2873" s="99"/>
      <x:c r="E2873" s="99"/>
    </x:row>
    <x:row r="2874">
      <x:c r="D2874" s="99"/>
      <x:c r="E2874" s="99"/>
    </x:row>
    <x:row r="2875">
      <x:c r="D2875" s="99"/>
      <x:c r="E2875" s="99"/>
    </x:row>
    <x:row r="2876">
      <x:c r="D2876" s="99"/>
      <x:c r="E2876" s="99"/>
    </x:row>
    <x:row r="2877">
      <x:c r="D2877" s="99"/>
      <x:c r="E2877" s="99"/>
    </x:row>
    <x:row r="2878">
      <x:c r="D2878" s="99"/>
      <x:c r="E2878" s="99"/>
    </x:row>
    <x:row r="2879">
      <x:c r="D2879" s="99"/>
      <x:c r="E2879" s="99"/>
    </x:row>
    <x:row r="2880">
      <x:c r="D2880" s="99"/>
      <x:c r="E2880" s="99"/>
    </x:row>
    <x:row r="2881">
      <x:c r="D2881" s="99"/>
      <x:c r="E2881" s="99"/>
    </x:row>
    <x:row r="2882">
      <x:c r="D2882" s="99"/>
      <x:c r="E2882" s="99"/>
    </x:row>
    <x:row r="2883">
      <x:c r="D2883" s="99"/>
      <x:c r="E2883" s="99"/>
    </x:row>
    <x:row r="2884">
      <x:c r="D2884" s="99"/>
      <x:c r="E2884" s="99"/>
    </x:row>
    <x:row r="2885">
      <x:c r="D2885" s="99"/>
      <x:c r="E2885" s="99"/>
    </x:row>
    <x:row r="2886">
      <x:c r="D2886" s="99"/>
      <x:c r="E2886" s="99"/>
    </x:row>
    <x:row r="2887">
      <x:c r="D2887" s="99"/>
      <x:c r="E2887" s="99"/>
    </x:row>
    <x:row r="2888">
      <x:c r="D2888" s="99"/>
      <x:c r="E2888" s="99"/>
    </x:row>
    <x:row r="2889">
      <x:c r="D2889" s="99"/>
      <x:c r="E2889" s="99"/>
    </x:row>
    <x:row r="2890">
      <x:c r="D2890" s="99"/>
      <x:c r="E2890" s="99"/>
    </x:row>
    <x:row r="2891">
      <x:c r="D2891" s="99"/>
      <x:c r="E2891" s="99"/>
    </x:row>
    <x:row r="2892">
      <x:c r="D2892" s="99"/>
      <x:c r="E2892" s="99"/>
    </x:row>
    <x:row r="2893">
      <x:c r="D2893" s="99"/>
      <x:c r="E2893" s="99"/>
    </x:row>
    <x:row r="2894">
      <x:c r="D2894" s="99"/>
      <x:c r="E2894" s="99"/>
    </x:row>
    <x:row r="2895">
      <x:c r="D2895" s="99"/>
      <x:c r="E2895" s="99"/>
    </x:row>
    <x:row r="2896">
      <x:c r="D2896" s="99"/>
      <x:c r="E2896" s="99"/>
    </x:row>
    <x:row r="2897">
      <x:c r="D2897" s="99"/>
      <x:c r="E2897" s="99"/>
    </x:row>
    <x:row r="2898">
      <x:c r="D2898" s="99"/>
      <x:c r="E2898" s="99"/>
    </x:row>
    <x:row r="2899">
      <x:c r="D2899" s="99"/>
      <x:c r="E2899" s="99"/>
    </x:row>
    <x:row r="2900">
      <x:c r="D2900" s="99"/>
      <x:c r="E2900" s="99"/>
    </x:row>
    <x:row r="2901">
      <x:c r="D2901" s="99"/>
      <x:c r="E2901" s="99"/>
    </x:row>
    <x:row r="2902">
      <x:c r="D2902" s="99"/>
      <x:c r="E2902" s="99"/>
    </x:row>
    <x:row r="2903">
      <x:c r="D2903" s="99"/>
      <x:c r="E2903" s="99"/>
    </x:row>
    <x:row r="2904">
      <x:c r="D2904" s="99"/>
      <x:c r="E2904" s="99"/>
    </x:row>
    <x:row r="2905">
      <x:c r="D2905" s="99"/>
      <x:c r="E2905" s="99"/>
    </x:row>
    <x:row r="2906">
      <x:c r="D2906" s="99"/>
      <x:c r="E2906" s="99"/>
    </x:row>
    <x:row r="2907">
      <x:c r="D2907" s="99"/>
      <x:c r="E2907" s="99"/>
    </x:row>
    <x:row r="2908">
      <x:c r="D2908" s="99"/>
      <x:c r="E2908" s="99"/>
    </x:row>
    <x:row r="2909">
      <x:c r="D2909" s="99"/>
      <x:c r="E2909" s="99"/>
    </x:row>
    <x:row r="2910">
      <x:c r="D2910" s="99"/>
      <x:c r="E2910" s="99"/>
    </x:row>
    <x:row r="2911">
      <x:c r="D2911" s="99"/>
      <x:c r="E2911" s="99"/>
    </x:row>
    <x:row r="2912">
      <x:c r="D2912" s="99"/>
      <x:c r="E2912" s="99"/>
    </x:row>
    <x:row r="2913">
      <x:c r="D2913" s="99"/>
      <x:c r="E2913" s="99"/>
    </x:row>
    <x:row r="2914">
      <x:c r="D2914" s="99"/>
      <x:c r="E2914" s="99"/>
    </x:row>
    <x:row r="2915">
      <x:c r="D2915" s="99"/>
      <x:c r="E2915" s="99"/>
    </x:row>
    <x:row r="2916">
      <x:c r="D2916" s="99"/>
      <x:c r="E2916" s="99"/>
    </x:row>
    <x:row r="2917">
      <x:c r="D2917" s="99"/>
      <x:c r="E2917" s="99"/>
    </x:row>
    <x:row r="2918">
      <x:c r="D2918" s="99"/>
      <x:c r="E2918" s="99"/>
    </x:row>
    <x:row r="2919">
      <x:c r="D2919" s="99"/>
      <x:c r="E2919" s="99"/>
    </x:row>
    <x:row r="2920">
      <x:c r="D2920" s="99"/>
      <x:c r="E2920" s="99"/>
    </x:row>
    <x:row r="2921">
      <x:c r="D2921" s="99"/>
      <x:c r="E2921" s="99"/>
    </x:row>
    <x:row r="2922">
      <x:c r="D2922" s="99"/>
      <x:c r="E2922" s="99"/>
    </x:row>
    <x:row r="2923">
      <x:c r="D2923" s="99"/>
      <x:c r="E2923" s="99"/>
    </x:row>
    <x:row r="2924">
      <x:c r="D2924" s="99"/>
      <x:c r="E2924" s="99"/>
    </x:row>
    <x:row r="2925">
      <x:c r="D2925" s="99"/>
      <x:c r="E2925" s="99"/>
    </x:row>
    <x:row r="2926">
      <x:c r="D2926" s="99"/>
      <x:c r="E2926" s="99"/>
    </x:row>
    <x:row r="2927">
      <x:c r="D2927" s="99"/>
      <x:c r="E2927" s="99"/>
    </x:row>
    <x:row r="2928">
      <x:c r="D2928" s="99"/>
      <x:c r="E2928" s="99"/>
    </x:row>
    <x:row r="2929">
      <x:c r="D2929" s="99"/>
      <x:c r="E2929" s="99"/>
    </x:row>
    <x:row r="2930">
      <x:c r="D2930" s="99"/>
      <x:c r="E2930" s="99"/>
    </x:row>
    <x:row r="2931">
      <x:c r="D2931" s="99"/>
      <x:c r="E2931" s="99"/>
    </x:row>
    <x:row r="2932">
      <x:c r="D2932" s="99"/>
      <x:c r="E2932" s="99"/>
    </x:row>
    <x:row r="2933">
      <x:c r="D2933" s="99"/>
      <x:c r="E2933" s="99"/>
    </x:row>
    <x:row r="2934">
      <x:c r="D2934" s="99"/>
      <x:c r="E2934" s="99"/>
    </x:row>
    <x:row r="2935">
      <x:c r="D2935" s="99"/>
      <x:c r="E2935" s="99"/>
    </x:row>
    <x:row r="2936">
      <x:c r="D2936" s="99"/>
      <x:c r="E2936" s="99"/>
    </x:row>
    <x:row r="2937">
      <x:c r="D2937" s="99"/>
      <x:c r="E2937" s="99"/>
    </x:row>
    <x:row r="2938">
      <x:c r="D2938" s="99"/>
      <x:c r="E2938" s="99"/>
    </x:row>
    <x:row r="2939">
      <x:c r="D2939" s="99"/>
      <x:c r="E2939" s="99"/>
    </x:row>
    <x:row r="2940">
      <x:c r="D2940" s="99"/>
      <x:c r="E2940" s="99"/>
    </x:row>
    <x:row r="2941">
      <x:c r="D2941" s="99"/>
      <x:c r="E2941" s="99"/>
    </x:row>
    <x:row r="2942">
      <x:c r="D2942" s="99"/>
      <x:c r="E2942" s="99"/>
    </x:row>
    <x:row r="2943">
      <x:c r="D2943" s="99"/>
      <x:c r="E2943" s="99"/>
    </x:row>
    <x:row r="2944">
      <x:c r="D2944" s="99"/>
      <x:c r="E2944" s="99"/>
    </x:row>
    <x:row r="2945">
      <x:c r="D2945" s="99"/>
      <x:c r="E2945" s="99"/>
    </x:row>
    <x:row r="2946">
      <x:c r="D2946" s="99"/>
      <x:c r="E2946" s="99"/>
    </x:row>
    <x:row r="2947">
      <x:c r="D2947" s="99"/>
      <x:c r="E2947" s="99"/>
    </x:row>
    <x:row r="2948">
      <x:c r="D2948" s="99"/>
      <x:c r="E2948" s="99"/>
    </x:row>
    <x:row r="2949">
      <x:c r="D2949" s="99"/>
      <x:c r="E2949" s="99"/>
    </x:row>
    <x:row r="2950">
      <x:c r="D2950" s="99"/>
      <x:c r="E2950" s="99"/>
    </x:row>
    <x:row r="2951">
      <x:c r="D2951" s="99"/>
      <x:c r="E2951" s="99"/>
    </x:row>
    <x:row r="2952">
      <x:c r="D2952" s="99"/>
      <x:c r="E2952" s="99"/>
    </x:row>
    <x:row r="2953">
      <x:c r="D2953" s="99"/>
      <x:c r="E2953" s="99"/>
    </x:row>
    <x:row r="2954">
      <x:c r="D2954" s="99"/>
      <x:c r="E2954" s="99"/>
    </x:row>
    <x:row r="2955">
      <x:c r="D2955" s="99"/>
      <x:c r="E2955" s="99"/>
    </x:row>
    <x:row r="2956">
      <x:c r="D2956" s="99"/>
      <x:c r="E2956" s="99"/>
    </x:row>
    <x:row r="2957">
      <x:c r="D2957" s="99"/>
      <x:c r="E2957" s="99"/>
    </x:row>
    <x:row r="2958">
      <x:c r="D2958" s="99"/>
      <x:c r="E2958" s="99"/>
    </x:row>
    <x:row r="2959">
      <x:c r="D2959" s="99"/>
      <x:c r="E2959" s="99"/>
    </x:row>
    <x:row r="2960">
      <x:c r="D2960" s="99"/>
      <x:c r="E2960" s="99"/>
    </x:row>
    <x:row r="2961">
      <x:c r="D2961" s="99"/>
      <x:c r="E2961" s="99"/>
    </x:row>
    <x:row r="2962">
      <x:c r="D2962" s="99"/>
      <x:c r="E2962" s="99"/>
    </x:row>
    <x:row r="2963">
      <x:c r="D2963" s="99"/>
      <x:c r="E2963" s="99"/>
    </x:row>
    <x:row r="2964">
      <x:c r="D2964" s="99"/>
      <x:c r="E2964" s="99"/>
    </x:row>
    <x:row r="2965">
      <x:c r="D2965" s="99"/>
      <x:c r="E2965" s="99"/>
    </x:row>
    <x:row r="2966">
      <x:c r="D2966" s="99"/>
      <x:c r="E2966" s="99"/>
    </x:row>
    <x:row r="2967">
      <x:c r="D2967" s="99"/>
      <x:c r="E2967" s="99"/>
    </x:row>
    <x:row r="2968">
      <x:c r="D2968" s="99"/>
      <x:c r="E2968" s="99"/>
    </x:row>
    <x:row r="2969">
      <x:c r="D2969" s="99"/>
      <x:c r="E2969" s="99"/>
    </x:row>
    <x:row r="2970">
      <x:c r="D2970" s="99"/>
      <x:c r="E2970" s="99"/>
    </x:row>
    <x:row r="2971">
      <x:c r="D2971" s="99"/>
      <x:c r="E2971" s="99"/>
    </x:row>
    <x:row r="2972">
      <x:c r="D2972" s="99"/>
      <x:c r="E2972" s="99"/>
    </x:row>
    <x:row r="2973">
      <x:c r="D2973" s="99"/>
      <x:c r="E2973" s="99"/>
    </x:row>
    <x:row r="2974">
      <x:c r="D2974" s="99"/>
      <x:c r="E2974" s="99"/>
    </x:row>
    <x:row r="2975">
      <x:c r="D2975" s="99"/>
      <x:c r="E2975" s="99"/>
    </x:row>
    <x:row r="2976">
      <x:c r="D2976" s="99"/>
      <x:c r="E2976" s="99"/>
    </x:row>
    <x:row r="2977">
      <x:c r="D2977" s="99"/>
      <x:c r="E2977" s="99"/>
    </x:row>
    <x:row r="2978">
      <x:c r="D2978" s="99"/>
      <x:c r="E2978" s="99"/>
    </x:row>
    <x:row r="2979">
      <x:c r="D2979" s="99"/>
      <x:c r="E2979" s="99"/>
    </x:row>
    <x:row r="2980">
      <x:c r="D2980" s="99"/>
      <x:c r="E2980" s="99"/>
    </x:row>
    <x:row r="2981">
      <x:c r="D2981" s="99"/>
      <x:c r="E2981" s="99"/>
    </x:row>
    <x:row r="2982">
      <x:c r="D2982" s="99"/>
      <x:c r="E2982" s="99"/>
    </x:row>
    <x:row r="2983">
      <x:c r="D2983" s="99"/>
      <x:c r="E2983" s="99"/>
    </x:row>
    <x:row r="2984">
      <x:c r="D2984" s="99"/>
      <x:c r="E2984" s="99"/>
    </x:row>
    <x:row r="2985">
      <x:c r="D2985" s="99"/>
      <x:c r="E2985" s="99"/>
    </x:row>
    <x:row r="2986">
      <x:c r="D2986" s="99"/>
      <x:c r="E2986" s="99"/>
    </x:row>
    <x:row r="2987">
      <x:c r="D2987" s="99"/>
      <x:c r="E2987" s="99"/>
    </x:row>
    <x:row r="2988">
      <x:c r="D2988" s="99"/>
      <x:c r="E2988" s="99"/>
    </x:row>
    <x:row r="2989">
      <x:c r="D2989" s="99"/>
      <x:c r="E2989" s="99"/>
    </x:row>
    <x:row r="2990">
      <x:c r="D2990" s="99"/>
      <x:c r="E2990" s="99"/>
    </x:row>
    <x:row r="2991">
      <x:c r="D2991" s="99"/>
      <x:c r="E2991" s="99"/>
    </x:row>
    <x:row r="2992">
      <x:c r="D2992" s="99"/>
      <x:c r="E2992" s="99"/>
    </x:row>
    <x:row r="2993">
      <x:c r="D2993" s="99"/>
      <x:c r="E2993" s="99"/>
    </x:row>
    <x:row r="2994">
      <x:c r="D2994" s="99"/>
      <x:c r="E2994" s="99"/>
    </x:row>
    <x:row r="2995">
      <x:c r="D2995" s="99"/>
      <x:c r="E2995" s="99"/>
    </x:row>
    <x:row r="2996">
      <x:c r="D2996" s="99"/>
      <x:c r="E2996" s="99"/>
    </x:row>
    <x:row r="2997">
      <x:c r="D2997" s="99"/>
      <x:c r="E2997" s="99"/>
    </x:row>
    <x:row r="2998">
      <x:c r="D2998" s="99"/>
      <x:c r="E2998" s="99"/>
    </x:row>
    <x:row r="2999">
      <x:c r="D2999" s="99"/>
      <x:c r="E2999" s="99"/>
    </x:row>
    <x:row r="3000">
      <x:c r="D3000" s="99"/>
      <x:c r="E3000" s="99"/>
    </x:row>
    <x:row r="3001">
      <x:c r="D3001" s="99"/>
      <x:c r="E3001" s="99"/>
    </x:row>
    <x:row r="3002">
      <x:c r="D3002" s="99"/>
      <x:c r="E3002" s="99"/>
    </x:row>
    <x:row r="3003">
      <x:c r="D3003" s="99"/>
      <x:c r="E3003" s="99"/>
    </x:row>
    <x:row r="3004">
      <x:c r="D3004" s="99"/>
      <x:c r="E3004" s="99"/>
    </x:row>
    <x:row r="3005">
      <x:c r="D3005" s="99"/>
      <x:c r="E3005" s="99"/>
    </x:row>
    <x:row r="3006">
      <x:c r="D3006" s="99"/>
      <x:c r="E3006" s="99"/>
    </x:row>
    <x:row r="3007">
      <x:c r="D3007" s="99"/>
      <x:c r="E3007" s="99"/>
    </x:row>
    <x:row r="3008">
      <x:c r="D3008" s="99"/>
      <x:c r="E3008" s="99"/>
    </x:row>
    <x:row r="3009">
      <x:c r="D3009" s="99"/>
      <x:c r="E3009" s="99"/>
    </x:row>
    <x:row r="3010">
      <x:c r="D3010" s="99"/>
      <x:c r="E3010" s="99"/>
    </x:row>
    <x:row r="3011">
      <x:c r="D3011" s="99"/>
      <x:c r="E3011" s="99"/>
    </x:row>
    <x:row r="3012">
      <x:c r="D3012" s="99"/>
      <x:c r="E3012" s="99"/>
    </x:row>
    <x:row r="3013">
      <x:c r="D3013" s="99"/>
      <x:c r="E3013" s="99"/>
    </x:row>
    <x:row r="3014">
      <x:c r="D3014" s="99"/>
      <x:c r="E3014" s="99"/>
    </x:row>
    <x:row r="3015">
      <x:c r="D3015" s="99"/>
      <x:c r="E3015" s="99"/>
    </x:row>
    <x:row r="3016">
      <x:c r="D3016" s="99"/>
      <x:c r="E3016" s="99"/>
    </x:row>
    <x:row r="3017">
      <x:c r="D3017" s="99"/>
      <x:c r="E3017" s="99"/>
    </x:row>
    <x:row r="3018">
      <x:c r="D3018" s="99"/>
      <x:c r="E3018" s="99"/>
    </x:row>
    <x:row r="3019">
      <x:c r="D3019" s="99"/>
      <x:c r="E3019" s="99"/>
    </x:row>
    <x:row r="3020">
      <x:c r="D3020" s="99"/>
      <x:c r="E3020" s="99"/>
    </x:row>
    <x:row r="3021">
      <x:c r="D3021" s="99"/>
      <x:c r="E3021" s="99"/>
    </x:row>
    <x:row r="3022">
      <x:c r="D3022" s="99"/>
      <x:c r="E3022" s="99"/>
    </x:row>
    <x:row r="3023">
      <x:c r="D3023" s="99"/>
      <x:c r="E3023" s="99"/>
    </x:row>
    <x:row r="3024">
      <x:c r="D3024" s="99"/>
      <x:c r="E3024" s="99"/>
    </x:row>
    <x:row r="3025">
      <x:c r="D3025" s="99"/>
      <x:c r="E3025" s="99"/>
    </x:row>
    <x:row r="3026">
      <x:c r="D3026" s="99"/>
      <x:c r="E3026" s="99"/>
    </x:row>
    <x:row r="3027">
      <x:c r="D3027" s="99"/>
      <x:c r="E3027" s="99"/>
    </x:row>
    <x:row r="3028">
      <x:c r="D3028" s="99"/>
      <x:c r="E3028" s="99"/>
    </x:row>
    <x:row r="3029">
      <x:c r="D3029" s="99"/>
      <x:c r="E3029" s="99"/>
    </x:row>
    <x:row r="3030">
      <x:c r="D3030" s="99"/>
      <x:c r="E3030" s="99"/>
    </x:row>
    <x:row r="3031">
      <x:c r="D3031" s="99"/>
      <x:c r="E3031" s="99"/>
    </x:row>
    <x:row r="3032">
      <x:c r="D3032" s="99"/>
      <x:c r="E3032" s="99"/>
    </x:row>
    <x:row r="3033">
      <x:c r="D3033" s="99"/>
      <x:c r="E3033" s="99"/>
    </x:row>
    <x:row r="3034">
      <x:c r="D3034" s="99"/>
      <x:c r="E3034" s="99"/>
    </x:row>
    <x:row r="3035">
      <x:c r="D3035" s="99"/>
      <x:c r="E3035" s="99"/>
    </x:row>
    <x:row r="3036">
      <x:c r="D3036" s="99"/>
      <x:c r="E3036" s="99"/>
    </x:row>
    <x:row r="3037">
      <x:c r="D3037" s="99"/>
      <x:c r="E3037" s="99"/>
    </x:row>
    <x:row r="3038">
      <x:c r="D3038" s="99"/>
      <x:c r="E3038" s="99"/>
    </x:row>
    <x:row r="3039">
      <x:c r="D3039" s="99"/>
      <x:c r="E3039" s="99"/>
    </x:row>
    <x:row r="3040">
      <x:c r="D3040" s="99"/>
      <x:c r="E3040" s="99"/>
    </x:row>
    <x:row r="3041">
      <x:c r="D3041" s="99"/>
      <x:c r="E3041" s="99"/>
    </x:row>
    <x:row r="3042">
      <x:c r="D3042" s="99"/>
      <x:c r="E3042" s="99"/>
    </x:row>
    <x:row r="3043">
      <x:c r="D3043" s="99"/>
      <x:c r="E3043" s="99"/>
    </x:row>
    <x:row r="3044">
      <x:c r="D3044" s="99"/>
      <x:c r="E3044" s="99"/>
    </x:row>
    <x:row r="3045">
      <x:c r="D3045" s="99"/>
      <x:c r="E3045" s="99"/>
    </x:row>
    <x:row r="3046">
      <x:c r="D3046" s="99"/>
      <x:c r="E3046" s="99"/>
    </x:row>
    <x:row r="3047">
      <x:c r="D3047" s="99"/>
      <x:c r="E3047" s="99"/>
    </x:row>
    <x:row r="3048">
      <x:c r="D3048" s="99"/>
      <x:c r="E3048" s="99"/>
    </x:row>
    <x:row r="3049">
      <x:c r="D3049" s="99"/>
      <x:c r="E3049" s="99"/>
    </x:row>
    <x:row r="3050">
      <x:c r="D3050" s="99"/>
      <x:c r="E3050" s="99"/>
    </x:row>
    <x:row r="3051">
      <x:c r="D3051" s="99"/>
      <x:c r="E3051" s="99"/>
    </x:row>
    <x:row r="3052">
      <x:c r="D3052" s="99"/>
      <x:c r="E3052" s="99"/>
    </x:row>
    <x:row r="3053">
      <x:c r="D3053" s="99"/>
      <x:c r="E3053" s="99"/>
    </x:row>
    <x:row r="3054">
      <x:c r="D3054" s="99"/>
      <x:c r="E3054" s="99"/>
    </x:row>
    <x:row r="3055">
      <x:c r="D3055" s="99"/>
      <x:c r="E3055" s="99"/>
    </x:row>
    <x:row r="3056">
      <x:c r="D3056" s="99"/>
      <x:c r="E3056" s="99"/>
    </x:row>
    <x:row r="3057">
      <x:c r="D3057" s="99"/>
      <x:c r="E3057" s="99"/>
    </x:row>
    <x:row r="3058">
      <x:c r="D3058" s="99"/>
      <x:c r="E3058" s="99"/>
    </x:row>
    <x:row r="3059">
      <x:c r="D3059" s="99"/>
      <x:c r="E3059" s="99"/>
    </x:row>
    <x:row r="3060">
      <x:c r="D3060" s="99"/>
      <x:c r="E3060" s="99"/>
    </x:row>
    <x:row r="3061">
      <x:c r="D3061" s="99"/>
      <x:c r="E3061" s="99"/>
    </x:row>
    <x:row r="3062">
      <x:c r="D3062" s="99"/>
      <x:c r="E3062" s="99"/>
    </x:row>
    <x:row r="3063">
      <x:c r="D3063" s="99"/>
      <x:c r="E3063" s="99"/>
    </x:row>
    <x:row r="3064">
      <x:c r="D3064" s="99"/>
      <x:c r="E3064" s="99"/>
    </x:row>
    <x:row r="3065">
      <x:c r="D3065" s="99"/>
      <x:c r="E3065" s="99"/>
    </x:row>
    <x:row r="3066">
      <x:c r="D3066" s="99"/>
      <x:c r="E3066" s="99"/>
    </x:row>
    <x:row r="3067">
      <x:c r="D3067" s="99"/>
      <x:c r="E3067" s="99"/>
    </x:row>
    <x:row r="3068">
      <x:c r="D3068" s="99"/>
      <x:c r="E3068" s="99"/>
    </x:row>
    <x:row r="3069">
      <x:c r="D3069" s="99"/>
      <x:c r="E3069" s="99"/>
    </x:row>
    <x:row r="3070">
      <x:c r="D3070" s="99"/>
      <x:c r="E3070" s="99"/>
    </x:row>
    <x:row r="3071">
      <x:c r="D3071" s="99"/>
      <x:c r="E3071" s="99"/>
    </x:row>
    <x:row r="3072">
      <x:c r="D3072" s="99"/>
      <x:c r="E3072" s="99"/>
    </x:row>
    <x:row r="3073">
      <x:c r="D3073" s="99"/>
      <x:c r="E3073" s="99"/>
    </x:row>
    <x:row r="3074">
      <x:c r="D3074" s="99"/>
      <x:c r="E3074" s="99"/>
    </x:row>
    <x:row r="3075">
      <x:c r="D3075" s="99"/>
      <x:c r="E3075" s="99"/>
    </x:row>
    <x:row r="3076">
      <x:c r="D3076" s="99"/>
      <x:c r="E3076" s="99"/>
    </x:row>
    <x:row r="3077">
      <x:c r="D3077" s="99"/>
      <x:c r="E3077" s="99"/>
    </x:row>
    <x:row r="3078">
      <x:c r="D3078" s="99"/>
      <x:c r="E3078" s="99"/>
    </x:row>
    <x:row r="3079">
      <x:c r="D3079" s="99"/>
      <x:c r="E3079" s="99"/>
    </x:row>
    <x:row r="3080">
      <x:c r="D3080" s="99"/>
      <x:c r="E3080" s="99"/>
    </x:row>
    <x:row r="3081">
      <x:c r="D3081" s="99"/>
      <x:c r="E3081" s="99"/>
    </x:row>
    <x:row r="3082">
      <x:c r="D3082" s="99"/>
      <x:c r="E3082" s="99"/>
    </x:row>
    <x:row r="3083">
      <x:c r="D3083" s="99"/>
      <x:c r="E3083" s="99"/>
    </x:row>
    <x:row r="3084">
      <x:c r="D3084" s="99"/>
      <x:c r="E3084" s="99"/>
    </x:row>
    <x:row r="3085">
      <x:c r="D3085" s="99"/>
      <x:c r="E3085" s="99"/>
    </x:row>
    <x:row r="3086">
      <x:c r="D3086" s="99"/>
      <x:c r="E3086" s="99"/>
    </x:row>
    <x:row r="3087">
      <x:c r="D3087" s="99"/>
      <x:c r="E3087" s="99"/>
    </x:row>
    <x:row r="3088">
      <x:c r="D3088" s="99"/>
      <x:c r="E3088" s="99"/>
    </x:row>
    <x:row r="3089">
      <x:c r="D3089" s="99"/>
      <x:c r="E3089" s="99"/>
    </x:row>
    <x:row r="3090">
      <x:c r="D3090" s="99"/>
      <x:c r="E3090" s="99"/>
    </x:row>
    <x:row r="3091">
      <x:c r="D3091" s="99"/>
      <x:c r="E3091" s="99"/>
    </x:row>
    <x:row r="3092">
      <x:c r="D3092" s="99"/>
      <x:c r="E3092" s="99"/>
    </x:row>
    <x:row r="3093">
      <x:c r="D3093" s="99"/>
      <x:c r="E3093" s="99"/>
    </x:row>
    <x:row r="3094">
      <x:c r="D3094" s="99"/>
      <x:c r="E3094" s="99"/>
    </x:row>
    <x:row r="3095">
      <x:c r="D3095" s="99"/>
      <x:c r="E3095" s="99"/>
    </x:row>
    <x:row r="3096">
      <x:c r="D3096" s="99"/>
      <x:c r="E3096" s="99"/>
    </x:row>
    <x:row r="3097">
      <x:c r="D3097" s="99"/>
      <x:c r="E3097" s="99"/>
    </x:row>
    <x:row r="3098">
      <x:c r="D3098" s="99"/>
      <x:c r="E3098" s="99"/>
    </x:row>
    <x:row r="3099">
      <x:c r="D3099" s="99"/>
      <x:c r="E3099" s="99"/>
    </x:row>
    <x:row r="3100">
      <x:c r="D3100" s="99"/>
      <x:c r="E3100" s="99"/>
    </x:row>
    <x:row r="3101">
      <x:c r="D3101" s="99"/>
      <x:c r="E3101" s="99"/>
    </x:row>
    <x:row r="3102">
      <x:c r="D3102" s="99"/>
      <x:c r="E3102" s="99"/>
    </x:row>
    <x:row r="3103">
      <x:c r="D3103" s="99"/>
      <x:c r="E3103" s="99"/>
    </x:row>
    <x:row r="3104">
      <x:c r="D3104" s="99"/>
      <x:c r="E3104" s="99"/>
    </x:row>
    <x:row r="3105">
      <x:c r="D3105" s="99"/>
      <x:c r="E3105" s="99"/>
    </x:row>
    <x:row r="3106">
      <x:c r="D3106" s="99"/>
      <x:c r="E3106" s="99"/>
    </x:row>
    <x:row r="3107">
      <x:c r="D3107" s="99"/>
      <x:c r="E3107" s="99"/>
    </x:row>
    <x:row r="3108">
      <x:c r="D3108" s="99"/>
      <x:c r="E3108" s="99"/>
    </x:row>
    <x:row r="3109">
      <x:c r="D3109" s="99"/>
      <x:c r="E3109" s="99"/>
    </x:row>
    <x:row r="3110">
      <x:c r="D3110" s="99"/>
      <x:c r="E3110" s="99"/>
    </x:row>
    <x:row r="3111">
      <x:c r="D3111" s="99"/>
      <x:c r="E3111" s="99"/>
    </x:row>
    <x:row r="3112">
      <x:c r="D3112" s="99"/>
      <x:c r="E3112" s="99"/>
    </x:row>
    <x:row r="3113">
      <x:c r="D3113" s="99"/>
      <x:c r="E3113" s="99"/>
    </x:row>
    <x:row r="3114">
      <x:c r="D3114" s="99"/>
      <x:c r="E3114" s="99"/>
    </x:row>
    <x:row r="3115">
      <x:c r="D3115" s="99"/>
      <x:c r="E3115" s="99"/>
    </x:row>
    <x:row r="3116">
      <x:c r="D3116" s="99"/>
      <x:c r="E3116" s="99"/>
    </x:row>
    <x:row r="3117">
      <x:c r="D3117" s="99"/>
      <x:c r="E3117" s="99"/>
    </x:row>
    <x:row r="3118">
      <x:c r="D3118" s="99"/>
      <x:c r="E3118" s="99"/>
    </x:row>
    <x:row r="3119">
      <x:c r="D3119" s="99"/>
      <x:c r="E3119" s="99"/>
    </x:row>
    <x:row r="3120">
      <x:c r="D3120" s="99"/>
      <x:c r="E3120" s="99"/>
    </x:row>
    <x:row r="3121">
      <x:c r="D3121" s="99"/>
      <x:c r="E3121" s="99"/>
    </x:row>
    <x:row r="3122">
      <x:c r="D3122" s="99"/>
      <x:c r="E3122" s="99"/>
    </x:row>
    <x:row r="3123">
      <x:c r="D3123" s="99"/>
      <x:c r="E3123" s="99"/>
    </x:row>
    <x:row r="3124">
      <x:c r="D3124" s="99"/>
      <x:c r="E3124" s="99"/>
    </x:row>
    <x:row r="3125">
      <x:c r="D3125" s="99"/>
      <x:c r="E3125" s="99"/>
    </x:row>
    <x:row r="3126">
      <x:c r="D3126" s="99"/>
      <x:c r="E3126" s="99"/>
    </x:row>
    <x:row r="3127">
      <x:c r="D3127" s="99"/>
      <x:c r="E3127" s="99"/>
    </x:row>
    <x:row r="3128">
      <x:c r="D3128" s="99"/>
      <x:c r="E3128" s="99"/>
    </x:row>
    <x:row r="3129">
      <x:c r="D3129" s="99"/>
      <x:c r="E3129" s="99"/>
    </x:row>
    <x:row r="3130">
      <x:c r="D3130" s="99"/>
      <x:c r="E3130" s="99"/>
    </x:row>
    <x:row r="3131">
      <x:c r="D3131" s="99"/>
      <x:c r="E3131" s="99"/>
    </x:row>
    <x:row r="3132">
      <x:c r="D3132" s="99"/>
      <x:c r="E3132" s="99"/>
    </x:row>
    <x:row r="3133">
      <x:c r="D3133" s="99"/>
      <x:c r="E3133" s="99"/>
    </x:row>
    <x:row r="3134">
      <x:c r="D3134" s="99"/>
      <x:c r="E3134" s="99"/>
    </x:row>
    <x:row r="3135">
      <x:c r="D3135" s="99"/>
      <x:c r="E3135" s="99"/>
    </x:row>
    <x:row r="3136">
      <x:c r="D3136" s="99"/>
      <x:c r="E3136" s="99"/>
    </x:row>
    <x:row r="3137">
      <x:c r="D3137" s="99"/>
      <x:c r="E3137" s="99"/>
    </x:row>
    <x:row r="3138">
      <x:c r="D3138" s="99"/>
      <x:c r="E3138" s="99"/>
    </x:row>
    <x:row r="3139">
      <x:c r="D3139" s="99"/>
      <x:c r="E3139" s="99"/>
    </x:row>
    <x:row r="3140">
      <x:c r="D3140" s="99"/>
      <x:c r="E3140" s="99"/>
    </x:row>
    <x:row r="3141">
      <x:c r="D3141" s="99"/>
      <x:c r="E3141" s="99"/>
    </x:row>
    <x:row r="3142">
      <x:c r="D3142" s="99"/>
      <x:c r="E3142" s="99"/>
    </x:row>
    <x:row r="3143">
      <x:c r="D3143" s="99"/>
      <x:c r="E3143" s="99"/>
    </x:row>
    <x:row r="3144">
      <x:c r="D3144" s="99"/>
      <x:c r="E3144" s="99"/>
    </x:row>
    <x:row r="3145">
      <x:c r="D3145" s="99"/>
      <x:c r="E3145" s="99"/>
    </x:row>
    <x:row r="3146">
      <x:c r="D3146" s="99"/>
      <x:c r="E3146" s="99"/>
    </x:row>
    <x:row r="3147">
      <x:c r="D3147" s="99"/>
      <x:c r="E3147" s="99"/>
    </x:row>
    <x:row r="3148">
      <x:c r="D3148" s="99"/>
      <x:c r="E3148" s="99"/>
    </x:row>
    <x:row r="3149">
      <x:c r="D3149" s="99"/>
      <x:c r="E3149" s="99"/>
    </x:row>
    <x:row r="3150">
      <x:c r="D3150" s="99"/>
      <x:c r="E3150" s="99"/>
    </x:row>
    <x:row r="3151">
      <x:c r="D3151" s="99"/>
      <x:c r="E3151" s="99"/>
    </x:row>
    <x:row r="3152">
      <x:c r="D3152" s="99"/>
      <x:c r="E3152" s="99"/>
    </x:row>
    <x:row r="3153">
      <x:c r="D3153" s="99"/>
      <x:c r="E3153" s="99"/>
    </x:row>
    <x:row r="3154">
      <x:c r="D3154" s="99"/>
      <x:c r="E3154" s="99"/>
    </x:row>
    <x:row r="3155">
      <x:c r="D3155" s="99"/>
      <x:c r="E3155" s="99"/>
    </x:row>
    <x:row r="3156">
      <x:c r="D3156" s="99"/>
      <x:c r="E3156" s="99"/>
    </x:row>
    <x:row r="3157">
      <x:c r="D3157" s="99"/>
      <x:c r="E3157" s="99"/>
    </x:row>
    <x:row r="3158">
      <x:c r="D3158" s="99"/>
      <x:c r="E3158" s="99"/>
    </x:row>
    <x:row r="3159">
      <x:c r="D3159" s="99"/>
      <x:c r="E3159" s="99"/>
    </x:row>
    <x:row r="3160">
      <x:c r="D3160" s="99"/>
      <x:c r="E3160" s="99"/>
    </x:row>
    <x:row r="3161">
      <x:c r="D3161" s="99"/>
      <x:c r="E3161" s="99"/>
    </x:row>
    <x:row r="3162">
      <x:c r="D3162" s="99"/>
      <x:c r="E3162" s="99"/>
    </x:row>
    <x:row r="3163">
      <x:c r="D3163" s="99"/>
      <x:c r="E3163" s="99"/>
    </x:row>
    <x:row r="3164">
      <x:c r="D3164" s="99"/>
      <x:c r="E3164" s="99"/>
    </x:row>
    <x:row r="3165">
      <x:c r="D3165" s="99"/>
      <x:c r="E3165" s="99"/>
    </x:row>
    <x:row r="3166">
      <x:c r="D3166" s="99"/>
      <x:c r="E3166" s="99"/>
    </x:row>
    <x:row r="3167">
      <x:c r="D3167" s="99"/>
      <x:c r="E3167" s="99"/>
    </x:row>
    <x:row r="3168">
      <x:c r="D3168" s="99"/>
      <x:c r="E3168" s="99"/>
    </x:row>
    <x:row r="3169">
      <x:c r="D3169" s="99"/>
      <x:c r="E3169" s="99"/>
    </x:row>
    <x:row r="3170">
      <x:c r="D3170" s="99"/>
      <x:c r="E3170" s="99"/>
    </x:row>
    <x:row r="3171">
      <x:c r="D3171" s="99"/>
      <x:c r="E3171" s="99"/>
    </x:row>
    <x:row r="3172">
      <x:c r="D3172" s="99"/>
      <x:c r="E3172" s="99"/>
    </x:row>
    <x:row r="3173">
      <x:c r="D3173" s="99"/>
      <x:c r="E3173" s="99"/>
    </x:row>
    <x:row r="3174">
      <x:c r="D3174" s="99"/>
      <x:c r="E3174" s="99"/>
    </x:row>
    <x:row r="3175">
      <x:c r="D3175" s="99"/>
      <x:c r="E3175" s="99"/>
    </x:row>
    <x:row r="3176">
      <x:c r="D3176" s="99"/>
      <x:c r="E3176" s="99"/>
    </x:row>
    <x:row r="3177">
      <x:c r="D3177" s="99"/>
      <x:c r="E3177" s="99"/>
    </x:row>
    <x:row r="3178">
      <x:c r="D3178" s="99"/>
      <x:c r="E3178" s="99"/>
    </x:row>
    <x:row r="3179">
      <x:c r="D3179" s="99"/>
      <x:c r="E3179" s="99"/>
    </x:row>
    <x:row r="3180">
      <x:c r="D3180" s="99"/>
      <x:c r="E3180" s="99"/>
    </x:row>
    <x:row r="3181">
      <x:c r="D3181" s="99"/>
      <x:c r="E3181" s="99"/>
    </x:row>
    <x:row r="3182">
      <x:c r="D3182" s="99"/>
      <x:c r="E3182" s="99"/>
    </x:row>
    <x:row r="3183">
      <x:c r="D3183" s="99"/>
      <x:c r="E3183" s="99"/>
    </x:row>
    <x:row r="3184">
      <x:c r="D3184" s="99"/>
      <x:c r="E3184" s="99"/>
    </x:row>
    <x:row r="3185">
      <x:c r="D3185" s="99"/>
      <x:c r="E3185" s="99"/>
    </x:row>
    <x:row r="3186">
      <x:c r="D3186" s="99"/>
      <x:c r="E3186" s="99"/>
    </x:row>
    <x:row r="3187">
      <x:c r="D3187" s="99"/>
      <x:c r="E3187" s="99"/>
    </x:row>
    <x:row r="3188">
      <x:c r="D3188" s="99"/>
      <x:c r="E3188" s="99"/>
    </x:row>
    <x:row r="3189">
      <x:c r="D3189" s="99"/>
      <x:c r="E3189" s="99"/>
    </x:row>
    <x:row r="3190">
      <x:c r="D3190" s="99"/>
      <x:c r="E3190" s="99"/>
    </x:row>
    <x:row r="3191">
      <x:c r="D3191" s="99"/>
      <x:c r="E3191" s="99"/>
    </x:row>
    <x:row r="3192">
      <x:c r="D3192" s="99"/>
      <x:c r="E3192" s="99"/>
    </x:row>
    <x:row r="3193">
      <x:c r="D3193" s="99"/>
      <x:c r="E3193" s="99"/>
    </x:row>
    <x:row r="3194">
      <x:c r="D3194" s="99"/>
      <x:c r="E3194" s="99"/>
    </x:row>
    <x:row r="3195">
      <x:c r="D3195" s="99"/>
      <x:c r="E3195" s="99"/>
    </x:row>
    <x:row r="3196">
      <x:c r="D3196" s="99"/>
      <x:c r="E3196" s="99"/>
    </x:row>
    <x:row r="3197">
      <x:c r="D3197" s="99"/>
      <x:c r="E3197" s="99"/>
    </x:row>
    <x:row r="3198">
      <x:c r="D3198" s="99"/>
      <x:c r="E3198" s="99"/>
    </x:row>
    <x:row r="3199">
      <x:c r="D3199" s="99"/>
      <x:c r="E3199" s="99"/>
    </x:row>
    <x:row r="3200">
      <x:c r="D3200" s="99"/>
      <x:c r="E3200" s="99"/>
    </x:row>
    <x:row r="3201">
      <x:c r="D3201" s="99"/>
      <x:c r="E3201" s="99"/>
    </x:row>
    <x:row r="3202">
      <x:c r="D3202" s="99"/>
      <x:c r="E3202" s="99"/>
    </x:row>
    <x:row r="3203">
      <x:c r="D3203" s="99"/>
      <x:c r="E3203" s="99"/>
    </x:row>
    <x:row r="3204">
      <x:c r="D3204" s="99"/>
      <x:c r="E3204" s="99"/>
    </x:row>
    <x:row r="3205">
      <x:c r="D3205" s="99"/>
      <x:c r="E3205" s="99"/>
    </x:row>
    <x:row r="3206">
      <x:c r="D3206" s="99"/>
      <x:c r="E3206" s="99"/>
    </x:row>
    <x:row r="3207">
      <x:c r="D3207" s="99"/>
      <x:c r="E3207" s="99"/>
    </x:row>
    <x:row r="3208">
      <x:c r="D3208" s="99"/>
      <x:c r="E3208" s="99"/>
    </x:row>
    <x:row r="3209">
      <x:c r="D3209" s="99"/>
      <x:c r="E3209" s="99"/>
    </x:row>
    <x:row r="3210">
      <x:c r="D3210" s="99"/>
      <x:c r="E3210" s="99"/>
    </x:row>
    <x:row r="3211">
      <x:c r="D3211" s="99"/>
      <x:c r="E3211" s="99"/>
    </x:row>
    <x:row r="3212">
      <x:c r="D3212" s="99"/>
      <x:c r="E3212" s="99"/>
    </x:row>
    <x:row r="3213">
      <x:c r="D3213" s="99"/>
      <x:c r="E3213" s="99"/>
    </x:row>
    <x:row r="3214">
      <x:c r="D3214" s="99"/>
      <x:c r="E3214" s="99"/>
    </x:row>
    <x:row r="3215">
      <x:c r="D3215" s="99"/>
      <x:c r="E3215" s="99"/>
    </x:row>
    <x:row r="3216">
      <x:c r="D3216" s="99"/>
      <x:c r="E3216" s="99"/>
    </x:row>
    <x:row r="3217">
      <x:c r="D3217" s="99"/>
      <x:c r="E3217" s="99"/>
    </x:row>
    <x:row r="3218">
      <x:c r="D3218" s="99"/>
      <x:c r="E3218" s="99"/>
    </x:row>
    <x:row r="3219">
      <x:c r="D3219" s="99"/>
      <x:c r="E3219" s="99"/>
    </x:row>
    <x:row r="3220">
      <x:c r="D3220" s="99"/>
      <x:c r="E3220" s="99"/>
    </x:row>
    <x:row r="3221">
      <x:c r="D3221" s="99"/>
      <x:c r="E3221" s="99"/>
    </x:row>
    <x:row r="3222">
      <x:c r="D3222" s="99"/>
      <x:c r="E3222" s="99"/>
    </x:row>
    <x:row r="3223">
      <x:c r="D3223" s="99"/>
      <x:c r="E3223" s="99"/>
    </x:row>
    <x:row r="3224">
      <x:c r="D3224" s="99"/>
      <x:c r="E3224" s="99"/>
    </x:row>
    <x:row r="3225">
      <x:c r="D3225" s="99"/>
      <x:c r="E3225" s="99"/>
    </x:row>
    <x:row r="3226">
      <x:c r="D3226" s="99"/>
      <x:c r="E3226" s="99"/>
    </x:row>
    <x:row r="3227">
      <x:c r="D3227" s="99"/>
      <x:c r="E3227" s="99"/>
    </x:row>
    <x:row r="3228">
      <x:c r="D3228" s="99"/>
      <x:c r="E3228" s="99"/>
    </x:row>
    <x:row r="3229">
      <x:c r="D3229" s="99"/>
      <x:c r="E3229" s="99"/>
    </x:row>
    <x:row r="3230">
      <x:c r="D3230" s="99"/>
      <x:c r="E3230" s="99"/>
    </x:row>
    <x:row r="3231">
      <x:c r="D3231" s="99"/>
      <x:c r="E3231" s="99"/>
    </x:row>
    <x:row r="3232">
      <x:c r="D3232" s="99"/>
      <x:c r="E3232" s="99"/>
    </x:row>
    <x:row r="3233">
      <x:c r="D3233" s="99"/>
      <x:c r="E3233" s="99"/>
    </x:row>
    <x:row r="3234">
      <x:c r="D3234" s="99"/>
      <x:c r="E3234" s="99"/>
    </x:row>
    <x:row r="3235">
      <x:c r="D3235" s="99"/>
      <x:c r="E3235" s="99"/>
    </x:row>
    <x:row r="3236">
      <x:c r="D3236" s="99"/>
      <x:c r="E3236" s="99"/>
    </x:row>
    <x:row r="3237">
      <x:c r="D3237" s="99"/>
      <x:c r="E3237" s="99"/>
    </x:row>
    <x:row r="3238">
      <x:c r="D3238" s="99"/>
      <x:c r="E3238" s="99"/>
    </x:row>
    <x:row r="3239">
      <x:c r="D3239" s="99"/>
      <x:c r="E3239" s="99"/>
    </x:row>
    <x:row r="3240">
      <x:c r="D3240" s="99"/>
      <x:c r="E3240" s="99"/>
    </x:row>
    <x:row r="3241">
      <x:c r="D3241" s="99"/>
      <x:c r="E3241" s="99"/>
    </x:row>
    <x:row r="3242">
      <x:c r="D3242" s="99"/>
      <x:c r="E3242" s="99"/>
    </x:row>
    <x:row r="3243">
      <x:c r="D3243" s="99"/>
      <x:c r="E3243" s="99"/>
    </x:row>
    <x:row r="3244">
      <x:c r="D3244" s="99"/>
      <x:c r="E3244" s="99"/>
    </x:row>
    <x:row r="3245">
      <x:c r="D3245" s="99"/>
      <x:c r="E3245" s="99"/>
    </x:row>
    <x:row r="3246">
      <x:c r="D3246" s="99"/>
      <x:c r="E3246" s="99"/>
    </x:row>
    <x:row r="3247">
      <x:c r="D3247" s="99"/>
      <x:c r="E3247" s="99"/>
    </x:row>
    <x:row r="3248">
      <x:c r="D3248" s="99"/>
      <x:c r="E3248" s="99"/>
    </x:row>
    <x:row r="3249">
      <x:c r="D3249" s="99"/>
      <x:c r="E3249" s="99"/>
    </x:row>
    <x:row r="3250">
      <x:c r="D3250" s="99"/>
      <x:c r="E3250" s="99"/>
    </x:row>
    <x:row r="3251">
      <x:c r="D3251" s="99"/>
      <x:c r="E3251" s="99"/>
    </x:row>
    <x:row r="3252">
      <x:c r="D3252" s="99"/>
      <x:c r="E3252" s="99"/>
    </x:row>
    <x:row r="3253">
      <x:c r="D3253" s="99"/>
      <x:c r="E3253" s="99"/>
    </x:row>
    <x:row r="3254">
      <x:c r="D3254" s="99"/>
      <x:c r="E3254" s="99"/>
    </x:row>
    <x:row r="3255">
      <x:c r="D3255" s="99"/>
      <x:c r="E3255" s="99"/>
    </x:row>
    <x:row r="3256">
      <x:c r="D3256" s="99"/>
      <x:c r="E3256" s="99"/>
    </x:row>
    <x:row r="3257">
      <x:c r="D3257" s="99"/>
      <x:c r="E3257" s="99"/>
    </x:row>
    <x:row r="3258">
      <x:c r="D3258" s="99"/>
      <x:c r="E3258" s="99"/>
    </x:row>
    <x:row r="3259">
      <x:c r="D3259" s="99"/>
      <x:c r="E3259" s="99"/>
    </x:row>
    <x:row r="3260">
      <x:c r="D3260" s="99"/>
      <x:c r="E3260" s="99"/>
    </x:row>
    <x:row r="3261">
      <x:c r="D3261" s="99"/>
      <x:c r="E3261" s="99"/>
    </x:row>
    <x:row r="3262">
      <x:c r="D3262" s="99"/>
      <x:c r="E3262" s="99"/>
    </x:row>
    <x:row r="3263">
      <x:c r="D3263" s="99"/>
      <x:c r="E3263" s="99"/>
    </x:row>
    <x:row r="3264">
      <x:c r="D3264" s="99"/>
      <x:c r="E3264" s="99"/>
    </x:row>
    <x:row r="3265">
      <x:c r="D3265" s="99"/>
      <x:c r="E3265" s="99"/>
    </x:row>
    <x:row r="3266">
      <x:c r="D3266" s="99"/>
      <x:c r="E3266" s="99"/>
    </x:row>
    <x:row r="3267">
      <x:c r="D3267" s="99"/>
      <x:c r="E3267" s="99"/>
    </x:row>
    <x:row r="3268">
      <x:c r="D3268" s="99"/>
      <x:c r="E3268" s="99"/>
    </x:row>
    <x:row r="3269">
      <x:c r="D3269" s="99"/>
      <x:c r="E3269" s="99"/>
    </x:row>
    <x:row r="3270">
      <x:c r="D3270" s="99"/>
      <x:c r="E3270" s="99"/>
    </x:row>
    <x:row r="3271">
      <x:c r="D3271" s="99"/>
      <x:c r="E3271" s="99"/>
    </x:row>
    <x:row r="3272">
      <x:c r="D3272" s="99"/>
      <x:c r="E3272" s="99"/>
    </x:row>
    <x:row r="3273">
      <x:c r="D3273" s="99"/>
      <x:c r="E3273" s="99"/>
    </x:row>
    <x:row r="3274">
      <x:c r="D3274" s="99"/>
      <x:c r="E3274" s="99"/>
    </x:row>
    <x:row r="3275">
      <x:c r="D3275" s="99"/>
      <x:c r="E3275" s="99"/>
    </x:row>
    <x:row r="3276">
      <x:c r="D3276" s="99"/>
      <x:c r="E3276" s="99"/>
    </x:row>
    <x:row r="3277">
      <x:c r="D3277" s="99"/>
      <x:c r="E3277" s="99"/>
    </x:row>
    <x:row r="3278">
      <x:c r="D3278" s="99"/>
      <x:c r="E3278" s="99"/>
    </x:row>
    <x:row r="3279">
      <x:c r="D3279" s="99"/>
      <x:c r="E3279" s="99"/>
    </x:row>
    <x:row r="3280">
      <x:c r="D3280" s="99"/>
      <x:c r="E3280" s="99"/>
    </x:row>
    <x:row r="3281">
      <x:c r="D3281" s="99"/>
      <x:c r="E3281" s="99"/>
    </x:row>
    <x:row r="3282">
      <x:c r="D3282" s="99"/>
      <x:c r="E3282" s="99"/>
    </x:row>
    <x:row r="3283">
      <x:c r="D3283" s="99"/>
      <x:c r="E3283" s="99"/>
    </x:row>
    <x:row r="3284">
      <x:c r="D3284" s="99"/>
      <x:c r="E3284" s="99"/>
    </x:row>
    <x:row r="3285">
      <x:c r="D3285" s="99"/>
      <x:c r="E3285" s="99"/>
    </x:row>
    <x:row r="3286">
      <x:c r="D3286" s="99"/>
      <x:c r="E3286" s="99"/>
    </x:row>
    <x:row r="3287">
      <x:c r="D3287" s="99"/>
      <x:c r="E3287" s="99"/>
    </x:row>
    <x:row r="3288">
      <x:c r="D3288" s="99"/>
      <x:c r="E3288" s="99"/>
    </x:row>
    <x:row r="3289">
      <x:c r="D3289" s="99"/>
      <x:c r="E3289" s="99"/>
    </x:row>
    <x:row r="3290">
      <x:c r="D3290" s="99"/>
      <x:c r="E3290" s="99"/>
    </x:row>
    <x:row r="3291">
      <x:c r="D3291" s="99"/>
      <x:c r="E3291" s="99"/>
    </x:row>
    <x:row r="3292">
      <x:c r="D3292" s="99"/>
      <x:c r="E3292" s="99"/>
    </x:row>
    <x:row r="3293">
      <x:c r="D3293" s="99"/>
      <x:c r="E3293" s="99"/>
    </x:row>
    <x:row r="3294">
      <x:c r="D3294" s="99"/>
      <x:c r="E3294" s="99"/>
    </x:row>
    <x:row r="3295">
      <x:c r="D3295" s="99"/>
      <x:c r="E3295" s="99"/>
    </x:row>
    <x:row r="3296">
      <x:c r="D3296" s="99"/>
      <x:c r="E3296" s="99"/>
    </x:row>
    <x:row r="3297">
      <x:c r="D3297" s="99"/>
      <x:c r="E3297" s="99"/>
    </x:row>
    <x:row r="3298">
      <x:c r="D3298" s="99"/>
      <x:c r="E3298" s="99"/>
    </x:row>
    <x:row r="3299">
      <x:c r="D3299" s="99"/>
      <x:c r="E3299" s="99"/>
    </x:row>
    <x:row r="3300">
      <x:c r="D3300" s="99"/>
      <x:c r="E3300" s="99"/>
    </x:row>
    <x:row r="3301">
      <x:c r="D3301" s="99"/>
      <x:c r="E3301" s="99"/>
    </x:row>
    <x:row r="3302">
      <x:c r="D3302" s="99"/>
      <x:c r="E3302" s="99"/>
    </x:row>
    <x:row r="3303">
      <x:c r="D3303" s="99"/>
      <x:c r="E3303" s="99"/>
    </x:row>
    <x:row r="3304">
      <x:c r="D3304" s="99"/>
      <x:c r="E3304" s="99"/>
    </x:row>
    <x:row r="3305">
      <x:c r="D3305" s="99"/>
      <x:c r="E3305" s="99"/>
    </x:row>
    <x:row r="3306">
      <x:c r="D3306" s="99"/>
      <x:c r="E3306" s="99"/>
    </x:row>
    <x:row r="3307">
      <x:c r="D3307" s="99"/>
      <x:c r="E3307" s="99"/>
    </x:row>
    <x:row r="3308">
      <x:c r="D3308" s="99"/>
      <x:c r="E3308" s="99"/>
    </x:row>
    <x:row r="3309">
      <x:c r="D3309" s="99"/>
      <x:c r="E3309" s="99"/>
    </x:row>
    <x:row r="3310">
      <x:c r="D3310" s="99"/>
      <x:c r="E3310" s="99"/>
    </x:row>
    <x:row r="3311">
      <x:c r="D3311" s="99"/>
      <x:c r="E3311" s="99"/>
    </x:row>
    <x:row r="3312">
      <x:c r="D3312" s="99"/>
      <x:c r="E3312" s="99"/>
    </x:row>
    <x:row r="3313">
      <x:c r="D3313" s="99"/>
      <x:c r="E3313" s="99"/>
    </x:row>
    <x:row r="3314">
      <x:c r="D3314" s="99"/>
      <x:c r="E3314" s="99"/>
    </x:row>
    <x:row r="3315">
      <x:c r="D3315" s="99"/>
      <x:c r="E3315" s="99"/>
    </x:row>
    <x:row r="3316">
      <x:c r="D3316" s="99"/>
      <x:c r="E3316" s="99"/>
    </x:row>
    <x:row r="3317">
      <x:c r="D3317" s="99"/>
      <x:c r="E3317" s="99"/>
    </x:row>
    <x:row r="3318">
      <x:c r="D3318" s="99"/>
      <x:c r="E3318" s="99"/>
    </x:row>
    <x:row r="3319">
      <x:c r="D3319" s="99"/>
      <x:c r="E3319" s="99"/>
    </x:row>
    <x:row r="3320">
      <x:c r="D3320" s="99"/>
      <x:c r="E3320" s="99"/>
    </x:row>
    <x:row r="3321">
      <x:c r="D3321" s="99"/>
      <x:c r="E3321" s="99"/>
    </x:row>
    <x:row r="3322">
      <x:c r="D3322" s="99"/>
      <x:c r="E3322" s="99"/>
    </x:row>
    <x:row r="3323">
      <x:c r="D3323" s="99"/>
      <x:c r="E3323" s="99"/>
    </x:row>
    <x:row r="3324">
      <x:c r="D3324" s="99"/>
      <x:c r="E3324" s="99"/>
    </x:row>
    <x:row r="3325">
      <x:c r="D3325" s="99"/>
      <x:c r="E3325" s="99"/>
    </x:row>
    <x:row r="3326">
      <x:c r="D3326" s="99"/>
      <x:c r="E3326" s="99"/>
    </x:row>
    <x:row r="3327">
      <x:c r="D3327" s="99"/>
      <x:c r="E3327" s="99"/>
    </x:row>
    <x:row r="3328">
      <x:c r="D3328" s="99"/>
      <x:c r="E3328" s="99"/>
    </x:row>
    <x:row r="3329">
      <x:c r="D3329" s="99"/>
      <x:c r="E3329" s="99"/>
    </x:row>
    <x:row r="3330">
      <x:c r="D3330" s="99"/>
      <x:c r="E3330" s="99"/>
    </x:row>
    <x:row r="3331">
      <x:c r="D3331" s="99"/>
      <x:c r="E3331" s="99"/>
    </x:row>
    <x:row r="3332">
      <x:c r="D3332" s="99"/>
      <x:c r="E3332" s="99"/>
    </x:row>
    <x:row r="3333">
      <x:c r="D3333" s="99"/>
      <x:c r="E3333" s="99"/>
    </x:row>
    <x:row r="3334">
      <x:c r="D3334" s="99"/>
      <x:c r="E3334" s="99"/>
    </x:row>
    <x:row r="3335">
      <x:c r="D3335" s="99"/>
      <x:c r="E3335" s="99"/>
    </x:row>
    <x:row r="3336">
      <x:c r="D3336" s="99"/>
      <x:c r="E3336" s="99"/>
    </x:row>
    <x:row r="3337">
      <x:c r="D3337" s="99"/>
      <x:c r="E3337" s="99"/>
    </x:row>
    <x:row r="3338">
      <x:c r="D3338" s="99"/>
      <x:c r="E3338" s="99"/>
    </x:row>
    <x:row r="3339">
      <x:c r="D3339" s="99"/>
      <x:c r="E3339" s="99"/>
    </x:row>
    <x:row r="3340">
      <x:c r="D3340" s="99"/>
      <x:c r="E3340" s="99"/>
    </x:row>
    <x:row r="3341">
      <x:c r="D3341" s="99"/>
      <x:c r="E3341" s="99"/>
    </x:row>
    <x:row r="3342">
      <x:c r="D3342" s="99"/>
      <x:c r="E3342" s="99"/>
    </x:row>
    <x:row r="3343">
      <x:c r="D3343" s="99"/>
      <x:c r="E3343" s="99"/>
    </x:row>
    <x:row r="3344">
      <x:c r="D3344" s="99"/>
      <x:c r="E3344" s="99"/>
    </x:row>
    <x:row r="3345">
      <x:c r="D3345" s="99"/>
      <x:c r="E3345" s="99"/>
    </x:row>
    <x:row r="3346">
      <x:c r="D3346" s="99"/>
      <x:c r="E3346" s="99"/>
    </x:row>
    <x:row r="3347">
      <x:c r="D3347" s="99"/>
      <x:c r="E3347" s="99"/>
    </x:row>
    <x:row r="3348">
      <x:c r="D3348" s="99"/>
      <x:c r="E3348" s="99"/>
    </x:row>
    <x:row r="3349">
      <x:c r="D3349" s="99"/>
      <x:c r="E3349" s="99"/>
    </x:row>
    <x:row r="3350">
      <x:c r="D3350" s="99"/>
      <x:c r="E3350" s="99"/>
    </x:row>
    <x:row r="3351">
      <x:c r="D3351" s="99"/>
      <x:c r="E3351" s="99"/>
    </x:row>
    <x:row r="3352">
      <x:c r="D3352" s="99"/>
      <x:c r="E3352" s="99"/>
    </x:row>
    <x:row r="3353">
      <x:c r="D3353" s="99"/>
      <x:c r="E3353" s="99"/>
    </x:row>
    <x:row r="3354">
      <x:c r="D3354" s="99"/>
      <x:c r="E3354" s="99"/>
    </x:row>
    <x:row r="3355">
      <x:c r="D3355" s="99"/>
      <x:c r="E3355" s="99"/>
    </x:row>
    <x:row r="3356">
      <x:c r="D3356" s="99"/>
      <x:c r="E3356" s="99"/>
    </x:row>
    <x:row r="3357">
      <x:c r="D3357" s="99"/>
      <x:c r="E3357" s="99"/>
    </x:row>
    <x:row r="3358">
      <x:c r="D3358" s="99"/>
      <x:c r="E3358" s="99"/>
    </x:row>
    <x:row r="3359">
      <x:c r="D3359" s="99"/>
      <x:c r="E3359" s="99"/>
    </x:row>
    <x:row r="3360">
      <x:c r="D3360" s="99"/>
      <x:c r="E3360" s="99"/>
    </x:row>
    <x:row r="3361">
      <x:c r="D3361" s="99"/>
      <x:c r="E3361" s="99"/>
    </x:row>
    <x:row r="3362">
      <x:c r="D3362" s="99"/>
      <x:c r="E3362" s="99"/>
    </x:row>
    <x:row r="3363">
      <x:c r="D3363" s="99"/>
      <x:c r="E3363" s="99"/>
    </x:row>
    <x:row r="3364">
      <x:c r="D3364" s="99"/>
      <x:c r="E3364" s="99"/>
    </x:row>
    <x:row r="3365">
      <x:c r="D3365" s="99"/>
      <x:c r="E3365" s="99"/>
    </x:row>
    <x:row r="3366">
      <x:c r="D3366" s="99"/>
      <x:c r="E3366" s="99"/>
    </x:row>
    <x:row r="3367">
      <x:c r="D3367" s="99"/>
      <x:c r="E3367" s="99"/>
    </x:row>
    <x:row r="3368">
      <x:c r="D3368" s="99"/>
      <x:c r="E3368" s="99"/>
    </x:row>
    <x:row r="3369">
      <x:c r="D3369" s="99"/>
      <x:c r="E3369" s="99"/>
    </x:row>
    <x:row r="3370">
      <x:c r="D3370" s="99"/>
      <x:c r="E3370" s="99"/>
    </x:row>
    <x:row r="3371">
      <x:c r="D3371" s="99"/>
      <x:c r="E3371" s="99"/>
    </x:row>
    <x:row r="3372">
      <x:c r="D3372" s="99"/>
      <x:c r="E3372" s="99"/>
    </x:row>
    <x:row r="3373">
      <x:c r="D3373" s="99"/>
      <x:c r="E3373" s="99"/>
    </x:row>
    <x:row r="3374">
      <x:c r="D3374" s="99"/>
      <x:c r="E3374" s="99"/>
    </x:row>
    <x:row r="3375">
      <x:c r="D3375" s="99"/>
      <x:c r="E3375" s="99"/>
    </x:row>
    <x:row r="3376">
      <x:c r="D3376" s="99"/>
      <x:c r="E3376" s="99"/>
    </x:row>
    <x:row r="3377">
      <x:c r="D3377" s="99"/>
      <x:c r="E3377" s="99"/>
    </x:row>
    <x:row r="3378">
      <x:c r="D3378" s="99"/>
      <x:c r="E3378" s="99"/>
    </x:row>
    <x:row r="3379">
      <x:c r="D3379" s="99"/>
      <x:c r="E3379" s="99"/>
    </x:row>
    <x:row r="3380">
      <x:c r="D3380" s="99"/>
      <x:c r="E3380" s="99"/>
    </x:row>
    <x:row r="3381">
      <x:c r="D3381" s="99"/>
      <x:c r="E3381" s="99"/>
    </x:row>
    <x:row r="3382">
      <x:c r="D3382" s="99"/>
      <x:c r="E3382" s="99"/>
    </x:row>
    <x:row r="3383">
      <x:c r="D3383" s="99"/>
      <x:c r="E3383" s="99"/>
    </x:row>
    <x:row r="3384">
      <x:c r="D3384" s="99"/>
      <x:c r="E3384" s="99"/>
    </x:row>
    <x:row r="3385">
      <x:c r="D3385" s="99"/>
      <x:c r="E3385" s="99"/>
    </x:row>
    <x:row r="3386">
      <x:c r="D3386" s="99"/>
      <x:c r="E3386" s="99"/>
    </x:row>
    <x:row r="3387">
      <x:c r="D3387" s="99"/>
      <x:c r="E3387" s="99"/>
    </x:row>
    <x:row r="3388">
      <x:c r="D3388" s="99"/>
      <x:c r="E3388" s="99"/>
    </x:row>
    <x:row r="3389">
      <x:c r="D3389" s="99"/>
      <x:c r="E3389" s="99"/>
    </x:row>
    <x:row r="3390">
      <x:c r="D3390" s="99"/>
      <x:c r="E3390" s="99"/>
    </x:row>
    <x:row r="3391">
      <x:c r="D3391" s="99"/>
      <x:c r="E3391" s="99"/>
    </x:row>
    <x:row r="3392">
      <x:c r="D3392" s="99"/>
      <x:c r="E3392" s="99"/>
    </x:row>
    <x:row r="3393">
      <x:c r="D3393" s="99"/>
      <x:c r="E3393" s="99"/>
    </x:row>
    <x:row r="3394">
      <x:c r="D3394" s="99"/>
      <x:c r="E3394" s="99"/>
    </x:row>
    <x:row r="3395">
      <x:c r="D3395" s="99"/>
      <x:c r="E3395" s="99"/>
    </x:row>
    <x:row r="3396">
      <x:c r="D3396" s="99"/>
      <x:c r="E3396" s="99"/>
    </x:row>
    <x:row r="3397">
      <x:c r="D3397" s="99"/>
      <x:c r="E3397" s="99"/>
    </x:row>
    <x:row r="3398">
      <x:c r="D3398" s="99"/>
      <x:c r="E3398" s="99"/>
    </x:row>
    <x:row r="3399">
      <x:c r="D3399" s="99"/>
      <x:c r="E3399" s="99"/>
    </x:row>
    <x:row r="3400">
      <x:c r="D3400" s="99"/>
      <x:c r="E3400" s="99"/>
    </x:row>
    <x:row r="3401">
      <x:c r="D3401" s="99"/>
      <x:c r="E3401" s="99"/>
    </x:row>
    <x:row r="3402">
      <x:c r="D3402" s="99"/>
      <x:c r="E3402" s="99"/>
    </x:row>
    <x:row r="3403">
      <x:c r="D3403" s="99"/>
      <x:c r="E3403" s="99"/>
    </x:row>
    <x:row r="3404">
      <x:c r="D3404" s="99"/>
      <x:c r="E3404" s="99"/>
    </x:row>
    <x:row r="3405">
      <x:c r="D3405" s="99"/>
      <x:c r="E3405" s="99"/>
    </x:row>
    <x:row r="3406">
      <x:c r="D3406" s="99"/>
      <x:c r="E3406" s="99"/>
    </x:row>
    <x:row r="3407">
      <x:c r="D3407" s="99"/>
      <x:c r="E3407" s="99"/>
    </x:row>
    <x:row r="3408">
      <x:c r="D3408" s="99"/>
      <x:c r="E3408" s="99"/>
    </x:row>
    <x:row r="3409">
      <x:c r="D3409" s="99"/>
      <x:c r="E3409" s="99"/>
    </x:row>
    <x:row r="3410">
      <x:c r="D3410" s="99"/>
      <x:c r="E3410" s="99"/>
    </x:row>
    <x:row r="3411">
      <x:c r="D3411" s="99"/>
      <x:c r="E3411" s="99"/>
    </x:row>
    <x:row r="3412">
      <x:c r="D3412" s="99"/>
      <x:c r="E3412" s="99"/>
    </x:row>
    <x:row r="3413">
      <x:c r="D3413" s="99"/>
      <x:c r="E3413" s="99"/>
    </x:row>
    <x:row r="3414">
      <x:c r="D3414" s="99"/>
      <x:c r="E3414" s="99"/>
    </x:row>
    <x:row r="3415">
      <x:c r="D3415" s="99"/>
      <x:c r="E3415" s="99"/>
    </x:row>
    <x:row r="3416">
      <x:c r="D3416" s="99"/>
      <x:c r="E3416" s="99"/>
    </x:row>
    <x:row r="3417">
      <x:c r="D3417" s="99"/>
      <x:c r="E3417" s="99"/>
    </x:row>
    <x:row r="3418">
      <x:c r="D3418" s="99"/>
      <x:c r="E3418" s="99"/>
    </x:row>
    <x:row r="3419">
      <x:c r="D3419" s="99"/>
      <x:c r="E3419" s="99"/>
    </x:row>
    <x:row r="3420">
      <x:c r="D3420" s="99"/>
      <x:c r="E3420" s="99"/>
    </x:row>
    <x:row r="3421">
      <x:c r="D3421" s="99"/>
      <x:c r="E3421" s="99"/>
    </x:row>
    <x:row r="3422">
      <x:c r="D3422" s="99"/>
      <x:c r="E3422" s="99"/>
    </x:row>
    <x:row r="3423">
      <x:c r="D3423" s="99"/>
      <x:c r="E3423" s="99"/>
    </x:row>
    <x:row r="3424">
      <x:c r="D3424" s="99"/>
      <x:c r="E3424" s="99"/>
    </x:row>
    <x:row r="3425">
      <x:c r="D3425" s="99"/>
      <x:c r="E3425" s="99"/>
    </x:row>
    <x:row r="3426">
      <x:c r="D3426" s="99"/>
      <x:c r="E3426" s="99"/>
    </x:row>
    <x:row r="3427">
      <x:c r="D3427" s="99"/>
      <x:c r="E3427" s="99"/>
    </x:row>
    <x:row r="3428">
      <x:c r="D3428" s="99"/>
      <x:c r="E3428" s="99"/>
    </x:row>
    <x:row r="3429">
      <x:c r="D3429" s="99"/>
      <x:c r="E3429" s="99"/>
    </x:row>
    <x:row r="3430">
      <x:c r="D3430" s="99"/>
      <x:c r="E3430" s="99"/>
    </x:row>
    <x:row r="3431">
      <x:c r="D3431" s="99"/>
      <x:c r="E3431" s="99"/>
    </x:row>
    <x:row r="3432">
      <x:c r="D3432" s="99"/>
      <x:c r="E3432" s="99"/>
    </x:row>
    <x:row r="3433">
      <x:c r="D3433" s="99"/>
      <x:c r="E3433" s="99"/>
    </x:row>
    <x:row r="3434">
      <x:c r="D3434" s="99"/>
      <x:c r="E3434" s="99"/>
    </x:row>
    <x:row r="3435">
      <x:c r="D3435" s="99"/>
      <x:c r="E3435" s="99"/>
    </x:row>
    <x:row r="3436">
      <x:c r="D3436" s="99"/>
      <x:c r="E3436" s="99"/>
    </x:row>
    <x:row r="3437">
      <x:c r="D3437" s="99"/>
      <x:c r="E3437" s="99"/>
    </x:row>
    <x:row r="3438">
      <x:c r="D3438" s="99"/>
      <x:c r="E3438" s="99"/>
    </x:row>
    <x:row r="3439">
      <x:c r="D3439" s="99"/>
      <x:c r="E3439" s="99"/>
    </x:row>
    <x:row r="3440">
      <x:c r="D3440" s="99"/>
      <x:c r="E3440" s="99"/>
    </x:row>
    <x:row r="3441">
      <x:c r="D3441" s="99"/>
      <x:c r="E3441" s="99"/>
    </x:row>
    <x:row r="3442">
      <x:c r="D3442" s="99"/>
      <x:c r="E3442" s="99"/>
    </x:row>
    <x:row r="3443">
      <x:c r="D3443" s="99"/>
      <x:c r="E3443" s="99"/>
    </x:row>
    <x:row r="3444">
      <x:c r="D3444" s="99"/>
      <x:c r="E3444" s="99"/>
    </x:row>
    <x:row r="3445">
      <x:c r="D3445" s="99"/>
      <x:c r="E3445" s="99"/>
    </x:row>
    <x:row r="3446">
      <x:c r="D3446" s="99"/>
      <x:c r="E3446" s="99"/>
    </x:row>
    <x:row r="3447">
      <x:c r="D3447" s="99"/>
      <x:c r="E3447" s="99"/>
    </x:row>
    <x:row r="3448">
      <x:c r="D3448" s="99"/>
      <x:c r="E3448" s="99"/>
    </x:row>
    <x:row r="3449">
      <x:c r="D3449" s="99"/>
      <x:c r="E3449" s="99"/>
    </x:row>
    <x:row r="3450">
      <x:c r="D3450" s="99"/>
      <x:c r="E3450" s="99"/>
    </x:row>
    <x:row r="3451">
      <x:c r="D3451" s="99"/>
      <x:c r="E3451" s="99"/>
    </x:row>
    <x:row r="3452">
      <x:c r="D3452" s="99"/>
      <x:c r="E3452" s="99"/>
    </x:row>
    <x:row r="3453">
      <x:c r="D3453" s="99"/>
      <x:c r="E3453" s="99"/>
    </x:row>
    <x:row r="3454">
      <x:c r="D3454" s="99"/>
      <x:c r="E3454" s="99"/>
    </x:row>
    <x:row r="3455">
      <x:c r="D3455" s="99"/>
      <x:c r="E3455" s="99"/>
    </x:row>
    <x:row r="3456">
      <x:c r="D3456" s="99"/>
      <x:c r="E3456" s="99"/>
    </x:row>
    <x:row r="3457">
      <x:c r="D3457" s="99"/>
      <x:c r="E3457" s="99"/>
    </x:row>
    <x:row r="3458">
      <x:c r="D3458" s="99"/>
      <x:c r="E3458" s="99"/>
    </x:row>
    <x:row r="3459">
      <x:c r="D3459" s="99"/>
      <x:c r="E3459" s="99"/>
    </x:row>
    <x:row r="3460">
      <x:c r="D3460" s="99"/>
      <x:c r="E3460" s="99"/>
    </x:row>
    <x:row r="3461">
      <x:c r="D3461" s="99"/>
      <x:c r="E3461" s="99"/>
    </x:row>
    <x:row r="3462">
      <x:c r="D3462" s="99"/>
      <x:c r="E3462" s="99"/>
    </x:row>
    <x:row r="3463">
      <x:c r="D3463" s="99"/>
      <x:c r="E3463" s="99"/>
    </x:row>
    <x:row r="3464">
      <x:c r="D3464" s="99"/>
      <x:c r="E3464" s="99"/>
    </x:row>
    <x:row r="3465">
      <x:c r="D3465" s="99"/>
      <x:c r="E3465" s="99"/>
    </x:row>
    <x:row r="3466">
      <x:c r="D3466" s="99"/>
      <x:c r="E3466" s="99"/>
    </x:row>
    <x:row r="3467">
      <x:c r="D3467" s="99"/>
      <x:c r="E3467" s="99"/>
    </x:row>
    <x:row r="3468">
      <x:c r="D3468" s="99"/>
      <x:c r="E3468" s="99"/>
    </x:row>
    <x:row r="3469">
      <x:c r="D3469" s="99"/>
      <x:c r="E3469" s="99"/>
    </x:row>
    <x:row r="3470">
      <x:c r="D3470" s="99"/>
      <x:c r="E3470" s="99"/>
    </x:row>
    <x:row r="3471">
      <x:c r="D3471" s="99"/>
      <x:c r="E3471" s="99"/>
    </x:row>
    <x:row r="3472">
      <x:c r="D3472" s="99"/>
      <x:c r="E3472" s="99"/>
    </x:row>
    <x:row r="3473">
      <x:c r="D3473" s="99"/>
      <x:c r="E3473" s="99"/>
    </x:row>
    <x:row r="3474">
      <x:c r="D3474" s="99"/>
      <x:c r="E3474" s="99"/>
    </x:row>
    <x:row r="3475">
      <x:c r="D3475" s="99"/>
      <x:c r="E3475" s="99"/>
    </x:row>
    <x:row r="3476">
      <x:c r="D3476" s="99"/>
      <x:c r="E3476" s="99"/>
    </x:row>
    <x:row r="3477">
      <x:c r="D3477" s="99"/>
      <x:c r="E3477" s="99"/>
    </x:row>
    <x:row r="3478">
      <x:c r="D3478" s="99"/>
      <x:c r="E3478" s="99"/>
    </x:row>
    <x:row r="3479">
      <x:c r="D3479" s="99"/>
      <x:c r="E3479" s="99"/>
    </x:row>
    <x:row r="3480">
      <x:c r="D3480" s="99"/>
      <x:c r="E3480" s="99"/>
    </x:row>
    <x:row r="3481">
      <x:c r="D3481" s="99"/>
      <x:c r="E3481" s="99"/>
    </x:row>
    <x:row r="3482">
      <x:c r="D3482" s="99"/>
      <x:c r="E3482" s="99"/>
    </x:row>
    <x:row r="3483">
      <x:c r="D3483" s="99"/>
      <x:c r="E3483" s="99"/>
    </x:row>
    <x:row r="3484">
      <x:c r="D3484" s="99"/>
      <x:c r="E3484" s="99"/>
    </x:row>
    <x:row r="3485">
      <x:c r="D3485" s="99"/>
      <x:c r="E3485" s="99"/>
    </x:row>
    <x:row r="3486">
      <x:c r="D3486" s="99"/>
      <x:c r="E3486" s="99"/>
    </x:row>
    <x:row r="3487">
      <x:c r="D3487" s="99"/>
      <x:c r="E3487" s="99"/>
    </x:row>
    <x:row r="3488">
      <x:c r="D3488" s="99"/>
      <x:c r="E3488" s="99"/>
    </x:row>
    <x:row r="3489">
      <x:c r="D3489" s="99"/>
      <x:c r="E3489" s="99"/>
    </x:row>
    <x:row r="3490">
      <x:c r="D3490" s="99"/>
      <x:c r="E3490" s="99"/>
    </x:row>
    <x:row r="3491">
      <x:c r="D3491" s="99"/>
      <x:c r="E3491" s="99"/>
    </x:row>
    <x:row r="3492">
      <x:c r="D3492" s="99"/>
      <x:c r="E3492" s="99"/>
    </x:row>
    <x:row r="3493">
      <x:c r="D3493" s="99"/>
      <x:c r="E3493" s="99"/>
    </x:row>
    <x:row r="3494">
      <x:c r="D3494" s="99"/>
      <x:c r="E3494" s="99"/>
    </x:row>
    <x:row r="3495">
      <x:c r="D3495" s="99"/>
      <x:c r="E3495" s="99"/>
    </x:row>
    <x:row r="3496">
      <x:c r="D3496" s="99"/>
      <x:c r="E3496" s="99"/>
    </x:row>
    <x:row r="3497">
      <x:c r="D3497" s="99"/>
      <x:c r="E3497" s="99"/>
    </x:row>
    <x:row r="3498">
      <x:c r="D3498" s="99"/>
      <x:c r="E3498" s="99"/>
    </x:row>
    <x:row r="3499">
      <x:c r="D3499" s="99"/>
      <x:c r="E3499" s="99"/>
    </x:row>
    <x:row r="3500">
      <x:c r="D3500" s="99"/>
      <x:c r="E3500" s="99"/>
    </x:row>
    <x:row r="3501">
      <x:c r="D3501" s="99"/>
      <x:c r="E3501" s="99"/>
    </x:row>
    <x:row r="3502">
      <x:c r="D3502" s="99"/>
      <x:c r="E3502" s="99"/>
    </x:row>
    <x:row r="3503">
      <x:c r="D3503" s="99"/>
      <x:c r="E3503" s="99"/>
    </x:row>
    <x:row r="3504">
      <x:c r="D3504" s="99"/>
      <x:c r="E3504" s="99"/>
    </x:row>
    <x:row r="3505">
      <x:c r="D3505" s="99"/>
      <x:c r="E3505" s="99"/>
    </x:row>
    <x:row r="3506">
      <x:c r="D3506" s="99"/>
      <x:c r="E3506" s="99"/>
    </x:row>
    <x:row r="3507">
      <x:c r="D3507" s="99"/>
      <x:c r="E3507" s="99"/>
    </x:row>
    <x:row r="3508">
      <x:c r="D3508" s="99"/>
      <x:c r="E3508" s="99"/>
    </x:row>
    <x:row r="3509">
      <x:c r="D3509" s="99"/>
      <x:c r="E3509" s="99"/>
    </x:row>
    <x:row r="3510">
      <x:c r="D3510" s="99"/>
      <x:c r="E3510" s="99"/>
    </x:row>
    <x:row r="3511">
      <x:c r="D3511" s="99"/>
      <x:c r="E3511" s="99"/>
    </x:row>
    <x:row r="3512">
      <x:c r="D3512" s="99"/>
      <x:c r="E3512" s="99"/>
    </x:row>
    <x:row r="3513">
      <x:c r="D3513" s="99"/>
      <x:c r="E3513" s="99"/>
    </x:row>
    <x:row r="3514">
      <x:c r="D3514" s="99"/>
      <x:c r="E3514" s="99"/>
    </x:row>
    <x:row r="3515">
      <x:c r="D3515" s="99"/>
      <x:c r="E3515" s="99"/>
    </x:row>
    <x:row r="3516">
      <x:c r="D3516" s="99"/>
      <x:c r="E3516" s="99"/>
    </x:row>
    <x:row r="3517">
      <x:c r="D3517" s="99"/>
      <x:c r="E3517" s="99"/>
    </x:row>
    <x:row r="3518">
      <x:c r="D3518" s="99"/>
      <x:c r="E3518" s="99"/>
    </x:row>
    <x:row r="3519">
      <x:c r="D3519" s="99"/>
      <x:c r="E3519" s="99"/>
    </x:row>
    <x:row r="3520">
      <x:c r="D3520" s="99"/>
      <x:c r="E3520" s="99"/>
    </x:row>
    <x:row r="3521">
      <x:c r="D3521" s="99"/>
      <x:c r="E3521" s="99"/>
    </x:row>
    <x:row r="3522">
      <x:c r="D3522" s="99"/>
      <x:c r="E3522" s="99"/>
    </x:row>
    <x:row r="3523">
      <x:c r="D3523" s="99"/>
      <x:c r="E3523" s="99"/>
    </x:row>
    <x:row r="3524">
      <x:c r="D3524" s="99"/>
      <x:c r="E3524" s="99"/>
    </x:row>
    <x:row r="3525">
      <x:c r="D3525" s="99"/>
      <x:c r="E3525" s="99"/>
    </x:row>
    <x:row r="3526">
      <x:c r="D3526" s="99"/>
      <x:c r="E3526" s="99"/>
    </x:row>
    <x:row r="3527">
      <x:c r="D3527" s="99"/>
      <x:c r="E3527" s="99"/>
    </x:row>
    <x:row r="3528">
      <x:c r="D3528" s="99"/>
      <x:c r="E3528" s="99"/>
    </x:row>
    <x:row r="3529">
      <x:c r="D3529" s="99"/>
      <x:c r="E3529" s="99"/>
    </x:row>
    <x:row r="3530">
      <x:c r="D3530" s="99"/>
      <x:c r="E3530" s="99"/>
    </x:row>
    <x:row r="3531">
      <x:c r="D3531" s="99"/>
      <x:c r="E3531" s="99"/>
    </x:row>
    <x:row r="3532">
      <x:c r="D3532" s="99"/>
      <x:c r="E3532" s="99"/>
    </x:row>
    <x:row r="3533">
      <x:c r="D3533" s="99"/>
      <x:c r="E3533" s="99"/>
    </x:row>
    <x:row r="3534">
      <x:c r="D3534" s="99"/>
      <x:c r="E3534" s="99"/>
    </x:row>
    <x:row r="3535">
      <x:c r="D3535" s="99"/>
      <x:c r="E3535" s="99"/>
    </x:row>
    <x:row r="3536">
      <x:c r="D3536" s="99"/>
      <x:c r="E3536" s="99"/>
    </x:row>
    <x:row r="3537">
      <x:c r="D3537" s="99"/>
      <x:c r="E3537" s="99"/>
    </x:row>
    <x:row r="3538">
      <x:c r="D3538" s="99"/>
      <x:c r="E3538" s="99"/>
    </x:row>
    <x:row r="3539">
      <x:c r="D3539" s="99"/>
      <x:c r="E3539" s="99"/>
    </x:row>
    <x:row r="3540">
      <x:c r="D3540" s="99"/>
      <x:c r="E3540" s="99"/>
    </x:row>
    <x:row r="3541">
      <x:c r="D3541" s="99"/>
      <x:c r="E3541" s="99"/>
    </x:row>
    <x:row r="3542">
      <x:c r="D3542" s="99"/>
      <x:c r="E3542" s="99"/>
    </x:row>
    <x:row r="3543">
      <x:c r="D3543" s="99"/>
      <x:c r="E3543" s="99"/>
    </x:row>
    <x:row r="3544">
      <x:c r="D3544" s="99"/>
      <x:c r="E3544" s="99"/>
    </x:row>
    <x:row r="3545">
      <x:c r="D3545" s="99"/>
      <x:c r="E3545" s="99"/>
    </x:row>
    <x:row r="3546">
      <x:c r="D3546" s="99"/>
      <x:c r="E3546" s="99"/>
    </x:row>
    <x:row r="3547">
      <x:c r="D3547" s="99"/>
      <x:c r="E3547" s="99"/>
    </x:row>
    <x:row r="3548">
      <x:c r="D3548" s="99"/>
      <x:c r="E3548" s="99"/>
    </x:row>
    <x:row r="3549">
      <x:c r="D3549" s="99"/>
      <x:c r="E3549" s="99"/>
    </x:row>
    <x:row r="3550">
      <x:c r="D3550" s="99"/>
      <x:c r="E3550" s="99"/>
    </x:row>
    <x:row r="3551">
      <x:c r="D3551" s="99"/>
      <x:c r="E3551" s="99"/>
    </x:row>
    <x:row r="3552">
      <x:c r="D3552" s="99"/>
      <x:c r="E3552" s="99"/>
    </x:row>
    <x:row r="3553">
      <x:c r="D3553" s="99"/>
      <x:c r="E3553" s="99"/>
    </x:row>
    <x:row r="3554">
      <x:c r="D3554" s="99"/>
      <x:c r="E3554" s="99"/>
    </x:row>
    <x:row r="3555">
      <x:c r="D3555" s="99"/>
      <x:c r="E3555" s="99"/>
    </x:row>
    <x:row r="3556">
      <x:c r="D3556" s="99"/>
      <x:c r="E3556" s="99"/>
    </x:row>
    <x:row r="3557">
      <x:c r="D3557" s="99"/>
      <x:c r="E3557" s="99"/>
    </x:row>
    <x:row r="3558">
      <x:c r="D3558" s="99"/>
      <x:c r="E3558" s="99"/>
    </x:row>
    <x:row r="3559">
      <x:c r="D3559" s="99"/>
      <x:c r="E3559" s="99"/>
    </x:row>
    <x:row r="3560">
      <x:c r="D3560" s="99"/>
      <x:c r="E3560" s="99"/>
    </x:row>
    <x:row r="3561">
      <x:c r="D3561" s="99"/>
      <x:c r="E3561" s="99"/>
    </x:row>
    <x:row r="3562">
      <x:c r="D3562" s="99"/>
      <x:c r="E3562" s="99"/>
    </x:row>
    <x:row r="3563">
      <x:c r="D3563" s="99"/>
      <x:c r="E3563" s="99"/>
    </x:row>
    <x:row r="3564">
      <x:c r="D3564" s="99"/>
      <x:c r="E3564" s="99"/>
    </x:row>
    <x:row r="3565">
      <x:c r="D3565" s="99"/>
      <x:c r="E3565" s="99"/>
    </x:row>
    <x:row r="3566">
      <x:c r="D3566" s="99"/>
      <x:c r="E3566" s="99"/>
    </x:row>
    <x:row r="3567">
      <x:c r="D3567" s="99"/>
      <x:c r="E3567" s="99"/>
    </x:row>
    <x:row r="3568">
      <x:c r="D3568" s="99"/>
      <x:c r="E3568" s="99"/>
    </x:row>
    <x:row r="3569">
      <x:c r="D3569" s="99"/>
      <x:c r="E3569" s="99"/>
    </x:row>
    <x:row r="3570">
      <x:c r="D3570" s="99"/>
      <x:c r="E3570" s="99"/>
    </x:row>
    <x:row r="3571">
      <x:c r="D3571" s="99"/>
      <x:c r="E3571" s="99"/>
    </x:row>
    <x:row r="3572">
      <x:c r="D3572" s="99"/>
      <x:c r="E3572" s="99"/>
    </x:row>
    <x:row r="3573">
      <x:c r="D3573" s="99"/>
      <x:c r="E3573" s="99"/>
    </x:row>
    <x:row r="3574">
      <x:c r="D3574" s="99"/>
      <x:c r="E3574" s="99"/>
    </x:row>
    <x:row r="3575">
      <x:c r="D3575" s="99"/>
      <x:c r="E3575" s="99"/>
    </x:row>
    <x:row r="3576">
      <x:c r="D3576" s="99"/>
      <x:c r="E3576" s="99"/>
    </x:row>
    <x:row r="3577">
      <x:c r="D3577" s="99"/>
      <x:c r="E3577" s="99"/>
    </x:row>
    <x:row r="3578">
      <x:c r="D3578" s="99"/>
      <x:c r="E3578" s="99"/>
    </x:row>
    <x:row r="3579">
      <x:c r="D3579" s="99"/>
      <x:c r="E3579" s="99"/>
    </x:row>
    <x:row r="3580">
      <x:c r="D3580" s="99"/>
      <x:c r="E3580" s="99"/>
    </x:row>
    <x:row r="3581">
      <x:c r="D3581" s="99"/>
      <x:c r="E3581" s="99"/>
    </x:row>
    <x:row r="3582">
      <x:c r="D3582" s="99"/>
      <x:c r="E3582" s="99"/>
    </x:row>
    <x:row r="3583">
      <x:c r="D3583" s="99"/>
      <x:c r="E3583" s="99"/>
    </x:row>
    <x:row r="3584">
      <x:c r="D3584" s="99"/>
      <x:c r="E3584" s="99"/>
    </x:row>
    <x:row r="3585">
      <x:c r="D3585" s="99"/>
      <x:c r="E3585" s="99"/>
    </x:row>
    <x:row r="3586">
      <x:c r="D3586" s="99"/>
      <x:c r="E3586" s="99"/>
    </x:row>
    <x:row r="3587">
      <x:c r="D3587" s="99"/>
      <x:c r="E3587" s="99"/>
    </x:row>
    <x:row r="3588">
      <x:c r="D3588" s="99"/>
      <x:c r="E3588" s="99"/>
    </x:row>
    <x:row r="3589">
      <x:c r="D3589" s="99"/>
      <x:c r="E3589" s="99"/>
    </x:row>
    <x:row r="3590">
      <x:c r="D3590" s="99"/>
      <x:c r="E3590" s="99"/>
    </x:row>
    <x:row r="3591">
      <x:c r="D3591" s="99"/>
      <x:c r="E3591" s="99"/>
    </x:row>
    <x:row r="3592">
      <x:c r="D3592" s="99"/>
      <x:c r="E3592" s="99"/>
    </x:row>
    <x:row r="3593">
      <x:c r="D3593" s="99"/>
      <x:c r="E3593" s="99"/>
    </x:row>
    <x:row r="3594">
      <x:c r="D3594" s="99"/>
      <x:c r="E3594" s="99"/>
    </x:row>
    <x:row r="3595">
      <x:c r="D3595" s="99"/>
      <x:c r="E3595" s="99"/>
    </x:row>
    <x:row r="3596">
      <x:c r="D3596" s="99"/>
      <x:c r="E3596" s="99"/>
    </x:row>
    <x:row r="3597">
      <x:c r="D3597" s="99"/>
      <x:c r="E3597" s="99"/>
    </x:row>
    <x:row r="3598">
      <x:c r="D3598" s="99"/>
      <x:c r="E3598" s="99"/>
    </x:row>
    <x:row r="3599">
      <x:c r="D3599" s="99"/>
      <x:c r="E3599" s="99"/>
    </x:row>
    <x:row r="3600">
      <x:c r="D3600" s="99"/>
      <x:c r="E3600" s="99"/>
    </x:row>
    <x:row r="3601">
      <x:c r="D3601" s="99"/>
      <x:c r="E3601" s="99"/>
    </x:row>
    <x:row r="3602">
      <x:c r="D3602" s="99"/>
      <x:c r="E3602" s="99"/>
    </x:row>
    <x:row r="3603">
      <x:c r="D3603" s="99"/>
      <x:c r="E3603" s="99"/>
    </x:row>
    <x:row r="3604">
      <x:c r="D3604" s="99"/>
      <x:c r="E3604" s="99"/>
    </x:row>
    <x:row r="3605">
      <x:c r="D3605" s="99"/>
      <x:c r="E3605" s="99"/>
    </x:row>
    <x:row r="3606">
      <x:c r="D3606" s="99"/>
      <x:c r="E3606" s="99"/>
    </x:row>
    <x:row r="3607">
      <x:c r="D3607" s="99"/>
      <x:c r="E3607" s="99"/>
    </x:row>
    <x:row r="3608">
      <x:c r="D3608" s="99"/>
      <x:c r="E3608" s="99"/>
    </x:row>
    <x:row r="3609">
      <x:c r="D3609" s="99"/>
      <x:c r="E3609" s="99"/>
    </x:row>
    <x:row r="3610">
      <x:c r="D3610" s="99"/>
      <x:c r="E3610" s="99"/>
    </x:row>
    <x:row r="3611">
      <x:c r="D3611" s="99"/>
      <x:c r="E3611" s="99"/>
    </x:row>
    <x:row r="3612">
      <x:c r="D3612" s="99"/>
      <x:c r="E3612" s="99"/>
    </x:row>
    <x:row r="3613">
      <x:c r="D3613" s="99"/>
      <x:c r="E3613" s="99"/>
    </x:row>
    <x:row r="3614">
      <x:c r="D3614" s="99"/>
      <x:c r="E3614" s="99"/>
    </x:row>
    <x:row r="3615">
      <x:c r="D3615" s="99"/>
      <x:c r="E3615" s="99"/>
    </x:row>
    <x:row r="3616">
      <x:c r="D3616" s="99"/>
      <x:c r="E3616" s="99"/>
    </x:row>
    <x:row r="3617">
      <x:c r="D3617" s="99"/>
      <x:c r="E3617" s="99"/>
    </x:row>
    <x:row r="3618">
      <x:c r="D3618" s="99"/>
      <x:c r="E3618" s="99"/>
    </x:row>
    <x:row r="3619">
      <x:c r="D3619" s="99"/>
      <x:c r="E3619" s="99"/>
    </x:row>
    <x:row r="3620">
      <x:c r="D3620" s="99"/>
      <x:c r="E3620" s="99"/>
    </x:row>
    <x:row r="3621">
      <x:c r="D3621" s="99"/>
      <x:c r="E3621" s="99"/>
    </x:row>
    <x:row r="3622">
      <x:c r="D3622" s="99"/>
      <x:c r="E3622" s="99"/>
    </x:row>
    <x:row r="3623">
      <x:c r="D3623" s="99"/>
      <x:c r="E3623" s="99"/>
    </x:row>
    <x:row r="3624">
      <x:c r="D3624" s="99"/>
      <x:c r="E3624" s="99"/>
    </x:row>
    <x:row r="3625">
      <x:c r="D3625" s="99"/>
      <x:c r="E3625" s="99"/>
    </x:row>
    <x:row r="3626">
      <x:c r="D3626" s="99"/>
      <x:c r="E3626" s="99"/>
    </x:row>
    <x:row r="3627">
      <x:c r="D3627" s="99"/>
      <x:c r="E3627" s="99"/>
    </x:row>
    <x:row r="3628">
      <x:c r="D3628" s="99"/>
      <x:c r="E3628" s="99"/>
    </x:row>
    <x:row r="3629">
      <x:c r="D3629" s="99"/>
      <x:c r="E3629" s="99"/>
    </x:row>
    <x:row r="3630">
      <x:c r="D3630" s="99"/>
      <x:c r="E3630" s="99"/>
    </x:row>
    <x:row r="3631">
      <x:c r="D3631" s="99"/>
      <x:c r="E3631" s="99"/>
    </x:row>
    <x:row r="3632">
      <x:c r="D3632" s="99"/>
      <x:c r="E3632" s="99"/>
    </x:row>
    <x:row r="3633">
      <x:c r="D3633" s="99"/>
      <x:c r="E3633" s="99"/>
    </x:row>
    <x:row r="3634">
      <x:c r="D3634" s="99"/>
      <x:c r="E3634" s="99"/>
    </x:row>
    <x:row r="3635">
      <x:c r="D3635" s="99"/>
      <x:c r="E3635" s="99"/>
    </x:row>
    <x:row r="3636">
      <x:c r="D3636" s="99"/>
      <x:c r="E3636" s="99"/>
    </x:row>
    <x:row r="3637">
      <x:c r="D3637" s="99"/>
      <x:c r="E3637" s="99"/>
    </x:row>
    <x:row r="3638">
      <x:c r="D3638" s="99"/>
      <x:c r="E3638" s="99"/>
    </x:row>
    <x:row r="3639">
      <x:c r="D3639" s="99"/>
      <x:c r="E3639" s="99"/>
    </x:row>
    <x:row r="3640">
      <x:c r="D3640" s="99"/>
      <x:c r="E3640" s="99"/>
    </x:row>
    <x:row r="3641">
      <x:c r="D3641" s="99"/>
      <x:c r="E3641" s="99"/>
    </x:row>
    <x:row r="3642">
      <x:c r="D3642" s="99"/>
      <x:c r="E3642" s="99"/>
    </x:row>
    <x:row r="3643">
      <x:c r="D3643" s="99"/>
      <x:c r="E3643" s="99"/>
    </x:row>
    <x:row r="3644">
      <x:c r="D3644" s="99"/>
      <x:c r="E3644" s="99"/>
    </x:row>
    <x:row r="3645">
      <x:c r="D3645" s="99"/>
      <x:c r="E3645" s="99"/>
    </x:row>
    <x:row r="3646">
      <x:c r="D3646" s="99"/>
      <x:c r="E3646" s="99"/>
    </x:row>
    <x:row r="3647">
      <x:c r="D3647" s="99"/>
      <x:c r="E3647" s="99"/>
    </x:row>
    <x:row r="3648">
      <x:c r="D3648" s="99"/>
      <x:c r="E3648" s="99"/>
    </x:row>
    <x:row r="3649">
      <x:c r="D3649" s="99"/>
      <x:c r="E3649" s="99"/>
    </x:row>
    <x:row r="3650">
      <x:c r="D3650" s="99"/>
      <x:c r="E3650" s="99"/>
    </x:row>
    <x:row r="3651">
      <x:c r="D3651" s="99"/>
      <x:c r="E3651" s="99"/>
    </x:row>
    <x:row r="3652">
      <x:c r="D3652" s="99"/>
      <x:c r="E3652" s="99"/>
    </x:row>
    <x:row r="3653">
      <x:c r="D3653" s="99"/>
      <x:c r="E3653" s="99"/>
    </x:row>
    <x:row r="3654">
      <x:c r="D3654" s="99"/>
      <x:c r="E3654" s="99"/>
    </x:row>
    <x:row r="3655">
      <x:c r="D3655" s="99"/>
      <x:c r="E3655" s="99"/>
    </x:row>
    <x:row r="3656">
      <x:c r="D3656" s="99"/>
      <x:c r="E3656" s="99"/>
    </x:row>
    <x:row r="3657">
      <x:c r="D3657" s="99"/>
      <x:c r="E3657" s="99"/>
    </x:row>
    <x:row r="3658">
      <x:c r="D3658" s="99"/>
      <x:c r="E3658" s="99"/>
    </x:row>
    <x:row r="3659">
      <x:c r="D3659" s="99"/>
      <x:c r="E3659" s="99"/>
    </x:row>
    <x:row r="3660">
      <x:c r="D3660" s="99"/>
      <x:c r="E3660" s="99"/>
    </x:row>
    <x:row r="3661">
      <x:c r="D3661" s="99"/>
      <x:c r="E3661" s="99"/>
    </x:row>
    <x:row r="3662">
      <x:c r="D3662" s="99"/>
      <x:c r="E3662" s="99"/>
    </x:row>
    <x:row r="3663">
      <x:c r="D3663" s="99"/>
      <x:c r="E3663" s="99"/>
    </x:row>
    <x:row r="3664">
      <x:c r="D3664" s="99"/>
      <x:c r="E3664" s="99"/>
    </x:row>
    <x:row r="3665">
      <x:c r="D3665" s="99"/>
      <x:c r="E3665" s="99"/>
    </x:row>
    <x:row r="3666">
      <x:c r="D3666" s="99"/>
      <x:c r="E3666" s="99"/>
    </x:row>
    <x:row r="3667">
      <x:c r="D3667" s="99"/>
      <x:c r="E3667" s="99"/>
    </x:row>
    <x:row r="3668">
      <x:c r="D3668" s="99"/>
      <x:c r="E3668" s="99"/>
    </x:row>
    <x:row r="3669">
      <x:c r="D3669" s="99"/>
      <x:c r="E3669" s="99"/>
    </x:row>
    <x:row r="3670">
      <x:c r="D3670" s="99"/>
      <x:c r="E3670" s="99"/>
    </x:row>
    <x:row r="3671">
      <x:c r="D3671" s="99"/>
      <x:c r="E3671" s="99"/>
    </x:row>
    <x:row r="3672">
      <x:c r="D3672" s="99"/>
      <x:c r="E3672" s="99"/>
    </x:row>
    <x:row r="3673">
      <x:c r="D3673" s="99"/>
      <x:c r="E3673" s="99"/>
    </x:row>
    <x:row r="3674">
      <x:c r="D3674" s="99"/>
      <x:c r="E3674" s="99"/>
    </x:row>
    <x:row r="3675">
      <x:c r="D3675" s="99"/>
      <x:c r="E3675" s="99"/>
    </x:row>
    <x:row r="3676">
      <x:c r="D3676" s="99"/>
      <x:c r="E3676" s="99"/>
    </x:row>
    <x:row r="3677">
      <x:c r="D3677" s="99"/>
      <x:c r="E3677" s="99"/>
    </x:row>
    <x:row r="3678">
      <x:c r="D3678" s="99"/>
      <x:c r="E3678" s="99"/>
    </x:row>
    <x:row r="3679">
      <x:c r="D3679" s="99"/>
      <x:c r="E3679" s="99"/>
    </x:row>
    <x:row r="3680">
      <x:c r="D3680" s="99"/>
      <x:c r="E3680" s="99"/>
    </x:row>
    <x:row r="3681">
      <x:c r="D3681" s="99"/>
      <x:c r="E3681" s="99"/>
    </x:row>
    <x:row r="3682">
      <x:c r="D3682" s="99"/>
      <x:c r="E3682" s="99"/>
    </x:row>
    <x:row r="3683">
      <x:c r="D3683" s="99"/>
      <x:c r="E3683" s="99"/>
    </x:row>
    <x:row r="3684">
      <x:c r="D3684" s="99"/>
      <x:c r="E3684" s="99"/>
    </x:row>
    <x:row r="3685">
      <x:c r="D3685" s="99"/>
      <x:c r="E3685" s="99"/>
    </x:row>
    <x:row r="3686">
      <x:c r="D3686" s="99"/>
      <x:c r="E3686" s="99"/>
    </x:row>
    <x:row r="3687">
      <x:c r="D3687" s="99"/>
      <x:c r="E3687" s="99"/>
    </x:row>
    <x:row r="3688">
      <x:c r="D3688" s="99"/>
      <x:c r="E3688" s="99"/>
    </x:row>
    <x:row r="3689">
      <x:c r="D3689" s="99"/>
      <x:c r="E3689" s="99"/>
    </x:row>
    <x:row r="3690">
      <x:c r="D3690" s="99"/>
      <x:c r="E3690" s="99"/>
    </x:row>
    <x:row r="3691">
      <x:c r="D3691" s="99"/>
      <x:c r="E3691" s="99"/>
    </x:row>
    <x:row r="3692">
      <x:c r="D3692" s="99"/>
      <x:c r="E3692" s="99"/>
    </x:row>
    <x:row r="3693">
      <x:c r="D3693" s="99"/>
      <x:c r="E3693" s="99"/>
    </x:row>
    <x:row r="3694">
      <x:c r="D3694" s="99"/>
      <x:c r="E3694" s="99"/>
    </x:row>
    <x:row r="3695">
      <x:c r="D3695" s="99"/>
      <x:c r="E3695" s="99"/>
    </x:row>
    <x:row r="3696">
      <x:c r="D3696" s="99"/>
      <x:c r="E3696" s="99"/>
    </x:row>
    <x:row r="3697">
      <x:c r="D3697" s="99"/>
      <x:c r="E3697" s="99"/>
    </x:row>
    <x:row r="3698">
      <x:c r="D3698" s="99"/>
      <x:c r="E3698" s="99"/>
    </x:row>
    <x:row r="3699">
      <x:c r="D3699" s="99"/>
      <x:c r="E3699" s="99"/>
    </x:row>
    <x:row r="3700">
      <x:c r="D3700" s="99"/>
      <x:c r="E3700" s="99"/>
    </x:row>
    <x:row r="3701">
      <x:c r="D3701" s="99"/>
      <x:c r="E3701" s="99"/>
    </x:row>
    <x:row r="3702">
      <x:c r="D3702" s="99"/>
      <x:c r="E3702" s="99"/>
    </x:row>
    <x:row r="3703">
      <x:c r="D3703" s="99"/>
      <x:c r="E3703" s="99"/>
    </x:row>
    <x:row r="3704">
      <x:c r="D3704" s="99"/>
      <x:c r="E3704" s="99"/>
    </x:row>
    <x:row r="3705">
      <x:c r="D3705" s="99"/>
      <x:c r="E3705" s="99"/>
    </x:row>
    <x:row r="3706">
      <x:c r="D3706" s="99"/>
      <x:c r="E3706" s="99"/>
    </x:row>
    <x:row r="3707">
      <x:c r="D3707" s="99"/>
      <x:c r="E3707" s="99"/>
    </x:row>
    <x:row r="3708">
      <x:c r="D3708" s="99"/>
      <x:c r="E3708" s="99"/>
    </x:row>
    <x:row r="3709">
      <x:c r="D3709" s="99"/>
      <x:c r="E3709" s="99"/>
    </x:row>
    <x:row r="3710">
      <x:c r="D3710" s="99"/>
      <x:c r="E3710" s="99"/>
    </x:row>
    <x:row r="3711">
      <x:c r="D3711" s="99"/>
      <x:c r="E3711" s="99"/>
    </x:row>
    <x:row r="3712">
      <x:c r="D3712" s="99"/>
      <x:c r="E3712" s="99"/>
    </x:row>
    <x:row r="3713">
      <x:c r="D3713" s="99"/>
      <x:c r="E3713" s="99"/>
    </x:row>
    <x:row r="3714">
      <x:c r="D3714" s="99"/>
      <x:c r="E3714" s="99"/>
    </x:row>
    <x:row r="3715">
      <x:c r="D3715" s="99"/>
      <x:c r="E3715" s="99"/>
    </x:row>
    <x:row r="3716">
      <x:c r="D3716" s="99"/>
      <x:c r="E3716" s="99"/>
    </x:row>
    <x:row r="3717">
      <x:c r="D3717" s="99"/>
      <x:c r="E3717" s="99"/>
    </x:row>
    <x:row r="3718">
      <x:c r="D3718" s="99"/>
      <x:c r="E3718" s="99"/>
    </x:row>
    <x:row r="3719">
      <x:c r="D3719" s="99"/>
      <x:c r="E3719" s="99"/>
    </x:row>
    <x:row r="3720">
      <x:c r="D3720" s="99"/>
      <x:c r="E3720" s="99"/>
    </x:row>
    <x:row r="3721">
      <x:c r="D3721" s="99"/>
      <x:c r="E3721" s="99"/>
    </x:row>
    <x:row r="3722">
      <x:c r="D3722" s="99"/>
      <x:c r="E3722" s="99"/>
    </x:row>
    <x:row r="3723">
      <x:c r="D3723" s="99"/>
      <x:c r="E3723" s="99"/>
    </x:row>
    <x:row r="3724">
      <x:c r="D3724" s="99"/>
      <x:c r="E3724" s="99"/>
    </x:row>
    <x:row r="3725">
      <x:c r="D3725" s="99"/>
      <x:c r="E3725" s="99"/>
    </x:row>
    <x:row r="3726">
      <x:c r="D3726" s="99"/>
      <x:c r="E3726" s="99"/>
    </x:row>
    <x:row r="3727">
      <x:c r="D3727" s="99"/>
      <x:c r="E3727" s="99"/>
    </x:row>
    <x:row r="3728">
      <x:c r="D3728" s="99"/>
      <x:c r="E3728" s="99"/>
    </x:row>
    <x:row r="3729">
      <x:c r="D3729" s="99"/>
      <x:c r="E3729" s="99"/>
    </x:row>
    <x:row r="3730">
      <x:c r="D3730" s="99"/>
      <x:c r="E3730" s="99"/>
    </x:row>
    <x:row r="3731">
      <x:c r="D3731" s="99"/>
      <x:c r="E3731" s="99"/>
    </x:row>
    <x:row r="3732">
      <x:c r="D3732" s="99"/>
      <x:c r="E3732" s="99"/>
    </x:row>
    <x:row r="3733">
      <x:c r="D3733" s="99"/>
      <x:c r="E3733" s="99"/>
    </x:row>
    <x:row r="3734">
      <x:c r="D3734" s="99"/>
      <x:c r="E3734" s="99"/>
    </x:row>
    <x:row r="3735">
      <x:c r="D3735" s="99"/>
      <x:c r="E3735" s="99"/>
    </x:row>
    <x:row r="3736">
      <x:c r="D3736" s="99"/>
      <x:c r="E3736" s="99"/>
    </x:row>
    <x:row r="3737">
      <x:c r="D3737" s="99"/>
      <x:c r="E3737" s="99"/>
    </x:row>
    <x:row r="3738">
      <x:c r="D3738" s="99"/>
      <x:c r="E3738" s="99"/>
    </x:row>
    <x:row r="3739">
      <x:c r="D3739" s="99"/>
      <x:c r="E3739" s="99"/>
    </x:row>
    <x:row r="3740">
      <x:c r="D3740" s="99"/>
      <x:c r="E3740" s="99"/>
    </x:row>
    <x:row r="3741">
      <x:c r="D3741" s="99"/>
      <x:c r="E3741" s="99"/>
    </x:row>
    <x:row r="3742">
      <x:c r="D3742" s="99"/>
      <x:c r="E3742" s="99"/>
    </x:row>
    <x:row r="3743">
      <x:c r="D3743" s="99"/>
      <x:c r="E3743" s="99"/>
    </x:row>
    <x:row r="3744">
      <x:c r="D3744" s="99"/>
      <x:c r="E3744" s="99"/>
    </x:row>
    <x:row r="3745">
      <x:c r="D3745" s="99"/>
      <x:c r="E3745" s="99"/>
    </x:row>
    <x:row r="3746">
      <x:c r="D3746" s="99"/>
      <x:c r="E3746" s="99"/>
    </x:row>
    <x:row r="3747">
      <x:c r="D3747" s="99"/>
      <x:c r="E3747" s="99"/>
    </x:row>
    <x:row r="3748">
      <x:c r="D3748" s="99"/>
      <x:c r="E3748" s="99"/>
    </x:row>
    <x:row r="3749">
      <x:c r="D3749" s="99"/>
      <x:c r="E3749" s="99"/>
    </x:row>
    <x:row r="3750">
      <x:c r="D3750" s="99"/>
      <x:c r="E3750" s="99"/>
    </x:row>
    <x:row r="3751">
      <x:c r="D3751" s="99"/>
      <x:c r="E3751" s="99"/>
    </x:row>
    <x:row r="3752">
      <x:c r="D3752" s="99"/>
      <x:c r="E3752" s="99"/>
    </x:row>
    <x:row r="3753">
      <x:c r="D3753" s="99"/>
      <x:c r="E3753" s="99"/>
    </x:row>
    <x:row r="3754">
      <x:c r="D3754" s="99"/>
      <x:c r="E3754" s="99"/>
    </x:row>
    <x:row r="3755">
      <x:c r="D3755" s="99"/>
      <x:c r="E3755" s="99"/>
    </x:row>
    <x:row r="3756">
      <x:c r="D3756" s="99"/>
      <x:c r="E3756" s="99"/>
    </x:row>
    <x:row r="3757">
      <x:c r="D3757" s="99"/>
      <x:c r="E3757" s="99"/>
    </x:row>
    <x:row r="3758">
      <x:c r="D3758" s="99"/>
      <x:c r="E3758" s="99"/>
    </x:row>
    <x:row r="3759">
      <x:c r="D3759" s="99"/>
      <x:c r="E3759" s="99"/>
    </x:row>
    <x:row r="3760">
      <x:c r="D3760" s="99"/>
      <x:c r="E3760" s="99"/>
    </x:row>
    <x:row r="3761">
      <x:c r="D3761" s="99"/>
      <x:c r="E3761" s="99"/>
    </x:row>
    <x:row r="3762">
      <x:c r="D3762" s="99"/>
      <x:c r="E3762" s="99"/>
    </x:row>
    <x:row r="3763">
      <x:c r="D3763" s="99"/>
      <x:c r="E3763" s="99"/>
    </x:row>
    <x:row r="3764">
      <x:c r="D3764" s="99"/>
      <x:c r="E3764" s="99"/>
    </x:row>
    <x:row r="3765">
      <x:c r="D3765" s="99"/>
      <x:c r="E3765" s="99"/>
    </x:row>
    <x:row r="3766">
      <x:c r="D3766" s="99"/>
      <x:c r="E3766" s="99"/>
    </x:row>
    <x:row r="3767">
      <x:c r="D3767" s="99"/>
      <x:c r="E3767" s="99"/>
    </x:row>
    <x:row r="3768">
      <x:c r="D3768" s="99"/>
      <x:c r="E3768" s="99"/>
    </x:row>
    <x:row r="3769">
      <x:c r="D3769" s="99"/>
      <x:c r="E3769" s="99"/>
    </x:row>
    <x:row r="3770">
      <x:c r="D3770" s="99"/>
      <x:c r="E3770" s="99"/>
    </x:row>
    <x:row r="3771">
      <x:c r="D3771" s="99"/>
      <x:c r="E3771" s="99"/>
    </x:row>
    <x:row r="3772">
      <x:c r="D3772" s="99"/>
      <x:c r="E3772" s="99"/>
    </x:row>
    <x:row r="3773">
      <x:c r="D3773" s="99"/>
      <x:c r="E3773" s="99"/>
    </x:row>
    <x:row r="3774">
      <x:c r="D3774" s="99"/>
      <x:c r="E3774" s="99"/>
    </x:row>
    <x:row r="3775">
      <x:c r="D3775" s="99"/>
      <x:c r="E3775" s="99"/>
    </x:row>
    <x:row r="3776">
      <x:c r="D3776" s="99"/>
      <x:c r="E3776" s="99"/>
    </x:row>
    <x:row r="3777">
      <x:c r="D3777" s="99"/>
      <x:c r="E3777" s="99"/>
    </x:row>
    <x:row r="3778">
      <x:c r="D3778" s="99"/>
      <x:c r="E3778" s="99"/>
    </x:row>
    <x:row r="3779">
      <x:c r="D3779" s="99"/>
      <x:c r="E3779" s="99"/>
    </x:row>
    <x:row r="3780">
      <x:c r="D3780" s="99"/>
      <x:c r="E3780" s="99"/>
    </x:row>
    <x:row r="3781">
      <x:c r="D3781" s="99"/>
      <x:c r="E3781" s="99"/>
    </x:row>
    <x:row r="3782">
      <x:c r="D3782" s="99"/>
      <x:c r="E3782" s="99"/>
    </x:row>
    <x:row r="3783">
      <x:c r="D3783" s="99"/>
      <x:c r="E3783" s="99"/>
    </x:row>
    <x:row r="3784">
      <x:c r="D3784" s="99"/>
      <x:c r="E3784" s="99"/>
    </x:row>
    <x:row r="3785">
      <x:c r="D3785" s="99"/>
      <x:c r="E3785" s="99"/>
    </x:row>
    <x:row r="3786">
      <x:c r="D3786" s="99"/>
      <x:c r="E3786" s="99"/>
    </x:row>
    <x:row r="3787">
      <x:c r="D3787" s="99"/>
      <x:c r="E3787" s="99"/>
    </x:row>
    <x:row r="3788">
      <x:c r="D3788" s="99"/>
      <x:c r="E3788" s="99"/>
    </x:row>
    <x:row r="3789">
      <x:c r="D3789" s="99"/>
      <x:c r="E3789" s="99"/>
    </x:row>
    <x:row r="3790">
      <x:c r="D3790" s="99"/>
      <x:c r="E3790" s="99"/>
    </x:row>
    <x:row r="3791">
      <x:c r="D3791" s="99"/>
      <x:c r="E3791" s="99"/>
    </x:row>
    <x:row r="3792">
      <x:c r="D3792" s="99"/>
      <x:c r="E3792" s="99"/>
    </x:row>
    <x:row r="3793">
      <x:c r="D3793" s="99"/>
      <x:c r="E3793" s="99"/>
    </x:row>
    <x:row r="3794">
      <x:c r="D3794" s="99"/>
      <x:c r="E3794" s="99"/>
    </x:row>
    <x:row r="3795">
      <x:c r="D3795" s="99"/>
      <x:c r="E3795" s="99"/>
    </x:row>
    <x:row r="3796">
      <x:c r="D3796" s="99"/>
      <x:c r="E3796" s="99"/>
    </x:row>
    <x:row r="3797">
      <x:c r="D3797" s="99"/>
      <x:c r="E3797" s="99"/>
    </x:row>
    <x:row r="3798">
      <x:c r="D3798" s="99"/>
      <x:c r="E3798" s="99"/>
    </x:row>
    <x:row r="3799">
      <x:c r="D3799" s="99"/>
      <x:c r="E3799" s="99"/>
    </x:row>
    <x:row r="3800">
      <x:c r="D3800" s="99"/>
      <x:c r="E3800" s="99"/>
    </x:row>
    <x:row r="3801">
      <x:c r="D3801" s="99"/>
      <x:c r="E3801" s="99"/>
    </x:row>
    <x:row r="3802">
      <x:c r="D3802" s="99"/>
      <x:c r="E3802" s="99"/>
    </x:row>
    <x:row r="3803">
      <x:c r="D3803" s="99"/>
      <x:c r="E3803" s="99"/>
    </x:row>
    <x:row r="3804">
      <x:c r="D3804" s="99"/>
      <x:c r="E3804" s="99"/>
    </x:row>
    <x:row r="3805">
      <x:c r="D3805" s="99"/>
      <x:c r="E3805" s="99"/>
    </x:row>
    <x:row r="3806">
      <x:c r="D3806" s="99"/>
      <x:c r="E3806" s="99"/>
    </x:row>
    <x:row r="3807">
      <x:c r="D3807" s="99"/>
      <x:c r="E3807" s="99"/>
    </x:row>
    <x:row r="3808">
      <x:c r="D3808" s="99"/>
      <x:c r="E3808" s="99"/>
    </x:row>
    <x:row r="3809">
      <x:c r="D3809" s="99"/>
      <x:c r="E3809" s="99"/>
    </x:row>
    <x:row r="3810">
      <x:c r="D3810" s="99"/>
      <x:c r="E3810" s="99"/>
    </x:row>
    <x:row r="3811">
      <x:c r="D3811" s="99"/>
      <x:c r="E3811" s="99"/>
    </x:row>
    <x:row r="3812">
      <x:c r="D3812" s="99"/>
      <x:c r="E3812" s="99"/>
    </x:row>
    <x:row r="3813">
      <x:c r="D3813" s="99"/>
      <x:c r="E3813" s="99"/>
    </x:row>
    <x:row r="3814">
      <x:c r="D3814" s="99"/>
      <x:c r="E3814" s="99"/>
    </x:row>
    <x:row r="3815">
      <x:c r="D3815" s="99"/>
      <x:c r="E3815" s="99"/>
    </x:row>
    <x:row r="3816">
      <x:c r="D3816" s="99"/>
      <x:c r="E3816" s="99"/>
    </x:row>
    <x:row r="3817">
      <x:c r="D3817" s="99"/>
      <x:c r="E3817" s="99"/>
    </x:row>
    <x:row r="3818">
      <x:c r="D3818" s="99"/>
      <x:c r="E3818" s="99"/>
    </x:row>
    <x:row r="3819">
      <x:c r="D3819" s="99"/>
      <x:c r="E3819" s="99"/>
    </x:row>
    <x:row r="3820">
      <x:c r="D3820" s="99"/>
      <x:c r="E3820" s="99"/>
    </x:row>
    <x:row r="3821">
      <x:c r="D3821" s="99"/>
      <x:c r="E3821" s="99"/>
    </x:row>
    <x:row r="3822">
      <x:c r="D3822" s="99"/>
      <x:c r="E3822" s="99"/>
    </x:row>
    <x:row r="3823">
      <x:c r="D3823" s="99"/>
      <x:c r="E3823" s="99"/>
    </x:row>
    <x:row r="3824">
      <x:c r="D3824" s="99"/>
      <x:c r="E3824" s="99"/>
    </x:row>
    <x:row r="3825">
      <x:c r="D3825" s="99"/>
      <x:c r="E3825" s="99"/>
    </x:row>
    <x:row r="3826">
      <x:c r="D3826" s="99"/>
      <x:c r="E3826" s="99"/>
    </x:row>
    <x:row r="3827">
      <x:c r="D3827" s="99"/>
      <x:c r="E3827" s="99"/>
    </x:row>
    <x:row r="3828">
      <x:c r="D3828" s="99"/>
      <x:c r="E3828" s="99"/>
    </x:row>
    <x:row r="3829">
      <x:c r="D3829" s="99"/>
      <x:c r="E3829" s="99"/>
    </x:row>
    <x:row r="3830">
      <x:c r="D3830" s="99"/>
      <x:c r="E3830" s="99"/>
    </x:row>
    <x:row r="3831">
      <x:c r="D3831" s="99"/>
      <x:c r="E3831" s="99"/>
    </x:row>
    <x:row r="3832">
      <x:c r="D3832" s="99"/>
      <x:c r="E3832" s="99"/>
    </x:row>
    <x:row r="3833">
      <x:c r="D3833" s="99"/>
      <x:c r="E3833" s="99"/>
    </x:row>
    <x:row r="3834">
      <x:c r="D3834" s="99"/>
      <x:c r="E3834" s="99"/>
    </x:row>
    <x:row r="3835">
      <x:c r="D3835" s="99"/>
      <x:c r="E3835" s="99"/>
    </x:row>
    <x:row r="3836">
      <x:c r="D3836" s="99"/>
      <x:c r="E3836" s="99"/>
    </x:row>
    <x:row r="3837">
      <x:c r="D3837" s="99"/>
      <x:c r="E3837" s="99"/>
    </x:row>
    <x:row r="3838">
      <x:c r="D3838" s="99"/>
      <x:c r="E3838" s="99"/>
    </x:row>
    <x:row r="3839">
      <x:c r="D3839" s="99"/>
      <x:c r="E3839" s="99"/>
    </x:row>
    <x:row r="3840">
      <x:c r="D3840" s="99"/>
      <x:c r="E3840" s="99"/>
    </x:row>
    <x:row r="3841">
      <x:c r="D3841" s="99"/>
      <x:c r="E3841" s="99"/>
    </x:row>
    <x:row r="3842">
      <x:c r="D3842" s="99"/>
      <x:c r="E3842" s="99"/>
    </x:row>
    <x:row r="3843">
      <x:c r="D3843" s="99"/>
      <x:c r="E3843" s="99"/>
    </x:row>
    <x:row r="3844">
      <x:c r="D3844" s="99"/>
      <x:c r="E3844" s="99"/>
    </x:row>
    <x:row r="3845">
      <x:c r="D3845" s="99"/>
      <x:c r="E3845" s="99"/>
    </x:row>
    <x:row r="3846">
      <x:c r="D3846" s="99"/>
      <x:c r="E3846" s="99"/>
    </x:row>
    <x:row r="3847">
      <x:c r="D3847" s="99"/>
      <x:c r="E3847" s="99"/>
    </x:row>
    <x:row r="3848">
      <x:c r="D3848" s="99"/>
      <x:c r="E3848" s="99"/>
    </x:row>
    <x:row r="3849">
      <x:c r="D3849" s="99"/>
      <x:c r="E3849" s="99"/>
    </x:row>
    <x:row r="3850">
      <x:c r="D3850" s="99"/>
      <x:c r="E3850" s="99"/>
    </x:row>
    <x:row r="3851">
      <x:c r="D3851" s="99"/>
      <x:c r="E3851" s="99"/>
    </x:row>
    <x:row r="3852">
      <x:c r="D3852" s="99"/>
      <x:c r="E3852" s="99"/>
    </x:row>
    <x:row r="3853">
      <x:c r="D3853" s="99"/>
      <x:c r="E3853" s="99"/>
    </x:row>
    <x:row r="3854">
      <x:c r="D3854" s="99"/>
      <x:c r="E3854" s="99"/>
    </x:row>
    <x:row r="3855">
      <x:c r="D3855" s="99"/>
      <x:c r="E3855" s="99"/>
    </x:row>
    <x:row r="3856">
      <x:c r="D3856" s="99"/>
      <x:c r="E3856" s="99"/>
    </x:row>
    <x:row r="3857">
      <x:c r="D3857" s="99"/>
      <x:c r="E3857" s="99"/>
    </x:row>
    <x:row r="3858">
      <x:c r="D3858" s="99"/>
      <x:c r="E3858" s="99"/>
    </x:row>
    <x:row r="3859">
      <x:c r="D3859" s="99"/>
      <x:c r="E3859" s="99"/>
    </x:row>
    <x:row r="3860">
      <x:c r="D3860" s="99"/>
      <x:c r="E3860" s="99"/>
    </x:row>
    <x:row r="3861">
      <x:c r="D3861" s="99"/>
      <x:c r="E3861" s="99"/>
    </x:row>
    <x:row r="3862">
      <x:c r="D3862" s="99"/>
      <x:c r="E3862" s="99"/>
    </x:row>
    <x:row r="3863">
      <x:c r="D3863" s="99"/>
      <x:c r="E3863" s="99"/>
    </x:row>
    <x:row r="3864">
      <x:c r="D3864" s="99"/>
      <x:c r="E3864" s="99"/>
    </x:row>
    <x:row r="3865">
      <x:c r="D3865" s="99"/>
      <x:c r="E3865" s="99"/>
    </x:row>
    <x:row r="3866">
      <x:c r="D3866" s="99"/>
      <x:c r="E3866" s="99"/>
    </x:row>
    <x:row r="3867">
      <x:c r="D3867" s="99"/>
      <x:c r="E3867" s="99"/>
    </x:row>
    <x:row r="3868">
      <x:c r="D3868" s="99"/>
      <x:c r="E3868" s="99"/>
    </x:row>
    <x:row r="3869">
      <x:c r="D3869" s="99"/>
      <x:c r="E3869" s="99"/>
    </x:row>
    <x:row r="3870">
      <x:c r="D3870" s="99"/>
      <x:c r="E3870" s="99"/>
    </x:row>
    <x:row r="3871">
      <x:c r="D3871" s="99"/>
      <x:c r="E3871" s="99"/>
    </x:row>
    <x:row r="3872">
      <x:c r="D3872" s="99"/>
      <x:c r="E3872" s="99"/>
    </x:row>
    <x:row r="3873">
      <x:c r="D3873" s="99"/>
      <x:c r="E3873" s="99"/>
    </x:row>
    <x:row r="3874">
      <x:c r="D3874" s="99"/>
      <x:c r="E3874" s="99"/>
    </x:row>
    <x:row r="3875">
      <x:c r="D3875" s="99"/>
      <x:c r="E3875" s="99"/>
    </x:row>
    <x:row r="3876">
      <x:c r="D3876" s="99"/>
      <x:c r="E3876" s="99"/>
    </x:row>
    <x:row r="3877">
      <x:c r="D3877" s="99"/>
      <x:c r="E3877" s="99"/>
    </x:row>
    <x:row r="3878">
      <x:c r="D3878" s="99"/>
      <x:c r="E3878" s="99"/>
    </x:row>
    <x:row r="3879">
      <x:c r="D3879" s="99"/>
      <x:c r="E3879" s="99"/>
    </x:row>
    <x:row r="3880">
      <x:c r="D3880" s="99"/>
      <x:c r="E3880" s="99"/>
    </x:row>
    <x:row r="3881">
      <x:c r="D3881" s="99"/>
      <x:c r="E3881" s="99"/>
    </x:row>
    <x:row r="3882">
      <x:c r="D3882" s="99"/>
      <x:c r="E3882" s="99"/>
    </x:row>
    <x:row r="3883">
      <x:c r="D3883" s="99"/>
      <x:c r="E3883" s="99"/>
    </x:row>
    <x:row r="3884">
      <x:c r="D3884" s="99"/>
      <x:c r="E3884" s="99"/>
    </x:row>
    <x:row r="3885">
      <x:c r="D3885" s="99"/>
      <x:c r="E3885" s="99"/>
    </x:row>
    <x:row r="3886">
      <x:c r="D3886" s="99"/>
      <x:c r="E3886" s="99"/>
    </x:row>
    <x:row r="3887">
      <x:c r="D3887" s="99"/>
      <x:c r="E3887" s="99"/>
    </x:row>
    <x:row r="3888">
      <x:c r="D3888" s="99"/>
      <x:c r="E3888" s="99"/>
    </x:row>
    <x:row r="3889">
      <x:c r="D3889" s="99"/>
      <x:c r="E3889" s="99"/>
    </x:row>
    <x:row r="3890">
      <x:c r="D3890" s="99"/>
      <x:c r="E3890" s="99"/>
    </x:row>
    <x:row r="3891">
      <x:c r="D3891" s="99"/>
      <x:c r="E3891" s="99"/>
    </x:row>
    <x:row r="3892">
      <x:c r="D3892" s="99"/>
      <x:c r="E3892" s="99"/>
    </x:row>
    <x:row r="3893">
      <x:c r="D3893" s="99"/>
      <x:c r="E3893" s="99"/>
    </x:row>
    <x:row r="3894">
      <x:c r="D3894" s="99"/>
      <x:c r="E3894" s="99"/>
    </x:row>
    <x:row r="3895">
      <x:c r="D3895" s="99"/>
      <x:c r="E3895" s="99"/>
    </x:row>
    <x:row r="3896">
      <x:c r="D3896" s="99"/>
      <x:c r="E3896" s="99"/>
    </x:row>
    <x:row r="3897">
      <x:c r="D3897" s="99"/>
      <x:c r="E3897" s="99"/>
    </x:row>
    <x:row r="3898">
      <x:c r="D3898" s="99"/>
      <x:c r="E3898" s="99"/>
    </x:row>
    <x:row r="3899">
      <x:c r="D3899" s="99"/>
      <x:c r="E3899" s="99"/>
    </x:row>
    <x:row r="3900">
      <x:c r="D3900" s="99"/>
      <x:c r="E3900" s="99"/>
    </x:row>
    <x:row r="3901">
      <x:c r="D3901" s="99"/>
      <x:c r="E3901" s="99"/>
    </x:row>
    <x:row r="3902">
      <x:c r="D3902" s="99"/>
      <x:c r="E3902" s="99"/>
    </x:row>
    <x:row r="3903">
      <x:c r="D3903" s="99"/>
      <x:c r="E3903" s="99"/>
    </x:row>
    <x:row r="3904">
      <x:c r="D3904" s="99"/>
      <x:c r="E3904" s="99"/>
    </x:row>
    <x:row r="3905">
      <x:c r="D3905" s="99"/>
      <x:c r="E3905" s="99"/>
    </x:row>
    <x:row r="3906">
      <x:c r="D3906" s="99"/>
      <x:c r="E3906" s="99"/>
    </x:row>
    <x:row r="3907">
      <x:c r="D3907" s="99"/>
      <x:c r="E3907" s="99"/>
    </x:row>
    <x:row r="3908">
      <x:c r="D3908" s="99"/>
      <x:c r="E3908" s="99"/>
    </x:row>
    <x:row r="3909">
      <x:c r="D3909" s="99"/>
      <x:c r="E3909" s="99"/>
    </x:row>
    <x:row r="3910">
      <x:c r="D3910" s="99"/>
      <x:c r="E3910" s="99"/>
    </x:row>
    <x:row r="3911">
      <x:c r="D3911" s="99"/>
      <x:c r="E3911" s="99"/>
    </x:row>
    <x:row r="3912">
      <x:c r="D3912" s="99"/>
      <x:c r="E3912" s="99"/>
    </x:row>
    <x:row r="3913">
      <x:c r="D3913" s="99"/>
      <x:c r="E3913" s="99"/>
    </x:row>
    <x:row r="3914">
      <x:c r="D3914" s="99"/>
      <x:c r="E3914" s="99"/>
    </x:row>
    <x:row r="3915">
      <x:c r="D3915" s="99"/>
      <x:c r="E3915" s="99"/>
    </x:row>
    <x:row r="3916">
      <x:c r="D3916" s="99"/>
      <x:c r="E3916" s="99"/>
    </x:row>
    <x:row r="3917">
      <x:c r="D3917" s="99"/>
      <x:c r="E3917" s="99"/>
    </x:row>
    <x:row r="3918">
      <x:c r="D3918" s="99"/>
      <x:c r="E3918" s="99"/>
    </x:row>
    <x:row r="3919">
      <x:c r="D3919" s="99"/>
      <x:c r="E3919" s="99"/>
    </x:row>
    <x:row r="3920">
      <x:c r="D3920" s="99"/>
      <x:c r="E3920" s="99"/>
    </x:row>
    <x:row r="3921">
      <x:c r="D3921" s="99"/>
      <x:c r="E3921" s="99"/>
    </x:row>
    <x:row r="3922">
      <x:c r="D3922" s="99"/>
      <x:c r="E3922" s="99"/>
    </x:row>
    <x:row r="3923">
      <x:c r="D3923" s="99"/>
      <x:c r="E3923" s="99"/>
    </x:row>
    <x:row r="3924">
      <x:c r="D3924" s="99"/>
      <x:c r="E3924" s="99"/>
    </x:row>
    <x:row r="3925">
      <x:c r="D3925" s="99"/>
      <x:c r="E3925" s="99"/>
    </x:row>
    <x:row r="3926">
      <x:c r="D3926" s="99"/>
      <x:c r="E3926" s="99"/>
    </x:row>
    <x:row r="3927">
      <x:c r="D3927" s="99"/>
      <x:c r="E3927" s="99"/>
    </x:row>
    <x:row r="3928">
      <x:c r="D3928" s="99"/>
      <x:c r="E3928" s="99"/>
    </x:row>
    <x:row r="3929">
      <x:c r="D3929" s="99"/>
      <x:c r="E3929" s="99"/>
    </x:row>
    <x:row r="3930">
      <x:c r="D3930" s="99"/>
      <x:c r="E3930" s="99"/>
    </x:row>
    <x:row r="3931">
      <x:c r="D3931" s="99"/>
      <x:c r="E3931" s="99"/>
    </x:row>
    <x:row r="3932">
      <x:c r="D3932" s="99"/>
      <x:c r="E3932" s="99"/>
    </x:row>
    <x:row r="3933">
      <x:c r="D3933" s="99"/>
      <x:c r="E3933" s="99"/>
    </x:row>
    <x:row r="3934">
      <x:c r="D3934" s="99"/>
      <x:c r="E3934" s="99"/>
    </x:row>
    <x:row r="3935">
      <x:c r="D3935" s="99"/>
      <x:c r="E3935" s="99"/>
    </x:row>
    <x:row r="3936">
      <x:c r="D3936" s="99"/>
      <x:c r="E3936" s="99"/>
    </x:row>
    <x:row r="3937">
      <x:c r="D3937" s="99"/>
      <x:c r="E3937" s="99"/>
    </x:row>
    <x:row r="3938">
      <x:c r="D3938" s="99"/>
      <x:c r="E3938" s="99"/>
    </x:row>
    <x:row r="3939">
      <x:c r="D3939" s="99"/>
      <x:c r="E3939" s="99"/>
    </x:row>
    <x:row r="3940">
      <x:c r="D3940" s="99"/>
      <x:c r="E3940" s="99"/>
    </x:row>
    <x:row r="3941">
      <x:c r="D3941" s="99"/>
      <x:c r="E3941" s="99"/>
    </x:row>
    <x:row r="3942">
      <x:c r="D3942" s="99"/>
      <x:c r="E3942" s="99"/>
    </x:row>
    <x:row r="3943">
      <x:c r="D3943" s="99"/>
      <x:c r="E3943" s="99"/>
    </x:row>
    <x:row r="3944">
      <x:c r="D3944" s="99"/>
      <x:c r="E3944" s="99"/>
    </x:row>
    <x:row r="3945">
      <x:c r="D3945" s="99"/>
      <x:c r="E3945" s="99"/>
    </x:row>
    <x:row r="3946">
      <x:c r="D3946" s="99"/>
      <x:c r="E3946" s="99"/>
    </x:row>
    <x:row r="3947">
      <x:c r="D3947" s="99"/>
      <x:c r="E3947" s="99"/>
    </x:row>
    <x:row r="3948">
      <x:c r="D3948" s="99"/>
      <x:c r="E3948" s="99"/>
    </x:row>
    <x:row r="3949">
      <x:c r="D3949" s="99"/>
      <x:c r="E3949" s="99"/>
    </x:row>
    <x:row r="3950">
      <x:c r="D3950" s="99"/>
      <x:c r="E3950" s="99"/>
    </x:row>
    <x:row r="3951">
      <x:c r="D3951" s="99"/>
      <x:c r="E3951" s="99"/>
    </x:row>
    <x:row r="3952">
      <x:c r="D3952" s="99"/>
      <x:c r="E3952" s="99"/>
    </x:row>
    <x:row r="3953">
      <x:c r="D3953" s="99"/>
      <x:c r="E3953" s="99"/>
    </x:row>
    <x:row r="3954">
      <x:c r="D3954" s="99"/>
      <x:c r="E3954" s="99"/>
    </x:row>
    <x:row r="3955">
      <x:c r="D3955" s="99"/>
      <x:c r="E3955" s="99"/>
    </x:row>
    <x:row r="3956">
      <x:c r="D3956" s="99"/>
      <x:c r="E3956" s="99"/>
    </x:row>
    <x:row r="3957">
      <x:c r="D3957" s="99"/>
      <x:c r="E3957" s="99"/>
    </x:row>
    <x:row r="3958">
      <x:c r="D3958" s="99"/>
      <x:c r="E3958" s="99"/>
    </x:row>
    <x:row r="3959">
      <x:c r="D3959" s="99"/>
      <x:c r="E3959" s="99"/>
    </x:row>
    <x:row r="3960">
      <x:c r="D3960" s="99"/>
      <x:c r="E3960" s="99"/>
    </x:row>
    <x:row r="3961">
      <x:c r="D3961" s="99"/>
      <x:c r="E3961" s="99"/>
    </x:row>
    <x:row r="3962">
      <x:c r="D3962" s="99"/>
      <x:c r="E3962" s="99"/>
    </x:row>
    <x:row r="3963">
      <x:c r="D3963" s="99"/>
      <x:c r="E3963" s="99"/>
    </x:row>
    <x:row r="3964">
      <x:c r="D3964" s="99"/>
      <x:c r="E3964" s="99"/>
    </x:row>
    <x:row r="3965">
      <x:c r="D3965" s="99"/>
      <x:c r="E3965" s="99"/>
    </x:row>
    <x:row r="3966">
      <x:c r="D3966" s="99"/>
      <x:c r="E3966" s="99"/>
    </x:row>
    <x:row r="3967">
      <x:c r="D3967" s="99"/>
      <x:c r="E3967" s="99"/>
    </x:row>
    <x:row r="3968">
      <x:c r="D3968" s="99"/>
      <x:c r="E3968" s="99"/>
    </x:row>
    <x:row r="3969">
      <x:c r="D3969" s="99"/>
      <x:c r="E3969" s="99"/>
    </x:row>
    <x:row r="3970">
      <x:c r="D3970" s="99"/>
      <x:c r="E3970" s="99"/>
    </x:row>
    <x:row r="3971">
      <x:c r="D3971" s="99"/>
      <x:c r="E3971" s="99"/>
    </x:row>
    <x:row r="3972">
      <x:c r="D3972" s="99"/>
      <x:c r="E3972" s="99"/>
    </x:row>
    <x:row r="3973">
      <x:c r="D3973" s="99"/>
      <x:c r="E3973" s="99"/>
    </x:row>
    <x:row r="3974">
      <x:c r="D3974" s="99"/>
      <x:c r="E3974" s="99"/>
    </x:row>
    <x:row r="3975">
      <x:c r="D3975" s="99"/>
      <x:c r="E3975" s="99"/>
    </x:row>
    <x:row r="3976">
      <x:c r="D3976" s="99"/>
      <x:c r="E3976" s="99"/>
    </x:row>
    <x:row r="3977">
      <x:c r="D3977" s="99"/>
      <x:c r="E3977" s="99"/>
    </x:row>
    <x:row r="3978">
      <x:c r="D3978" s="99"/>
      <x:c r="E3978" s="99"/>
    </x:row>
    <x:row r="3979">
      <x:c r="D3979" s="99"/>
      <x:c r="E3979" s="99"/>
    </x:row>
    <x:row r="3980">
      <x:c r="D3980" s="99"/>
      <x:c r="E3980" s="99"/>
    </x:row>
    <x:row r="3981">
      <x:c r="D3981" s="99"/>
      <x:c r="E3981" s="99"/>
    </x:row>
    <x:row r="3982">
      <x:c r="D3982" s="99"/>
      <x:c r="E3982" s="99"/>
    </x:row>
    <x:row r="3983">
      <x:c r="D3983" s="99"/>
      <x:c r="E3983" s="99"/>
    </x:row>
    <x:row r="3984">
      <x:c r="D3984" s="99"/>
      <x:c r="E3984" s="99"/>
    </x:row>
    <x:row r="3985">
      <x:c r="D3985" s="99"/>
      <x:c r="E3985" s="99"/>
    </x:row>
    <x:row r="3986">
      <x:c r="D3986" s="99"/>
      <x:c r="E3986" s="99"/>
    </x:row>
    <x:row r="3987">
      <x:c r="D3987" s="99"/>
      <x:c r="E3987" s="99"/>
    </x:row>
    <x:row r="3988">
      <x:c r="D3988" s="99"/>
      <x:c r="E3988" s="99"/>
    </x:row>
    <x:row r="3989">
      <x:c r="D3989" s="99"/>
      <x:c r="E3989" s="99"/>
    </x:row>
    <x:row r="3990">
      <x:c r="D3990" s="99"/>
      <x:c r="E3990" s="99"/>
    </x:row>
    <x:row r="3991">
      <x:c r="D3991" s="99"/>
      <x:c r="E3991" s="99"/>
    </x:row>
    <x:row r="3992">
      <x:c r="D3992" s="99"/>
      <x:c r="E3992" s="99"/>
    </x:row>
    <x:row r="3993">
      <x:c r="D3993" s="99"/>
      <x:c r="E3993" s="99"/>
    </x:row>
    <x:row r="3994">
      <x:c r="D3994" s="99"/>
      <x:c r="E3994" s="99"/>
    </x:row>
    <x:row r="3995">
      <x:c r="D3995" s="99"/>
      <x:c r="E3995" s="99"/>
    </x:row>
    <x:row r="3996">
      <x:c r="D3996" s="99"/>
      <x:c r="E3996" s="99"/>
    </x:row>
    <x:row r="3997">
      <x:c r="D3997" s="99"/>
      <x:c r="E3997" s="99"/>
    </x:row>
    <x:row r="3998">
      <x:c r="D3998" s="99"/>
      <x:c r="E3998" s="99"/>
    </x:row>
    <x:row r="3999">
      <x:c r="D3999" s="99"/>
      <x:c r="E3999" s="99"/>
    </x:row>
    <x:row r="4000">
      <x:c r="D4000" s="99"/>
      <x:c r="E4000" s="99"/>
    </x:row>
    <x:row r="4001">
      <x:c r="D4001" s="99"/>
      <x:c r="E4001" s="99"/>
    </x:row>
    <x:row r="4002">
      <x:c r="D4002" s="99"/>
      <x:c r="E4002" s="99"/>
    </x:row>
    <x:row r="4003">
      <x:c r="D4003" s="99"/>
      <x:c r="E4003" s="99"/>
    </x:row>
    <x:row r="4004">
      <x:c r="D4004" s="99"/>
      <x:c r="E4004" s="99"/>
    </x:row>
    <x:row r="4005">
      <x:c r="D4005" s="99"/>
      <x:c r="E4005" s="99"/>
    </x:row>
    <x:row r="4006">
      <x:c r="D4006" s="99"/>
      <x:c r="E4006" s="99"/>
    </x:row>
    <x:row r="4007">
      <x:c r="D4007" s="99"/>
      <x:c r="E4007" s="99"/>
    </x:row>
    <x:row r="4008">
      <x:c r="D4008" s="99"/>
      <x:c r="E4008" s="99"/>
    </x:row>
    <x:row r="4009">
      <x:c r="D4009" s="99"/>
      <x:c r="E4009" s="99"/>
    </x:row>
    <x:row r="4010">
      <x:c r="D4010" s="99"/>
      <x:c r="E4010" s="99"/>
    </x:row>
    <x:row r="4011">
      <x:c r="D4011" s="99"/>
      <x:c r="E4011" s="99"/>
    </x:row>
    <x:row r="4012">
      <x:c r="D4012" s="99"/>
      <x:c r="E4012" s="99"/>
    </x:row>
    <x:row r="4013">
      <x:c r="D4013" s="99"/>
      <x:c r="E4013" s="99"/>
    </x:row>
    <x:row r="4014">
      <x:c r="D4014" s="99"/>
      <x:c r="E4014" s="99"/>
    </x:row>
    <x:row r="4015">
      <x:c r="D4015" s="99"/>
      <x:c r="E4015" s="99"/>
    </x:row>
    <x:row r="4016">
      <x:c r="D4016" s="99"/>
      <x:c r="E4016" s="99"/>
    </x:row>
    <x:row r="4017">
      <x:c r="D4017" s="99"/>
      <x:c r="E4017" s="99"/>
    </x:row>
    <x:row r="4018">
      <x:c r="D4018" s="99"/>
      <x:c r="E4018" s="99"/>
    </x:row>
    <x:row r="4019">
      <x:c r="D4019" s="99"/>
      <x:c r="E4019" s="99"/>
    </x:row>
    <x:row r="4020">
      <x:c r="D4020" s="99"/>
      <x:c r="E4020" s="99"/>
    </x:row>
    <x:row r="4021">
      <x:c r="D4021" s="99"/>
      <x:c r="E4021" s="99"/>
    </x:row>
    <x:row r="4022">
      <x:c r="D4022" s="99"/>
      <x:c r="E4022" s="99"/>
    </x:row>
    <x:row r="4023">
      <x:c r="D4023" s="99"/>
      <x:c r="E4023" s="99"/>
    </x:row>
    <x:row r="4024">
      <x:c r="D4024" s="99"/>
      <x:c r="E4024" s="99"/>
    </x:row>
    <x:row r="4025">
      <x:c r="D4025" s="99"/>
      <x:c r="E4025" s="99"/>
    </x:row>
    <x:row r="4026">
      <x:c r="D4026" s="99"/>
      <x:c r="E4026" s="99"/>
    </x:row>
    <x:row r="4027">
      <x:c r="D4027" s="99"/>
      <x:c r="E4027" s="99"/>
    </x:row>
    <x:row r="4028">
      <x:c r="D4028" s="99"/>
      <x:c r="E4028" s="99"/>
    </x:row>
    <x:row r="4029">
      <x:c r="D4029" s="99"/>
      <x:c r="E4029" s="99"/>
    </x:row>
    <x:row r="4030">
      <x:c r="D4030" s="99"/>
      <x:c r="E4030" s="99"/>
    </x:row>
    <x:row r="4031">
      <x:c r="D4031" s="99"/>
      <x:c r="E4031" s="99"/>
    </x:row>
    <x:row r="4032">
      <x:c r="D4032" s="99"/>
      <x:c r="E4032" s="99"/>
    </x:row>
    <x:row r="4033">
      <x:c r="D4033" s="99"/>
      <x:c r="E4033" s="99"/>
    </x:row>
    <x:row r="4034">
      <x:c r="D4034" s="99"/>
      <x:c r="E4034" s="99"/>
    </x:row>
    <x:row r="4035">
      <x:c r="D4035" s="99"/>
      <x:c r="E4035" s="99"/>
    </x:row>
    <x:row r="4036">
      <x:c r="D4036" s="99"/>
      <x:c r="E4036" s="99"/>
    </x:row>
    <x:row r="4037">
      <x:c r="D4037" s="99"/>
      <x:c r="E4037" s="99"/>
    </x:row>
    <x:row r="4038">
      <x:c r="D4038" s="99"/>
      <x:c r="E4038" s="99"/>
    </x:row>
    <x:row r="4039">
      <x:c r="D4039" s="99"/>
      <x:c r="E4039" s="99"/>
    </x:row>
    <x:row r="4040">
      <x:c r="D4040" s="99"/>
      <x:c r="E4040" s="99"/>
    </x:row>
    <x:row r="4041">
      <x:c r="D4041" s="99"/>
      <x:c r="E4041" s="99"/>
    </x:row>
    <x:row r="4042">
      <x:c r="D4042" s="99"/>
      <x:c r="E4042" s="99"/>
    </x:row>
    <x:row r="4043">
      <x:c r="D4043" s="99"/>
      <x:c r="E4043" s="99"/>
    </x:row>
    <x:row r="4044">
      <x:c r="D4044" s="99"/>
      <x:c r="E4044" s="99"/>
    </x:row>
    <x:row r="4045">
      <x:c r="D4045" s="99"/>
      <x:c r="E4045" s="99"/>
    </x:row>
    <x:row r="4046">
      <x:c r="D4046" s="99"/>
      <x:c r="E4046" s="99"/>
    </x:row>
    <x:row r="4047">
      <x:c r="D4047" s="99"/>
      <x:c r="E4047" s="99"/>
    </x:row>
    <x:row r="4048">
      <x:c r="D4048" s="99"/>
      <x:c r="E4048" s="99"/>
    </x:row>
    <x:row r="4049">
      <x:c r="D4049" s="99"/>
      <x:c r="E4049" s="99"/>
    </x:row>
    <x:row r="4050">
      <x:c r="D4050" s="99"/>
      <x:c r="E4050" s="99"/>
    </x:row>
    <x:row r="4051">
      <x:c r="D4051" s="99"/>
      <x:c r="E4051" s="99"/>
    </x:row>
    <x:row r="4052">
      <x:c r="D4052" s="99"/>
      <x:c r="E4052" s="99"/>
    </x:row>
    <x:row r="4053">
      <x:c r="D4053" s="99"/>
      <x:c r="E4053" s="99"/>
    </x:row>
    <x:row r="4054">
      <x:c r="D4054" s="99"/>
      <x:c r="E4054" s="99"/>
    </x:row>
    <x:row r="4055">
      <x:c r="D4055" s="99"/>
      <x:c r="E4055" s="99"/>
    </x:row>
    <x:row r="4056">
      <x:c r="D4056" s="99"/>
      <x:c r="E4056" s="99"/>
    </x:row>
    <x:row r="4057">
      <x:c r="D4057" s="99"/>
      <x:c r="E4057" s="99"/>
    </x:row>
    <x:row r="4058">
      <x:c r="D4058" s="99"/>
      <x:c r="E4058" s="99"/>
    </x:row>
    <x:row r="4059">
      <x:c r="D4059" s="99"/>
      <x:c r="E4059" s="99"/>
    </x:row>
    <x:row r="4060">
      <x:c r="D4060" s="99"/>
      <x:c r="E4060" s="99"/>
    </x:row>
    <x:row r="4061">
      <x:c r="D4061" s="99"/>
      <x:c r="E4061" s="99"/>
    </x:row>
    <x:row r="4062">
      <x:c r="D4062" s="99"/>
      <x:c r="E4062" s="99"/>
    </x:row>
    <x:row r="4063">
      <x:c r="D4063" s="99"/>
      <x:c r="E4063" s="99"/>
    </x:row>
    <x:row r="4064">
      <x:c r="D4064" s="99"/>
      <x:c r="E4064" s="99"/>
    </x:row>
    <x:row r="4065">
      <x:c r="D4065" s="99"/>
      <x:c r="E4065" s="99"/>
    </x:row>
    <x:row r="4066">
      <x:c r="D4066" s="99"/>
      <x:c r="E4066" s="99"/>
    </x:row>
    <x:row r="4067">
      <x:c r="D4067" s="99"/>
      <x:c r="E4067" s="99"/>
    </x:row>
    <x:row r="4068">
      <x:c r="D4068" s="99"/>
      <x:c r="E4068" s="99"/>
    </x:row>
    <x:row r="4069">
      <x:c r="D4069" s="99"/>
      <x:c r="E4069" s="99"/>
    </x:row>
    <x:row r="4070">
      <x:c r="D4070" s="99"/>
      <x:c r="E4070" s="99"/>
    </x:row>
    <x:row r="4071">
      <x:c r="D4071" s="99"/>
      <x:c r="E4071" s="99"/>
    </x:row>
    <x:row r="4072">
      <x:c r="D4072" s="99"/>
      <x:c r="E4072" s="99"/>
    </x:row>
    <x:row r="4073">
      <x:c r="D4073" s="99"/>
      <x:c r="E4073" s="99"/>
    </x:row>
    <x:row r="4074">
      <x:c r="D4074" s="99"/>
      <x:c r="E4074" s="99"/>
    </x:row>
    <x:row r="4075">
      <x:c r="D4075" s="99"/>
      <x:c r="E4075" s="99"/>
    </x:row>
    <x:row r="4076">
      <x:c r="D4076" s="99"/>
      <x:c r="E4076" s="99"/>
    </x:row>
    <x:row r="4077">
      <x:c r="D4077" s="99"/>
      <x:c r="E4077" s="99"/>
    </x:row>
    <x:row r="4078">
      <x:c r="D4078" s="99"/>
      <x:c r="E4078" s="99"/>
    </x:row>
    <x:row r="4079">
      <x:c r="D4079" s="99"/>
      <x:c r="E4079" s="99"/>
    </x:row>
    <x:row r="4080">
      <x:c r="D4080" s="99"/>
      <x:c r="E4080" s="99"/>
    </x:row>
    <x:row r="4081">
      <x:c r="D4081" s="99"/>
      <x:c r="E4081" s="99"/>
    </x:row>
    <x:row r="4082">
      <x:c r="D4082" s="99"/>
      <x:c r="E4082" s="99"/>
    </x:row>
    <x:row r="4083">
      <x:c r="D4083" s="99"/>
      <x:c r="E4083" s="99"/>
    </x:row>
    <x:row r="4084">
      <x:c r="D4084" s="99"/>
      <x:c r="E4084" s="99"/>
    </x:row>
    <x:row r="4085">
      <x:c r="D4085" s="99"/>
      <x:c r="E4085" s="99"/>
    </x:row>
    <x:row r="4086">
      <x:c r="D4086" s="99"/>
      <x:c r="E4086" s="99"/>
    </x:row>
    <x:row r="4087">
      <x:c r="D4087" s="99"/>
      <x:c r="E4087" s="99"/>
    </x:row>
    <x:row r="4088">
      <x:c r="D4088" s="99"/>
      <x:c r="E4088" s="99"/>
    </x:row>
    <x:row r="4089">
      <x:c r="D4089" s="99"/>
      <x:c r="E4089" s="99"/>
    </x:row>
    <x:row r="4090">
      <x:c r="D4090" s="99"/>
      <x:c r="E4090" s="99"/>
    </x:row>
    <x:row r="4091">
      <x:c r="D4091" s="99"/>
      <x:c r="E4091" s="99"/>
    </x:row>
    <x:row r="4092">
      <x:c r="D4092" s="99"/>
      <x:c r="E4092" s="99"/>
    </x:row>
    <x:row r="4093">
      <x:c r="D4093" s="99"/>
      <x:c r="E4093" s="99"/>
    </x:row>
    <x:row r="4094">
      <x:c r="D4094" s="99"/>
      <x:c r="E4094" s="99"/>
    </x:row>
    <x:row r="4095">
      <x:c r="D4095" s="99"/>
      <x:c r="E4095" s="99"/>
    </x:row>
    <x:row r="4096">
      <x:c r="D4096" s="99"/>
      <x:c r="E4096" s="99"/>
    </x:row>
    <x:row r="4097">
      <x:c r="D4097" s="99"/>
      <x:c r="E4097" s="99"/>
    </x:row>
    <x:row r="4098">
      <x:c r="D4098" s="99"/>
      <x:c r="E4098" s="99"/>
    </x:row>
    <x:row r="4099">
      <x:c r="D4099" s="99"/>
      <x:c r="E4099" s="99"/>
    </x:row>
    <x:row r="4100">
      <x:c r="D4100" s="99"/>
      <x:c r="E4100" s="99"/>
    </x:row>
    <x:row r="4101">
      <x:c r="D4101" s="99"/>
      <x:c r="E4101" s="99"/>
    </x:row>
    <x:row r="4102">
      <x:c r="D4102" s="99"/>
      <x:c r="E4102" s="99"/>
    </x:row>
    <x:row r="4103">
      <x:c r="D4103" s="99"/>
      <x:c r="E4103" s="99"/>
    </x:row>
    <x:row r="4104">
      <x:c r="D4104" s="99"/>
      <x:c r="E4104" s="99"/>
    </x:row>
    <x:row r="4105">
      <x:c r="D4105" s="99"/>
      <x:c r="E4105" s="99"/>
    </x:row>
    <x:row r="4106">
      <x:c r="D4106" s="99"/>
      <x:c r="E4106" s="99"/>
    </x:row>
    <x:row r="4107">
      <x:c r="D4107" s="99"/>
      <x:c r="E4107" s="99"/>
    </x:row>
    <x:row r="4108">
      <x:c r="D4108" s="99"/>
      <x:c r="E4108" s="99"/>
    </x:row>
    <x:row r="4109">
      <x:c r="D4109" s="99"/>
      <x:c r="E4109" s="99"/>
    </x:row>
    <x:row r="4110">
      <x:c r="D4110" s="99"/>
      <x:c r="E4110" s="99"/>
    </x:row>
    <x:row r="4111">
      <x:c r="D4111" s="99"/>
      <x:c r="E4111" s="99"/>
    </x:row>
    <x:row r="4112">
      <x:c r="D4112" s="99"/>
      <x:c r="E4112" s="99"/>
    </x:row>
    <x:row r="4113">
      <x:c r="D4113" s="99"/>
      <x:c r="E4113" s="99"/>
    </x:row>
    <x:row r="4114">
      <x:c r="D4114" s="99"/>
      <x:c r="E4114" s="99"/>
    </x:row>
    <x:row r="4115">
      <x:c r="D4115" s="99"/>
      <x:c r="E4115" s="99"/>
    </x:row>
    <x:row r="4116">
      <x:c r="D4116" s="99"/>
      <x:c r="E4116" s="99"/>
    </x:row>
    <x:row r="4117">
      <x:c r="D4117" s="99"/>
      <x:c r="E4117" s="99"/>
    </x:row>
    <x:row r="4118">
      <x:c r="D4118" s="99"/>
      <x:c r="E4118" s="99"/>
    </x:row>
    <x:row r="4119">
      <x:c r="D4119" s="99"/>
      <x:c r="E4119" s="99"/>
    </x:row>
    <x:row r="4120">
      <x:c r="D4120" s="99"/>
      <x:c r="E4120" s="99"/>
    </x:row>
    <x:row r="4121">
      <x:c r="D4121" s="99"/>
      <x:c r="E4121" s="99"/>
    </x:row>
    <x:row r="4122">
      <x:c r="D4122" s="99"/>
      <x:c r="E4122" s="99"/>
    </x:row>
    <x:row r="4123">
      <x:c r="D4123" s="99"/>
      <x:c r="E4123" s="99"/>
    </x:row>
    <x:row r="4124">
      <x:c r="D4124" s="99"/>
      <x:c r="E4124" s="99"/>
    </x:row>
    <x:row r="4125">
      <x:c r="D4125" s="99"/>
      <x:c r="E4125" s="99"/>
    </x:row>
    <x:row r="4126">
      <x:c r="D4126" s="99"/>
      <x:c r="E4126" s="99"/>
    </x:row>
    <x:row r="4127">
      <x:c r="D4127" s="99"/>
      <x:c r="E4127" s="99"/>
    </x:row>
    <x:row r="4128">
      <x:c r="D4128" s="99"/>
      <x:c r="E4128" s="99"/>
    </x:row>
    <x:row r="4129">
      <x:c r="D4129" s="99"/>
      <x:c r="E4129" s="99"/>
    </x:row>
    <x:row r="4130">
      <x:c r="D4130" s="99"/>
      <x:c r="E4130" s="99"/>
    </x:row>
    <x:row r="4131">
      <x:c r="D4131" s="99"/>
      <x:c r="E4131" s="99"/>
    </x:row>
    <x:row r="4132">
      <x:c r="D4132" s="99"/>
      <x:c r="E4132" s="99"/>
    </x:row>
    <x:row r="4133">
      <x:c r="D4133" s="99"/>
      <x:c r="E4133" s="99"/>
    </x:row>
    <x:row r="4134">
      <x:c r="D4134" s="99"/>
      <x:c r="E4134" s="99"/>
    </x:row>
    <x:row r="4135">
      <x:c r="D4135" s="99"/>
      <x:c r="E4135" s="99"/>
    </x:row>
    <x:row r="4136">
      <x:c r="D4136" s="99"/>
      <x:c r="E4136" s="99"/>
    </x:row>
    <x:row r="4137">
      <x:c r="D4137" s="99"/>
      <x:c r="E4137" s="99"/>
    </x:row>
    <x:row r="4138">
      <x:c r="D4138" s="99"/>
      <x:c r="E4138" s="99"/>
    </x:row>
    <x:row r="4139">
      <x:c r="D4139" s="99"/>
      <x:c r="E4139" s="99"/>
    </x:row>
    <x:row r="4140">
      <x:c r="D4140" s="99"/>
      <x:c r="E4140" s="99"/>
    </x:row>
    <x:row r="4141">
      <x:c r="D4141" s="99"/>
      <x:c r="E4141" s="99"/>
    </x:row>
    <x:row r="4142">
      <x:c r="D4142" s="99"/>
      <x:c r="E4142" s="99"/>
    </x:row>
    <x:row r="4143">
      <x:c r="D4143" s="99"/>
      <x:c r="E4143" s="99"/>
    </x:row>
    <x:row r="4144">
      <x:c r="D4144" s="99"/>
      <x:c r="E4144" s="99"/>
    </x:row>
    <x:row r="4145">
      <x:c r="D4145" s="99"/>
      <x:c r="E4145" s="99"/>
    </x:row>
    <x:row r="4146">
      <x:c r="D4146" s="99"/>
      <x:c r="E4146" s="99"/>
    </x:row>
    <x:row r="4147">
      <x:c r="D4147" s="99"/>
      <x:c r="E4147" s="99"/>
    </x:row>
    <x:row r="4148">
      <x:c r="D4148" s="99"/>
      <x:c r="E4148" s="99"/>
    </x:row>
    <x:row r="4149">
      <x:c r="D4149" s="99"/>
      <x:c r="E4149" s="99"/>
    </x:row>
    <x:row r="4150">
      <x:c r="D4150" s="99"/>
      <x:c r="E4150" s="99"/>
    </x:row>
    <x:row r="4151">
      <x:c r="D4151" s="99"/>
      <x:c r="E4151" s="99"/>
    </x:row>
    <x:row r="4152">
      <x:c r="D4152" s="99"/>
      <x:c r="E4152" s="99"/>
    </x:row>
    <x:row r="4153">
      <x:c r="D4153" s="99"/>
      <x:c r="E4153" s="99"/>
    </x:row>
    <x:row r="4154">
      <x:c r="D4154" s="99"/>
      <x:c r="E4154" s="99"/>
    </x:row>
    <x:row r="4155">
      <x:c r="D4155" s="99"/>
      <x:c r="E4155" s="99"/>
    </x:row>
    <x:row r="4156">
      <x:c r="D4156" s="99"/>
      <x:c r="E4156" s="99"/>
    </x:row>
    <x:row r="4157">
      <x:c r="D4157" s="99"/>
      <x:c r="E4157" s="99"/>
    </x:row>
    <x:row r="4158">
      <x:c r="D4158" s="99"/>
      <x:c r="E4158" s="99"/>
    </x:row>
    <x:row r="4159">
      <x:c r="D4159" s="99"/>
      <x:c r="E4159" s="99"/>
    </x:row>
    <x:row r="4160">
      <x:c r="D4160" s="99"/>
      <x:c r="E4160" s="99"/>
    </x:row>
    <x:row r="4161">
      <x:c r="D4161" s="99"/>
      <x:c r="E4161" s="99"/>
    </x:row>
    <x:row r="4162">
      <x:c r="D4162" s="99"/>
      <x:c r="E4162" s="99"/>
    </x:row>
    <x:row r="4163">
      <x:c r="D4163" s="99"/>
      <x:c r="E4163" s="99"/>
    </x:row>
    <x:row r="4164">
      <x:c r="D4164" s="99"/>
      <x:c r="E4164" s="99"/>
    </x:row>
    <x:row r="4165">
      <x:c r="D4165" s="99"/>
      <x:c r="E4165" s="99"/>
    </x:row>
    <x:row r="4166">
      <x:c r="D4166" s="99"/>
      <x:c r="E4166" s="99"/>
    </x:row>
    <x:row r="4167">
      <x:c r="D4167" s="99"/>
      <x:c r="E4167" s="99"/>
    </x:row>
    <x:row r="4168">
      <x:c r="D4168" s="99"/>
      <x:c r="E4168" s="99"/>
    </x:row>
    <x:row r="4169">
      <x:c r="D4169" s="99"/>
      <x:c r="E4169" s="99"/>
    </x:row>
    <x:row r="4170">
      <x:c r="D4170" s="99"/>
      <x:c r="E4170" s="99"/>
    </x:row>
    <x:row r="4171">
      <x:c r="D4171" s="99"/>
      <x:c r="E4171" s="99"/>
    </x:row>
    <x:row r="4172">
      <x:c r="D4172" s="99"/>
      <x:c r="E4172" s="99"/>
    </x:row>
    <x:row r="4173">
      <x:c r="D4173" s="99"/>
      <x:c r="E4173" s="99"/>
    </x:row>
    <x:row r="4174">
      <x:c r="D4174" s="99"/>
      <x:c r="E4174" s="99"/>
    </x:row>
    <x:row r="4175">
      <x:c r="D4175" s="99"/>
      <x:c r="E4175" s="99"/>
    </x:row>
    <x:row r="4176">
      <x:c r="D4176" s="99"/>
      <x:c r="E4176" s="99"/>
    </x:row>
    <x:row r="4177">
      <x:c r="D4177" s="99"/>
      <x:c r="E4177" s="99"/>
    </x:row>
    <x:row r="4178">
      <x:c r="D4178" s="99"/>
      <x:c r="E4178" s="99"/>
    </x:row>
    <x:row r="4179">
      <x:c r="D4179" s="99"/>
      <x:c r="E4179" s="99"/>
    </x:row>
    <x:row r="4180">
      <x:c r="D4180" s="99"/>
      <x:c r="E4180" s="99"/>
    </x:row>
    <x:row r="4181">
      <x:c r="D4181" s="99"/>
      <x:c r="E4181" s="99"/>
    </x:row>
    <x:row r="4182">
      <x:c r="D4182" s="99"/>
      <x:c r="E4182" s="99"/>
    </x:row>
    <x:row r="4183">
      <x:c r="D4183" s="99"/>
      <x:c r="E4183" s="99"/>
    </x:row>
    <x:row r="4184">
      <x:c r="D4184" s="99"/>
      <x:c r="E4184" s="99"/>
    </x:row>
    <x:row r="4185">
      <x:c r="D4185" s="99"/>
      <x:c r="E4185" s="99"/>
    </x:row>
    <x:row r="4186">
      <x:c r="D4186" s="99"/>
      <x:c r="E4186" s="99"/>
    </x:row>
    <x:row r="4187">
      <x:c r="D4187" s="99"/>
      <x:c r="E4187" s="99"/>
    </x:row>
    <x:row r="4188">
      <x:c r="D4188" s="99"/>
      <x:c r="E4188" s="99"/>
    </x:row>
    <x:row r="4189">
      <x:c r="D4189" s="99"/>
      <x:c r="E4189" s="99"/>
    </x:row>
    <x:row r="4190">
      <x:c r="D4190" s="99"/>
      <x:c r="E4190" s="99"/>
    </x:row>
    <x:row r="4191">
      <x:c r="D4191" s="99"/>
      <x:c r="E4191" s="99"/>
    </x:row>
    <x:row r="4192">
      <x:c r="D4192" s="99"/>
      <x:c r="E4192" s="99"/>
    </x:row>
    <x:row r="4193">
      <x:c r="D4193" s="99"/>
      <x:c r="E4193" s="99"/>
    </x:row>
    <x:row r="4194">
      <x:c r="D4194" s="99"/>
      <x:c r="E4194" s="99"/>
    </x:row>
    <x:row r="4195">
      <x:c r="D4195" s="99"/>
      <x:c r="E4195" s="99"/>
    </x:row>
    <x:row r="4196">
      <x:c r="D4196" s="99"/>
      <x:c r="E4196" s="99"/>
    </x:row>
    <x:row r="4197">
      <x:c r="D4197" s="99"/>
      <x:c r="E4197" s="99"/>
    </x:row>
    <x:row r="4198">
      <x:c r="D4198" s="99"/>
      <x:c r="E4198" s="99"/>
    </x:row>
    <x:row r="4199">
      <x:c r="D4199" s="99"/>
      <x:c r="E4199" s="99"/>
    </x:row>
    <x:row r="4200">
      <x:c r="D4200" s="99"/>
      <x:c r="E4200" s="99"/>
    </x:row>
    <x:row r="4201">
      <x:c r="D4201" s="99"/>
      <x:c r="E4201" s="99"/>
    </x:row>
    <x:row r="4202">
      <x:c r="D4202" s="99"/>
      <x:c r="E4202" s="99"/>
    </x:row>
    <x:row r="4203">
      <x:c r="D4203" s="99"/>
      <x:c r="E4203" s="99"/>
    </x:row>
    <x:row r="4204">
      <x:c r="D4204" s="99"/>
      <x:c r="E4204" s="99"/>
    </x:row>
    <x:row r="4205">
      <x:c r="D4205" s="99"/>
      <x:c r="E4205" s="99"/>
    </x:row>
    <x:row r="4206">
      <x:c r="D4206" s="99"/>
      <x:c r="E4206" s="99"/>
    </x:row>
    <x:row r="4207">
      <x:c r="D4207" s="99"/>
      <x:c r="E4207" s="99"/>
    </x:row>
    <x:row r="4208">
      <x:c r="D4208" s="99"/>
      <x:c r="E4208" s="99"/>
    </x:row>
    <x:row r="4209">
      <x:c r="D4209" s="99"/>
      <x:c r="E4209" s="99"/>
    </x:row>
    <x:row r="4210">
      <x:c r="D4210" s="99"/>
      <x:c r="E4210" s="99"/>
    </x:row>
    <x:row r="4211">
      <x:c r="D4211" s="99"/>
      <x:c r="E4211" s="99"/>
    </x:row>
    <x:row r="4212">
      <x:c r="D4212" s="99"/>
      <x:c r="E4212" s="99"/>
    </x:row>
    <x:row r="4213">
      <x:c r="D4213" s="99"/>
      <x:c r="E4213" s="99"/>
    </x:row>
    <x:row r="4214">
      <x:c r="D4214" s="99"/>
      <x:c r="E4214" s="99"/>
    </x:row>
    <x:row r="4215">
      <x:c r="D4215" s="99"/>
      <x:c r="E4215" s="99"/>
    </x:row>
    <x:row r="4216">
      <x:c r="D4216" s="99"/>
      <x:c r="E4216" s="99"/>
    </x:row>
    <x:row r="4217">
      <x:c r="D4217" s="99"/>
      <x:c r="E4217" s="99"/>
    </x:row>
    <x:row r="4218">
      <x:c r="D4218" s="99"/>
      <x:c r="E4218" s="99"/>
    </x:row>
    <x:row r="4219">
      <x:c r="D4219" s="99"/>
      <x:c r="E4219" s="99"/>
    </x:row>
    <x:row r="4220">
      <x:c r="D4220" s="99"/>
      <x:c r="E4220" s="99"/>
    </x:row>
    <x:row r="4221">
      <x:c r="D4221" s="99"/>
      <x:c r="E4221" s="99"/>
    </x:row>
    <x:row r="4222">
      <x:c r="D4222" s="99"/>
      <x:c r="E4222" s="99"/>
    </x:row>
    <x:row r="4223">
      <x:c r="D4223" s="99"/>
      <x:c r="E4223" s="99"/>
    </x:row>
    <x:row r="4224">
      <x:c r="D4224" s="99"/>
      <x:c r="E4224" s="99"/>
    </x:row>
    <x:row r="4225">
      <x:c r="D4225" s="99"/>
      <x:c r="E4225" s="99"/>
    </x:row>
    <x:row r="4226">
      <x:c r="D4226" s="99"/>
      <x:c r="E4226" s="99"/>
    </x:row>
    <x:row r="4227">
      <x:c r="D4227" s="99"/>
      <x:c r="E4227" s="99"/>
    </x:row>
    <x:row r="4228">
      <x:c r="D4228" s="99"/>
      <x:c r="E4228" s="99"/>
    </x:row>
    <x:row r="4229">
      <x:c r="D4229" s="99"/>
      <x:c r="E4229" s="99"/>
    </x:row>
    <x:row r="4230">
      <x:c r="D4230" s="99"/>
      <x:c r="E4230" s="99"/>
    </x:row>
    <x:row r="4231">
      <x:c r="D4231" s="99"/>
      <x:c r="E4231" s="99"/>
    </x:row>
    <x:row r="4232">
      <x:c r="D4232" s="99"/>
      <x:c r="E4232" s="99"/>
    </x:row>
    <x:row r="4233">
      <x:c r="D4233" s="99"/>
      <x:c r="E4233" s="99"/>
    </x:row>
    <x:row r="4234">
      <x:c r="D4234" s="99"/>
      <x:c r="E4234" s="99"/>
    </x:row>
    <x:row r="4235">
      <x:c r="D4235" s="99"/>
      <x:c r="E4235" s="99"/>
    </x:row>
    <x:row r="4236">
      <x:c r="D4236" s="99"/>
      <x:c r="E4236" s="99"/>
    </x:row>
    <x:row r="4237">
      <x:c r="D4237" s="99"/>
      <x:c r="E4237" s="99"/>
    </x:row>
    <x:row r="4238">
      <x:c r="D4238" s="99"/>
      <x:c r="E4238" s="99"/>
    </x:row>
    <x:row r="4239">
      <x:c r="D4239" s="99"/>
      <x:c r="E4239" s="99"/>
    </x:row>
    <x:row r="4240">
      <x:c r="D4240" s="99"/>
      <x:c r="E4240" s="99"/>
    </x:row>
    <x:row r="4241">
      <x:c r="D4241" s="99"/>
      <x:c r="E4241" s="99"/>
    </x:row>
    <x:row r="4242">
      <x:c r="D4242" s="99"/>
      <x:c r="E4242" s="99"/>
    </x:row>
    <x:row r="4243">
      <x:c r="D4243" s="99"/>
      <x:c r="E4243" s="99"/>
    </x:row>
    <x:row r="4244">
      <x:c r="D4244" s="99"/>
      <x:c r="E4244" s="99"/>
    </x:row>
    <x:row r="4245">
      <x:c r="D4245" s="99"/>
      <x:c r="E4245" s="99"/>
    </x:row>
    <x:row r="4246">
      <x:c r="D4246" s="99"/>
      <x:c r="E4246" s="99"/>
    </x:row>
    <x:row r="4247">
      <x:c r="D4247" s="99"/>
      <x:c r="E4247" s="99"/>
    </x:row>
    <x:row r="4248">
      <x:c r="D4248" s="99"/>
      <x:c r="E4248" s="99"/>
    </x:row>
    <x:row r="4249">
      <x:c r="D4249" s="99"/>
      <x:c r="E4249" s="99"/>
    </x:row>
    <x:row r="4250">
      <x:c r="D4250" s="99"/>
      <x:c r="E4250" s="99"/>
    </x:row>
    <x:row r="4251">
      <x:c r="D4251" s="99"/>
      <x:c r="E4251" s="99"/>
    </x:row>
    <x:row r="4252">
      <x:c r="D4252" s="99"/>
      <x:c r="E4252" s="99"/>
    </x:row>
    <x:row r="4253">
      <x:c r="D4253" s="99"/>
      <x:c r="E4253" s="99"/>
    </x:row>
    <x:row r="4254">
      <x:c r="D4254" s="99"/>
      <x:c r="E4254" s="99"/>
    </x:row>
    <x:row r="4255">
      <x:c r="D4255" s="99"/>
      <x:c r="E4255" s="99"/>
    </x:row>
    <x:row r="4256">
      <x:c r="D4256" s="99"/>
      <x:c r="E4256" s="99"/>
    </x:row>
    <x:row r="4257">
      <x:c r="D4257" s="99"/>
      <x:c r="E4257" s="99"/>
    </x:row>
    <x:row r="4258">
      <x:c r="D4258" s="99"/>
      <x:c r="E4258" s="99"/>
    </x:row>
    <x:row r="4259">
      <x:c r="D4259" s="99"/>
      <x:c r="E4259" s="99"/>
    </x:row>
    <x:row r="4260">
      <x:c r="D4260" s="99"/>
      <x:c r="E4260" s="99"/>
    </x:row>
    <x:row r="4261">
      <x:c r="D4261" s="99"/>
      <x:c r="E4261" s="99"/>
    </x:row>
    <x:row r="4262">
      <x:c r="D4262" s="99"/>
      <x:c r="E4262" s="99"/>
    </x:row>
    <x:row r="4263">
      <x:c r="D4263" s="99"/>
      <x:c r="E4263" s="99"/>
    </x:row>
    <x:row r="4264">
      <x:c r="D4264" s="99"/>
      <x:c r="E4264" s="99"/>
    </x:row>
    <x:row r="4265">
      <x:c r="D4265" s="99"/>
      <x:c r="E4265" s="99"/>
    </x:row>
    <x:row r="4266">
      <x:c r="D4266" s="99"/>
      <x:c r="E4266" s="99"/>
    </x:row>
    <x:row r="4267">
      <x:c r="D4267" s="99"/>
      <x:c r="E4267" s="99"/>
    </x:row>
    <x:row r="4268">
      <x:c r="D4268" s="99"/>
      <x:c r="E4268" s="99"/>
    </x:row>
    <x:row r="4269">
      <x:c r="D4269" s="99"/>
      <x:c r="E4269" s="99"/>
    </x:row>
    <x:row r="4270">
      <x:c r="D4270" s="99"/>
      <x:c r="E4270" s="99"/>
    </x:row>
    <x:row r="4271">
      <x:c r="D4271" s="99"/>
      <x:c r="E4271" s="99"/>
    </x:row>
    <x:row r="4272">
      <x:c r="D4272" s="99"/>
      <x:c r="E4272" s="99"/>
    </x:row>
    <x:row r="4273">
      <x:c r="D4273" s="99"/>
      <x:c r="E4273" s="99"/>
    </x:row>
    <x:row r="4274">
      <x:c r="D4274" s="99"/>
      <x:c r="E4274" s="99"/>
    </x:row>
    <x:row r="4275">
      <x:c r="D4275" s="99"/>
      <x:c r="E4275" s="99"/>
    </x:row>
    <x:row r="4276">
      <x:c r="D4276" s="99"/>
      <x:c r="E4276" s="99"/>
    </x:row>
    <x:row r="4277">
      <x:c r="D4277" s="99"/>
      <x:c r="E4277" s="99"/>
    </x:row>
    <x:row r="4278">
      <x:c r="D4278" s="99"/>
      <x:c r="E4278" s="99"/>
    </x:row>
    <x:row r="4279">
      <x:c r="D4279" s="99"/>
      <x:c r="E4279" s="99"/>
    </x:row>
    <x:row r="4280">
      <x:c r="D4280" s="99"/>
      <x:c r="E4280" s="99"/>
    </x:row>
    <x:row r="4281">
      <x:c r="D4281" s="99"/>
      <x:c r="E4281" s="99"/>
    </x:row>
    <x:row r="4282">
      <x:c r="D4282" s="99"/>
      <x:c r="E4282" s="99"/>
    </x:row>
    <x:row r="4283">
      <x:c r="D4283" s="99"/>
      <x:c r="E4283" s="99"/>
    </x:row>
    <x:row r="4284">
      <x:c r="D4284" s="99"/>
      <x:c r="E4284" s="99"/>
    </x:row>
    <x:row r="4285">
      <x:c r="D4285" s="99"/>
      <x:c r="E4285" s="99"/>
    </x:row>
    <x:row r="4286">
      <x:c r="D4286" s="99"/>
      <x:c r="E4286" s="99"/>
    </x:row>
    <x:row r="4287">
      <x:c r="D4287" s="99"/>
      <x:c r="E4287" s="99"/>
    </x:row>
    <x:row r="4288">
      <x:c r="D4288" s="99"/>
      <x:c r="E4288" s="99"/>
    </x:row>
    <x:row r="4289">
      <x:c r="D4289" s="99"/>
      <x:c r="E4289" s="99"/>
    </x:row>
    <x:row r="4290">
      <x:c r="D4290" s="99"/>
      <x:c r="E4290" s="99"/>
    </x:row>
    <x:row r="4291">
      <x:c r="D4291" s="99"/>
      <x:c r="E4291" s="99"/>
    </x:row>
    <x:row r="4292">
      <x:c r="D4292" s="99"/>
      <x:c r="E4292" s="99"/>
    </x:row>
    <x:row r="4293">
      <x:c r="D4293" s="99"/>
      <x:c r="E4293" s="99"/>
    </x:row>
    <x:row r="4294">
      <x:c r="D4294" s="99"/>
      <x:c r="E4294" s="99"/>
    </x:row>
    <x:row r="4295">
      <x:c r="D4295" s="99"/>
      <x:c r="E4295" s="99"/>
    </x:row>
    <x:row r="4296">
      <x:c r="D4296" s="99"/>
      <x:c r="E4296" s="99"/>
    </x:row>
    <x:row r="4297">
      <x:c r="D4297" s="99"/>
      <x:c r="E4297" s="99"/>
    </x:row>
    <x:row r="4298">
      <x:c r="D4298" s="99"/>
      <x:c r="E4298" s="99"/>
    </x:row>
    <x:row r="4299">
      <x:c r="D4299" s="99"/>
      <x:c r="E4299" s="99"/>
    </x:row>
    <x:row r="4300">
      <x:c r="D4300" s="99"/>
      <x:c r="E4300" s="99"/>
    </x:row>
    <x:row r="4301">
      <x:c r="D4301" s="99"/>
      <x:c r="E4301" s="99"/>
    </x:row>
    <x:row r="4302">
      <x:c r="D4302" s="99"/>
      <x:c r="E4302" s="99"/>
    </x:row>
    <x:row r="4303">
      <x:c r="D4303" s="99"/>
      <x:c r="E4303" s="99"/>
    </x:row>
    <x:row r="4304">
      <x:c r="D4304" s="99"/>
      <x:c r="E4304" s="99"/>
    </x:row>
    <x:row r="4305">
      <x:c r="D4305" s="99"/>
      <x:c r="E4305" s="99"/>
    </x:row>
    <x:row r="4306">
      <x:c r="D4306" s="99"/>
      <x:c r="E4306" s="99"/>
    </x:row>
    <x:row r="4307">
      <x:c r="D4307" s="99"/>
      <x:c r="E4307" s="99"/>
    </x:row>
    <x:row r="4308">
      <x:c r="D4308" s="99"/>
      <x:c r="E4308" s="99"/>
    </x:row>
    <x:row r="4309">
      <x:c r="D4309" s="99"/>
      <x:c r="E4309" s="99"/>
    </x:row>
    <x:row r="4310">
      <x:c r="D4310" s="99"/>
      <x:c r="E4310" s="99"/>
    </x:row>
    <x:row r="4311">
      <x:c r="D4311" s="99"/>
      <x:c r="E4311" s="99"/>
    </x:row>
    <x:row r="4312">
      <x:c r="D4312" s="99"/>
      <x:c r="E4312" s="99"/>
    </x:row>
    <x:row r="4313">
      <x:c r="D4313" s="99"/>
      <x:c r="E4313" s="99"/>
    </x:row>
    <x:row r="4314">
      <x:c r="D4314" s="99"/>
      <x:c r="E4314" s="99"/>
    </x:row>
    <x:row r="4315">
      <x:c r="D4315" s="99"/>
      <x:c r="E4315" s="99"/>
    </x:row>
    <x:row r="4316">
      <x:c r="D4316" s="99"/>
      <x:c r="E4316" s="99"/>
    </x:row>
    <x:row r="4317">
      <x:c r="D4317" s="99"/>
      <x:c r="E4317" s="99"/>
    </x:row>
    <x:row r="4318">
      <x:c r="D4318" s="99"/>
      <x:c r="E4318" s="99"/>
    </x:row>
    <x:row r="4319">
      <x:c r="D4319" s="99"/>
      <x:c r="E4319" s="99"/>
    </x:row>
    <x:row r="4320">
      <x:c r="D4320" s="99"/>
      <x:c r="E4320" s="99"/>
    </x:row>
    <x:row r="4321">
      <x:c r="D4321" s="99"/>
      <x:c r="E4321" s="99"/>
    </x:row>
    <x:row r="4322">
      <x:c r="D4322" s="99"/>
      <x:c r="E4322" s="99"/>
    </x:row>
    <x:row r="4323">
      <x:c r="D4323" s="99"/>
      <x:c r="E4323" s="99"/>
    </x:row>
    <x:row r="4324">
      <x:c r="D4324" s="99"/>
      <x:c r="E4324" s="99"/>
    </x:row>
    <x:row r="4325">
      <x:c r="D4325" s="99"/>
      <x:c r="E4325" s="99"/>
    </x:row>
    <x:row r="4326">
      <x:c r="D4326" s="99"/>
      <x:c r="E4326" s="99"/>
    </x:row>
    <x:row r="4327">
      <x:c r="D4327" s="99"/>
      <x:c r="E4327" s="99"/>
    </x:row>
    <x:row r="4328">
      <x:c r="D4328" s="99"/>
      <x:c r="E4328" s="99"/>
    </x:row>
    <x:row r="4329">
      <x:c r="D4329" s="99"/>
      <x:c r="E4329" s="99"/>
    </x:row>
    <x:row r="4330">
      <x:c r="D4330" s="99"/>
      <x:c r="E4330" s="99"/>
    </x:row>
    <x:row r="4331">
      <x:c r="D4331" s="99"/>
      <x:c r="E4331" s="99"/>
    </x:row>
    <x:row r="4332">
      <x:c r="D4332" s="99"/>
      <x:c r="E4332" s="99"/>
    </x:row>
    <x:row r="4333">
      <x:c r="D4333" s="99"/>
      <x:c r="E4333" s="99"/>
    </x:row>
    <x:row r="4334">
      <x:c r="D4334" s="99"/>
      <x:c r="E4334" s="99"/>
    </x:row>
    <x:row r="4335">
      <x:c r="D4335" s="99"/>
      <x:c r="E4335" s="99"/>
    </x:row>
    <x:row r="4336">
      <x:c r="D4336" s="99"/>
      <x:c r="E4336" s="99"/>
    </x:row>
    <x:row r="4337">
      <x:c r="D4337" s="99"/>
      <x:c r="E4337" s="99"/>
    </x:row>
    <x:row r="4338">
      <x:c r="D4338" s="99"/>
      <x:c r="E4338" s="99"/>
    </x:row>
    <x:row r="4339">
      <x:c r="D4339" s="99"/>
      <x:c r="E4339" s="99"/>
    </x:row>
    <x:row r="4340">
      <x:c r="D4340" s="99"/>
      <x:c r="E4340" s="99"/>
    </x:row>
    <x:row r="4341">
      <x:c r="D4341" s="99"/>
      <x:c r="E4341" s="99"/>
    </x:row>
    <x:row r="4342">
      <x:c r="D4342" s="99"/>
      <x:c r="E4342" s="99"/>
    </x:row>
    <x:row r="4343">
      <x:c r="D4343" s="99"/>
      <x:c r="E4343" s="99"/>
    </x:row>
    <x:row r="4344">
      <x:c r="D4344" s="99"/>
      <x:c r="E4344" s="99"/>
    </x:row>
    <x:row r="4345">
      <x:c r="D4345" s="99"/>
      <x:c r="E4345" s="99"/>
    </x:row>
    <x:row r="4346">
      <x:c r="D4346" s="99"/>
      <x:c r="E4346" s="99"/>
    </x:row>
    <x:row r="4347">
      <x:c r="D4347" s="99"/>
      <x:c r="E4347" s="99"/>
    </x:row>
    <x:row r="4348">
      <x:c r="D4348" s="99"/>
      <x:c r="E4348" s="99"/>
    </x:row>
    <x:row r="4349">
      <x:c r="D4349" s="99"/>
      <x:c r="E4349" s="99"/>
    </x:row>
    <x:row r="4350">
      <x:c r="D4350" s="99"/>
      <x:c r="E4350" s="99"/>
    </x:row>
    <x:row r="4351">
      <x:c r="D4351" s="99"/>
      <x:c r="E4351" s="99"/>
    </x:row>
    <x:row r="4352">
      <x:c r="D4352" s="99"/>
      <x:c r="E4352" s="99"/>
    </x:row>
    <x:row r="4353">
      <x:c r="D4353" s="99"/>
      <x:c r="E4353" s="99"/>
    </x:row>
    <x:row r="4354">
      <x:c r="D4354" s="99"/>
      <x:c r="E4354" s="99"/>
    </x:row>
    <x:row r="4355">
      <x:c r="D4355" s="99"/>
      <x:c r="E4355" s="99"/>
    </x:row>
    <x:row r="4356">
      <x:c r="D4356" s="99"/>
      <x:c r="E4356" s="99"/>
    </x:row>
    <x:row r="4357">
      <x:c r="D4357" s="99"/>
      <x:c r="E4357" s="99"/>
    </x:row>
    <x:row r="4358">
      <x:c r="D4358" s="99"/>
      <x:c r="E4358" s="99"/>
    </x:row>
    <x:row r="4359">
      <x:c r="D4359" s="99"/>
      <x:c r="E4359" s="99"/>
    </x:row>
    <x:row r="4360">
      <x:c r="D4360" s="99"/>
      <x:c r="E4360" s="99"/>
    </x:row>
    <x:row r="4361">
      <x:c r="D4361" s="99"/>
      <x:c r="E4361" s="99"/>
    </x:row>
    <x:row r="4362">
      <x:c r="D4362" s="99"/>
      <x:c r="E4362" s="99"/>
    </x:row>
    <x:row r="4363">
      <x:c r="D4363" s="99"/>
      <x:c r="E4363" s="99"/>
    </x:row>
    <x:row r="4364">
      <x:c r="D4364" s="99"/>
      <x:c r="E4364" s="99"/>
    </x:row>
    <x:row r="4365">
      <x:c r="D4365" s="99"/>
      <x:c r="E4365" s="99"/>
    </x:row>
    <x:row r="4366">
      <x:c r="D4366" s="99"/>
      <x:c r="E4366" s="99"/>
    </x:row>
    <x:row r="4367">
      <x:c r="D4367" s="99"/>
      <x:c r="E4367" s="99"/>
    </x:row>
    <x:row r="4368">
      <x:c r="D4368" s="99"/>
      <x:c r="E4368" s="99"/>
    </x:row>
    <x:row r="4369">
      <x:c r="D4369" s="99"/>
      <x:c r="E4369" s="99"/>
    </x:row>
    <x:row r="4370">
      <x:c r="D4370" s="99"/>
      <x:c r="E4370" s="99"/>
    </x:row>
    <x:row r="4371">
      <x:c r="D4371" s="99"/>
      <x:c r="E4371" s="99"/>
    </x:row>
    <x:row r="4372">
      <x:c r="D4372" s="99"/>
      <x:c r="E4372" s="99"/>
    </x:row>
    <x:row r="4373">
      <x:c r="D4373" s="99"/>
      <x:c r="E4373" s="99"/>
    </x:row>
    <x:row r="4374">
      <x:c r="D4374" s="99"/>
      <x:c r="E4374" s="99"/>
    </x:row>
    <x:row r="4375">
      <x:c r="D4375" s="99"/>
      <x:c r="E4375" s="99"/>
    </x:row>
    <x:row r="4376">
      <x:c r="D4376" s="99"/>
      <x:c r="E4376" s="99"/>
    </x:row>
    <x:row r="4377">
      <x:c r="D4377" s="99"/>
      <x:c r="E4377" s="99"/>
    </x:row>
    <x:row r="4378">
      <x:c r="D4378" s="99"/>
      <x:c r="E4378" s="99"/>
    </x:row>
    <x:row r="4379">
      <x:c r="D4379" s="99"/>
      <x:c r="E4379" s="99"/>
    </x:row>
    <x:row r="4380">
      <x:c r="D4380" s="99"/>
      <x:c r="E4380" s="99"/>
    </x:row>
    <x:row r="4381">
      <x:c r="D4381" s="99"/>
      <x:c r="E4381" s="99"/>
    </x:row>
    <x:row r="4382">
      <x:c r="D4382" s="99"/>
      <x:c r="E4382" s="99"/>
    </x:row>
    <x:row r="4383">
      <x:c r="D4383" s="99"/>
      <x:c r="E4383" s="99"/>
    </x:row>
    <x:row r="4384">
      <x:c r="D4384" s="99"/>
      <x:c r="E4384" s="99"/>
    </x:row>
    <x:row r="4385">
      <x:c r="D4385" s="99"/>
      <x:c r="E4385" s="99"/>
    </x:row>
    <x:row r="4386">
      <x:c r="D4386" s="99"/>
      <x:c r="E4386" s="99"/>
    </x:row>
    <x:row r="4387">
      <x:c r="D4387" s="99"/>
      <x:c r="E4387" s="99"/>
    </x:row>
    <x:row r="4388">
      <x:c r="D4388" s="99"/>
      <x:c r="E4388" s="99"/>
    </x:row>
    <x:row r="4389">
      <x:c r="D4389" s="99"/>
      <x:c r="E4389" s="99"/>
    </x:row>
    <x:row r="4390">
      <x:c r="D4390" s="99"/>
      <x:c r="E4390" s="99"/>
    </x:row>
    <x:row r="4391">
      <x:c r="D4391" s="99"/>
      <x:c r="E4391" s="99"/>
    </x:row>
    <x:row r="4392">
      <x:c r="D4392" s="99"/>
      <x:c r="E4392" s="99"/>
    </x:row>
    <x:row r="4393">
      <x:c r="D4393" s="99"/>
      <x:c r="E4393" s="99"/>
    </x:row>
    <x:row r="4394">
      <x:c r="D4394" s="99"/>
      <x:c r="E4394" s="99"/>
    </x:row>
    <x:row r="4395">
      <x:c r="D4395" s="99"/>
      <x:c r="E4395" s="99"/>
    </x:row>
    <x:row r="4396">
      <x:c r="D4396" s="99"/>
      <x:c r="E4396" s="99"/>
    </x:row>
    <x:row r="4397">
      <x:c r="D4397" s="99"/>
      <x:c r="E4397" s="99"/>
    </x:row>
    <x:row r="4398">
      <x:c r="D4398" s="99"/>
      <x:c r="E4398" s="99"/>
    </x:row>
    <x:row r="4399">
      <x:c r="D4399" s="99"/>
      <x:c r="E4399" s="99"/>
    </x:row>
    <x:row r="4400">
      <x:c r="D4400" s="99"/>
      <x:c r="E4400" s="99"/>
    </x:row>
    <x:row r="4401">
      <x:c r="D4401" s="99"/>
      <x:c r="E4401" s="99"/>
    </x:row>
    <x:row r="4402">
      <x:c r="D4402" s="99"/>
      <x:c r="E4402" s="99"/>
    </x:row>
    <x:row r="4403">
      <x:c r="D4403" s="99"/>
      <x:c r="E4403" s="99"/>
    </x:row>
    <x:row r="4404">
      <x:c r="D4404" s="99"/>
      <x:c r="E4404" s="99"/>
    </x:row>
    <x:row r="4405">
      <x:c r="D4405" s="99"/>
      <x:c r="E4405" s="99"/>
    </x:row>
    <x:row r="4406">
      <x:c r="D4406" s="99"/>
      <x:c r="E4406" s="99"/>
    </x:row>
    <x:row r="4407">
      <x:c r="D4407" s="99"/>
      <x:c r="E4407" s="99"/>
    </x:row>
    <x:row r="4408">
      <x:c r="D4408" s="99"/>
      <x:c r="E4408" s="99"/>
    </x:row>
    <x:row r="4409">
      <x:c r="D4409" s="99"/>
      <x:c r="E4409" s="99"/>
    </x:row>
    <x:row r="4410">
      <x:c r="D4410" s="99"/>
      <x:c r="E4410" s="99"/>
    </x:row>
    <x:row r="4411">
      <x:c r="D4411" s="99"/>
      <x:c r="E4411" s="99"/>
    </x:row>
    <x:row r="4412">
      <x:c r="D4412" s="99"/>
      <x:c r="E4412" s="99"/>
    </x:row>
    <x:row r="4413">
      <x:c r="D4413" s="99"/>
      <x:c r="E4413" s="99"/>
    </x:row>
    <x:row r="4414">
      <x:c r="D4414" s="99"/>
      <x:c r="E4414" s="99"/>
    </x:row>
    <x:row r="4415">
      <x:c r="D4415" s="99"/>
      <x:c r="E4415" s="99"/>
    </x:row>
    <x:row r="4416">
      <x:c r="D4416" s="99"/>
      <x:c r="E4416" s="99"/>
    </x:row>
    <x:row r="4417">
      <x:c r="D4417" s="99"/>
      <x:c r="E4417" s="99"/>
    </x:row>
    <x:row r="4418">
      <x:c r="D4418" s="99"/>
      <x:c r="E4418" s="99"/>
    </x:row>
    <x:row r="4419">
      <x:c r="D4419" s="99"/>
      <x:c r="E4419" s="99"/>
    </x:row>
    <x:row r="4420">
      <x:c r="D4420" s="99"/>
      <x:c r="E4420" s="99"/>
    </x:row>
    <x:row r="4421">
      <x:c r="D4421" s="99"/>
      <x:c r="E4421" s="99"/>
    </x:row>
    <x:row r="4422">
      <x:c r="D4422" s="99"/>
      <x:c r="E4422" s="99"/>
    </x:row>
    <x:row r="4423">
      <x:c r="D4423" s="99"/>
      <x:c r="E4423" s="99"/>
    </x:row>
    <x:row r="4424">
      <x:c r="D4424" s="99"/>
      <x:c r="E4424" s="99"/>
    </x:row>
    <x:row r="4425">
      <x:c r="D4425" s="99"/>
      <x:c r="E4425" s="99"/>
    </x:row>
    <x:row r="4426">
      <x:c r="D4426" s="99"/>
      <x:c r="E4426" s="99"/>
    </x:row>
    <x:row r="4427">
      <x:c r="D4427" s="99"/>
      <x:c r="E4427" s="99"/>
    </x:row>
    <x:row r="4428">
      <x:c r="D4428" s="99"/>
      <x:c r="E4428" s="99"/>
    </x:row>
    <x:row r="4429">
      <x:c r="D4429" s="99"/>
      <x:c r="E4429" s="99"/>
    </x:row>
    <x:row r="4430">
      <x:c r="D4430" s="99"/>
      <x:c r="E4430" s="99"/>
    </x:row>
    <x:row r="4431">
      <x:c r="D4431" s="99"/>
      <x:c r="E4431" s="99"/>
    </x:row>
    <x:row r="4432">
      <x:c r="D4432" s="99"/>
      <x:c r="E4432" s="99"/>
    </x:row>
    <x:row r="4433">
      <x:c r="D4433" s="99"/>
      <x:c r="E4433" s="99"/>
    </x:row>
    <x:row r="4434">
      <x:c r="D4434" s="99"/>
      <x:c r="E4434" s="99"/>
    </x:row>
    <x:row r="4435">
      <x:c r="D4435" s="99"/>
      <x:c r="E4435" s="99"/>
    </x:row>
    <x:row r="4436">
      <x:c r="D4436" s="99"/>
      <x:c r="E4436" s="99"/>
    </x:row>
    <x:row r="4437">
      <x:c r="D4437" s="99"/>
      <x:c r="E4437" s="99"/>
    </x:row>
    <x:row r="4438">
      <x:c r="D4438" s="99"/>
      <x:c r="E4438" s="99"/>
    </x:row>
    <x:row r="4439">
      <x:c r="D4439" s="99"/>
      <x:c r="E4439" s="99"/>
    </x:row>
    <x:row r="4440">
      <x:c r="D4440" s="99"/>
      <x:c r="E4440" s="99"/>
    </x:row>
    <x:row r="4441">
      <x:c r="D4441" s="99"/>
      <x:c r="E4441" s="99"/>
    </x:row>
    <x:row r="4442">
      <x:c r="D4442" s="99"/>
      <x:c r="E4442" s="99"/>
    </x:row>
    <x:row r="4443">
      <x:c r="D4443" s="99"/>
      <x:c r="E4443" s="99"/>
    </x:row>
    <x:row r="4444">
      <x:c r="D4444" s="99"/>
      <x:c r="E4444" s="99"/>
    </x:row>
    <x:row r="4445">
      <x:c r="D4445" s="99"/>
      <x:c r="E4445" s="99"/>
    </x:row>
    <x:row r="4446">
      <x:c r="D4446" s="99"/>
      <x:c r="E4446" s="99"/>
    </x:row>
    <x:row r="4447">
      <x:c r="D4447" s="99"/>
      <x:c r="E4447" s="99"/>
    </x:row>
    <x:row r="4448">
      <x:c r="D4448" s="99"/>
      <x:c r="E4448" s="99"/>
    </x:row>
    <x:row r="4449">
      <x:c r="D4449" s="99"/>
      <x:c r="E4449" s="99"/>
    </x:row>
    <x:row r="4450">
      <x:c r="D4450" s="99"/>
      <x:c r="E4450" s="99"/>
    </x:row>
    <x:row r="4451">
      <x:c r="D4451" s="99"/>
      <x:c r="E4451" s="99"/>
    </x:row>
    <x:row r="4452">
      <x:c r="D4452" s="99"/>
      <x:c r="E4452" s="99"/>
    </x:row>
    <x:row r="4453">
      <x:c r="D4453" s="99"/>
      <x:c r="E4453" s="99"/>
    </x:row>
    <x:row r="4454">
      <x:c r="D4454" s="99"/>
      <x:c r="E4454" s="99"/>
    </x:row>
    <x:row r="4455">
      <x:c r="D4455" s="99"/>
      <x:c r="E4455" s="99"/>
    </x:row>
    <x:row r="4456">
      <x:c r="D4456" s="99"/>
      <x:c r="E4456" s="99"/>
    </x:row>
    <x:row r="4457">
      <x:c r="D4457" s="99"/>
      <x:c r="E4457" s="99"/>
    </x:row>
    <x:row r="4458">
      <x:c r="D4458" s="99"/>
      <x:c r="E4458" s="99"/>
    </x:row>
    <x:row r="4459">
      <x:c r="D4459" s="99"/>
      <x:c r="E4459" s="99"/>
    </x:row>
    <x:row r="4460">
      <x:c r="D4460" s="99"/>
      <x:c r="E4460" s="99"/>
    </x:row>
    <x:row r="4461">
      <x:c r="D4461" s="99"/>
      <x:c r="E4461" s="99"/>
    </x:row>
    <x:row r="4462">
      <x:c r="D4462" s="99"/>
      <x:c r="E4462" s="99"/>
    </x:row>
    <x:row r="4463">
      <x:c r="D4463" s="99"/>
      <x:c r="E4463" s="99"/>
    </x:row>
    <x:row r="4464">
      <x:c r="D4464" s="99"/>
      <x:c r="E4464" s="99"/>
    </x:row>
    <x:row r="4465">
      <x:c r="D4465" s="99"/>
      <x:c r="E4465" s="99"/>
    </x:row>
    <x:row r="4466">
      <x:c r="D4466" s="99"/>
      <x:c r="E4466" s="99"/>
    </x:row>
    <x:row r="4467">
      <x:c r="D4467" s="99"/>
      <x:c r="E4467" s="99"/>
    </x:row>
    <x:row r="4468">
      <x:c r="D4468" s="99"/>
      <x:c r="E4468" s="99"/>
    </x:row>
    <x:row r="4469">
      <x:c r="D4469" s="99"/>
      <x:c r="E4469" s="99"/>
    </x:row>
    <x:row r="4470">
      <x:c r="D4470" s="99"/>
      <x:c r="E4470" s="99"/>
    </x:row>
    <x:row r="4471">
      <x:c r="D4471" s="99"/>
      <x:c r="E4471" s="99"/>
    </x:row>
    <x:row r="4472">
      <x:c r="D4472" s="99"/>
      <x:c r="E4472" s="99"/>
    </x:row>
    <x:row r="4473">
      <x:c r="D4473" s="99"/>
      <x:c r="E4473" s="99"/>
    </x:row>
    <x:row r="4474">
      <x:c r="D4474" s="99"/>
      <x:c r="E4474" s="99"/>
    </x:row>
    <x:row r="4475">
      <x:c r="D4475" s="99"/>
      <x:c r="E4475" s="99"/>
    </x:row>
    <x:row r="4476">
      <x:c r="D4476" s="99"/>
      <x:c r="E4476" s="99"/>
    </x:row>
    <x:row r="4477">
      <x:c r="D4477" s="99"/>
      <x:c r="E4477" s="99"/>
    </x:row>
    <x:row r="4478">
      <x:c r="D4478" s="99"/>
      <x:c r="E4478" s="99"/>
    </x:row>
    <x:row r="4479">
      <x:c r="D4479" s="99"/>
      <x:c r="E4479" s="99"/>
    </x:row>
    <x:row r="4480">
      <x:c r="D4480" s="99"/>
      <x:c r="E4480" s="99"/>
    </x:row>
    <x:row r="4481">
      <x:c r="D4481" s="99"/>
      <x:c r="E4481" s="99"/>
    </x:row>
    <x:row r="4482">
      <x:c r="D4482" s="99"/>
      <x:c r="E4482" s="99"/>
    </x:row>
    <x:row r="4483">
      <x:c r="D4483" s="99"/>
      <x:c r="E4483" s="99"/>
    </x:row>
    <x:row r="4484">
      <x:c r="D4484" s="99"/>
      <x:c r="E4484" s="99"/>
    </x:row>
    <x:row r="4485">
      <x:c r="D4485" s="99"/>
      <x:c r="E4485" s="99"/>
    </x:row>
    <x:row r="4486">
      <x:c r="D4486" s="99"/>
      <x:c r="E4486" s="99"/>
    </x:row>
    <x:row r="4487">
      <x:c r="D4487" s="99"/>
      <x:c r="E4487" s="99"/>
    </x:row>
    <x:row r="4488">
      <x:c r="D4488" s="99"/>
      <x:c r="E4488" s="99"/>
    </x:row>
    <x:row r="4489">
      <x:c r="D4489" s="99"/>
      <x:c r="E4489" s="99"/>
    </x:row>
    <x:row r="4490">
      <x:c r="D4490" s="99"/>
      <x:c r="E4490" s="99"/>
    </x:row>
    <x:row r="4491">
      <x:c r="D4491" s="99"/>
      <x:c r="E4491" s="99"/>
    </x:row>
    <x:row r="4492">
      <x:c r="D4492" s="99"/>
      <x:c r="E4492" s="99"/>
    </x:row>
    <x:row r="4493">
      <x:c r="D4493" s="99"/>
      <x:c r="E4493" s="99"/>
    </x:row>
    <x:row r="4494">
      <x:c r="D4494" s="99"/>
      <x:c r="E4494" s="99"/>
    </x:row>
    <x:row r="4495">
      <x:c r="D4495" s="99"/>
      <x:c r="E4495" s="99"/>
    </x:row>
    <x:row r="4496">
      <x:c r="D4496" s="99"/>
      <x:c r="E4496" s="99"/>
    </x:row>
    <x:row r="4497">
      <x:c r="D4497" s="99"/>
      <x:c r="E4497" s="99"/>
    </x:row>
    <x:row r="4498">
      <x:c r="D4498" s="99"/>
      <x:c r="E4498" s="99"/>
    </x:row>
    <x:row r="4499">
      <x:c r="D4499" s="99"/>
      <x:c r="E4499" s="99"/>
    </x:row>
    <x:row r="4500">
      <x:c r="D4500" s="99"/>
      <x:c r="E4500" s="99"/>
    </x:row>
    <x:row r="4501">
      <x:c r="D4501" s="99"/>
      <x:c r="E4501" s="99"/>
    </x:row>
    <x:row r="4502">
      <x:c r="D4502" s="99"/>
      <x:c r="E4502" s="99"/>
    </x:row>
    <x:row r="4503">
      <x:c r="D4503" s="99"/>
      <x:c r="E4503" s="99"/>
    </x:row>
    <x:row r="4504">
      <x:c r="D4504" s="99"/>
      <x:c r="E4504" s="99"/>
    </x:row>
    <x:row r="4505">
      <x:c r="D4505" s="99"/>
      <x:c r="E4505" s="99"/>
    </x:row>
    <x:row r="4506">
      <x:c r="D4506" s="99"/>
      <x:c r="E4506" s="99"/>
    </x:row>
    <x:row r="4507">
      <x:c r="D4507" s="99"/>
      <x:c r="E4507" s="99"/>
    </x:row>
    <x:row r="4508">
      <x:c r="D4508" s="99"/>
      <x:c r="E4508" s="99"/>
    </x:row>
    <x:row r="4509">
      <x:c r="D4509" s="99"/>
      <x:c r="E4509" s="99"/>
    </x:row>
    <x:row r="4510">
      <x:c r="D4510" s="99"/>
      <x:c r="E4510" s="99"/>
    </x:row>
    <x:row r="4511">
      <x:c r="D4511" s="99"/>
      <x:c r="E4511" s="99"/>
    </x:row>
    <x:row r="4512">
      <x:c r="D4512" s="99"/>
      <x:c r="E4512" s="99"/>
    </x:row>
    <x:row r="4513">
      <x:c r="D4513" s="99"/>
      <x:c r="E4513" s="99"/>
    </x:row>
    <x:row r="4514">
      <x:c r="D4514" s="99"/>
      <x:c r="E4514" s="99"/>
    </x:row>
    <x:row r="4515">
      <x:c r="D4515" s="99"/>
      <x:c r="E4515" s="99"/>
    </x:row>
    <x:row r="4516">
      <x:c r="D4516" s="99"/>
      <x:c r="E4516" s="99"/>
    </x:row>
    <x:row r="4517">
      <x:c r="D4517" s="99"/>
      <x:c r="E4517" s="99"/>
    </x:row>
    <x:row r="4518">
      <x:c r="D4518" s="99"/>
      <x:c r="E4518" s="99"/>
    </x:row>
    <x:row r="4519">
      <x:c r="D4519" s="99"/>
      <x:c r="E4519" s="99"/>
    </x:row>
    <x:row r="4520">
      <x:c r="D4520" s="99"/>
      <x:c r="E4520" s="99"/>
    </x:row>
    <x:row r="4521">
      <x:c r="D4521" s="99"/>
      <x:c r="E4521" s="99"/>
    </x:row>
    <x:row r="4522">
      <x:c r="D4522" s="99"/>
      <x:c r="E4522" s="99"/>
    </x:row>
    <x:row r="4523">
      <x:c r="D4523" s="99"/>
      <x:c r="E4523" s="99"/>
    </x:row>
    <x:row r="4524">
      <x:c r="D4524" s="99"/>
      <x:c r="E4524" s="99"/>
    </x:row>
    <x:row r="4525">
      <x:c r="D4525" s="99"/>
      <x:c r="E4525" s="99"/>
    </x:row>
    <x:row r="4526">
      <x:c r="D4526" s="99"/>
      <x:c r="E4526" s="99"/>
    </x:row>
    <x:row r="4527">
      <x:c r="D4527" s="99"/>
      <x:c r="E4527" s="99"/>
    </x:row>
    <x:row r="4528">
      <x:c r="D4528" s="99"/>
      <x:c r="E4528" s="99"/>
    </x:row>
    <x:row r="4529">
      <x:c r="D4529" s="99"/>
      <x:c r="E4529" s="99"/>
    </x:row>
    <x:row r="4530">
      <x:c r="D4530" s="99"/>
      <x:c r="E4530" s="99"/>
    </x:row>
    <x:row r="4531">
      <x:c r="D4531" s="99"/>
      <x:c r="E4531" s="99"/>
    </x:row>
    <x:row r="4532">
      <x:c r="D4532" s="99"/>
      <x:c r="E4532" s="99"/>
    </x:row>
    <x:row r="4533">
      <x:c r="D4533" s="99"/>
      <x:c r="E4533" s="99"/>
    </x:row>
    <x:row r="4534">
      <x:c r="D4534" s="99"/>
      <x:c r="E4534" s="99"/>
    </x:row>
    <x:row r="4535">
      <x:c r="D4535" s="99"/>
      <x:c r="E4535" s="99"/>
    </x:row>
    <x:row r="4536">
      <x:c r="D4536" s="99"/>
      <x:c r="E4536" s="99"/>
    </x:row>
    <x:row r="4537">
      <x:c r="D4537" s="99"/>
      <x:c r="E4537" s="99"/>
    </x:row>
    <x:row r="4538">
      <x:c r="D4538" s="99"/>
      <x:c r="E4538" s="99"/>
    </x:row>
    <x:row r="4539">
      <x:c r="D4539" s="99"/>
      <x:c r="E4539" s="99"/>
    </x:row>
    <x:row r="4540">
      <x:c r="D4540" s="99"/>
      <x:c r="E4540" s="99"/>
    </x:row>
    <x:row r="4541">
      <x:c r="D4541" s="99"/>
      <x:c r="E4541" s="99"/>
    </x:row>
    <x:row r="4542">
      <x:c r="D4542" s="99"/>
      <x:c r="E4542" s="99"/>
    </x:row>
    <x:row r="4543">
      <x:c r="D4543" s="99"/>
      <x:c r="E4543" s="99"/>
    </x:row>
    <x:row r="4544">
      <x:c r="D4544" s="99"/>
      <x:c r="E4544" s="99"/>
    </x:row>
    <x:row r="4545">
      <x:c r="D4545" s="99"/>
      <x:c r="E4545" s="99"/>
    </x:row>
    <x:row r="4546">
      <x:c r="D4546" s="99"/>
      <x:c r="E4546" s="99"/>
    </x:row>
    <x:row r="4547">
      <x:c r="D4547" s="99"/>
      <x:c r="E4547" s="99"/>
    </x:row>
    <x:row r="4548">
      <x:c r="D4548" s="99"/>
      <x:c r="E4548" s="99"/>
    </x:row>
    <x:row r="4549">
      <x:c r="D4549" s="99"/>
      <x:c r="E4549" s="99"/>
    </x:row>
    <x:row r="4550">
      <x:c r="D4550" s="99"/>
      <x:c r="E4550" s="99"/>
    </x:row>
    <x:row r="4551">
      <x:c r="D4551" s="99"/>
      <x:c r="E4551" s="99"/>
    </x:row>
    <x:row r="4552">
      <x:c r="D4552" s="99"/>
      <x:c r="E4552" s="99"/>
    </x:row>
    <x:row r="4553">
      <x:c r="D4553" s="99"/>
      <x:c r="E4553" s="99"/>
    </x:row>
    <x:row r="4554">
      <x:c r="D4554" s="99"/>
      <x:c r="E4554" s="99"/>
    </x:row>
    <x:row r="4555">
      <x:c r="D4555" s="99"/>
      <x:c r="E4555" s="99"/>
    </x:row>
    <x:row r="4556">
      <x:c r="D4556" s="99"/>
      <x:c r="E4556" s="99"/>
    </x:row>
    <x:row r="4557">
      <x:c r="D4557" s="99"/>
      <x:c r="E4557" s="99"/>
    </x:row>
    <x:row r="4558">
      <x:c r="D4558" s="99"/>
      <x:c r="E4558" s="99"/>
    </x:row>
    <x:row r="4559">
      <x:c r="D4559" s="99"/>
      <x:c r="E4559" s="99"/>
    </x:row>
    <x:row r="4560">
      <x:c r="D4560" s="99"/>
      <x:c r="E4560" s="99"/>
    </x:row>
    <x:row r="4561">
      <x:c r="D4561" s="99"/>
      <x:c r="E4561" s="99"/>
    </x:row>
    <x:row r="4562">
      <x:c r="D4562" s="99"/>
      <x:c r="E4562" s="99"/>
    </x:row>
    <x:row r="4563">
      <x:c r="D4563" s="99"/>
      <x:c r="E4563" s="99"/>
    </x:row>
    <x:row r="4564">
      <x:c r="D4564" s="99"/>
      <x:c r="E4564" s="99"/>
    </x:row>
    <x:row r="4565">
      <x:c r="D4565" s="99"/>
      <x:c r="E4565" s="99"/>
    </x:row>
    <x:row r="4566">
      <x:c r="D4566" s="99"/>
      <x:c r="E4566" s="99"/>
    </x:row>
    <x:row r="4567">
      <x:c r="D4567" s="99"/>
      <x:c r="E4567" s="99"/>
    </x:row>
    <x:row r="4568">
      <x:c r="D4568" s="99"/>
      <x:c r="E4568" s="99"/>
    </x:row>
    <x:row r="4569">
      <x:c r="D4569" s="99"/>
      <x:c r="E4569" s="99"/>
    </x:row>
    <x:row r="4570">
      <x:c r="D4570" s="99"/>
      <x:c r="E4570" s="99"/>
    </x:row>
    <x:row r="4571">
      <x:c r="D4571" s="99"/>
      <x:c r="E4571" s="99"/>
    </x:row>
    <x:row r="4572">
      <x:c r="D4572" s="99"/>
      <x:c r="E4572" s="99"/>
    </x:row>
    <x:row r="4573">
      <x:c r="D4573" s="99"/>
      <x:c r="E4573" s="99"/>
    </x:row>
    <x:row r="4574">
      <x:c r="D4574" s="99"/>
      <x:c r="E4574" s="99"/>
    </x:row>
    <x:row r="4575">
      <x:c r="D4575" s="99"/>
      <x:c r="E4575" s="99"/>
    </x:row>
    <x:row r="4576">
      <x:c r="D4576" s="99"/>
      <x:c r="E4576" s="99"/>
    </x:row>
    <x:row r="4577">
      <x:c r="D4577" s="99"/>
      <x:c r="E4577" s="99"/>
    </x:row>
    <x:row r="4578">
      <x:c r="D4578" s="99"/>
      <x:c r="E4578" s="99"/>
    </x:row>
    <x:row r="4579">
      <x:c r="D4579" s="99"/>
      <x:c r="E4579" s="99"/>
    </x:row>
    <x:row r="4580">
      <x:c r="D4580" s="99"/>
      <x:c r="E4580" s="99"/>
    </x:row>
    <x:row r="4581">
      <x:c r="D4581" s="99"/>
      <x:c r="E4581" s="99"/>
    </x:row>
    <x:row r="4582">
      <x:c r="D4582" s="99"/>
      <x:c r="E4582" s="99"/>
    </x:row>
    <x:row r="4583">
      <x:c r="D4583" s="99"/>
      <x:c r="E4583" s="99"/>
    </x:row>
    <x:row r="4584">
      <x:c r="D4584" s="99"/>
      <x:c r="E4584" s="99"/>
    </x:row>
    <x:row r="4585">
      <x:c r="D4585" s="99"/>
      <x:c r="E4585" s="99"/>
    </x:row>
    <x:row r="4586">
      <x:c r="D4586" s="99"/>
      <x:c r="E4586" s="99"/>
    </x:row>
    <x:row r="4587">
      <x:c r="D4587" s="99"/>
      <x:c r="E4587" s="99"/>
    </x:row>
    <x:row r="4588">
      <x:c r="D4588" s="99"/>
      <x:c r="E4588" s="99"/>
    </x:row>
    <x:row r="4589">
      <x:c r="D4589" s="99"/>
      <x:c r="E4589" s="99"/>
    </x:row>
    <x:row r="4590">
      <x:c r="D4590" s="99"/>
      <x:c r="E4590" s="99"/>
    </x:row>
    <x:row r="4591">
      <x:c r="D4591" s="99"/>
      <x:c r="E4591" s="99"/>
    </x:row>
    <x:row r="4592">
      <x:c r="D4592" s="99"/>
      <x:c r="E4592" s="99"/>
    </x:row>
    <x:row r="4593">
      <x:c r="D4593" s="99"/>
      <x:c r="E4593" s="99"/>
    </x:row>
    <x:row r="4594">
      <x:c r="D4594" s="99"/>
      <x:c r="E4594" s="99"/>
    </x:row>
    <x:row r="4595">
      <x:c r="D4595" s="99"/>
      <x:c r="E4595" s="99"/>
    </x:row>
    <x:row r="4596">
      <x:c r="D4596" s="99"/>
      <x:c r="E4596" s="99"/>
    </x:row>
    <x:row r="4597">
      <x:c r="D4597" s="99"/>
      <x:c r="E4597" s="99"/>
    </x:row>
    <x:row r="4598">
      <x:c r="D4598" s="99"/>
      <x:c r="E4598" s="99"/>
    </x:row>
    <x:row r="4599">
      <x:c r="D4599" s="99"/>
      <x:c r="E4599" s="99"/>
    </x:row>
    <x:row r="4600">
      <x:c r="D4600" s="99"/>
      <x:c r="E4600" s="99"/>
    </x:row>
    <x:row r="4601">
      <x:c r="D4601" s="99"/>
      <x:c r="E4601" s="99"/>
    </x:row>
    <x:row r="4602">
      <x:c r="D4602" s="99"/>
      <x:c r="E4602" s="99"/>
    </x:row>
    <x:row r="4603">
      <x:c r="D4603" s="99"/>
      <x:c r="E4603" s="99"/>
    </x:row>
    <x:row r="4604">
      <x:c r="D4604" s="99"/>
      <x:c r="E4604" s="99"/>
    </x:row>
    <x:row r="4605">
      <x:c r="D4605" s="99"/>
      <x:c r="E4605" s="99"/>
    </x:row>
    <x:row r="4606">
      <x:c r="D4606" s="99"/>
      <x:c r="E4606" s="99"/>
    </x:row>
    <x:row r="4607">
      <x:c r="D4607" s="99"/>
      <x:c r="E4607" s="99"/>
    </x:row>
    <x:row r="4608">
      <x:c r="D4608" s="99"/>
      <x:c r="E4608" s="99"/>
    </x:row>
    <x:row r="4609">
      <x:c r="D4609" s="99"/>
      <x:c r="E4609" s="99"/>
    </x:row>
    <x:row r="4610">
      <x:c r="D4610" s="99"/>
      <x:c r="E4610" s="99"/>
    </x:row>
    <x:row r="4611">
      <x:c r="D4611" s="99"/>
      <x:c r="E4611" s="99"/>
    </x:row>
    <x:row r="4612">
      <x:c r="D4612" s="99"/>
      <x:c r="E4612" s="99"/>
    </x:row>
    <x:row r="4613">
      <x:c r="D4613" s="99"/>
      <x:c r="E4613" s="99"/>
    </x:row>
    <x:row r="4614">
      <x:c r="D4614" s="99"/>
      <x:c r="E4614" s="99"/>
    </x:row>
    <x:row r="4615">
      <x:c r="D4615" s="99"/>
      <x:c r="E4615" s="99"/>
    </x:row>
    <x:row r="4616">
      <x:c r="D4616" s="99"/>
      <x:c r="E4616" s="99"/>
    </x:row>
    <x:row r="4617">
      <x:c r="D4617" s="99"/>
      <x:c r="E4617" s="99"/>
    </x:row>
    <x:row r="4618">
      <x:c r="D4618" s="99"/>
      <x:c r="E4618" s="99"/>
    </x:row>
    <x:row r="4619">
      <x:c r="D4619" s="99"/>
      <x:c r="E4619" s="99"/>
    </x:row>
    <x:row r="4620">
      <x:c r="D4620" s="99"/>
      <x:c r="E4620" s="99"/>
    </x:row>
    <x:row r="4621">
      <x:c r="D4621" s="99"/>
      <x:c r="E4621" s="99"/>
    </x:row>
    <x:row r="4622">
      <x:c r="D4622" s="99"/>
      <x:c r="E4622" s="99"/>
    </x:row>
    <x:row r="4623">
      <x:c r="D4623" s="99"/>
      <x:c r="E4623" s="99"/>
    </x:row>
    <x:row r="4624">
      <x:c r="D4624" s="99"/>
      <x:c r="E4624" s="99"/>
    </x:row>
    <x:row r="4625">
      <x:c r="D4625" s="99"/>
      <x:c r="E4625" s="99"/>
    </x:row>
    <x:row r="4626">
      <x:c r="D4626" s="99"/>
      <x:c r="E4626" s="99"/>
    </x:row>
    <x:row r="4627">
      <x:c r="D4627" s="99"/>
      <x:c r="E4627" s="99"/>
    </x:row>
    <x:row r="4628">
      <x:c r="D4628" s="99"/>
      <x:c r="E4628" s="99"/>
    </x:row>
    <x:row r="4629">
      <x:c r="D4629" s="99"/>
      <x:c r="E4629" s="99"/>
    </x:row>
    <x:row r="4630">
      <x:c r="D4630" s="99"/>
      <x:c r="E4630" s="99"/>
    </x:row>
    <x:row r="4631">
      <x:c r="D4631" s="99"/>
      <x:c r="E4631" s="99"/>
    </x:row>
    <x:row r="4632">
      <x:c r="D4632" s="99"/>
      <x:c r="E4632" s="99"/>
    </x:row>
    <x:row r="4633">
      <x:c r="D4633" s="99"/>
      <x:c r="E4633" s="99"/>
    </x:row>
    <x:row r="4634">
      <x:c r="D4634" s="99"/>
      <x:c r="E4634" s="99"/>
    </x:row>
    <x:row r="4635">
      <x:c r="D4635" s="99"/>
      <x:c r="E4635" s="99"/>
    </x:row>
    <x:row r="4636">
      <x:c r="D4636" s="99"/>
      <x:c r="E4636" s="99"/>
    </x:row>
    <x:row r="4637">
      <x:c r="D4637" s="99"/>
      <x:c r="E4637" s="99"/>
    </x:row>
    <x:row r="4638">
      <x:c r="D4638" s="99"/>
      <x:c r="E4638" s="99"/>
    </x:row>
    <x:row r="4639">
      <x:c r="D4639" s="99"/>
      <x:c r="E4639" s="99"/>
    </x:row>
    <x:row r="4640">
      <x:c r="D4640" s="99"/>
      <x:c r="E4640" s="99"/>
    </x:row>
    <x:row r="4641">
      <x:c r="D4641" s="99"/>
      <x:c r="E4641" s="99"/>
    </x:row>
    <x:row r="4642">
      <x:c r="D4642" s="99"/>
      <x:c r="E4642" s="99"/>
    </x:row>
    <x:row r="4643">
      <x:c r="D4643" s="99"/>
      <x:c r="E4643" s="99"/>
    </x:row>
    <x:row r="4644">
      <x:c r="D4644" s="99"/>
      <x:c r="E4644" s="99"/>
    </x:row>
    <x:row r="4645">
      <x:c r="D4645" s="99"/>
      <x:c r="E4645" s="99"/>
    </x:row>
    <x:row r="4646">
      <x:c r="D4646" s="99"/>
      <x:c r="E4646" s="99"/>
    </x:row>
    <x:row r="4647">
      <x:c r="D4647" s="99"/>
      <x:c r="E4647" s="99"/>
    </x:row>
    <x:row r="4648">
      <x:c r="D4648" s="99"/>
      <x:c r="E4648" s="99"/>
    </x:row>
    <x:row r="4649">
      <x:c r="D4649" s="99"/>
      <x:c r="E4649" s="99"/>
    </x:row>
    <x:row r="4650">
      <x:c r="D4650" s="99"/>
      <x:c r="E4650" s="99"/>
    </x:row>
    <x:row r="4651">
      <x:c r="D4651" s="99"/>
      <x:c r="E4651" s="99"/>
    </x:row>
    <x:row r="4652">
      <x:c r="D4652" s="99"/>
      <x:c r="E4652" s="99"/>
    </x:row>
    <x:row r="4653">
      <x:c r="D4653" s="99"/>
      <x:c r="E4653" s="99"/>
    </x:row>
    <x:row r="4654">
      <x:c r="D4654" s="99"/>
      <x:c r="E4654" s="99"/>
    </x:row>
    <x:row r="4655">
      <x:c r="D4655" s="99"/>
      <x:c r="E4655" s="99"/>
    </x:row>
    <x:row r="4656">
      <x:c r="D4656" s="99"/>
      <x:c r="E4656" s="99"/>
    </x:row>
    <x:row r="4657">
      <x:c r="D4657" s="99"/>
      <x:c r="E4657" s="99"/>
    </x:row>
    <x:row r="4658">
      <x:c r="D4658" s="99"/>
      <x:c r="E4658" s="99"/>
    </x:row>
    <x:row r="4659">
      <x:c r="D4659" s="99"/>
      <x:c r="E4659" s="99"/>
    </x:row>
    <x:row r="4660">
      <x:c r="D4660" s="99"/>
      <x:c r="E4660" s="99"/>
    </x:row>
    <x:row r="4661">
      <x:c r="D4661" s="99"/>
      <x:c r="E4661" s="99"/>
    </x:row>
    <x:row r="4662">
      <x:c r="D4662" s="99"/>
      <x:c r="E4662" s="99"/>
    </x:row>
    <x:row r="4663">
      <x:c r="D4663" s="99"/>
      <x:c r="E4663" s="99"/>
    </x:row>
    <x:row r="4664">
      <x:c r="D4664" s="99"/>
      <x:c r="E4664" s="99"/>
    </x:row>
    <x:row r="4665">
      <x:c r="D4665" s="99"/>
      <x:c r="E4665" s="99"/>
    </x:row>
    <x:row r="4666">
      <x:c r="D4666" s="99"/>
      <x:c r="E4666" s="99"/>
    </x:row>
    <x:row r="4667">
      <x:c r="D4667" s="99"/>
      <x:c r="E4667" s="99"/>
    </x:row>
    <x:row r="4668">
      <x:c r="D4668" s="99"/>
      <x:c r="E4668" s="99"/>
    </x:row>
    <x:row r="4669">
      <x:c r="D4669" s="99"/>
      <x:c r="E4669" s="99"/>
    </x:row>
    <x:row r="4670">
      <x:c r="D4670" s="99"/>
      <x:c r="E4670" s="99"/>
    </x:row>
    <x:row r="4671">
      <x:c r="D4671" s="99"/>
      <x:c r="E4671" s="99"/>
    </x:row>
    <x:row r="4672">
      <x:c r="D4672" s="99"/>
      <x:c r="E4672" s="99"/>
    </x:row>
    <x:row r="4673">
      <x:c r="D4673" s="99"/>
      <x:c r="E4673" s="99"/>
    </x:row>
    <x:row r="4674">
      <x:c r="D4674" s="99"/>
      <x:c r="E4674" s="99"/>
    </x:row>
    <x:row r="4675">
      <x:c r="D4675" s="99"/>
      <x:c r="E4675" s="99"/>
    </x:row>
    <x:row r="4676">
      <x:c r="D4676" s="99"/>
      <x:c r="E4676" s="99"/>
    </x:row>
    <x:row r="4677">
      <x:c r="D4677" s="99"/>
      <x:c r="E4677" s="99"/>
    </x:row>
    <x:row r="4678">
      <x:c r="D4678" s="99"/>
      <x:c r="E4678" s="99"/>
    </x:row>
    <x:row r="4679">
      <x:c r="D4679" s="99"/>
      <x:c r="E4679" s="99"/>
    </x:row>
    <x:row r="4680">
      <x:c r="D4680" s="99"/>
      <x:c r="E4680" s="99"/>
    </x:row>
    <x:row r="4681">
      <x:c r="D4681" s="99"/>
      <x:c r="E4681" s="99"/>
    </x:row>
    <x:row r="4682">
      <x:c r="D4682" s="99"/>
      <x:c r="E4682" s="99"/>
    </x:row>
    <x:row r="4683">
      <x:c r="D4683" s="99"/>
      <x:c r="E4683" s="99"/>
    </x:row>
    <x:row r="4684">
      <x:c r="D4684" s="99"/>
      <x:c r="E4684" s="99"/>
    </x:row>
    <x:row r="4685">
      <x:c r="D4685" s="99"/>
      <x:c r="E4685" s="99"/>
    </x:row>
    <x:row r="4686">
      <x:c r="D4686" s="99"/>
      <x:c r="E4686" s="99"/>
    </x:row>
    <x:row r="4687">
      <x:c r="D4687" s="99"/>
      <x:c r="E4687" s="99"/>
    </x:row>
    <x:row r="4688">
      <x:c r="D4688" s="99"/>
      <x:c r="E4688" s="99"/>
    </x:row>
    <x:row r="4689">
      <x:c r="D4689" s="99"/>
      <x:c r="E4689" s="99"/>
    </x:row>
    <x:row r="4690">
      <x:c r="D4690" s="99"/>
      <x:c r="E4690" s="99"/>
    </x:row>
    <x:row r="4691">
      <x:c r="D4691" s="99"/>
      <x:c r="E4691" s="99"/>
    </x:row>
    <x:row r="4692">
      <x:c r="D4692" s="99"/>
      <x:c r="E4692" s="99"/>
    </x:row>
    <x:row r="4693">
      <x:c r="D4693" s="99"/>
      <x:c r="E4693" s="99"/>
    </x:row>
    <x:row r="4694">
      <x:c r="D4694" s="99"/>
      <x:c r="E4694" s="99"/>
    </x:row>
    <x:row r="4695">
      <x:c r="D4695" s="99"/>
      <x:c r="E4695" s="99"/>
    </x:row>
    <x:row r="4696">
      <x:c r="D4696" s="99"/>
      <x:c r="E4696" s="99"/>
    </x:row>
    <x:row r="4697">
      <x:c r="D4697" s="99"/>
      <x:c r="E4697" s="99"/>
    </x:row>
    <x:row r="4698">
      <x:c r="D4698" s="99"/>
      <x:c r="E4698" s="99"/>
    </x:row>
    <x:row r="4699">
      <x:c r="D4699" s="99"/>
      <x:c r="E4699" s="99"/>
    </x:row>
    <x:row r="4700">
      <x:c r="D4700" s="99"/>
      <x:c r="E4700" s="99"/>
    </x:row>
    <x:row r="4701">
      <x:c r="D4701" s="99"/>
      <x:c r="E4701" s="99"/>
    </x:row>
    <x:row r="4702">
      <x:c r="D4702" s="99"/>
      <x:c r="E4702" s="99"/>
    </x:row>
    <x:row r="4703">
      <x:c r="D4703" s="99"/>
      <x:c r="E4703" s="99"/>
    </x:row>
    <x:row r="4704">
      <x:c r="D4704" s="99"/>
      <x:c r="E4704" s="99"/>
    </x:row>
    <x:row r="4705">
      <x:c r="D4705" s="99"/>
      <x:c r="E4705" s="99"/>
    </x:row>
    <x:row r="4706">
      <x:c r="D4706" s="99"/>
      <x:c r="E4706" s="99"/>
    </x:row>
    <x:row r="4707">
      <x:c r="D4707" s="99"/>
      <x:c r="E4707" s="99"/>
    </x:row>
    <x:row r="4708">
      <x:c r="D4708" s="99"/>
      <x:c r="E4708" s="99"/>
    </x:row>
    <x:row r="4709">
      <x:c r="D4709" s="99"/>
      <x:c r="E4709" s="99"/>
    </x:row>
    <x:row r="4710">
      <x:c r="D4710" s="99"/>
      <x:c r="E4710" s="99"/>
    </x:row>
    <x:row r="4711">
      <x:c r="D4711" s="99"/>
      <x:c r="E4711" s="99"/>
    </x:row>
    <x:row r="4712">
      <x:c r="D4712" s="99"/>
      <x:c r="E4712" s="99"/>
    </x:row>
    <x:row r="4713">
      <x:c r="D4713" s="99"/>
      <x:c r="E4713" s="99"/>
    </x:row>
    <x:row r="4714">
      <x:c r="D4714" s="99"/>
      <x:c r="E4714" s="99"/>
    </x:row>
    <x:row r="4715">
      <x:c r="D4715" s="99"/>
      <x:c r="E4715" s="99"/>
    </x:row>
    <x:row r="4716">
      <x:c r="D4716" s="99"/>
      <x:c r="E4716" s="99"/>
    </x:row>
    <x:row r="4717">
      <x:c r="D4717" s="99"/>
      <x:c r="E4717" s="99"/>
    </x:row>
    <x:row r="4718">
      <x:c r="D4718" s="99"/>
      <x:c r="E4718" s="99"/>
    </x:row>
    <x:row r="4719">
      <x:c r="D4719" s="99"/>
      <x:c r="E4719" s="99"/>
    </x:row>
    <x:row r="4720">
      <x:c r="D4720" s="99"/>
      <x:c r="E4720" s="99"/>
    </x:row>
    <x:row r="4721">
      <x:c r="D4721" s="99"/>
      <x:c r="E4721" s="99"/>
    </x:row>
    <x:row r="4722">
      <x:c r="D4722" s="99"/>
      <x:c r="E4722" s="99"/>
    </x:row>
    <x:row r="4723">
      <x:c r="D4723" s="99"/>
      <x:c r="E4723" s="99"/>
    </x:row>
    <x:row r="4724">
      <x:c r="D4724" s="99"/>
      <x:c r="E4724" s="99"/>
    </x:row>
    <x:row r="4725">
      <x:c r="D4725" s="99"/>
      <x:c r="E4725" s="99"/>
    </x:row>
    <x:row r="4726">
      <x:c r="D4726" s="99"/>
      <x:c r="E4726" s="99"/>
    </x:row>
    <x:row r="4727">
      <x:c r="D4727" s="99"/>
      <x:c r="E4727" s="99"/>
    </x:row>
    <x:row r="4728">
      <x:c r="D4728" s="99"/>
      <x:c r="E4728" s="99"/>
    </x:row>
    <x:row r="4729">
      <x:c r="D4729" s="99"/>
      <x:c r="E4729" s="99"/>
    </x:row>
    <x:row r="4730">
      <x:c r="D4730" s="99"/>
      <x:c r="E4730" s="99"/>
    </x:row>
    <x:row r="4731">
      <x:c r="D4731" s="99"/>
      <x:c r="E4731" s="99"/>
    </x:row>
    <x:row r="4732">
      <x:c r="D4732" s="99"/>
      <x:c r="E4732" s="99"/>
    </x:row>
    <x:row r="4733">
      <x:c r="D4733" s="99"/>
      <x:c r="E4733" s="99"/>
    </x:row>
    <x:row r="4734">
      <x:c r="D4734" s="99"/>
      <x:c r="E4734" s="99"/>
    </x:row>
    <x:row r="4735">
      <x:c r="D4735" s="99"/>
      <x:c r="E4735" s="99"/>
    </x:row>
    <x:row r="4736">
      <x:c r="D4736" s="99"/>
      <x:c r="E4736" s="99"/>
    </x:row>
    <x:row r="4737">
      <x:c r="D4737" s="99"/>
      <x:c r="E4737" s="99"/>
    </x:row>
    <x:row r="4738">
      <x:c r="D4738" s="99"/>
      <x:c r="E4738" s="99"/>
    </x:row>
    <x:row r="4739">
      <x:c r="D4739" s="99"/>
      <x:c r="E4739" s="99"/>
    </x:row>
    <x:row r="4740">
      <x:c r="D4740" s="99"/>
      <x:c r="E4740" s="99"/>
    </x:row>
    <x:row r="4741">
      <x:c r="D4741" s="99"/>
      <x:c r="E4741" s="99"/>
    </x:row>
    <x:row r="4742">
      <x:c r="D4742" s="99"/>
      <x:c r="E4742" s="99"/>
    </x:row>
    <x:row r="4743">
      <x:c r="D4743" s="99"/>
      <x:c r="E4743" s="99"/>
    </x:row>
    <x:row r="4744">
      <x:c r="D4744" s="99"/>
      <x:c r="E4744" s="99"/>
    </x:row>
    <x:row r="4745">
      <x:c r="D4745" s="99"/>
      <x:c r="E4745" s="99"/>
    </x:row>
    <x:row r="4746">
      <x:c r="D4746" s="99"/>
      <x:c r="E4746" s="99"/>
    </x:row>
    <x:row r="4747">
      <x:c r="D4747" s="99"/>
      <x:c r="E4747" s="99"/>
    </x:row>
    <x:row r="4748">
      <x:c r="D4748" s="99"/>
      <x:c r="E4748" s="99"/>
    </x:row>
    <x:row r="4749">
      <x:c r="D4749" s="99"/>
      <x:c r="E4749" s="99"/>
    </x:row>
    <x:row r="4750">
      <x:c r="D4750" s="99"/>
      <x:c r="E4750" s="99"/>
    </x:row>
    <x:row r="4751">
      <x:c r="D4751" s="99"/>
      <x:c r="E4751" s="99"/>
    </x:row>
    <x:row r="4752">
      <x:c r="D4752" s="99"/>
      <x:c r="E4752" s="99"/>
    </x:row>
    <x:row r="4753">
      <x:c r="D4753" s="99"/>
      <x:c r="E4753" s="99"/>
    </x:row>
    <x:row r="4754">
      <x:c r="D4754" s="99"/>
      <x:c r="E4754" s="99"/>
    </x:row>
    <x:row r="4755">
      <x:c r="D4755" s="99"/>
      <x:c r="E4755" s="99"/>
    </x:row>
    <x:row r="4756">
      <x:c r="D4756" s="99"/>
      <x:c r="E4756" s="99"/>
    </x:row>
    <x:row r="4757">
      <x:c r="D4757" s="99"/>
      <x:c r="E4757" s="99"/>
    </x:row>
    <x:row r="4758">
      <x:c r="D4758" s="99"/>
      <x:c r="E4758" s="99"/>
    </x:row>
    <x:row r="4759">
      <x:c r="D4759" s="99"/>
      <x:c r="E4759" s="99"/>
    </x:row>
    <x:row r="4760">
      <x:c r="D4760" s="99"/>
      <x:c r="E4760" s="99"/>
    </x:row>
    <x:row r="4761">
      <x:c r="D4761" s="99"/>
      <x:c r="E4761" s="99"/>
    </x:row>
    <x:row r="4762">
      <x:c r="D4762" s="99"/>
      <x:c r="E4762" s="99"/>
    </x:row>
    <x:row r="4763">
      <x:c r="D4763" s="99"/>
      <x:c r="E4763" s="99"/>
    </x:row>
    <x:row r="4764">
      <x:c r="D4764" s="99"/>
      <x:c r="E4764" s="99"/>
    </x:row>
    <x:row r="4765">
      <x:c r="D4765" s="99"/>
      <x:c r="E4765" s="99"/>
    </x:row>
    <x:row r="4766">
      <x:c r="D4766" s="99"/>
      <x:c r="E4766" s="99"/>
    </x:row>
    <x:row r="4767">
      <x:c r="D4767" s="99"/>
      <x:c r="E4767" s="99"/>
    </x:row>
    <x:row r="4768">
      <x:c r="D4768" s="99"/>
      <x:c r="E4768" s="99"/>
    </x:row>
    <x:row r="4769">
      <x:c r="D4769" s="99"/>
      <x:c r="E4769" s="99"/>
    </x:row>
    <x:row r="4770">
      <x:c r="D4770" s="99"/>
      <x:c r="E4770" s="99"/>
    </x:row>
    <x:row r="4771">
      <x:c r="D4771" s="99"/>
      <x:c r="E4771" s="99"/>
    </x:row>
    <x:row r="4772">
      <x:c r="D4772" s="99"/>
      <x:c r="E4772" s="99"/>
    </x:row>
    <x:row r="4773">
      <x:c r="D4773" s="99"/>
      <x:c r="E4773" s="99"/>
    </x:row>
    <x:row r="4774">
      <x:c r="D4774" s="99"/>
      <x:c r="E4774" s="99"/>
    </x:row>
    <x:row r="4775">
      <x:c r="D4775" s="99"/>
      <x:c r="E4775" s="99"/>
    </x:row>
    <x:row r="4776">
      <x:c r="D4776" s="99"/>
      <x:c r="E4776" s="99"/>
    </x:row>
    <x:row r="4777">
      <x:c r="D4777" s="99"/>
      <x:c r="E4777" s="99"/>
    </x:row>
    <x:row r="4778">
      <x:c r="D4778" s="99"/>
      <x:c r="E4778" s="99"/>
    </x:row>
    <x:row r="4779">
      <x:c r="D4779" s="99"/>
      <x:c r="E4779" s="99"/>
    </x:row>
    <x:row r="4780">
      <x:c r="D4780" s="99"/>
      <x:c r="E4780" s="99"/>
    </x:row>
    <x:row r="4781">
      <x:c r="D4781" s="99"/>
      <x:c r="E4781" s="99"/>
    </x:row>
    <x:row r="4782">
      <x:c r="D4782" s="99"/>
      <x:c r="E4782" s="99"/>
    </x:row>
    <x:row r="4783">
      <x:c r="D4783" s="99"/>
      <x:c r="E4783" s="99"/>
    </x:row>
    <x:row r="4784">
      <x:c r="D4784" s="99"/>
      <x:c r="E4784" s="99"/>
    </x:row>
    <x:row r="4785">
      <x:c r="D4785" s="99"/>
      <x:c r="E4785" s="99"/>
    </x:row>
    <x:row r="4786">
      <x:c r="D4786" s="99"/>
      <x:c r="E4786" s="99"/>
    </x:row>
    <x:row r="4787">
      <x:c r="D4787" s="99"/>
      <x:c r="E4787" s="99"/>
    </x:row>
    <x:row r="4788">
      <x:c r="D4788" s="99"/>
      <x:c r="E4788" s="99"/>
    </x:row>
    <x:row r="4789">
      <x:c r="D4789" s="99"/>
      <x:c r="E4789" s="99"/>
    </x:row>
    <x:row r="4790">
      <x:c r="D4790" s="99"/>
      <x:c r="E4790" s="99"/>
    </x:row>
    <x:row r="4791">
      <x:c r="D4791" s="99"/>
      <x:c r="E4791" s="99"/>
    </x:row>
    <x:row r="4792">
      <x:c r="D4792" s="99"/>
      <x:c r="E4792" s="99"/>
    </x:row>
    <x:row r="4793">
      <x:c r="D4793" s="99"/>
      <x:c r="E4793" s="99"/>
    </x:row>
    <x:row r="4794">
      <x:c r="D4794" s="99"/>
      <x:c r="E4794" s="99"/>
    </x:row>
    <x:row r="4795">
      <x:c r="D4795" s="99"/>
      <x:c r="E4795" s="99"/>
    </x:row>
    <x:row r="4796">
      <x:c r="D4796" s="99"/>
      <x:c r="E4796" s="99"/>
    </x:row>
    <x:row r="4797">
      <x:c r="D4797" s="99"/>
      <x:c r="E4797" s="99"/>
    </x:row>
    <x:row r="4798">
      <x:c r="D4798" s="99"/>
      <x:c r="E4798" s="99"/>
    </x:row>
    <x:row r="4799">
      <x:c r="D4799" s="99"/>
      <x:c r="E4799" s="99"/>
    </x:row>
    <x:row r="4800">
      <x:c r="D4800" s="99"/>
      <x:c r="E4800" s="99"/>
    </x:row>
    <x:row r="4801">
      <x:c r="D4801" s="99"/>
      <x:c r="E4801" s="99"/>
    </x:row>
    <x:row r="4802">
      <x:c r="D4802" s="99"/>
      <x:c r="E4802" s="99"/>
    </x:row>
    <x:row r="4803">
      <x:c r="D4803" s="99"/>
      <x:c r="E4803" s="99"/>
    </x:row>
    <x:row r="4804">
      <x:c r="D4804" s="99"/>
      <x:c r="E4804" s="99"/>
    </x:row>
    <x:row r="4805">
      <x:c r="D4805" s="99"/>
      <x:c r="E4805" s="99"/>
    </x:row>
    <x:row r="4806">
      <x:c r="D4806" s="99"/>
      <x:c r="E4806" s="99"/>
    </x:row>
    <x:row r="4807">
      <x:c r="D4807" s="99"/>
      <x:c r="E4807" s="99"/>
    </x:row>
    <x:row r="4808">
      <x:c r="D4808" s="99"/>
      <x:c r="E4808" s="99"/>
    </x:row>
    <x:row r="4809">
      <x:c r="D4809" s="99"/>
      <x:c r="E4809" s="99"/>
    </x:row>
    <x:row r="4810">
      <x:c r="D4810" s="99"/>
      <x:c r="E4810" s="99"/>
    </x:row>
    <x:row r="4811">
      <x:c r="D4811" s="99"/>
      <x:c r="E4811" s="99"/>
    </x:row>
    <x:row r="4812">
      <x:c r="D4812" s="99"/>
      <x:c r="E4812" s="99"/>
    </x:row>
    <x:row r="4813">
      <x:c r="D4813" s="99"/>
      <x:c r="E4813" s="99"/>
    </x:row>
    <x:row r="4814">
      <x:c r="D4814" s="99"/>
      <x:c r="E4814" s="99"/>
    </x:row>
    <x:row r="4815">
      <x:c r="D4815" s="99"/>
      <x:c r="E4815" s="99"/>
    </x:row>
    <x:row r="4816">
      <x:c r="D4816" s="99"/>
      <x:c r="E4816" s="99"/>
    </x:row>
    <x:row r="4817">
      <x:c r="D4817" s="99"/>
      <x:c r="E4817" s="99"/>
    </x:row>
    <x:row r="4818">
      <x:c r="D4818" s="99"/>
      <x:c r="E4818" s="99"/>
    </x:row>
    <x:row r="4819">
      <x:c r="D4819" s="99"/>
      <x:c r="E4819" s="99"/>
    </x:row>
    <x:row r="4820">
      <x:c r="D4820" s="99"/>
      <x:c r="E4820" s="99"/>
    </x:row>
    <x:row r="4821">
      <x:c r="D4821" s="99"/>
      <x:c r="E4821" s="99"/>
    </x:row>
    <x:row r="4822">
      <x:c r="D4822" s="99"/>
      <x:c r="E4822" s="99"/>
    </x:row>
    <x:row r="4823">
      <x:c r="D4823" s="99"/>
      <x:c r="E4823" s="99"/>
    </x:row>
    <x:row r="4824">
      <x:c r="D4824" s="99"/>
      <x:c r="E4824" s="99"/>
    </x:row>
    <x:row r="4825">
      <x:c r="D4825" s="99"/>
      <x:c r="E4825" s="99"/>
    </x:row>
    <x:row r="4826">
      <x:c r="D4826" s="99"/>
      <x:c r="E4826" s="99"/>
    </x:row>
    <x:row r="4827">
      <x:c r="D4827" s="99"/>
      <x:c r="E4827" s="99"/>
    </x:row>
    <x:row r="4828">
      <x:c r="D4828" s="99"/>
      <x:c r="E4828" s="99"/>
    </x:row>
    <x:row r="4829">
      <x:c r="D4829" s="99"/>
      <x:c r="E4829" s="99"/>
    </x:row>
    <x:row r="4830">
      <x:c r="D4830" s="99"/>
      <x:c r="E4830" s="99"/>
    </x:row>
    <x:row r="4831">
      <x:c r="D4831" s="99"/>
      <x:c r="E4831" s="99"/>
    </x:row>
    <x:row r="4832">
      <x:c r="D4832" s="99"/>
      <x:c r="E4832" s="99"/>
    </x:row>
    <x:row r="4833">
      <x:c r="D4833" s="99"/>
      <x:c r="E4833" s="99"/>
    </x:row>
    <x:row r="4834">
      <x:c r="D4834" s="99"/>
      <x:c r="E4834" s="99"/>
    </x:row>
    <x:row r="4835">
      <x:c r="D4835" s="99"/>
      <x:c r="E4835" s="99"/>
    </x:row>
    <x:row r="4836">
      <x:c r="D4836" s="99"/>
      <x:c r="E4836" s="99"/>
    </x:row>
    <x:row r="4837">
      <x:c r="D4837" s="99"/>
      <x:c r="E4837" s="99"/>
    </x:row>
    <x:row r="4838">
      <x:c r="D4838" s="99"/>
      <x:c r="E4838" s="99"/>
    </x:row>
    <x:row r="4839">
      <x:c r="D4839" s="99"/>
      <x:c r="E4839" s="99"/>
    </x:row>
    <x:row r="4840">
      <x:c r="D4840" s="99"/>
      <x:c r="E4840" s="99"/>
    </x:row>
    <x:row r="4841">
      <x:c r="D4841" s="99"/>
      <x:c r="E4841" s="99"/>
    </x:row>
    <x:row r="4842">
      <x:c r="D4842" s="99"/>
      <x:c r="E4842" s="99"/>
    </x:row>
    <x:row r="4843">
      <x:c r="D4843" s="99"/>
      <x:c r="E4843" s="99"/>
    </x:row>
    <x:row r="4844">
      <x:c r="D4844" s="99"/>
      <x:c r="E4844" s="99"/>
    </x:row>
    <x:row r="4845">
      <x:c r="D4845" s="99"/>
      <x:c r="E4845" s="99"/>
    </x:row>
    <x:row r="4846">
      <x:c r="D4846" s="99"/>
      <x:c r="E4846" s="99"/>
    </x:row>
    <x:row r="4847">
      <x:c r="D4847" s="99"/>
      <x:c r="E4847" s="99"/>
    </x:row>
    <x:row r="4848">
      <x:c r="D4848" s="99"/>
      <x:c r="E4848" s="99"/>
    </x:row>
    <x:row r="4849">
      <x:c r="D4849" s="99"/>
      <x:c r="E4849" s="99"/>
    </x:row>
    <x:row r="4850">
      <x:c r="D4850" s="99"/>
      <x:c r="E4850" s="99"/>
    </x:row>
    <x:row r="4851">
      <x:c r="D4851" s="99"/>
      <x:c r="E4851" s="99"/>
    </x:row>
    <x:row r="4852">
      <x:c r="D4852" s="99"/>
      <x:c r="E4852" s="99"/>
    </x:row>
    <x:row r="4853">
      <x:c r="D4853" s="99"/>
      <x:c r="E4853" s="99"/>
    </x:row>
    <x:row r="4854">
      <x:c r="D4854" s="99"/>
      <x:c r="E4854" s="99"/>
    </x:row>
    <x:row r="4855">
      <x:c r="D4855" s="99"/>
      <x:c r="E4855" s="99"/>
    </x:row>
    <x:row r="4856">
      <x:c r="D4856" s="99"/>
      <x:c r="E4856" s="99"/>
    </x:row>
    <x:row r="4857">
      <x:c r="D4857" s="99"/>
      <x:c r="E4857" s="99"/>
    </x:row>
    <x:row r="4858">
      <x:c r="D4858" s="99"/>
      <x:c r="E4858" s="99"/>
    </x:row>
    <x:row r="4859">
      <x:c r="D4859" s="99"/>
      <x:c r="E4859" s="99"/>
    </x:row>
    <x:row r="4860">
      <x:c r="D4860" s="99"/>
      <x:c r="E4860" s="99"/>
    </x:row>
    <x:row r="4861">
      <x:c r="D4861" s="99"/>
      <x:c r="E4861" s="99"/>
    </x:row>
    <x:row r="4862">
      <x:c r="D4862" s="99"/>
      <x:c r="E4862" s="99"/>
    </x:row>
    <x:row r="4863">
      <x:c r="D4863" s="99"/>
      <x:c r="E4863" s="99"/>
    </x:row>
    <x:row r="4864">
      <x:c r="D4864" s="99"/>
      <x:c r="E4864" s="99"/>
    </x:row>
    <x:row r="4865">
      <x:c r="D4865" s="99"/>
      <x:c r="E4865" s="99"/>
    </x:row>
    <x:row r="4866">
      <x:c r="D4866" s="99"/>
      <x:c r="E4866" s="99"/>
    </x:row>
    <x:row r="4867">
      <x:c r="D4867" s="99"/>
      <x:c r="E4867" s="99"/>
    </x:row>
    <x:row r="4868">
      <x:c r="D4868" s="99"/>
      <x:c r="E4868" s="99"/>
    </x:row>
    <x:row r="4869">
      <x:c r="D4869" s="99"/>
      <x:c r="E4869" s="99"/>
    </x:row>
    <x:row r="4870">
      <x:c r="D4870" s="99"/>
      <x:c r="E4870" s="99"/>
    </x:row>
    <x:row r="4871">
      <x:c r="D4871" s="99"/>
      <x:c r="E4871" s="99"/>
    </x:row>
    <x:row r="4872">
      <x:c r="D4872" s="99"/>
      <x:c r="E4872" s="99"/>
    </x:row>
    <x:row r="4873">
      <x:c r="D4873" s="99"/>
      <x:c r="E4873" s="99"/>
    </x:row>
    <x:row r="4874">
      <x:c r="D4874" s="99"/>
      <x:c r="E4874" s="99"/>
    </x:row>
    <x:row r="4875">
      <x:c r="D4875" s="99"/>
      <x:c r="E4875" s="99"/>
    </x:row>
    <x:row r="4876">
      <x:c r="D4876" s="99"/>
      <x:c r="E4876" s="99"/>
    </x:row>
    <x:row r="4877">
      <x:c r="D4877" s="99"/>
      <x:c r="E4877" s="99"/>
    </x:row>
    <x:row r="4878">
      <x:c r="D4878" s="99"/>
      <x:c r="E4878" s="99"/>
    </x:row>
    <x:row r="4879">
      <x:c r="D4879" s="99"/>
      <x:c r="E4879" s="99"/>
    </x:row>
    <x:row r="4880">
      <x:c r="D4880" s="99"/>
      <x:c r="E4880" s="99"/>
    </x:row>
    <x:row r="4881">
      <x:c r="D4881" s="99"/>
      <x:c r="E4881" s="99"/>
    </x:row>
    <x:row r="4882">
      <x:c r="D4882" s="99"/>
      <x:c r="E4882" s="99"/>
    </x:row>
    <x:row r="4883">
      <x:c r="D4883" s="99"/>
      <x:c r="E4883" s="99"/>
    </x:row>
    <x:row r="4884">
      <x:c r="D4884" s="99"/>
      <x:c r="E4884" s="99"/>
    </x:row>
    <x:row r="4885">
      <x:c r="D4885" s="99"/>
      <x:c r="E4885" s="99"/>
    </x:row>
    <x:row r="4886">
      <x:c r="D4886" s="99"/>
      <x:c r="E4886" s="99"/>
    </x:row>
    <x:row r="4887">
      <x:c r="D4887" s="99"/>
      <x:c r="E4887" s="99"/>
    </x:row>
    <x:row r="4888">
      <x:c r="D4888" s="99"/>
      <x:c r="E4888" s="99"/>
    </x:row>
    <x:row r="4889">
      <x:c r="D4889" s="99"/>
      <x:c r="E4889" s="99"/>
    </x:row>
    <x:row r="4890">
      <x:c r="D4890" s="99"/>
      <x:c r="E4890" s="99"/>
    </x:row>
    <x:row r="4891">
      <x:c r="D4891" s="99"/>
      <x:c r="E4891" s="99"/>
    </x:row>
    <x:row r="4892">
      <x:c r="D4892" s="99"/>
      <x:c r="E4892" s="99"/>
    </x:row>
    <x:row r="4893">
      <x:c r="D4893" s="99"/>
      <x:c r="E4893" s="99"/>
    </x:row>
    <x:row r="4894">
      <x:c r="D4894" s="99"/>
      <x:c r="E4894" s="99"/>
    </x:row>
    <x:row r="4895">
      <x:c r="D4895" s="99"/>
      <x:c r="E4895" s="99"/>
    </x:row>
    <x:row r="4896">
      <x:c r="D4896" s="99"/>
      <x:c r="E4896" s="99"/>
    </x:row>
    <x:row r="4897">
      <x:c r="D4897" s="99"/>
      <x:c r="E4897" s="99"/>
    </x:row>
    <x:row r="4898">
      <x:c r="D4898" s="99"/>
      <x:c r="E4898" s="99"/>
    </x:row>
    <x:row r="4899">
      <x:c r="D4899" s="99"/>
      <x:c r="E4899" s="99"/>
    </x:row>
    <x:row r="4900">
      <x:c r="D4900" s="99"/>
      <x:c r="E4900" s="99"/>
    </x:row>
    <x:row r="4901">
      <x:c r="D4901" s="99"/>
      <x:c r="E4901" s="99"/>
    </x:row>
    <x:row r="4902">
      <x:c r="D4902" s="99"/>
      <x:c r="E4902" s="99"/>
    </x:row>
    <x:row r="4903">
      <x:c r="D4903" s="99"/>
      <x:c r="E4903" s="99"/>
    </x:row>
    <x:row r="4904">
      <x:c r="D4904" s="99"/>
      <x:c r="E4904" s="99"/>
    </x:row>
    <x:row r="4905">
      <x:c r="D4905" s="99"/>
      <x:c r="E4905" s="99"/>
    </x:row>
    <x:row r="4906">
      <x:c r="D4906" s="99"/>
      <x:c r="E4906" s="99"/>
    </x:row>
    <x:row r="4907">
      <x:c r="D4907" s="99"/>
      <x:c r="E4907" s="99"/>
    </x:row>
    <x:row r="4908">
      <x:c r="D4908" s="99"/>
      <x:c r="E4908" s="99"/>
    </x:row>
    <x:row r="4909">
      <x:c r="D4909" s="99"/>
      <x:c r="E4909" s="99"/>
    </x:row>
    <x:row r="4910">
      <x:c r="D4910" s="99"/>
      <x:c r="E4910" s="99"/>
    </x:row>
    <x:row r="4911">
      <x:c r="D4911" s="99"/>
      <x:c r="E4911" s="99"/>
    </x:row>
    <x:row r="4912">
      <x:c r="D4912" s="99"/>
      <x:c r="E4912" s="99"/>
    </x:row>
    <x:row r="4913">
      <x:c r="D4913" s="99"/>
      <x:c r="E4913" s="99"/>
    </x:row>
    <x:row r="4914">
      <x:c r="D4914" s="99"/>
      <x:c r="E4914" s="99"/>
    </x:row>
    <x:row r="4915">
      <x:c r="D4915" s="99"/>
      <x:c r="E4915" s="99"/>
    </x:row>
    <x:row r="4916">
      <x:c r="D4916" s="99"/>
      <x:c r="E4916" s="99"/>
    </x:row>
    <x:row r="4917">
      <x:c r="D4917" s="99"/>
      <x:c r="E4917" s="99"/>
    </x:row>
    <x:row r="4918">
      <x:c r="D4918" s="99"/>
      <x:c r="E4918" s="99"/>
    </x:row>
    <x:row r="4919">
      <x:c r="D4919" s="99"/>
      <x:c r="E4919" s="99"/>
    </x:row>
    <x:row r="4920">
      <x:c r="D4920" s="99"/>
      <x:c r="E4920" s="99"/>
    </x:row>
    <x:row r="4921">
      <x:c r="D4921" s="99"/>
      <x:c r="E4921" s="99"/>
    </x:row>
    <x:row r="4922">
      <x:c r="D4922" s="99"/>
      <x:c r="E4922" s="99"/>
    </x:row>
    <x:row r="4923">
      <x:c r="D4923" s="99"/>
      <x:c r="E4923" s="99"/>
    </x:row>
    <x:row r="4924">
      <x:c r="D4924" s="99"/>
      <x:c r="E4924" s="99"/>
    </x:row>
    <x:row r="4925">
      <x:c r="D4925" s="99"/>
      <x:c r="E4925" s="99"/>
    </x:row>
    <x:row r="4926">
      <x:c r="D4926" s="99"/>
      <x:c r="E4926" s="99"/>
    </x:row>
    <x:row r="4927">
      <x:c r="D4927" s="99"/>
      <x:c r="E4927" s="99"/>
    </x:row>
    <x:row r="4928">
      <x:c r="D4928" s="99"/>
      <x:c r="E4928" s="99"/>
    </x:row>
    <x:row r="4929">
      <x:c r="D4929" s="99"/>
      <x:c r="E4929" s="99"/>
    </x:row>
    <x:row r="4930">
      <x:c r="D4930" s="99"/>
      <x:c r="E4930" s="99"/>
    </x:row>
    <x:row r="4931">
      <x:c r="D4931" s="99"/>
      <x:c r="E4931" s="99"/>
    </x:row>
    <x:row r="4932">
      <x:c r="D4932" s="99"/>
      <x:c r="E4932" s="99"/>
    </x:row>
    <x:row r="4933">
      <x:c r="D4933" s="99"/>
      <x:c r="E4933" s="99"/>
    </x:row>
    <x:row r="4934">
      <x:c r="D4934" s="99"/>
      <x:c r="E4934" s="99"/>
    </x:row>
    <x:row r="4935">
      <x:c r="D4935" s="99"/>
      <x:c r="E4935" s="99"/>
    </x:row>
    <x:row r="4936">
      <x:c r="D4936" s="99"/>
      <x:c r="E4936" s="99"/>
    </x:row>
    <x:row r="4937">
      <x:c r="D4937" s="99"/>
      <x:c r="E4937" s="99"/>
    </x:row>
    <x:row r="4938">
      <x:c r="D4938" s="99"/>
      <x:c r="E4938" s="99"/>
    </x:row>
    <x:row r="4939">
      <x:c r="D4939" s="99"/>
      <x:c r="E4939" s="99"/>
    </x:row>
    <x:row r="4940">
      <x:c r="D4940" s="99"/>
      <x:c r="E4940" s="99"/>
    </x:row>
    <x:row r="4941">
      <x:c r="D4941" s="99"/>
      <x:c r="E4941" s="99"/>
    </x:row>
    <x:row r="4942">
      <x:c r="D4942" s="99"/>
      <x:c r="E4942" s="99"/>
    </x:row>
    <x:row r="4943">
      <x:c r="D4943" s="99"/>
      <x:c r="E4943" s="99"/>
    </x:row>
    <x:row r="4944">
      <x:c r="D4944" s="99"/>
      <x:c r="E4944" s="99"/>
    </x:row>
    <x:row r="4945">
      <x:c r="D4945" s="99"/>
      <x:c r="E4945" s="99"/>
    </x:row>
    <x:row r="4946">
      <x:c r="D4946" s="99"/>
      <x:c r="E4946" s="99"/>
    </x:row>
    <x:row r="4947">
      <x:c r="D4947" s="99"/>
      <x:c r="E4947" s="99"/>
    </x:row>
    <x:row r="4948">
      <x:c r="D4948" s="99"/>
      <x:c r="E4948" s="99"/>
    </x:row>
    <x:row r="4949">
      <x:c r="D4949" s="99"/>
      <x:c r="E4949" s="99"/>
    </x:row>
    <x:row r="4950">
      <x:c r="D4950" s="99"/>
      <x:c r="E4950" s="99"/>
    </x:row>
    <x:row r="4951">
      <x:c r="D4951" s="99"/>
      <x:c r="E4951" s="99"/>
    </x:row>
    <x:row r="4952">
      <x:c r="D4952" s="99"/>
      <x:c r="E4952" s="99"/>
    </x:row>
    <x:row r="4953">
      <x:c r="D4953" s="99"/>
      <x:c r="E4953" s="99"/>
    </x:row>
    <x:row r="4954">
      <x:c r="D4954" s="99"/>
      <x:c r="E4954" s="99"/>
    </x:row>
    <x:row r="4955">
      <x:c r="D4955" s="99"/>
      <x:c r="E4955" s="99"/>
    </x:row>
    <x:row r="4956">
      <x:c r="D4956" s="99"/>
      <x:c r="E4956" s="99"/>
    </x:row>
    <x:row r="4957">
      <x:c r="D4957" s="99"/>
      <x:c r="E4957" s="99"/>
    </x:row>
    <x:row r="4958">
      <x:c r="D4958" s="99"/>
      <x:c r="E4958" s="99"/>
    </x:row>
    <x:row r="4959">
      <x:c r="D4959" s="99"/>
      <x:c r="E4959" s="99"/>
    </x:row>
    <x:row r="4960">
      <x:c r="D4960" s="99"/>
      <x:c r="E4960" s="99"/>
    </x:row>
    <x:row r="4961">
      <x:c r="D4961" s="99"/>
      <x:c r="E4961" s="99"/>
    </x:row>
    <x:row r="4962">
      <x:c r="D4962" s="99"/>
      <x:c r="E4962" s="99"/>
    </x:row>
    <x:row r="4963">
      <x:c r="D4963" s="99"/>
      <x:c r="E4963" s="99"/>
    </x:row>
    <x:row r="4964">
      <x:c r="D4964" s="99"/>
      <x:c r="E4964" s="99"/>
    </x:row>
    <x:row r="4965">
      <x:c r="D4965" s="99"/>
      <x:c r="E4965" s="99"/>
    </x:row>
    <x:row r="4966">
      <x:c r="D4966" s="99"/>
      <x:c r="E4966" s="99"/>
    </x:row>
    <x:row r="4967">
      <x:c r="D4967" s="99"/>
      <x:c r="E4967" s="99"/>
    </x:row>
    <x:row r="4968">
      <x:c r="D4968" s="99"/>
      <x:c r="E4968" s="99"/>
    </x:row>
    <x:row r="4969">
      <x:c r="D4969" s="99"/>
      <x:c r="E4969" s="99"/>
    </x:row>
    <x:row r="4970">
      <x:c r="D4970" s="99"/>
      <x:c r="E4970" s="99"/>
    </x:row>
    <x:row r="4971">
      <x:c r="D4971" s="99"/>
      <x:c r="E4971" s="99"/>
    </x:row>
    <x:row r="4972">
      <x:c r="D4972" s="99"/>
      <x:c r="E4972" s="99"/>
    </x:row>
    <x:row r="4973">
      <x:c r="D4973" s="99"/>
      <x:c r="E4973" s="99"/>
    </x:row>
    <x:row r="4974">
      <x:c r="D4974" s="99"/>
      <x:c r="E4974" s="99"/>
    </x:row>
    <x:row r="4975">
      <x:c r="D4975" s="99"/>
      <x:c r="E4975" s="99"/>
    </x:row>
    <x:row r="4976">
      <x:c r="D4976" s="99"/>
      <x:c r="E4976" s="99"/>
    </x:row>
    <x:row r="4977">
      <x:c r="D4977" s="99"/>
      <x:c r="E4977" s="99"/>
    </x:row>
    <x:row r="4978">
      <x:c r="D4978" s="99"/>
      <x:c r="E4978" s="99"/>
    </x:row>
    <x:row r="4979">
      <x:c r="D4979" s="99"/>
      <x:c r="E4979" s="99"/>
    </x:row>
    <x:row r="4980">
      <x:c r="D4980" s="99"/>
      <x:c r="E4980" s="99"/>
    </x:row>
    <x:row r="4981">
      <x:c r="D4981" s="99"/>
      <x:c r="E4981" s="99"/>
    </x:row>
    <x:row r="4982">
      <x:c r="D4982" s="99"/>
      <x:c r="E4982" s="99"/>
    </x:row>
    <x:row r="4983">
      <x:c r="D4983" s="99"/>
      <x:c r="E4983" s="99"/>
    </x:row>
    <x:row r="4984">
      <x:c r="D4984" s="99"/>
      <x:c r="E4984" s="99"/>
    </x:row>
    <x:row r="4985">
      <x:c r="D4985" s="99"/>
      <x:c r="E4985" s="99"/>
    </x:row>
    <x:row r="4986">
      <x:c r="D4986" s="99"/>
      <x:c r="E4986" s="99"/>
    </x:row>
    <x:row r="4987">
      <x:c r="D4987" s="99"/>
      <x:c r="E4987" s="99"/>
    </x:row>
    <x:row r="4988">
      <x:c r="D4988" s="99"/>
      <x:c r="E4988" s="99"/>
    </x:row>
    <x:row r="4989">
      <x:c r="D4989" s="99"/>
      <x:c r="E4989" s="99"/>
    </x:row>
    <x:row r="4990">
      <x:c r="D4990" s="99"/>
      <x:c r="E4990" s="99"/>
    </x:row>
    <x:row r="4991">
      <x:c r="D4991" s="99"/>
      <x:c r="E4991" s="99"/>
    </x:row>
    <x:row r="4992">
      <x:c r="D4992" s="99"/>
      <x:c r="E4992" s="99"/>
    </x:row>
    <x:row r="4993">
      <x:c r="D4993" s="99"/>
      <x:c r="E4993" s="99"/>
    </x:row>
    <x:row r="4994">
      <x:c r="D4994" s="99"/>
      <x:c r="E4994" s="99"/>
    </x:row>
    <x:row r="4995">
      <x:c r="D4995" s="99"/>
      <x:c r="E4995" s="99"/>
    </x:row>
    <x:row r="4996">
      <x:c r="D4996" s="99"/>
      <x:c r="E4996" s="99"/>
    </x:row>
    <x:row r="4997">
      <x:c r="D4997" s="99"/>
      <x:c r="E4997" s="99"/>
    </x:row>
    <x:row r="4998">
      <x:c r="D4998" s="99"/>
      <x:c r="E4998" s="99"/>
    </x:row>
    <x:row r="4999">
      <x:c r="D4999" s="99"/>
      <x:c r="E4999" s="99"/>
    </x:row>
    <x:row r="5000">
      <x:c r="D5000" s="99"/>
      <x:c r="E5000" s="99"/>
    </x:row>
  </x:sheetData>
  <x:pageMargins left="0.7" right="0.7" top="0.75" bottom="0.75" header="0.3" footer="0.3"/>
</x:worksheet>
</file>

<file path=xl/worksheets/sheet66.xml><?xml version="1.0" encoding="utf-8"?>
<x:worksheet xmlns:x="http://schemas.openxmlformats.org/spreadsheetml/2006/main">
  <x:sheetFormatPr defaultRowHeight="15"/>
  <x:cols>
    <x:col min="1" max="1" width="32" hidden="0" customWidth="1"/>
    <x:col min="2" max="2" width="13" hidden="0" customWidth="1"/>
    <x:col min="3" max="3" width="13" hidden="0" customWidth="1"/>
    <x:col min="4" max="4" width="13" hidden="0" customWidth="1"/>
    <x:col min="5" max="5" width="14" hidden="0" customWidth="1"/>
    <x:col min="6" max="6" width="14" hidden="0" customWidth="1"/>
    <x:col min="7" max="7" width="14" hidden="0" customWidth="1"/>
    <x:col min="8" max="8" width="14" hidden="0" customWidth="1"/>
    <x:col min="9" max="9" width="18" hidden="0" customWidth="1"/>
    <x:col min="10" max="10" width="14" hidden="0" customWidth="1"/>
    <x:col min="12" max="12" width="2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s>
  <x:sheetData>
    <x:row r="1" ht="48" customHeight="1">
      <x:c r="A1" s="420" t="str">
        <x:v>NHÓM / CHỈ SỐ</x:v>
      </x:c>
      <x:c r="B1" s="420" t="str">
        <x:v>Tổng 2022+</x:v>
      </x:c>
      <x:c r="C1" s="420" t="str">
        <x:v>2022–2024</x:v>
      </x:c>
      <x:c r="D1" s="420" t="str">
        <x:v>2025–2026</x:v>
      </x:c>
      <x:c r="E1" s="420" t="str">
        <x:v>% 2022–24</x:v>
      </x:c>
      <x:c r="F1" s="420" t="str">
        <x:v>% 2025–26</x:v>
      </x:c>
      <x:c r="G1" s="420" t="str">
        <x:v>Δ điểm %</x:v>
      </x:c>
      <x:c r="H1" s="420" t="str">
        <x:v>Độ mới</x:v>
      </x:c>
      <x:c r="I1" s="420" t="str">
        <x:v>Hướng</x:v>
      </x:c>
      <x:c r="J1" s="420" t="str">
        <x:v>Độ tin cậy</x:v>
      </x:c>
      <x:c r="L1" s="423" t="str">
        <x:v>CỤM LỚN</x:v>
      </x:c>
      <x:c r="M1" s="423" t="str">
        <x:v>Số hồ sơ</x:v>
      </x:c>
      <x:c r="N1" s="423" t="str">
        <x:v>% 2022+</x:v>
      </x:c>
      <x:c r="O1" s="423" t="str">
        <x:v>% 2022–24</x:v>
      </x:c>
      <x:c r="P1" s="423" t="str">
        <x:v>% 2025–26</x:v>
      </x:c>
      <x:c r="Q1" s="423" t="str">
        <x:v>Δ điểm %</x:v>
      </x:c>
      <x:c r="R1" s="423" t="str">
        <x:v>Hướng</x:v>
      </x:c>
    </x:row>
    <x:row r="2">
      <x:c r="A2" t="str">
        <x:v>Dầu gội</x:v>
      </x:c>
      <x:c r="B2" t="n">
        <x:v>19</x:v>
      </x:c>
      <x:c r="C2" t="n">
        <x:v>18</x:v>
      </x:c>
      <x:c r="D2" t="n">
        <x:v>1</x:v>
      </x:c>
      <x:c r="E2" s="344" t="n">
        <x:v>0.2647058823529412</x:v>
      </x:c>
      <x:c r="F2" s="344" t="n">
        <x:v>0.023255813953488372</x:v>
      </x:c>
      <x:c r="G2" s="344" t="n">
        <x:v>-0.24145006839945282</x:v>
      </x:c>
      <x:c r="H2" s="344" t="n">
        <x:v>0.05263157894736842</x:v>
      </x:c>
      <x:c r="I2" t="str">
        <x:v>▼ GIẢM</x:v>
      </x:c>
      <x:c r="J2" t="str">
        <x:v>CAO</x:v>
      </x:c>
      <x:c r="L2" t="str">
        <x:v>CHĂM SÓC TÓC</x:v>
      </x:c>
      <x:c r="M2" t="n">
        <x:v>52</x:v>
      </x:c>
      <x:c r="N2" s="344" t="n">
        <x:v>0.40310077519379844</x:v>
      </x:c>
      <x:c r="O2" s="344" t="n">
        <x:v>0.5609756097560976</x:v>
      </x:c>
      <x:c r="P2" s="344" t="n">
        <x:v>0.1276595744680851</x:v>
      </x:c>
      <x:c r="Q2" s="344" t="n">
        <x:v>-0.43331603528801255</x:v>
      </x:c>
      <x:c r="R2" t="str">
        <x:v>▼ GIẢM</x:v>
      </x:c>
    </x:row>
    <x:row r="3">
      <x:c r="A3" t="str">
        <x:v>Dầu xả</x:v>
      </x:c>
      <x:c r="B3" t="n">
        <x:v>10</x:v>
      </x:c>
      <x:c r="C3" t="n">
        <x:v>10</x:v>
      </x:c>
      <x:c r="D3" t="n">
        <x:v>0</x:v>
      </x:c>
      <x:c r="E3" s="344" t="n">
        <x:v>0.14705882352941177</x:v>
      </x:c>
      <x:c r="F3" s="344" t="n">
        <x:v>0</x:v>
      </x:c>
      <x:c r="G3" s="344" t="n">
        <x:v>-0.14705882352941177</x:v>
      </x:c>
      <x:c r="H3" s="344" t="n">
        <x:v>0</x:v>
      </x:c>
      <x:c r="I3" t="str">
        <x:v>▼ GIẢM</x:v>
      </x:c>
      <x:c r="J3" t="str">
        <x:v>CAO</x:v>
      </x:c>
      <x:c r="L3" t="str">
        <x:v>CHĂM SÓC DA</x:v>
      </x:c>
      <x:c r="M3" t="n">
        <x:v>32</x:v>
      </x:c>
      <x:c r="N3" s="344" t="n">
        <x:v>0.24806201550387597</x:v>
      </x:c>
      <x:c r="O3" s="344" t="n">
        <x:v>0.2804878048780488</x:v>
      </x:c>
      <x:c r="P3" s="344" t="n">
        <x:v>0.19148936170212766</x:v>
      </x:c>
      <x:c r="Q3" s="344" t="n">
        <x:v>-0.08899844317592115</x:v>
      </x:c>
      <x:c r="R3" t="str">
        <x:v>▼ GIẢM</x:v>
      </x:c>
    </x:row>
    <x:row r="4">
      <x:c r="A4" t="str">
        <x:v>Uốn/duỗi/giữ nếp tóc</x:v>
      </x:c>
      <x:c r="B4" t="n">
        <x:v>7</x:v>
      </x:c>
      <x:c r="C4" t="n">
        <x:v>7</x:v>
      </x:c>
      <x:c r="D4" t="n">
        <x:v>0</x:v>
      </x:c>
      <x:c r="E4" s="344" t="n">
        <x:v>0.10294117647058823</x:v>
      </x:c>
      <x:c r="F4" s="344" t="n">
        <x:v>0</x:v>
      </x:c>
      <x:c r="G4" s="344" t="n">
        <x:v>-0.10294117647058823</x:v>
      </x:c>
      <x:c r="H4" s="344" t="n">
        <x:v>0</x:v>
      </x:c>
      <x:c r="I4" t="str">
        <x:v>▼ GIẢM</x:v>
      </x:c>
      <x:c r="J4" t="str">
        <x:v>VỪA</x:v>
      </x:c>
      <x:c r="L4" t="str">
        <x:v>CƠ THỂ / CÁ NHÂN</x:v>
      </x:c>
      <x:c r="M4" t="n">
        <x:v>38</x:v>
      </x:c>
      <x:c r="N4" s="344" t="n">
        <x:v>0.29457364341085274</x:v>
      </x:c>
      <x:c r="O4" s="344" t="n">
        <x:v>0.12195121951219512</x:v>
      </x:c>
      <x:c r="P4" s="344" t="n">
        <x:v>0.5957446808510638</x:v>
      </x:c>
      <x:c r="Q4" s="344" t="n">
        <x:v>0.4737934613388687</x:v>
      </x:c>
      <x:c r="R4" t="str">
        <x:v>▲ TĂNG</x:v>
      </x:c>
    </x:row>
    <x:row r="5">
      <x:c r="A5" t="str">
        <x:v>Sữa rửa mặt</x:v>
      </x:c>
      <x:c r="B5" t="n">
        <x:v>5</x:v>
      </x:c>
      <x:c r="C5" t="n">
        <x:v>3</x:v>
      </x:c>
      <x:c r="D5" t="n">
        <x:v>2</x:v>
      </x:c>
      <x:c r="E5" s="344" t="n">
        <x:v>0.04411764705882353</x:v>
      </x:c>
      <x:c r="F5" s="344" t="n">
        <x:v>0.046511627906976744</x:v>
      </x:c>
      <x:c r="G5" s="344" t="n">
        <x:v>0.0023939808481532113</x:v>
      </x:c>
      <x:c r="H5" s="344" t="n">
        <x:v>0.4</x:v>
      </x:c>
      <x:c r="I5" t="str">
        <x:v>→ ỔN ĐỊNH</x:v>
      </x:c>
      <x:c r="J5" t="str">
        <x:v>VỪA</x:v>
      </x:c>
    </x:row>
    <x:row r="6">
      <x:c r="A6" t="str">
        <x:v>Kem body</x:v>
      </x:c>
      <x:c r="B6" t="n">
        <x:v>5</x:v>
      </x:c>
      <x:c r="C6" t="n">
        <x:v>1</x:v>
      </x:c>
      <x:c r="D6" t="n">
        <x:v>4</x:v>
      </x:c>
      <x:c r="E6" s="344" t="n">
        <x:v>0.014705882352941176</x:v>
      </x:c>
      <x:c r="F6" s="344" t="n">
        <x:v>0.09302325581395349</x:v>
      </x:c>
      <x:c r="G6" s="344" t="n">
        <x:v>0.07831737346101231</x:v>
      </x:c>
      <x:c r="H6" s="344" t="n">
        <x:v>0.8</x:v>
      </x:c>
      <x:c r="I6" t="str">
        <x:v>▲ TĂNG</x:v>
      </x:c>
      <x:c r="J6" t="str">
        <x:v>VỪA</x:v>
      </x:c>
    </x:row>
    <x:row r="7">
      <x:c r="A7" t="str">
        <x:v>Dung dịch vệ sinh</x:v>
      </x:c>
      <x:c r="B7" t="n">
        <x:v>3</x:v>
      </x:c>
      <x:c r="C7" t="n">
        <x:v>3</x:v>
      </x:c>
      <x:c r="D7" t="n">
        <x:v>0</x:v>
      </x:c>
      <x:c r="E7" s="344" t="n">
        <x:v>0.04411764705882353</x:v>
      </x:c>
      <x:c r="F7" s="344" t="n">
        <x:v>0</x:v>
      </x:c>
      <x:c r="G7" s="344" t="n">
        <x:v>-0.04411764705882353</x:v>
      </x:c>
      <x:c r="H7" s="344" t="n">
        <x:v>0</x:v>
      </x:c>
      <x:c r="I7" t="str">
        <x:v>• CHƯA ĐỦ MẪU</x:v>
      </x:c>
      <x:c r="J7" t="str">
        <x:v>THẤP</x:v>
      </x:c>
      <x:c r="L7" s="425" t="str">
        <x:v>Năm</x:v>
      </x:c>
      <x:c r="M7" s="425" t="n">
        <x:v>2022</x:v>
      </x:c>
      <x:c r="N7" s="425" t="n">
        <x:v>2023</x:v>
      </x:c>
      <x:c r="O7" s="425" t="n">
        <x:v>2024</x:v>
      </x:c>
      <x:c r="P7" s="425" t="n">
        <x:v>2025</x:v>
      </x:c>
      <x:c r="Q7" s="425" t="n">
        <x:v>2026</x:v>
      </x:c>
    </x:row>
    <x:row r="8">
      <x:c r="A8" t="str">
        <x:v>Kem dưỡng da</x:v>
      </x:c>
      <x:c r="B8" t="n">
        <x:v>5</x:v>
      </x:c>
      <x:c r="C8" t="n">
        <x:v>4</x:v>
      </x:c>
      <x:c r="D8" t="n">
        <x:v>1</x:v>
      </x:c>
      <x:c r="E8" s="344" t="n">
        <x:v>0.058823529411764705</x:v>
      </x:c>
      <x:c r="F8" s="344" t="n">
        <x:v>0.023255813953488372</x:v>
      </x:c>
      <x:c r="G8" s="344" t="n">
        <x:v>-0.03556771545827633</x:v>
      </x:c>
      <x:c r="H8" s="344" t="n">
        <x:v>0.2</x:v>
      </x:c>
      <x:c r="I8" t="str">
        <x:v>▼ GIẢM</x:v>
      </x:c>
      <x:c r="J8" t="str">
        <x:v>VỪA</x:v>
      </x:c>
      <x:c r="L8" t="str">
        <x:v>Số hồ sơ</x:v>
      </x:c>
      <x:c r="M8" t="n">
        <x:v>11</x:v>
      </x:c>
      <x:c r="N8" t="n">
        <x:v>14</x:v>
      </x:c>
      <x:c r="O8" t="n">
        <x:v>57</x:v>
      </x:c>
      <x:c r="P8" t="n">
        <x:v>24</x:v>
      </x:c>
      <x:c r="Q8" t="n">
        <x:v>23</x:v>
      </x:c>
    </x:row>
    <x:row r="9">
      <x:c r="A9" t="str">
        <x:v>Sữa tắm/Gel tắm</x:v>
      </x:c>
      <x:c r="B9" t="n">
        <x:v>8</x:v>
      </x:c>
      <x:c r="C9" t="n">
        <x:v>2</x:v>
      </x:c>
      <x:c r="D9" t="n">
        <x:v>6</x:v>
      </x:c>
      <x:c r="E9" s="344" t="n">
        <x:v>0.029411764705882353</x:v>
      </x:c>
      <x:c r="F9" s="344" t="n">
        <x:v>0.13953488372093023</x:v>
      </x:c>
      <x:c r="G9" s="344" t="n">
        <x:v>0.11012311901504787</x:v>
      </x:c>
      <x:c r="H9" s="344" t="n">
        <x:v>0.75</x:v>
      </x:c>
      <x:c r="I9" t="str">
        <x:v>▲ TĂNG</x:v>
      </x:c>
      <x:c r="J9" t="str">
        <x:v>VỪA</x:v>
      </x:c>
      <x:c r="L9" t="str">
        <x:v>Lưu ý</x:v>
      </x:c>
      <x:c r="M9" t="str">
        <x:v>Coverage nguồn không đồng đều</x:v>
      </x:c>
      <x:c r="N9" t="str"/>
      <x:c r="O9" t="str"/>
      <x:c r="P9" t="str"/>
      <x:c r="Q9" t="str"/>
    </x:row>
    <x:row r="10">
      <x:c r="A10" t="str">
        <x:v>Tạo kiểu tóc</x:v>
      </x:c>
      <x:c r="B10" t="n">
        <x:v>2</x:v>
      </x:c>
      <x:c r="C10" t="n">
        <x:v>2</x:v>
      </x:c>
      <x:c r="D10" t="n">
        <x:v>0</x:v>
      </x:c>
      <x:c r="E10" s="344" t="n">
        <x:v>0.029411764705882353</x:v>
      </x:c>
      <x:c r="F10" s="344" t="n">
        <x:v>0</x:v>
      </x:c>
      <x:c r="G10" s="344" t="n">
        <x:v>-0.029411764705882353</x:v>
      </x:c>
      <x:c r="H10" s="344" t="n">
        <x:v>0</x:v>
      </x:c>
      <x:c r="I10" t="str">
        <x:v>• CHƯA ĐỦ MẪU</x:v>
      </x:c>
      <x:c r="J10" t="str">
        <x:v>THẤP</x:v>
      </x:c>
    </x:row>
    <x:row r="11">
      <x:c r="A11" t="str">
        <x:v>Khác</x:v>
      </x:c>
      <x:c r="B11" t="n">
        <x:v>5</x:v>
      </x:c>
      <x:c r="C11" t="n">
        <x:v>4</x:v>
      </x:c>
      <x:c r="D11" t="n">
        <x:v>1</x:v>
      </x:c>
      <x:c r="E11" s="344" t="n">
        <x:v>0.058823529411764705</x:v>
      </x:c>
      <x:c r="F11" s="344" t="n">
        <x:v>0.023255813953488372</x:v>
      </x:c>
      <x:c r="G11" s="344" t="n">
        <x:v>-0.03556771545827633</x:v>
      </x:c>
      <x:c r="H11" s="344" t="n">
        <x:v>0.2</x:v>
      </x:c>
      <x:c r="I11" t="str">
        <x:v>▼ GIẢM</x:v>
      </x:c>
      <x:c r="J11" t="str">
        <x:v>VỪA</x:v>
      </x:c>
    </x:row>
    <x:row r="12">
      <x:c r="A12" t="str">
        <x:v>Kem chống nắng</x:v>
      </x:c>
      <x:c r="B12" t="n">
        <x:v>3</x:v>
      </x:c>
      <x:c r="C12" t="n">
        <x:v>3</x:v>
      </x:c>
      <x:c r="D12" t="n">
        <x:v>0</x:v>
      </x:c>
      <x:c r="E12" s="344" t="n">
        <x:v>0.04411764705882353</x:v>
      </x:c>
      <x:c r="F12" s="344" t="n">
        <x:v>0</x:v>
      </x:c>
      <x:c r="G12" s="344" t="n">
        <x:v>-0.04411764705882353</x:v>
      </x:c>
      <x:c r="H12" s="344" t="n">
        <x:v>0</x:v>
      </x:c>
      <x:c r="I12" t="str">
        <x:v>• CHƯA ĐỦ MẪU</x:v>
      </x:c>
      <x:c r="J12" t="str">
        <x:v>THẤP</x:v>
      </x:c>
    </x:row>
    <x:row r="13">
      <x:c r="A13" t="str">
        <x:v>Khử mùi</x:v>
      </x:c>
      <x:c r="B13" t="n">
        <x:v>5</x:v>
      </x:c>
      <x:c r="C13" t="n">
        <x:v>3</x:v>
      </x:c>
      <x:c r="D13" t="n">
        <x:v>2</x:v>
      </x:c>
      <x:c r="E13" s="344" t="n">
        <x:v>0.04411764705882353</x:v>
      </x:c>
      <x:c r="F13" s="344" t="n">
        <x:v>0.046511627906976744</x:v>
      </x:c>
      <x:c r="G13" s="344" t="n">
        <x:v>0.0023939808481532113</x:v>
      </x:c>
      <x:c r="H13" s="344" t="n">
        <x:v>0.4</x:v>
      </x:c>
      <x:c r="I13" t="str">
        <x:v>→ ỔN ĐỊNH</x:v>
      </x:c>
      <x:c r="J13" t="str">
        <x:v>VỪA</x:v>
      </x:c>
    </x:row>
    <x:row r="14">
      <x:c r="A14" t="str">
        <x:v>Ủ tóc/Hair mask</x:v>
      </x:c>
      <x:c r="B14" t="n">
        <x:v>1</x:v>
      </x:c>
      <x:c r="C14" t="n">
        <x:v>1</x:v>
      </x:c>
      <x:c r="D14" t="n">
        <x:v>0</x:v>
      </x:c>
      <x:c r="E14" s="344" t="n">
        <x:v>0.014705882352941176</x:v>
      </x:c>
      <x:c r="F14" s="344" t="n">
        <x:v>0</x:v>
      </x:c>
      <x:c r="G14" s="344" t="n">
        <x:v>-0.014705882352941176</x:v>
      </x:c>
      <x:c r="H14" s="344" t="n">
        <x:v>0</x:v>
      </x:c>
      <x:c r="I14" t="str">
        <x:v>• CHƯA ĐỦ MẪU</x:v>
      </x:c>
      <x:c r="J14" t="str">
        <x:v>THẤP</x:v>
      </x:c>
    </x:row>
    <x:row r="15">
      <x:c r="A15" t="str">
        <x:v>Nhuộm/tẩy màu tóc</x:v>
      </x:c>
      <x:c r="B15" t="n">
        <x:v>1</x:v>
      </x:c>
      <x:c r="C15" t="n">
        <x:v>1</x:v>
      </x:c>
      <x:c r="D15" t="n">
        <x:v>0</x:v>
      </x:c>
      <x:c r="E15" s="344" t="n">
        <x:v>0.014705882352941176</x:v>
      </x:c>
      <x:c r="F15" s="344" t="n">
        <x:v>0</x:v>
      </x:c>
      <x:c r="G15" s="344" t="n">
        <x:v>-0.014705882352941176</x:v>
      </x:c>
      <x:c r="H15" s="344" t="n">
        <x:v>0</x:v>
      </x:c>
      <x:c r="I15" t="str">
        <x:v>• CHƯA ĐỦ MẪU</x:v>
      </x:c>
      <x:c r="J15" t="str">
        <x:v>THẤP</x:v>
      </x:c>
    </x:row>
    <x:row r="16">
      <x:c r="A16" t="str">
        <x:v>Dưỡng tóc/Serum tóc</x:v>
      </x:c>
      <x:c r="B16" t="n">
        <x:v>4</x:v>
      </x:c>
      <x:c r="C16" t="n">
        <x:v>1</x:v>
      </x:c>
      <x:c r="D16" t="n">
        <x:v>3</x:v>
      </x:c>
      <x:c r="E16" s="344" t="n">
        <x:v>0.014705882352941176</x:v>
      </x:c>
      <x:c r="F16" s="344" t="n">
        <x:v>0.06976744186046512</x:v>
      </x:c>
      <x:c r="G16" s="344" t="n">
        <x:v>0.055061559507523936</x:v>
      </x:c>
      <x:c r="H16" s="344" t="n">
        <x:v>0.75</x:v>
      </x:c>
      <x:c r="I16" t="str">
        <x:v>▲ TĂNG</x:v>
      </x:c>
      <x:c r="J16" t="str">
        <x:v>THẤP</x:v>
      </x:c>
    </x:row>
    <x:row r="17">
      <x:c r="A17" t="str">
        <x:v>Nước hoa</x:v>
      </x:c>
      <x:c r="B17" t="n">
        <x:v>11</x:v>
      </x:c>
      <x:c r="C17" t="n">
        <x:v>0</x:v>
      </x:c>
      <x:c r="D17" t="n">
        <x:v>11</x:v>
      </x:c>
      <x:c r="E17" s="344" t="n">
        <x:v>0</x:v>
      </x:c>
      <x:c r="F17" s="344" t="n">
        <x:v>0.2558139534883721</x:v>
      </x:c>
      <x:c r="G17" s="344" t="n">
        <x:v>0.2558139534883721</x:v>
      </x:c>
      <x:c r="H17" s="344" t="n">
        <x:v>1</x:v>
      </x:c>
      <x:c r="I17" t="str">
        <x:v>▲ TĂNG</x:v>
      </x:c>
      <x:c r="J17" t="str">
        <x:v>CAO</x:v>
      </x:c>
    </x:row>
    <x:row r="18">
      <x:c r="A18" t="str">
        <x:v>Tẩy trang</x:v>
      </x:c>
      <x:c r="B18" t="n">
        <x:v>1</x:v>
      </x:c>
      <x:c r="C18" t="n">
        <x:v>1</x:v>
      </x:c>
      <x:c r="D18" t="n">
        <x:v>0</x:v>
      </x:c>
      <x:c r="E18" s="344" t="n">
        <x:v>0.014705882352941176</x:v>
      </x:c>
      <x:c r="F18" s="344" t="n">
        <x:v>0</x:v>
      </x:c>
      <x:c r="G18" s="344" t="n">
        <x:v>-0.014705882352941176</x:v>
      </x:c>
      <x:c r="H18" s="344" t="n">
        <x:v>0</x:v>
      </x:c>
      <x:c r="I18" t="str">
        <x:v>• CHƯA ĐỦ MẪU</x:v>
      </x:c>
      <x:c r="J18" t="str">
        <x:v>THẤP</x:v>
      </x:c>
    </x:row>
    <x:row r="19">
      <x:c r="A19" t="str">
        <x:v>Serum/Essence da</x:v>
      </x:c>
      <x:c r="B19" t="n">
        <x:v>5</x:v>
      </x:c>
      <x:c r="C19" t="n">
        <x:v>4</x:v>
      </x:c>
      <x:c r="D19" t="n">
        <x:v>1</x:v>
      </x:c>
      <x:c r="E19" s="344" t="n">
        <x:v>0.058823529411764705</x:v>
      </x:c>
      <x:c r="F19" s="344" t="n">
        <x:v>0.023255813953488372</x:v>
      </x:c>
      <x:c r="G19" s="344" t="n">
        <x:v>-0.03556771545827633</x:v>
      </x:c>
      <x:c r="H19" s="344" t="n">
        <x:v>0.2</x:v>
      </x:c>
      <x:c r="I19" t="str">
        <x:v>▼ GIẢM</x:v>
      </x:c>
      <x:c r="J19" t="str">
        <x:v>VỪA</x:v>
      </x:c>
    </x:row>
    <x:row r="20">
      <x:c r="A20" t="str">
        <x:v>Sản phẩm môi</x:v>
      </x:c>
      <x:c r="B20" t="n">
        <x:v>3</x:v>
      </x:c>
      <x:c r="C20" t="n">
        <x:v>0</x:v>
      </x:c>
      <x:c r="D20" t="n">
        <x:v>3</x:v>
      </x:c>
      <x:c r="E20" s="344" t="n">
        <x:v>0</x:v>
      </x:c>
      <x:c r="F20" s="344" t="n">
        <x:v>0.06976744186046512</x:v>
      </x:c>
      <x:c r="G20" s="344" t="n">
        <x:v>0.06976744186046512</x:v>
      </x:c>
      <x:c r="H20" s="344" t="n">
        <x:v>1</x:v>
      </x:c>
      <x:c r="I20" t="str">
        <x:v>• CHƯA ĐỦ MẪU</x:v>
      </x:c>
      <x:c r="J20" t="str">
        <x:v>THẤP</x:v>
      </x:c>
    </x:row>
    <x:row r="21">
      <x:c r="A21" t="str">
        <x:v>Chăm sóc răng miệng</x:v>
      </x:c>
      <x:c r="B21" t="n">
        <x:v>4</x:v>
      </x:c>
      <x:c r="C21" t="n">
        <x:v>0</x:v>
      </x:c>
      <x:c r="D21" t="n">
        <x:v>4</x:v>
      </x:c>
      <x:c r="E21" s="344" t="n">
        <x:v>0</x:v>
      </x:c>
      <x:c r="F21" s="344" t="n">
        <x:v>0.09302325581395349</x:v>
      </x:c>
      <x:c r="G21" s="344" t="n">
        <x:v>0.09302325581395349</x:v>
      </x:c>
      <x:c r="H21" s="344" t="n">
        <x:v>1</x:v>
      </x:c>
      <x:c r="I21" t="str">
        <x:v>▲ TĂNG</x:v>
      </x:c>
      <x:c r="J21" t="str">
        <x:v>THẤP</x:v>
      </x:c>
    </x:row>
    <x:row r="22">
      <x:c r="A22" t="str">
        <x:v>Mặt nạ</x:v>
      </x:c>
      <x:c r="B22" t="n">
        <x:v>4</x:v>
      </x:c>
      <x:c r="C22" t="n">
        <x:v>0</x:v>
      </x:c>
      <x:c r="D22" t="n">
        <x:v>4</x:v>
      </x:c>
      <x:c r="E22" s="344" t="n">
        <x:v>0</x:v>
      </x:c>
      <x:c r="F22" s="344" t="n">
        <x:v>0.09302325581395349</x:v>
      </x:c>
      <x:c r="G22" s="344" t="n">
        <x:v>0.09302325581395349</x:v>
      </x:c>
      <x:c r="H22" s="344" t="n">
        <x:v>1</x:v>
      </x:c>
      <x:c r="I22" t="str">
        <x:v>▲ TĂNG</x:v>
      </x:c>
      <x:c r="J22" t="str">
        <x:v>THẤP</x:v>
      </x:c>
    </x:row>
    <x:row r="23">
      <x:c r="A23"/>
      <x:c r="B23"/>
      <x:c r="C23"/>
      <x:c r="D23"/>
      <x:c r="E23" s="344"/>
      <x:c r="F23" s="344"/>
      <x:c r="G23" s="344"/>
      <x:c r="H23" s="344"/>
      <x:c r="I23"/>
      <x:c r="J23"/>
    </x:row>
    <x:row r="24">
      <x:c r="A24"/>
      <x:c r="B24"/>
      <x:c r="C24"/>
      <x:c r="D24"/>
      <x:c r="E24" s="344"/>
      <x:c r="F24" s="344"/>
      <x:c r="G24" s="344"/>
      <x:c r="H24" s="344"/>
      <x:c r="I24"/>
      <x:c r="J24"/>
    </x:row>
    <x:row r="25">
      <x:c r="A25"/>
      <x:c r="B25"/>
      <x:c r="C25"/>
      <x:c r="D25"/>
      <x:c r="E25" s="344"/>
      <x:c r="F25" s="344"/>
      <x:c r="G25" s="344"/>
      <x:c r="H25" s="344"/>
      <x:c r="I25"/>
      <x:c r="J25"/>
    </x:row>
    <x:row r="26">
      <x:c r="A26"/>
      <x:c r="B26"/>
      <x:c r="C26"/>
      <x:c r="D26"/>
      <x:c r="E26" s="344"/>
      <x:c r="F26" s="344"/>
      <x:c r="G26" s="344"/>
      <x:c r="H26" s="344"/>
      <x:c r="I26"/>
      <x:c r="J26"/>
    </x:row>
    <x:row r="27">
      <x:c r="A27"/>
      <x:c r="B27"/>
      <x:c r="C27"/>
      <x:c r="D27"/>
      <x:c r="E27" s="344"/>
      <x:c r="F27" s="344"/>
      <x:c r="G27" s="344"/>
      <x:c r="H27" s="344"/>
      <x:c r="I27"/>
      <x:c r="J27"/>
    </x:row>
    <x:row r="28">
      <x:c r="A28"/>
      <x:c r="B28"/>
      <x:c r="C28"/>
      <x:c r="D28"/>
      <x:c r="E28" s="344"/>
      <x:c r="F28" s="344"/>
      <x:c r="G28" s="344"/>
      <x:c r="H28" s="344"/>
      <x:c r="I28"/>
      <x:c r="J28"/>
    </x:row>
    <x:row r="29">
      <x:c r="A29"/>
      <x:c r="B29"/>
      <x:c r="C29"/>
      <x:c r="D29"/>
      <x:c r="E29" s="344"/>
      <x:c r="F29" s="344"/>
      <x:c r="G29" s="344"/>
      <x:c r="H29" s="344"/>
      <x:c r="I29"/>
      <x:c r="J29"/>
    </x:row>
    <x:row r="30">
      <x:c r="A30"/>
      <x:c r="B30"/>
      <x:c r="C30"/>
      <x:c r="D30"/>
      <x:c r="E30" s="344"/>
      <x:c r="F30" s="344"/>
      <x:c r="G30" s="344"/>
      <x:c r="H30" s="344"/>
      <x:c r="I30"/>
      <x:c r="J30"/>
    </x:row>
    <x:row r="34">
      <x:c r="A34" s="428" t="str">
        <x:v>DẦU GỘI – BRAND ĐANG THEO DÕI</x:v>
      </x:c>
      <x:c r="B34" s="428" t="str">
        <x:v>Tổng</x:v>
      </x:c>
      <x:c r="C34" s="428" t="str">
        <x:v>2022–24</x:v>
      </x:c>
      <x:c r="D34" s="428" t="str">
        <x:v>2025–26</x:v>
      </x:c>
      <x:c r="E34" s="428" t="str">
        <x:v>% trong Dầu gội</x:v>
      </x:c>
      <x:c r="F34" s="428" t="str">
        <x:v>% toàn 2022+</x:v>
      </x:c>
      <x:c r="G34" s="428" t="str">
        <x:v>Δ trong Dầu gội</x:v>
      </x:c>
      <x:c r="H34" s="428" t="str">
        <x:v>Hướng</x:v>
      </x:c>
    </x:row>
    <x:row r="35">
      <x:c r="A35" t="str">
        <x:v>VNUA</x:v>
      </x:c>
      <x:c r="B35" t="n">
        <x:v>3</x:v>
      </x:c>
      <x:c r="C35" t="n">
        <x:v>3</x:v>
      </x:c>
      <x:c r="D35" t="n">
        <x:v>0</x:v>
      </x:c>
      <x:c r="E35" s="344" t="n">
        <x:v>0.13043478260869565</x:v>
      </x:c>
      <x:c r="F35" s="344" t="n">
        <x:v>0.023255813953488372</x:v>
      </x:c>
      <x:c r="G35" s="344" t="n">
        <x:v>-0.13636363636363635</x:v>
      </x:c>
      <x:c r="H35" t="str">
        <x:v>▼ GIẢM</x:v>
      </x:c>
    </x:row>
    <x:row r="36">
      <x:c r="A36" t="str">
        <x:v>SÂM VIỆT NAM</x:v>
      </x:c>
      <x:c r="B36" t="n">
        <x:v>2</x:v>
      </x:c>
      <x:c r="C36" t="n">
        <x:v>2</x:v>
      </x:c>
      <x:c r="D36" t="n">
        <x:v>0</x:v>
      </x:c>
      <x:c r="E36" s="344" t="n">
        <x:v>0.08695652173913043</x:v>
      </x:c>
      <x:c r="F36" s="344" t="n">
        <x:v>0.015503875968992248</x:v>
      </x:c>
      <x:c r="G36" s="344" t="n">
        <x:v>-0.09090909090909091</x:v>
      </x:c>
      <x:c r="H36" t="str">
        <x:v>▼ GIẢM</x:v>
      </x:c>
    </x:row>
    <x:row r="37">
      <x:c r="A37" t="str">
        <x:v>MỘC THIÊN PHƯỚC</x:v>
      </x:c>
      <x:c r="B37" t="n">
        <x:v>2</x:v>
      </x:c>
      <x:c r="C37" t="n">
        <x:v>2</x:v>
      </x:c>
      <x:c r="D37" t="n">
        <x:v>0</x:v>
      </x:c>
      <x:c r="E37" s="344" t="n">
        <x:v>0.08695652173913043</x:v>
      </x:c>
      <x:c r="F37" s="344" t="n">
        <x:v>0.015503875968992248</x:v>
      </x:c>
      <x:c r="G37" s="344" t="n">
        <x:v>-0.09090909090909091</x:v>
      </x:c>
      <x:c r="H37" t="str">
        <x:v>▼ GIẢM</x:v>
      </x:c>
    </x:row>
    <x:row r="38">
      <x:c r="A38" t="str">
        <x:v>METTA SPA</x:v>
      </x:c>
      <x:c r="B38" t="n">
        <x:v>2</x:v>
      </x:c>
      <x:c r="C38" t="n">
        <x:v>2</x:v>
      </x:c>
      <x:c r="D38" t="n">
        <x:v>0</x:v>
      </x:c>
      <x:c r="E38" s="344" t="n">
        <x:v>0.08695652173913043</x:v>
      </x:c>
      <x:c r="F38" s="344" t="n">
        <x:v>0.015503875968992248</x:v>
      </x:c>
      <x:c r="G38" s="344" t="n">
        <x:v>-0.09090909090909091</x:v>
      </x:c>
      <x:c r="H38" t="str">
        <x:v>▼ GIẢM</x:v>
      </x:c>
    </x:row>
    <x:row r="39">
      <x:c r="A39" t="str">
        <x:v>Sâm Mộc</x:v>
      </x:c>
      <x:c r="B39" t="n">
        <x:v>1</x:v>
      </x:c>
      <x:c r="C39" t="n">
        <x:v>1</x:v>
      </x:c>
      <x:c r="D39" t="n">
        <x:v>0</x:v>
      </x:c>
      <x:c r="E39" s="344" t="n">
        <x:v>0.043478260869565216</x:v>
      </x:c>
      <x:c r="F39" s="344" t="n">
        <x:v>0.007751937984496124</x:v>
      </x:c>
      <x:c r="G39" s="344" t="n">
        <x:v>-0.045454545454545456</x:v>
      </x:c>
      <x:c r="H39" t="str">
        <x:v>→ THEO DÕI</x:v>
      </x:c>
    </x:row>
    <x:row r="40">
      <x:c r="A40" t="str">
        <x:v>Fresh</x:v>
      </x:c>
      <x:c r="B40" t="n">
        <x:v>1</x:v>
      </x:c>
      <x:c r="C40" t="n">
        <x:v>1</x:v>
      </x:c>
      <x:c r="D40" t="n">
        <x:v>0</x:v>
      </x:c>
      <x:c r="E40" s="344" t="n">
        <x:v>0.043478260869565216</x:v>
      </x:c>
      <x:c r="F40" s="344" t="n">
        <x:v>0.007751937984496124</x:v>
      </x:c>
      <x:c r="G40" s="344" t="n">
        <x:v>-0.045454545454545456</x:v>
      </x:c>
      <x:c r="H40" t="str">
        <x:v>→ THEO DÕI</x:v>
      </x:c>
    </x:row>
    <x:row r="41">
      <x:c r="A41" t="str">
        <x:v>Akzona</x:v>
      </x:c>
      <x:c r="B41" t="n">
        <x:v>1</x:v>
      </x:c>
      <x:c r="C41" t="n">
        <x:v>1</x:v>
      </x:c>
      <x:c r="D41" t="n">
        <x:v>0</x:v>
      </x:c>
      <x:c r="E41" s="344" t="n">
        <x:v>0.043478260869565216</x:v>
      </x:c>
      <x:c r="F41" s="344" t="n">
        <x:v>0.007751937984496124</x:v>
      </x:c>
      <x:c r="G41" s="344" t="n">
        <x:v>-0.045454545454545456</x:v>
      </x:c>
      <x:c r="H41" t="str">
        <x:v>→ THEO DÕI</x:v>
      </x:c>
    </x:row>
    <x:row r="42">
      <x:c r="A42" t="str">
        <x:v>Thorakao</x:v>
      </x:c>
      <x:c r="B42" t="n">
        <x:v>1</x:v>
      </x:c>
      <x:c r="C42" t="n">
        <x:v>1</x:v>
      </x:c>
      <x:c r="D42" t="n">
        <x:v>0</x:v>
      </x:c>
      <x:c r="E42" s="344" t="n">
        <x:v>0.043478260869565216</x:v>
      </x:c>
      <x:c r="F42" s="344" t="n">
        <x:v>0.007751937984496124</x:v>
      </x:c>
      <x:c r="G42" s="344" t="n">
        <x:v>-0.045454545454545456</x:v>
      </x:c>
      <x:c r="H42" t="str">
        <x:v>→ THEO DÕI</x:v>
      </x:c>
    </x:row>
    <x:row r="43">
      <x:c r="A43" t="str">
        <x:v>Maiv Thoj Brand</x:v>
      </x:c>
      <x:c r="B43" t="n">
        <x:v>1</x:v>
      </x:c>
      <x:c r="C43" t="n">
        <x:v>1</x:v>
      </x:c>
      <x:c r="D43" t="n">
        <x:v>0</x:v>
      </x:c>
      <x:c r="E43" s="344" t="n">
        <x:v>0.043478260869565216</x:v>
      </x:c>
      <x:c r="F43" s="344" t="n">
        <x:v>0.007751937984496124</x:v>
      </x:c>
      <x:c r="G43" s="344" t="n">
        <x:v>-0.045454545454545456</x:v>
      </x:c>
      <x:c r="H43" t="str">
        <x:v>→ THEO DÕI</x:v>
      </x:c>
    </x:row>
    <x:row r="44">
      <x:c r="A44" t="str">
        <x:v>PHÚC VĂN</x:v>
      </x:c>
      <x:c r="B44" t="n">
        <x:v>1</x:v>
      </x:c>
      <x:c r="C44" t="n">
        <x:v>1</x:v>
      </x:c>
      <x:c r="D44" t="n">
        <x:v>0</x:v>
      </x:c>
      <x:c r="E44" s="344" t="n">
        <x:v>0.043478260869565216</x:v>
      </x:c>
      <x:c r="F44" s="344" t="n">
        <x:v>0.007751937984496124</x:v>
      </x:c>
      <x:c r="G44" s="344" t="n">
        <x:v>-0.045454545454545456</x:v>
      </x:c>
      <x:c r="H44" t="str">
        <x:v>→ THEO DÕI</x:v>
      </x:c>
    </x:row>
    <x:row r="45">
      <x:c r="A45" t="str">
        <x:v>(Không rõ brand)</x:v>
      </x:c>
      <x:c r="B45" t="n">
        <x:v>1</x:v>
      </x:c>
      <x:c r="C45" t="n">
        <x:v>1</x:v>
      </x:c>
      <x:c r="D45" t="n">
        <x:v>0</x:v>
      </x:c>
      <x:c r="E45" s="344" t="n">
        <x:v>0.043478260869565216</x:v>
      </x:c>
      <x:c r="F45" s="344" t="n">
        <x:v>0.007751937984496124</x:v>
      </x:c>
      <x:c r="G45" s="344" t="n">
        <x:v>-0.045454545454545456</x:v>
      </x:c>
      <x:c r="H45" t="str">
        <x:v>→ THEO DÕI</x:v>
      </x:c>
    </x:row>
    <x:row r="46">
      <x:c r="A46" t="str">
        <x:v>VIN TH.ELEVATES NATURAL HERBALS</x:v>
      </x:c>
      <x:c r="B46" t="n">
        <x:v>1</x:v>
      </x:c>
      <x:c r="C46" t="n">
        <x:v>1</x:v>
      </x:c>
      <x:c r="D46" t="n">
        <x:v>0</x:v>
      </x:c>
      <x:c r="E46" s="344" t="n">
        <x:v>0.043478260869565216</x:v>
      </x:c>
      <x:c r="F46" s="344" t="n">
        <x:v>0.007751937984496124</x:v>
      </x:c>
      <x:c r="G46" s="344" t="n">
        <x:v>-0.045454545454545456</x:v>
      </x:c>
      <x:c r="H46" t="str">
        <x:v>→ THEO DÕI</x:v>
      </x:c>
    </x:row>
    <x:row r="48">
      <x:c r="A48" s="431" t="str">
        <x:v>CÁCH ĐỌC</x:v>
      </x:c>
      <x:c r="B48" s="431" t="str"/>
      <x:c r="C48" s="431" t="str"/>
      <x:c r="D48" s="431" t="str"/>
      <x:c r="E48" s="431" t="str"/>
      <x:c r="F48" s="431" t="str"/>
      <x:c r="G48" s="431" t="str"/>
      <x:c r="H48" s="431" t="str"/>
      <x:c r="I48" s="431" t="str"/>
      <x:c r="J48" s="431" t="str"/>
    </x:row>
    <x:row r="49">
      <x:c r="A49" s="340" t="str">
        <x:v>1</x:v>
      </x:c>
      <x:c r="B49" s="340" t="str">
        <x:v>Đây là cơ cấu hồ sơ công bố đã thu thập, KHÔNG phải market share doanh số.</x:v>
      </x:c>
      <x:c r="C49" s="340" t="str"/>
      <x:c r="D49" s="340" t="str"/>
      <x:c r="E49" s="340" t="str"/>
      <x:c r="F49" s="340" t="str"/>
      <x:c r="G49" s="340" t="str"/>
      <x:c r="H49" s="340" t="str"/>
      <x:c r="I49" s="340" t="str"/>
      <x:c r="J49" s="340" t="str"/>
    </x:row>
    <x:row r="50">
      <x:c r="A50" s="340" t="str">
        <x:v>2</x:v>
      </x:c>
      <x:c r="B50" s="340" t="str">
        <x:v>▲/▼ dựa trên chênh lệch tỷ trọng 2025–26 so với 2022–24; mẫu nhỏ được gắn CHƯA ĐỦ MẪU.</x:v>
      </x:c>
      <x:c r="C50" s="340" t="str"/>
      <x:c r="D50" s="340" t="str"/>
      <x:c r="E50" s="340" t="str"/>
      <x:c r="F50" s="340" t="str"/>
      <x:c r="G50" s="340" t="str"/>
      <x:c r="H50" s="340" t="str"/>
      <x:c r="I50" s="340" t="str"/>
      <x:c r="J50" s="340" t="str"/>
    </x:row>
    <x:row r="51">
      <x:c r="A51" s="340" t="str">
        <x:v>3</x:v>
      </x:c>
      <x:c r="B51" s="340" t="str">
        <x:v>Khi coverage nguồn tăng, radar này sẽ ngày càng gần với hướng thị trường thực tế hơn.</x:v>
      </x:c>
      <x:c r="C51" s="340" t="str"/>
      <x:c r="D51" s="340" t="str"/>
      <x:c r="E51" s="340" t="str"/>
      <x:c r="F51" s="340" t="str"/>
      <x:c r="G51" s="340" t="str"/>
      <x:c r="H51" s="340" t="str"/>
      <x:c r="I51" s="340" t="str"/>
      <x:c r="J51" s="340" t="str"/>
    </x:row>
  </x:sheetData>
  <x:conditionalFormatting sqref="G2:G30">
    <x:cfRule type="colorScale" priority="1">
      <x:colorScale>
        <x:cfvo type="min"/>
        <x:cfvo type="percentile" val="50"/>
        <x:cfvo type="max"/>
        <x:color rgb="FFFECACA"/>
        <x:color rgb="FFFEF3C7"/>
        <x:color rgb="FFDCFCE7"/>
      </x:colorScale>
    </x:cfRule>
  </x:conditionalFormatting>
  <x:conditionalFormatting sqref="H2:H30">
    <x:cfRule type="dataBar" priority="2">
      <x:dataBar>
        <x:cfvo type="min"/>
        <x:cfvo type="max"/>
        <x:color rgb="FFA02B93"/>
      </x:dataBar>
      <x:extLst>
        <x:ext xmlns:x14="http://schemas.microsoft.com/office/spreadsheetml/2009/9/main" uri="{B025F937-C7B1-47D3-B67F-A62EFF666E3E}">
          <x14:id>{F9454682-EDD2-1175-5C08-816EFF1FB170}</x14:id>
        </x:ext>
      </x:extLst>
    </x:cfRule>
  </x:conditionalFormatting>
  <x:conditionalFormatting sqref="I2:I30">
    <x:cfRule type="expression" dxfId="0" priority="3">
      <x:formula>LEFT(I2,1)="▲"</x:formula>
    </x:cfRule>
    <x:cfRule type="expression" dxfId="1" priority="4">
      <x:formula>LEFT(I2,1)="▼"</x:formula>
    </x:cfRule>
    <x:cfRule type="expression" dxfId="2" priority="5">
      <x:formula>LEFT(I2,1)="→"</x:formula>
    </x:cfRule>
  </x:conditionalFormatting>
  <x:conditionalFormatting sqref="G35:G46">
    <x:cfRule type="colorScale" priority="6">
      <x:colorScale>
        <x:cfvo type="min"/>
        <x:cfvo type="percentile" val="50"/>
        <x:cfvo type="max"/>
        <x:color rgb="FFFECACA"/>
        <x:color rgb="FFFEF3C7"/>
        <x:color rgb="FFDCFCE7"/>
      </x:colorScale>
    </x:cfRule>
  </x:conditionalFormatting>
  <x:pageMargins left="0.7" right="0.7" top="0.75" bottom="0.75" header="0.3" footer="0.3"/>
  <x:drawing xmlns:r="http://schemas.openxmlformats.org/officeDocument/2006/relationships" r:id="Rf82adb13c4eb45d4"/>
  <x:extLst>
    <x:ext xmlns:x14="http://schemas.microsoft.com/office/spreadsheetml/2009/9/main" xmlns:xm="http://schemas.microsoft.com/office/excel/2006/main" uri="{78C0D931-6437-407d-A8EE-F0AAD7539E65}">
      <x14:conditionalFormattings>
        <x14:conditionalFormatting>
          <x14:cfRule type="dataBar" priority="2" id="{F9454682-EDD2-1175-5C08-816EFF1FB170}">
            <x14:dataBar gradient="1">
              <x14:cfvo type="min"/>
              <x14:cfvo type="max"/>
              <x14:fillColor rgb="FFA02B93"/>
            </x14:dataBar>
          </x14:cfRule>
          <xm:sqref>H2:H30</xm:sqref>
        </x14:conditionalFormatting>
      </x14:conditionalFormattings>
    </x:ext>
  </x:extLst>
</x:worksheet>
</file>

<file path=xl/worksheets/sheet67.xml><?xml version="1.0" encoding="utf-8"?>
<x:worksheet xmlns:x="http://schemas.openxmlformats.org/spreadsheetml/2006/main">
  <x:sheetFormatPr defaultRowHeight="15"/>
  <x:cols>
    <x:col min="1" max="1" width="18" hidden="0" customWidth="1"/>
    <x:col min="2" max="2" width="90" hidden="0" customWidth="1"/>
    <x:col min="3" max="3" width="14" hidden="0" customWidth="1"/>
    <x:col min="4" max="4" width="18" hidden="0" customWidth="1"/>
    <x:col min="5" max="5" width="42" hidden="0" customWidth="1"/>
    <x:col min="6" max="6" width="60" hidden="0" customWidth="1"/>
    <x:col min="7" max="7" width="18" hidden="0" customWidth="1"/>
    <x:col min="8" max="8" width="62" hidden="0" customWidth="1"/>
    <x:col min="9" max="9" width="16" hidden="0" customWidth="1"/>
    <x:col min="10" max="10" width="18" hidden="0" customWidth="1"/>
    <x:col min="11" max="11" width="62" hidden="0" customWidth="1"/>
    <x:col min="12" max="12" width="14" hidden="0" customWidth="1"/>
    <x:col min="13" max="13" width="68" hidden="0" customWidth="1"/>
    <x:col min="14" max="14" width="42" hidden="0" customWidth="1"/>
  </x:cols>
  <x:sheetData>
    <x:row r="1" ht="48" customHeight="1">
      <x:c r="A1" s="463" t="str">
        <x:v>Trạng thái</x:v>
      </x:c>
      <x:c r="B1" s="463" t="str">
        <x:v>Số CBMP</x:v>
      </x:c>
      <x:c r="C1" s="463" t="str">
        <x:v>Ngày cấp</x:v>
      </x:c>
      <x:c r="D1" s="463" t="str">
        <x:v>Brand</x:v>
      </x:c>
      <x:c r="E1" s="463" t="str">
        <x:v>Tên sản phẩm</x:v>
      </x:c>
      <x:c r="F1" s="463" t="str">
        <x:v>Bằng chứng</x:v>
      </x:c>
      <x:c r="G1" s="463" t="str">
        <x:v>Đủ vào MASTER?</x:v>
      </x:c>
      <x:c r="H1" s="463" t="str">
        <x:v>Việc còn thiếu</x:v>
      </x:c>
      <x:c r="I1" s="454"/>
      <x:c r="J1" s="454"/>
      <x:c r="K1" s="454"/>
      <x:c r="L1" s="454"/>
      <x:c r="M1" s="454"/>
      <x:c r="N1" s="454"/>
      <x:c r="P1" s="457"/>
      <x:c r="Q1" s="457"/>
      <x:c r="R1" s="457"/>
      <x:c r="S1" s="457"/>
    </x:row>
    <x:row r="2">
      <x:c r="A2" t="str">
        <x:v>MỐC XÁC THỰC</x:v>
      </x:c>
      <x:c r="B2" t="str">
        <x:v>005915/26/CBMP-HCM</x:v>
      </x:c>
      <x:c r="C2" s="330" t="n">
        <x:v>46210</x:v>
      </x:c>
      <x:c r="D2" t="str">
        <x:v>GRATY</x:v>
      </x:c>
      <x:c r="E2" t="str">
        <x:v>COLLAGEN AND KERATIN SPRAY</x:v>
      </x:c>
      <x:c r="F2" s="330" t="str">
        <x:v>Ảnh Phiếu công bố có dấu/chữ ký do người dùng cung cấp</x:v>
      </x:c>
      <x:c r="G2" t="str">
        <x:v>CHƯA</x:v>
      </x:c>
      <x:c r="H2" t="str">
        <x:v>Công ty chịu trách nhiệm + nhà sản xuất + trang hồ sơ đầy đủ</x:v>
      </x:c>
      <x:c r="I2"/>
      <x:c r="J2"/>
      <x:c r="K2"/>
      <x:c r="L2"/>
      <x:c r="M2"/>
      <x:c r="N2"/>
      <x:c r="P2"/>
      <x:c r="Q2"/>
      <x:c r="R2"/>
      <x:c r="S2"/>
    </x:row>
    <x:row r="3">
      <x:c r="A3" t="str">
        <x:v>MỐC XÁC THỰC</x:v>
      </x:c>
      <x:c r="B3" t="str">
        <x:v>006016/26/CBMP-HCM</x:v>
      </x:c>
      <x:c r="C3" s="330" t="n">
        <x:v>46213</x:v>
      </x:c>
      <x:c r="D3" t="str">
        <x:v>LUSTAC</x:v>
      </x:c>
      <x:c r="E3" t="str">
        <x:v>BODY WASH PERFUME NO:03</x:v>
      </x:c>
      <x:c r="F3" s="330" t="str">
        <x:v>Ảnh Phiếu công bố có dấu/chữ ký do người dùng cung cấp</x:v>
      </x:c>
      <x:c r="G3" t="str">
        <x:v>CHƯA</x:v>
      </x:c>
      <x:c r="H3" t="str">
        <x:v>Công ty chịu trách nhiệm + nhà sản xuất + trang hồ sơ đầy đủ</x:v>
      </x:c>
      <x:c r="I3"/>
      <x:c r="J3"/>
      <x:c r="K3"/>
      <x:c r="L3"/>
      <x:c r="M3"/>
      <x:c r="N3"/>
      <x:c r="P3"/>
      <x:c r="Q3"/>
      <x:c r="R3"/>
      <x:c r="S3"/>
    </x:row>
    <x:row r="4">
      <x:c r="A4"/>
      <x:c r="B4"/>
      <x:c r="C4"/>
      <x:c r="D4"/>
      <x:c r="E4"/>
      <x:c r="F4" s="330"/>
      <x:c r="G4"/>
      <x:c r="H4"/>
      <x:c r="I4"/>
      <x:c r="J4"/>
      <x:c r="K4"/>
      <x:c r="L4"/>
      <x:c r="M4"/>
      <x:c r="N4"/>
      <x:c r="P4"/>
      <x:c r="Q4"/>
      <x:c r="R4"/>
      <x:c r="S4"/>
    </x:row>
    <x:row r="5">
      <x:c r="A5"/>
      <x:c r="B5"/>
      <x:c r="C5"/>
      <x:c r="D5"/>
      <x:c r="E5"/>
      <x:c r="F5" s="330"/>
      <x:c r="G5"/>
      <x:c r="H5"/>
      <x:c r="I5"/>
      <x:c r="J5"/>
      <x:c r="K5"/>
      <x:c r="L5"/>
      <x:c r="M5"/>
      <x:c r="N5"/>
      <x:c r="P5"/>
      <x:c r="Q5"/>
      <x:c r="R5"/>
      <x:c r="S5"/>
    </x:row>
    <x:row r="6">
      <x:c r="A6" s="466" t="str">
        <x:v>QUY TẮC QUÉT</x:v>
      </x:c>
      <x:c r="B6" s="466" t="str"/>
      <x:c r="C6"/>
      <x:c r="D6"/>
      <x:c r="E6"/>
      <x:c r="F6" s="330"/>
      <x:c r="G6"/>
      <x:c r="H6"/>
      <x:c r="I6"/>
      <x:c r="J6"/>
      <x:c r="K6"/>
      <x:c r="L6"/>
      <x:c r="M6"/>
      <x:c r="N6"/>
      <x:c r="P6"/>
      <x:c r="Q6"/>
      <x:c r="R6"/>
      <x:c r="S6"/>
    </x:row>
    <x:row r="7">
      <x:c r="A7" s="340" t="str">
        <x:v>1</x:v>
      </x:c>
      <x:c r="B7" s="340" t="str">
        <x:v>Chỉ dùng số thật đã xác minh làm mốc neo.</x:v>
      </x:c>
      <x:c r="C7"/>
      <x:c r="D7"/>
      <x:c r="E7"/>
      <x:c r="F7" s="330"/>
      <x:c r="G7"/>
      <x:c r="H7"/>
      <x:c r="I7"/>
      <x:c r="J7"/>
      <x:c r="K7"/>
      <x:c r="L7"/>
      <x:c r="M7"/>
      <x:c r="N7"/>
      <x:c r="P7"/>
      <x:c r="Q7"/>
      <x:c r="R7"/>
      <x:c r="S7"/>
    </x:row>
    <x:row r="8">
      <x:c r="A8" s="340" t="str">
        <x:v>2</x:v>
      </x:c>
      <x:c r="B8" s="340" t="str">
        <x:v>Có thể thử số liền trước/liền sau để TÌM; không tạo record cho số chưa tìm thấy.</x:v>
      </x:c>
      <x:c r="C8"/>
      <x:c r="D8"/>
      <x:c r="E8"/>
      <x:c r="F8" s="330"/>
      <x:c r="G8"/>
      <x:c r="H8"/>
      <x:c r="I8"/>
      <x:c r="J8"/>
      <x:c r="K8"/>
      <x:c r="L8"/>
      <x:c r="M8"/>
      <x:c r="N8"/>
      <x:c r="P8"/>
      <x:c r="Q8"/>
      <x:c r="R8"/>
      <x:c r="S8"/>
    </x:row>
    <x:row r="9">
      <x:c r="A9" s="340" t="str">
        <x:v>3</x:v>
      </x:c>
      <x:c r="B9" s="340" t="str">
        <x:v>Chỉ nhập MASTER khi có ít nhất: Số CBMP + Tên sản phẩm + Công ty chịu trách nhiệm + nguồn chính thống.</x:v>
      </x:c>
      <x:c r="C9"/>
      <x:c r="D9"/>
      <x:c r="E9"/>
      <x:c r="F9" s="330"/>
      <x:c r="G9"/>
      <x:c r="H9"/>
      <x:c r="I9"/>
      <x:c r="J9"/>
      <x:c r="K9"/>
      <x:c r="L9"/>
      <x:c r="M9"/>
      <x:c r="N9"/>
    </x:row>
    <x:row r="10">
      <x:c r="A10" s="340" t="str">
        <x:v>4</x:v>
      </x:c>
      <x:c r="B10" s="340" t="str">
        <x:v>Nếu portal hiển thị số bất thường, chuyển CHO_XAC_MINH cho tới khi có phiếu gốc/cross-check khác.</x:v>
      </x:c>
      <x:c r="C10"/>
      <x:c r="D10"/>
      <x:c r="E10"/>
      <x:c r="F10" s="330"/>
      <x:c r="G10"/>
      <x:c r="H10"/>
      <x:c r="I10"/>
      <x:c r="J10"/>
      <x:c r="K10"/>
      <x:c r="L10"/>
      <x:c r="M10"/>
      <x:c r="N10"/>
    </x:row>
    <x:row r="11">
      <x:c r="A11" s="340" t="str">
        <x:v>5</x:v>
      </x:c>
      <x:c r="B11" s="340" t="str">
        <x:v>Không suy sequence thành số lượng sản phẩm thị trường.</x:v>
      </x:c>
      <x:c r="F11" s="330"/>
    </x:row>
    <x:row r="12">
      <x:c r="A12" s="340" t="str">
        <x:v>6</x:v>
      </x:c>
      <x:c r="B12" s="340" t="str">
        <x:v>Mọi record MASTER phải qua exact-CBMP dedupe trước khi nhập.</x:v>
      </x:c>
      <x:c r="F12" s="330"/>
    </x:row>
    <x:row r="13">
      <x:c r="F13" s="330"/>
    </x:row>
    <x:row r="14">
      <x:c r="F14" s="330"/>
    </x:row>
    <x:row r="15">
      <x:c r="F15" s="330"/>
    </x:row>
    <x:row r="16">
      <x:c r="F16" s="330"/>
    </x:row>
    <x:row r="17">
      <x:c r="F17" s="330"/>
    </x:row>
    <x:row r="18">
      <x:c r="F18" s="330"/>
    </x:row>
    <x:row r="19">
      <x:c r="F19" s="330"/>
    </x:row>
    <x:row r="20">
      <x:c r="F20" s="330"/>
    </x:row>
  </x:sheetData>
  <x:pageMargins left="0.7" right="0.7" top="0.75" bottom="0.75" header="0.3" footer="0.3"/>
  <x:drawing xmlns:r="http://schemas.openxmlformats.org/officeDocument/2006/relationships" r:id="R64191cab3a204ace"/>
</x:worksheet>
</file>

<file path=xl/worksheets/sheet68.xml><?xml version="1.0" encoding="utf-8"?>
<x:worksheet xmlns:x="http://schemas.openxmlformats.org/spreadsheetml/2006/main">
  <x:sheetFormatPr defaultRowHeight="15"/>
  <x:cols>
    <x:col min="1" max="1" width="10" hidden="0" customWidth="1"/>
    <x:col min="2" max="2" width="52" hidden="0" customWidth="1"/>
    <x:col min="3" max="3" width="9" hidden="0" customWidth="1"/>
    <x:col min="4" max="4" width="14" hidden="0" customWidth="1"/>
    <x:col min="5" max="5" width="26" hidden="0" customWidth="1"/>
    <x:col min="6" max="6" width="48" hidden="0" customWidth="1"/>
    <x:col min="7" max="7" width="22" hidden="0" customWidth="1"/>
    <x:col min="8" max="8" width="48" hidden="0" customWidth="1"/>
    <x:col min="9" max="9" width="48" hidden="0" customWidth="1"/>
    <x:col min="10" max="10" width="20" hidden="0" customWidth="1"/>
    <x:col min="11" max="11" width="78" hidden="0" customWidth="1"/>
    <x:col min="12" max="12" width="26" hidden="0" customWidth="1"/>
    <x:col min="13" max="13" width="10" hidden="0" customWidth="1"/>
    <x:col min="14" max="14" width="64" hidden="0" customWidth="1"/>
  </x:cols>
  <x:sheetData>
    <x:row r="1" ht="48" customHeight="1">
      <x:c r="A1" s="462" t="str">
        <x:v>Q-ID</x:v>
      </x:c>
      <x:c r="B1" s="462" t="str">
        <x:v>Lý do loại khỏi MASTER</x:v>
      </x:c>
      <x:c r="C1" s="462" t="str">
        <x:v>Năm</x:v>
      </x:c>
      <x:c r="D1" s="462" t="str">
        <x:v>Ngày</x:v>
      </x:c>
      <x:c r="E1" s="462" t="str">
        <x:v>Số CBMP nguồn</x:v>
      </x:c>
      <x:c r="F1" s="462" t="str">
        <x:v>Tên sản phẩm</x:v>
      </x:c>
      <x:c r="G1" s="462" t="str">
        <x:v>Brand</x:v>
      </x:c>
      <x:c r="H1" s="462" t="str">
        <x:v>Công ty chịu trách nhiệm</x:v>
      </x:c>
      <x:c r="I1" s="462" t="str">
        <x:v>Nhà sản xuất</x:v>
      </x:c>
      <x:c r="J1" s="462" t="str">
        <x:v>Tỉnh/TP</x:v>
      </x:c>
      <x:c r="K1" s="462" t="str">
        <x:v>Nguồn</x:v>
      </x:c>
      <x:c r="L1" s="462" t="str">
        <x:v>Trạng thái</x:v>
      </x:c>
      <x:c r="M1" s="462" t="str">
        <x:v>Ưu tiên</x:v>
      </x:c>
      <x:c r="N1" s="462" t="str">
        <x:v>Hành động tiếp</x:v>
      </x:c>
    </x:row>
    <x:row r="2">
      <x:c r="A2" t="str">
        <x:v>Q-0001</x:v>
      </x:c>
      <x:c r="B2" t="str">
        <x:v>THIẾU SỐ CBMP</x:v>
      </x:c>
      <x:c r="C2" t="n">
        <x:v>2024</x:v>
      </x:c>
      <x:c r="D2" s="330" t="n">
        <x:v>45597</x:v>
      </x:c>
      <x:c r="E2"/>
      <x:c r="F2" t="str">
        <x:v>DẦU GỘI SÂM MỘC</x:v>
      </x:c>
      <x:c r="G2" t="str">
        <x:v>Sâm Mộc</x:v>
      </x:c>
      <x:c r="H2" t="str">
        <x:v>Công ty TNHH Đầu tư Thương mại Quốc tế Đông Nam</x:v>
      </x:c>
      <x:c r="I2"/>
      <x:c r="J2" t="str">
        <x:v>TP. Hồ Chí Minh</x:v>
      </x:c>
      <x:c r="K2" t="str">
        <x:v>https://qldichvuyte.medinet.gov.vn/my-pham/so-cong-bo-my-pham-tu-01112024-den-14032025-cmobile4606-72873.aspx</x:v>
      </x:c>
      <x:c r="L2" t="str">
        <x:v>KHÔNG TÍNH / CHỜ XÁC MINH</x:v>
      </x:c>
      <x:c r="M2" t="str">
        <x:v>A</x:v>
      </x:c>
      <x:c r="N2" t="str">
        <x:v>Truy bù số CBMP chính thức từ nguồn; chưa có số thì không đưa MASTER.</x:v>
      </x:c>
    </x:row>
    <x:row r="3">
      <x:c r="A3" t="str">
        <x:v>Q-0002</x:v>
      </x:c>
      <x:c r="B3" t="str">
        <x:v>THIẾU SỐ CBMP</x:v>
      </x:c>
      <x:c r="C3" t="n">
        <x:v>2024</x:v>
      </x:c>
      <x:c r="D3" s="330" t="n">
        <x:v>45597</x:v>
      </x:c>
      <x:c r="E3"/>
      <x:c r="F3" t="str">
        <x:v>SỮA RỬA MẶT</x:v>
      </x:c>
      <x:c r="G3"/>
      <x:c r="H3" t="str">
        <x:v>Công ty TNHH Dược phẩm Láp Việt Nam</x:v>
      </x:c>
      <x:c r="I3"/>
      <x:c r="J3" t="str">
        <x:v>TP. Hồ Chí Minh</x:v>
      </x:c>
      <x:c r="K3" t="str">
        <x:v>https://qldichvuyte.medinet.gov.vn/my-pham/so-cong-bo-my-pham-tu-01112024-den-14032025-cmobile4606-72873.aspx</x:v>
      </x:c>
      <x:c r="L3" t="str">
        <x:v>KHÔNG TÍNH / CHỜ XÁC MINH</x:v>
      </x:c>
      <x:c r="M3" t="str">
        <x:v>A</x:v>
      </x:c>
      <x:c r="N3" t="str">
        <x:v>Truy bù số CBMP chính thức từ nguồn; chưa có số thì không đưa MASTER.</x:v>
      </x:c>
    </x:row>
    <x:row r="4">
      <x:c r="A4" t="str">
        <x:v>Q-0003</x:v>
      </x:c>
      <x:c r="B4" t="str">
        <x:v>THIẾU SỐ CBMP</x:v>
      </x:c>
      <x:c r="C4" t="n">
        <x:v>2024</x:v>
      </x:c>
      <x:c r="D4" s="330" t="n">
        <x:v>45597</x:v>
      </x:c>
      <x:c r="E4"/>
      <x:c r="F4" t="str">
        <x:v>Body Beau'skin dưỡng trắng chống nắng SPF 45+</x:v>
      </x:c>
      <x:c r="G4" t="str">
        <x:v>Beau'skin</x:v>
      </x:c>
      <x:c r="H4" t="str">
        <x:v>Công ty TNHH T&amp;N BEAUTY</x:v>
      </x:c>
      <x:c r="I4"/>
      <x:c r="J4" t="str">
        <x:v>TP. Hồ Chí Minh</x:v>
      </x:c>
      <x:c r="K4" t="str">
        <x:v>https://qldichvuyte.medinet.gov.vn/my-pham/so-cong-bo-my-pham-tu-01112024-den-14032025-cmobile4606-72873.aspx</x:v>
      </x:c>
      <x:c r="L4" t="str">
        <x:v>KHÔNG TÍNH / CHỜ XÁC MINH</x:v>
      </x:c>
      <x:c r="M4" t="str">
        <x:v>A</x:v>
      </x:c>
      <x:c r="N4" t="str">
        <x:v>Truy bù số CBMP chính thức từ nguồn; chưa có số thì không đưa MASTER.</x:v>
      </x:c>
    </x:row>
    <x:row r="5">
      <x:c r="A5" t="str">
        <x:v>Q-0004</x:v>
      </x:c>
      <x:c r="B5" t="str">
        <x:v>THIẾU SỐ CBMP</x:v>
      </x:c>
      <x:c r="C5" t="n">
        <x:v>2024</x:v>
      </x:c>
      <x:c r="D5" s="330" t="n">
        <x:v>45603</x:v>
      </x:c>
      <x:c r="E5"/>
      <x:c r="F5" t="str">
        <x:v>KEM DƯỠNG TRẮNG CAO CẤP</x:v>
      </x:c>
      <x:c r="G5"/>
      <x:c r="H5" t="str">
        <x:v>Công ty TNHH WNB</x:v>
      </x:c>
      <x:c r="I5"/>
      <x:c r="J5" t="str">
        <x:v>TP. Hồ Chí Minh</x:v>
      </x:c>
      <x:c r="K5" t="str">
        <x:v>https://qldichvuyte.medinet.gov.vn/my-pham/so-cong-bo-my-pham-tu-01112024-den-14032025-cmobile4606-72873.aspx</x:v>
      </x:c>
      <x:c r="L5" t="str">
        <x:v>KHÔNG TÍNH / CHỜ XÁC MINH</x:v>
      </x:c>
      <x:c r="M5" t="str">
        <x:v>A</x:v>
      </x:c>
      <x:c r="N5" t="str">
        <x:v>Truy bù số CBMP chính thức từ nguồn; chưa có số thì không đưa MASTER.</x:v>
      </x:c>
    </x:row>
    <x:row r="6">
      <x:c r="A6" t="str">
        <x:v>Q-0005</x:v>
      </x:c>
      <x:c r="B6" t="str">
        <x:v>THIẾU SỐ CBMP</x:v>
      </x:c>
      <x:c r="C6" t="n">
        <x:v>2024</x:v>
      </x:c>
      <x:c r="D6" s="330" t="n">
        <x:v>45603</x:v>
      </x:c>
      <x:c r="E6"/>
      <x:c r="F6" t="str">
        <x:v>KEM DƯỠNG TRẮNG DA YOUNGONE</x:v>
      </x:c>
      <x:c r="G6" t="str">
        <x:v>Youngone</x:v>
      </x:c>
      <x:c r="H6" t="str">
        <x:v>Công ty TNHH Hóa Mỹ Phẩm Chi Chi</x:v>
      </x:c>
      <x:c r="I6"/>
      <x:c r="J6" t="str">
        <x:v>TP. Hồ Chí Minh</x:v>
      </x:c>
      <x:c r="K6" t="str">
        <x:v>https://qldichvuyte.medinet.gov.vn/my-pham/so-cong-bo-my-pham-tu-01112024-den-14032025-cmobile4606-72873.aspx</x:v>
      </x:c>
      <x:c r="L6" t="str">
        <x:v>KHÔNG TÍNH / CHỜ XÁC MINH</x:v>
      </x:c>
      <x:c r="M6" t="str">
        <x:v>A</x:v>
      </x:c>
      <x:c r="N6" t="str">
        <x:v>Truy bù số CBMP chính thức từ nguồn; chưa có số thì không đưa MASTER.</x:v>
      </x:c>
    </x:row>
    <x:row r="7">
      <x:c r="A7" t="str">
        <x:v>Q-0006</x:v>
      </x:c>
      <x:c r="B7" t="str">
        <x:v>THIẾU SỐ CBMP</x:v>
      </x:c>
      <x:c r="C7" t="n">
        <x:v>2024</x:v>
      </x:c>
      <x:c r="D7" s="330" t="n">
        <x:v>45294</x:v>
      </x:c>
      <x:c r="E7"/>
      <x:c r="F7" t="str">
        <x:v>Sữa rửa mặt tảo BHA</x:v>
      </x:c>
      <x:c r="G7"/>
      <x:c r="H7" t="str">
        <x:v>Công ty TNHH T&amp;N BEAUTY</x:v>
      </x:c>
      <x:c r="I7"/>
      <x:c r="J7" t="str">
        <x:v>TP. Hồ Chí Minh</x:v>
      </x:c>
      <x:c r="K7" t="str">
        <x:v>https://qldichvuyte.medinet.gov.vn/my-pham/danh-sach-cac-san-pham-da-cap-so-tiep-nhan-phieu-cong-bo-san-pham-my-pham-tu-th-cmobile4606-70632.aspx</x:v>
      </x:c>
      <x:c r="L7" t="str">
        <x:v>KHÔNG TÍNH / CHỜ XÁC MINH</x:v>
      </x:c>
      <x:c r="M7" t="str">
        <x:v>A</x:v>
      </x:c>
      <x:c r="N7" t="str">
        <x:v>Truy bù số CBMP chính thức từ nguồn; chưa có số thì không đưa MASTER.</x:v>
      </x:c>
    </x:row>
    <x:row r="8">
      <x:c r="A8" t="str">
        <x:v>Q-0007</x:v>
      </x:c>
      <x:c r="B8" t="str">
        <x:v>SỐ CBMP THIẾU NĂM – KHÔNG SUY ĐOÁN</x:v>
      </x:c>
      <x:c r="C8" t="n">
        <x:v>2023</x:v>
      </x:c>
      <x:c r="D8" s="330" t="n">
        <x:v>45168</x:v>
      </x:c>
      <x:c r="E8" t="str">
        <x:v>3735/CBMP-HCM</x:v>
      </x:c>
      <x:c r="F8" t="str">
        <x:v>Olee - Dầu xả</x:v>
      </x:c>
      <x:c r="G8" t="str">
        <x:v>Olee</x:v>
      </x:c>
      <x:c r="H8" t="str">
        <x:v>Công ty TNHH MTV Sản xuất Thương mại Mỹ phẩm Seven Nine</x:v>
      </x:c>
      <x:c r="I8"/>
      <x:c r="J8" t="str">
        <x:v>TP. Hồ Chí Minh</x:v>
      </x:c>
      <x:c r="K8" t="str">
        <x:v>https://qldichvuyte.medinet.gov.vn/my-pham/so-cong-bo-my-pham-cap-nhat-tu-01082023-den-17042024-cmobile4606-70522.aspx</x:v>
      </x:c>
      <x:c r="L8" t="str">
        <x:v>KHÔNG TÍNH / CHỜ XÁC MINH</x:v>
      </x:c>
      <x:c r="M8" t="str">
        <x:v>A</x:v>
      </x:c>
      <x:c r="N8" t="str">
        <x:v>Tìm ảnh Phiếu công bố gốc / tra cứu exact số + tên sản phẩm; chỉ đưa lại MASTER khi xác minh đủ số + công ty.</x:v>
      </x:c>
    </x:row>
    <x:row r="9">
      <x:c r="A9" t="str">
        <x:v>Q-0008</x:v>
      </x:c>
      <x:c r="B9" t="str">
        <x:v>THIẾU SỐ CBMP</x:v>
      </x:c>
      <x:c r="C9" t="n">
        <x:v>2023</x:v>
      </x:c>
      <x:c r="D9" s="330" t="n">
        <x:v>45152</x:v>
      </x:c>
      <x:c r="E9"/>
      <x:c r="F9" t="str">
        <x:v>SỮA RỬA MẶT</x:v>
      </x:c>
      <x:c r="G9"/>
      <x:c r="H9" t="str">
        <x:v>Công ty TNHH Mỹ phẩm Kim Du</x:v>
      </x:c>
      <x:c r="I9"/>
      <x:c r="J9" t="str">
        <x:v>TP. Hồ Chí Minh</x:v>
      </x:c>
      <x:c r="K9" t="str">
        <x:v>https://qldichvuyte.medinet.gov.vn/my-pham/so-cong-bo-my-pham-cap-nhat-tu-01082023-den-17042024-cmobile4606-70522.aspx</x:v>
      </x:c>
      <x:c r="L9" t="str">
        <x:v>KHÔNG TÍNH / CHỜ XÁC MINH</x:v>
      </x:c>
      <x:c r="M9" t="str">
        <x:v>A</x:v>
      </x:c>
      <x:c r="N9" t="str">
        <x:v>Truy bù số CBMP chính thức từ nguồn; chưa có số thì không đưa MASTER.</x:v>
      </x:c>
    </x:row>
    <x:row r="10">
      <x:c r="A10" t="str">
        <x:v>Q-0009</x:v>
      </x:c>
      <x:c r="B10" t="str">
        <x:v>THIẾU SỐ CBMP</x:v>
      </x:c>
      <x:c r="C10" t="n">
        <x:v>2023</x:v>
      </x:c>
      <x:c r="D10" s="330"/>
      <x:c r="E10"/>
      <x:c r="F10" t="str">
        <x:v>Fresh - Dầu gội Fresh ngăn ngừa gãy rụng tinh dầu bưởi</x:v>
      </x:c>
      <x:c r="G10" t="str">
        <x:v>Fresh</x:v>
      </x:c>
      <x:c r="H10" t="str">
        <x:v>Công ty Cổ phần Mỹ phẩm Sài Gòn</x:v>
      </x:c>
      <x:c r="I10"/>
      <x:c r="J10" t="str">
        <x:v>TP. Hồ Chí Minh</x:v>
      </x:c>
      <x:c r="K10" t="str">
        <x:v>https://qldichvuyte.medinet.gov.vn/my-pham/phieu-cong-bo-san-pham-my-pham-ngay-cap-nhat-ngay-15052023-cmobile4606-67531.aspx</x:v>
      </x:c>
      <x:c r="L10" t="str">
        <x:v>KHÔNG TÍNH / CHỜ XÁC MINH</x:v>
      </x:c>
      <x:c r="M10" t="str">
        <x:v>A</x:v>
      </x:c>
      <x:c r="N10" t="str">
        <x:v>Truy bù số CBMP chính thức từ nguồn; chưa có số thì không đưa MASTER.</x:v>
      </x:c>
    </x:row>
    <x:row r="11">
      <x:c r="A11" t="str">
        <x:v>Q-0010</x:v>
      </x:c>
      <x:c r="B11" t="str">
        <x:v>THIẾU SỐ CBMP</x:v>
      </x:c>
      <x:c r="C11" t="n">
        <x:v>2023</x:v>
      </x:c>
      <x:c r="D11" s="330"/>
      <x:c r="E11"/>
      <x:c r="F11" t="str">
        <x:v>Sunsilk - Dầu xả Sunsilk mềm mượt diệu kỳ</x:v>
      </x:c>
      <x:c r="G11" t="str">
        <x:v>Sunsilk</x:v>
      </x:c>
      <x:c r="H11" t="str">
        <x:v>Công ty Cổ phần Mỹ phẩm Sài Gòn</x:v>
      </x:c>
      <x:c r="I11"/>
      <x:c r="J11" t="str">
        <x:v>TP. Hồ Chí Minh</x:v>
      </x:c>
      <x:c r="K11" t="str">
        <x:v>https://qldichvuyte.medinet.gov.vn/my-pham/phieu-cong-bo-san-pham-my-pham-ngay-cap-nhat-ngay-15052023-cmobile4606-67531.aspx</x:v>
      </x:c>
      <x:c r="L11" t="str">
        <x:v>KHÔNG TÍNH / CHỜ XÁC MINH</x:v>
      </x:c>
      <x:c r="M11" t="str">
        <x:v>A</x:v>
      </x:c>
      <x:c r="N11" t="str">
        <x:v>Truy bù số CBMP chính thức từ nguồn; chưa có số thì không đưa MASTER.</x:v>
      </x:c>
    </x:row>
    <x:row r="12">
      <x:c r="A12" t="str">
        <x:v>Q-0011</x:v>
      </x:c>
      <x:c r="B12" t="str">
        <x:v>THIẾU SỐ CBMP</x:v>
      </x:c>
      <x:c r="C12" t="n">
        <x:v>2023</x:v>
      </x:c>
      <x:c r="D12" s="330"/>
      <x:c r="E12"/>
      <x:c r="F12" t="str">
        <x:v>Donovan - Sữa rửa mặt</x:v>
      </x:c>
      <x:c r="G12" t="str">
        <x:v>Donovan</x:v>
      </x:c>
      <x:c r="H12" t="str">
        <x:v>Công ty TNHH Mỹ phẩm Sam My</x:v>
      </x:c>
      <x:c r="I12"/>
      <x:c r="J12" t="str">
        <x:v>TP. Hồ Chí Minh</x:v>
      </x:c>
      <x:c r="K12" t="str">
        <x:v>https://qldichvuyte.medinet.gov.vn/my-pham/phieu-cong-bo-san-pham-my-pham-ngay-cap-nhat-ngay-15052023-cmobile4606-67531.aspx</x:v>
      </x:c>
      <x:c r="L12" t="str">
        <x:v>KHÔNG TÍNH / CHỜ XÁC MINH</x:v>
      </x:c>
      <x:c r="M12" t="str">
        <x:v>A</x:v>
      </x:c>
      <x:c r="N12" t="str">
        <x:v>Truy bù số CBMP chính thức từ nguồn; chưa có số thì không đưa MASTER.</x:v>
      </x:c>
    </x:row>
    <x:row r="13">
      <x:c r="A13" t="str">
        <x:v>Q-0012</x:v>
      </x:c>
      <x:c r="B13" t="str">
        <x:v>THIẾU SỐ CBMP</x:v>
      </x:c>
      <x:c r="C13" t="n">
        <x:v>2023</x:v>
      </x:c>
      <x:c r="D13" s="330"/>
      <x:c r="E13"/>
      <x:c r="F13" t="str">
        <x:v>Kina Skin - Sữa rửa mặt giữ ẩm da, giúp ngăn ngừa mụn</x:v>
      </x:c>
      <x:c r="G13" t="str">
        <x:v>Kina Skin</x:v>
      </x:c>
      <x:c r="H13" t="str">
        <x:v>Công ty Cổ phần Thương mại Xuất nhập khẩu Mạnh Phát</x:v>
      </x:c>
      <x:c r="I13"/>
      <x:c r="J13" t="str">
        <x:v>TP. Hồ Chí Minh</x:v>
      </x:c>
      <x:c r="K13" t="str">
        <x:v>https://qldichvuyte.medinet.gov.vn/my-pham/phieu-cong-bo-san-pham-my-pham-ngay-cap-nhat-ngay-09022023-cmobile4606-67216.aspx</x:v>
      </x:c>
      <x:c r="L13" t="str">
        <x:v>KHÔNG TÍNH / CHỜ XÁC MINH</x:v>
      </x:c>
      <x:c r="M13" t="str">
        <x:v>A</x:v>
      </x:c>
      <x:c r="N13" t="str">
        <x:v>Truy bù số CBMP chính thức từ nguồn; chưa có số thì không đưa MASTER.</x:v>
      </x:c>
    </x:row>
    <x:row r="14">
      <x:c r="A14" t="str">
        <x:v>Q-0013</x:v>
      </x:c>
      <x:c r="B14" t="str">
        <x:v>THIẾU SỐ CBMP</x:v>
      </x:c>
      <x:c r="C14" t="n">
        <x:v>2022</x:v>
      </x:c>
      <x:c r="D14" s="330"/>
      <x:c r="E14"/>
      <x:c r="F14" t="str">
        <x:v>Thorakao - Dầu gội chanh - sả - bạc hà</x:v>
      </x:c>
      <x:c r="G14" t="str">
        <x:v>Thorakao</x:v>
      </x:c>
      <x:c r="H14" t="str">
        <x:v>Công ty TNHH Sản xuất Mỹ phẩm Lan Hảo</x:v>
      </x:c>
      <x:c r="I14"/>
      <x:c r="J14" t="str">
        <x:v>TP. Hồ Chí Minh</x:v>
      </x:c>
      <x:c r="K14" t="str">
        <x:v>https://qldichvuyte.medinet.gov.vn/my-pham/phieu-cong-bo-san-pham-my-pham-ngay-cap-nhat-ngay-23072022-cmobile4606-66662.aspx</x:v>
      </x:c>
      <x:c r="L14" t="str">
        <x:v>KHÔNG TÍNH / CHỜ XÁC MINH</x:v>
      </x:c>
      <x:c r="M14" t="str">
        <x:v>A</x:v>
      </x:c>
      <x:c r="N14" t="str">
        <x:v>Truy bù số CBMP chính thức từ nguồn; chưa có số thì không đưa MASTER.</x:v>
      </x:c>
    </x:row>
    <x:row r="15">
      <x:c r="A15" t="str">
        <x:v>Q-0014</x:v>
      </x:c>
      <x:c r="B15" t="str">
        <x:v>THIẾU SỐ CBMP</x:v>
      </x:c>
      <x:c r="C15" t="n">
        <x:v>2022</x:v>
      </x:c>
      <x:c r="D15" s="330"/>
      <x:c r="E15"/>
      <x:c r="F15" t="str">
        <x:v>Maiv Thoj Brand - Dầu gội thảo mộc - MT</x:v>
      </x:c>
      <x:c r="G15" t="str">
        <x:v>Maiv Thoj Brand</x:v>
      </x:c>
      <x:c r="H15" t="str">
        <x:v>Công ty TNHH MTV Mỹ phẩm MAIV THOJ BRAND</x:v>
      </x:c>
      <x:c r="I15"/>
      <x:c r="J15" t="str">
        <x:v>TP. Hồ Chí Minh</x:v>
      </x:c>
      <x:c r="K15" t="str">
        <x:v>https://qldichvuyte.medinet.gov.vn/my-pham/phieu-cong-bo-san-pham-my-pham-ngay-cap-nhat-ngay-23052022-cmobile4606-65457.aspx</x:v>
      </x:c>
      <x:c r="L15" t="str">
        <x:v>KHÔNG TÍNH / CHỜ XÁC MINH</x:v>
      </x:c>
      <x:c r="M15" t="str">
        <x:v>A</x:v>
      </x:c>
      <x:c r="N15" t="str">
        <x:v>Truy bù số CBMP chính thức từ nguồn; chưa có số thì không đưa MASTER.</x:v>
      </x:c>
    </x:row>
    <x:row r="16">
      <x:c r="A16" t="str">
        <x:v>Q-0015</x:v>
      </x:c>
      <x:c r="B16" t="str">
        <x:v>THIẾU SỐ CBMP</x:v>
      </x:c>
      <x:c r="C16" t="n">
        <x:v>2022</x:v>
      </x:c>
      <x:c r="D16" s="330"/>
      <x:c r="E16"/>
      <x:c r="F16" t="str">
        <x:v>2M Skin - Kem chống nắng dưỡng trắng da SPF 50+ PA+++</x:v>
      </x:c>
      <x:c r="G16" t="str">
        <x:v>2M Skin</x:v>
      </x:c>
      <x:c r="H16" t="str">
        <x:v>Công ty TNHH Thương mại Quốc tế AMIRE &amp; K</x:v>
      </x:c>
      <x:c r="I16"/>
      <x:c r="J16" t="str">
        <x:v>TP. Hồ Chí Minh</x:v>
      </x:c>
      <x:c r="K16" t="str">
        <x:v>https://qldichvuyte.medinet.gov.vn/my-pham/phieu-cong-bo-san-pham-my-pham-ngay-cap-nhat-ngay-20062022-cmobile4606-66548.aspx</x:v>
      </x:c>
      <x:c r="L16" t="str">
        <x:v>KHÔNG TÍNH / CHỜ XÁC MINH</x:v>
      </x:c>
      <x:c r="M16" t="str">
        <x:v>A</x:v>
      </x:c>
      <x:c r="N16" t="str">
        <x:v>Truy bù số CBMP chính thức từ nguồn; chưa có số thì không đưa MASTER.</x:v>
      </x:c>
    </x:row>
    <x:row r="17">
      <x:c r="A17" t="str">
        <x:v>Q-0016</x:v>
      </x:c>
      <x:c r="B17" t="str">
        <x:v>THIẾU SỐ CBMP</x:v>
      </x:c>
      <x:c r="C17" t="n">
        <x:v>2021</x:v>
      </x:c>
      <x:c r="D17" s="330"/>
      <x:c r="E17"/>
      <x:c r="F17" t="str">
        <x:v>Sunsilk - Dầu xả Sunsilk Natural mềm mượt tỏa hương</x:v>
      </x:c>
      <x:c r="G17" t="str">
        <x:v>Sunsilk</x:v>
      </x:c>
      <x:c r="H17" t="str">
        <x:v>Công ty Cổ phần Mỹ phẩm Sài Gòn</x:v>
      </x:c>
      <x:c r="I17"/>
      <x:c r="J17" t="str">
        <x:v>TP. Hồ Chí Minh</x:v>
      </x:c>
      <x:c r="K17" t="str">
        <x:v>https://qldichvuyte.medinet.gov.vn/my-pham/phieu-cong-bo-san-pham-my-pham-ngay-cap-nhat-ngay-0752021-cmobile4606-65064.aspx</x:v>
      </x:c>
      <x:c r="L17" t="str">
        <x:v>KHÔNG TÍNH / CHỜ XÁC MINH</x:v>
      </x:c>
      <x:c r="M17" t="str">
        <x:v>A</x:v>
      </x:c>
      <x:c r="N17" t="str">
        <x:v>Truy bù số CBMP chính thức từ nguồn; chưa có số thì không đưa MASTER.</x:v>
      </x:c>
    </x:row>
    <x:row r="18">
      <x:c r="A18" t="str">
        <x:v>Q-0017</x:v>
      </x:c>
      <x:c r="B18" t="str">
        <x:v>THIẾU SỐ CBMP</x:v>
      </x:c>
      <x:c r="C18" t="n">
        <x:v>2020</x:v>
      </x:c>
      <x:c r="D18" s="330"/>
      <x:c r="E18"/>
      <x:c r="F18" t="str">
        <x:v>TD Skin - Kem Body dâu tằm</x:v>
      </x:c>
      <x:c r="G18" t="str">
        <x:v>TD Skin</x:v>
      </x:c>
      <x:c r="H18" t="str">
        <x:v>Công ty TNHH Mỹ phẩm TD Skin và Dịch vụ Thẩm mỹ viện Tú Dương</x:v>
      </x:c>
      <x:c r="I18"/>
      <x:c r="J18" t="str">
        <x:v>TP. Hồ Chí Minh</x:v>
      </x:c>
      <x:c r="K18" t="str">
        <x:v>https://qldichvuyte.medinet.gov.vn/my-pham/phieu-cong-bo-san-pham-my-pham-ngay-cap-nhat-ngay-16112020-cmobile4606-65001.aspx</x:v>
      </x:c>
      <x:c r="L18" t="str">
        <x:v>KHÔNG TÍNH / CHỜ XÁC MINH</x:v>
      </x:c>
      <x:c r="M18" t="str">
        <x:v>A</x:v>
      </x:c>
      <x:c r="N18" t="str">
        <x:v>Truy bù số CBMP chính thức từ nguồn; chưa có số thì không đưa MASTER.</x:v>
      </x:c>
    </x:row>
    <x:row r="19">
      <x:c r="A19" t="str">
        <x:v>Q-0018</x:v>
      </x:c>
      <x:c r="B19" t="str">
        <x:v>PORTAL HIỂN THỊ SỐ BẤT THƯỜNG – CHỜ ẢNH PHIẾU GỐC</x:v>
      </x:c>
      <x:c r="C19" t="n">
        <x:v>2026</x:v>
      </x:c>
      <x:c r="D19" s="330" t="n">
        <x:v>46119</x:v>
      </x:c>
      <x:c r="E19" t="str">
        <x:v>286026/26/CBMP-HCM</x:v>
      </x:c>
      <x:c r="F19" t="str">
        <x:v>BODY NIGHT NUVIA</x:v>
      </x:c>
      <x:c r="G19" t="str">
        <x:v>NANOVA COSMETIC</x:v>
      </x:c>
      <x:c r="H19" t="str">
        <x:v>CÔNG TY TNHH THƯƠNG MẠI LONG KHANG</x:v>
      </x:c>
      <x:c r="I19" t="str">
        <x:v>CÔNG TY TNHH HANACOS VIETNAM – CHI NHÁNH TÂN TẠO</x:v>
      </x:c>
      <x:c r="J19" t="str">
        <x:v>TP. Hồ Chí Minh</x:v>
      </x:c>
      <x:c r="K19" t="str">
        <x:v>https://tracuu.medinet.org.vn/category/cosodulieukhac/congbo-mypham</x:v>
      </x:c>
      <x:c r="L19" t="str">
        <x:v>KHÔNG TÍNH / CHỜ XÁC MINH</x:v>
      </x:c>
      <x:c r="M19" t="str">
        <x:v>A++</x:v>
      </x:c>
      <x:c r="N19" t="str">
        <x:v>Tìm ảnh Phiếu công bố gốc / tra cứu exact số + tên sản phẩm; chỉ đưa lại MASTER khi xác minh đủ số + công ty.</x:v>
      </x:c>
    </x:row>
    <x:row r="20">
      <x:c r="A20" t="str">
        <x:v>Q-0019</x:v>
      </x:c>
      <x:c r="B20" t="str">
        <x:v>PORTAL HIỂN THỊ SỐ BẤT THƯỜNG – CHỜ ẢNH PHIẾU GỐC</x:v>
      </x:c>
      <x:c r="C20" t="n">
        <x:v>2026</x:v>
      </x:c>
      <x:c r="D20" s="330" t="n">
        <x:v>46086</x:v>
      </x:c>
      <x:c r="E20" t="str">
        <x:v>0166426/26/CBMP-HCM</x:v>
      </x:c>
      <x:c r="F20" t="str">
        <x:v>MELASMA FADING INCI WHITENING CREAM</x:v>
      </x:c>
      <x:c r="G20" t="str">
        <x:v>18 GLOWIST</x:v>
      </x:c>
      <x:c r="H20" t="str">
        <x:v>CÔNG TY TNHH THƯƠNG MẠI DỊCH VỤ XUẤT NHẬP KHẨU MỘC PHÁT BEAUTY</x:v>
      </x:c>
      <x:c r="I20" t="str">
        <x:v>CHI NHÁNH TÂN TẠO – CÔNG TY CỔ PHẦN DƯỢC &amp; MỸ PHẨM GIA PHÚ</x:v>
      </x:c>
      <x:c r="J20" t="str">
        <x:v>TP. Hồ Chí Minh</x:v>
      </x:c>
      <x:c r="K20" t="str">
        <x:v>https://tracuu.medinet.org.vn/category/cosodulieukhac/congbo-mypham</x:v>
      </x:c>
      <x:c r="L20" t="str">
        <x:v>KHÔNG TÍNH / CHỜ XÁC MINH</x:v>
      </x:c>
      <x:c r="M20" t="str">
        <x:v>A++</x:v>
      </x:c>
      <x:c r="N20" t="str">
        <x:v>Tìm ảnh Phiếu công bố gốc / tra cứu exact số + tên sản phẩm; chỉ đưa lại MASTER khi xác minh đủ số + công ty.</x:v>
      </x:c>
    </x:row>
    <x:row r="21">
      <x:c r="A21" t="str">
        <x:v>Q-0020</x:v>
      </x:c>
      <x:c r="B21" t="str">
        <x:v>PORTAL HIỂN THỊ SỐ BẤT THƯỜNG – CHỜ ẢNH PHIẾU GỐC</x:v>
      </x:c>
      <x:c r="C21" t="n">
        <x:v>2026</x:v>
      </x:c>
      <x:c r="D21" s="330" t="n">
        <x:v>46086</x:v>
      </x:c>
      <x:c r="E21" t="str">
        <x:v>0169026/26/CBMP-HCM</x:v>
      </x:c>
      <x:c r="F21" t="str">
        <x:v>NƯỚC DƯỠNG TÓC TINH DẦU BƯỞI CAFUNÉ</x:v>
      </x:c>
      <x:c r="G21" t="str">
        <x:v>THE CAFUNÉ</x:v>
      </x:c>
      <x:c r="H21" t="str">
        <x:v>CÔNG TY CỔ PHẦN DƯỢC MỸ PHẨM CAFUNÉ</x:v>
      </x:c>
      <x:c r="I21" t="str">
        <x:v>CÔNG TY TNHH HANACOS VIETNAM – CHI NHÁNH TÂN TẠO</x:v>
      </x:c>
      <x:c r="J21" t="str">
        <x:v>TP. Hồ Chí Minh</x:v>
      </x:c>
      <x:c r="K21" t="str">
        <x:v>https://tracuu.medinet.org.vn/category/cosodulieukhac/congbo-mypham</x:v>
      </x:c>
      <x:c r="L21" t="str">
        <x:v>KHÔNG TÍNH / CHỜ XÁC MINH</x:v>
      </x:c>
      <x:c r="M21" t="str">
        <x:v>A++</x:v>
      </x:c>
      <x:c r="N21" t="str">
        <x:v>Tìm ảnh Phiếu công bố gốc / tra cứu exact số + tên sản phẩm; chỉ đưa lại MASTER khi xác minh đủ số + công ty.</x:v>
      </x:c>
    </x:row>
    <x:row r="22">
      <x:c r="A22" t="str">
        <x:v>Q-0021</x:v>
      </x:c>
      <x:c r="B22" t="str">
        <x:v>PORTAL HIỂN THỊ SỐ BẤT THƯỜNG – CHỜ ẢNH PHIẾU GỐC</x:v>
      </x:c>
      <x:c r="C22" t="n">
        <x:v>2026</x:v>
      </x:c>
      <x:c r="D22" s="330" t="n">
        <x:v>46066</x:v>
      </x:c>
      <x:c r="E22" t="str">
        <x:v>0127026/26/CBMP-HCM</x:v>
      </x:c>
      <x:c r="F22" t="str">
        <x:v>COLLAGEN NEURTALIZING CREAM</x:v>
      </x:c>
      <x:c r="G22" t="str">
        <x:v>TALENT PRO</x:v>
      </x:c>
      <x:c r="H22" t="str">
        <x:v>HỘ KINH DOANH BẢO DUY</x:v>
      </x:c>
      <x:c r="I22" t="str">
        <x:v>CHI NHÁNH CÔNG TY CỔ PHẦN SẢN XUẤT THƯƠNG MẠI DỊCH VỤ HOÀNG GIA HUY-XƯỞNG SẢN XUẤT</x:v>
      </x:c>
      <x:c r="J22" t="str">
        <x:v>TP. Hồ Chí Minh</x:v>
      </x:c>
      <x:c r="K22" t="str">
        <x:v>https://tracuu.medinet.org.vn/category/cosodulieukhac/congbo-mypham</x:v>
      </x:c>
      <x:c r="L22" t="str">
        <x:v>KHÔNG TÍNH / CHỜ XÁC MINH</x:v>
      </x:c>
      <x:c r="M22" t="str">
        <x:v>A++</x:v>
      </x:c>
      <x:c r="N22" t="str">
        <x:v>Tìm ảnh Phiếu công bố gốc / tra cứu exact số + tên sản phẩm; chỉ đưa lại MASTER khi xác minh đủ số + công ty.</x:v>
      </x:c>
    </x:row>
    <x:row r="23">
      <x:c r="A23" t="str">
        <x:v>Q-0022</x:v>
      </x:c>
      <x:c r="B23" t="str">
        <x:v>THIẾU CÔNG TY CHỊU TRÁCH NHIỆM; CHƯA CÓ URL/FILE HỒ SƠ ĐẦY ĐỦ TRONG WORKBOOK</x:v>
      </x:c>
      <x:c r="C23" t="n">
        <x:v>2026</x:v>
      </x:c>
      <x:c r="D23" s="330" t="n">
        <x:v>46210</x:v>
      </x:c>
      <x:c r="E23" t="str">
        <x:v>005915/26/CBMP-HCM</x:v>
      </x:c>
      <x:c r="F23" t="str">
        <x:v>COLLAGEN AND KERATIN SPRAY</x:v>
      </x:c>
      <x:c r="G23" t="str">
        <x:v>GRATY</x:v>
      </x:c>
      <x:c r="H23"/>
      <x:c r="I23"/>
      <x:c r="J23" t="str">
        <x:v>TP. Hồ Chí Minh</x:v>
      </x:c>
      <x:c r="K23"/>
      <x:c r="L23" t="str">
        <x:v>KHÔNG TÍNH / CHỜ XÁC MINH</x:v>
      </x:c>
      <x:c r="M23" t="str">
        <x:v>A++</x:v>
      </x:c>
      <x:c r="N23" t="str">
        <x:v>Tìm ảnh Phiếu công bố gốc / tra cứu exact số + tên sản phẩm; chỉ đưa lại MASTER khi xác minh đủ số + công ty.</x:v>
      </x:c>
    </x:row>
    <x:row r="24">
      <x:c r="A24" t="str">
        <x:v>Q-0023</x:v>
      </x:c>
      <x:c r="B24" t="str">
        <x:v>THIẾU CÔNG TY CHỊU TRÁCH NHIỆM; CHƯA CÓ URL/FILE HỒ SƠ ĐẦY ĐỦ TRONG WORKBOOK</x:v>
      </x:c>
      <x:c r="C24" t="n">
        <x:v>2026</x:v>
      </x:c>
      <x:c r="D24" s="330" t="n">
        <x:v>46213</x:v>
      </x:c>
      <x:c r="E24" t="str">
        <x:v>006016/26/CBMP-HCM</x:v>
      </x:c>
      <x:c r="F24" t="str">
        <x:v>BODY WASH PERFUME NO:03</x:v>
      </x:c>
      <x:c r="G24" t="str">
        <x:v>LUSTAC</x:v>
      </x:c>
      <x:c r="H24"/>
      <x:c r="I24"/>
      <x:c r="J24" t="str">
        <x:v>TP. Hồ Chí Minh</x:v>
      </x:c>
      <x:c r="K24"/>
      <x:c r="L24" t="str">
        <x:v>KHÔNG TÍNH / CHỜ XÁC MINH</x:v>
      </x:c>
      <x:c r="M24" t="str">
        <x:v>A++</x:v>
      </x:c>
      <x:c r="N24" t="str">
        <x:v>Tìm ảnh Phiếu công bố gốc / tra cứu exact số + tên sản phẩm; chỉ đưa lại MASTER khi xác minh đủ số + công ty.</x:v>
      </x:c>
    </x:row>
    <x:row r="25">
      <x:c r="D25" s="330"/>
    </x:row>
    <x:row r="26">
      <x:c r="D26" s="330"/>
    </x:row>
    <x:row r="27">
      <x:c r="D27" s="330"/>
    </x:row>
    <x:row r="28">
      <x:c r="D28" s="330"/>
    </x:row>
    <x:row r="29">
      <x:c r="D29" s="330"/>
    </x:row>
    <x:row r="30">
      <x:c r="D30" s="330"/>
    </x:row>
    <x:row r="31">
      <x:c r="D31" s="330"/>
    </x:row>
    <x:row r="32">
      <x:c r="D32" s="330"/>
    </x:row>
    <x:row r="33">
      <x:c r="D33" s="330"/>
    </x:row>
    <x:row r="34">
      <x:c r="D34" s="330"/>
    </x:row>
    <x:row r="35">
      <x:c r="D35" s="330"/>
    </x:row>
    <x:row r="36">
      <x:c r="D36" s="330"/>
    </x:row>
    <x:row r="37">
      <x:c r="D37" s="330"/>
    </x:row>
    <x:row r="38">
      <x:c r="D38" s="330"/>
    </x:row>
    <x:row r="39">
      <x:c r="D39" s="330"/>
    </x:row>
    <x:row r="40">
      <x:c r="D40" s="330"/>
    </x:row>
    <x:row r="41">
      <x:c r="D41" s="330"/>
    </x:row>
    <x:row r="42">
      <x:c r="D42" s="330"/>
    </x:row>
    <x:row r="43">
      <x:c r="D43" s="330"/>
    </x:row>
    <x:row r="44">
      <x:c r="D44" s="330"/>
    </x:row>
    <x:row r="45">
      <x:c r="D45" s="330"/>
    </x:row>
    <x:row r="46">
      <x:c r="D46" s="330"/>
    </x:row>
    <x:row r="47">
      <x:c r="D47" s="330"/>
    </x:row>
    <x:row r="48">
      <x:c r="D48" s="330"/>
    </x:row>
    <x:row r="49">
      <x:c r="D49" s="330"/>
    </x:row>
    <x:row r="50">
      <x:c r="D50" s="330"/>
    </x:row>
    <x:row r="51">
      <x:c r="D51" s="330"/>
    </x:row>
    <x:row r="52">
      <x:c r="D52" s="330"/>
    </x:row>
    <x:row r="53">
      <x:c r="D53" s="330"/>
    </x:row>
    <x:row r="54">
      <x:c r="D54" s="330"/>
    </x:row>
    <x:row r="55">
      <x:c r="D55" s="330"/>
    </x:row>
    <x:row r="56">
      <x:c r="D56" s="330"/>
    </x:row>
    <x:row r="57">
      <x:c r="D57" s="330"/>
    </x:row>
    <x:row r="58">
      <x:c r="D58" s="330"/>
    </x:row>
    <x:row r="59">
      <x:c r="D59" s="330"/>
    </x:row>
    <x:row r="60">
      <x:c r="D60" s="330"/>
    </x:row>
    <x:row r="61">
      <x:c r="D61" s="330"/>
    </x:row>
    <x:row r="62">
      <x:c r="D62" s="330"/>
    </x:row>
    <x:row r="63">
      <x:c r="D63" s="330"/>
    </x:row>
    <x:row r="64">
      <x:c r="D64" s="330"/>
    </x:row>
    <x:row r="65">
      <x:c r="D65" s="330"/>
    </x:row>
    <x:row r="66">
      <x:c r="D66" s="330"/>
    </x:row>
    <x:row r="67">
      <x:c r="D67" s="330"/>
    </x:row>
    <x:row r="68">
      <x:c r="D68" s="330"/>
    </x:row>
    <x:row r="69">
      <x:c r="D69" s="330"/>
    </x:row>
    <x:row r="70">
      <x:c r="D70" s="330"/>
    </x:row>
    <x:row r="71">
      <x:c r="D71" s="330"/>
    </x:row>
    <x:row r="72">
      <x:c r="D72" s="330"/>
    </x:row>
    <x:row r="73">
      <x:c r="D73" s="330"/>
    </x:row>
    <x:row r="74">
      <x:c r="D74" s="330"/>
    </x:row>
    <x:row r="75">
      <x:c r="D75" s="330"/>
    </x:row>
    <x:row r="76">
      <x:c r="D76" s="330"/>
    </x:row>
    <x:row r="77">
      <x:c r="D77" s="330"/>
    </x:row>
    <x:row r="78">
      <x:c r="D78" s="330"/>
    </x:row>
    <x:row r="79">
      <x:c r="D79" s="330"/>
    </x:row>
    <x:row r="80">
      <x:c r="D80" s="330"/>
    </x:row>
    <x:row r="81">
      <x:c r="D81" s="330"/>
    </x:row>
    <x:row r="82">
      <x:c r="D82" s="330"/>
    </x:row>
    <x:row r="83">
      <x:c r="D83" s="330"/>
    </x:row>
    <x:row r="84">
      <x:c r="D84" s="330"/>
    </x:row>
    <x:row r="85">
      <x:c r="D85" s="330"/>
    </x:row>
    <x:row r="86">
      <x:c r="D86" s="330"/>
    </x:row>
    <x:row r="87">
      <x:c r="D87" s="330"/>
    </x:row>
    <x:row r="88">
      <x:c r="D88" s="330"/>
    </x:row>
    <x:row r="89">
      <x:c r="D89" s="330"/>
    </x:row>
    <x:row r="90">
      <x:c r="D90" s="330"/>
    </x:row>
    <x:row r="91">
      <x:c r="D91" s="330"/>
    </x:row>
    <x:row r="92">
      <x:c r="D92" s="330"/>
    </x:row>
    <x:row r="93">
      <x:c r="D93" s="330"/>
    </x:row>
    <x:row r="94">
      <x:c r="D94" s="330"/>
    </x:row>
    <x:row r="95">
      <x:c r="D95" s="330"/>
    </x:row>
    <x:row r="96">
      <x:c r="D96" s="330"/>
    </x:row>
    <x:row r="97">
      <x:c r="D97" s="330"/>
    </x:row>
    <x:row r="98">
      <x:c r="D98" s="330"/>
    </x:row>
    <x:row r="99">
      <x:c r="D99" s="330"/>
    </x:row>
    <x:row r="100">
      <x:c r="D100" s="330"/>
    </x:row>
    <x:row r="101">
      <x:c r="D101" s="330"/>
    </x:row>
    <x:row r="102">
      <x:c r="D102" s="330"/>
    </x:row>
    <x:row r="103">
      <x:c r="D103" s="330"/>
    </x:row>
    <x:row r="104">
      <x:c r="D104" s="330"/>
    </x:row>
    <x:row r="105">
      <x:c r="D105" s="330"/>
    </x:row>
    <x:row r="106">
      <x:c r="D106" s="330"/>
    </x:row>
    <x:row r="107">
      <x:c r="D107" s="330"/>
    </x:row>
    <x:row r="108">
      <x:c r="D108" s="330"/>
    </x:row>
    <x:row r="109">
      <x:c r="D109" s="330"/>
    </x:row>
    <x:row r="110">
      <x:c r="D110" s="330"/>
    </x:row>
    <x:row r="111">
      <x:c r="D111" s="330"/>
    </x:row>
    <x:row r="112">
      <x:c r="D112" s="330"/>
    </x:row>
    <x:row r="113">
      <x:c r="D113" s="330"/>
    </x:row>
    <x:row r="114">
      <x:c r="D114" s="330"/>
    </x:row>
    <x:row r="115">
      <x:c r="D115" s="330"/>
    </x:row>
    <x:row r="116">
      <x:c r="D116" s="330"/>
    </x:row>
    <x:row r="117">
      <x:c r="D117" s="330"/>
    </x:row>
    <x:row r="118">
      <x:c r="D118" s="330"/>
    </x:row>
    <x:row r="119">
      <x:c r="D119" s="330"/>
    </x:row>
    <x:row r="120">
      <x:c r="D120" s="330"/>
    </x:row>
    <x:row r="121">
      <x:c r="D121" s="330"/>
    </x:row>
    <x:row r="122">
      <x:c r="D122" s="330"/>
    </x:row>
    <x:row r="123">
      <x:c r="D123" s="330"/>
    </x:row>
    <x:row r="124">
      <x:c r="D124" s="330"/>
    </x:row>
    <x:row r="125">
      <x:c r="D125" s="330"/>
    </x:row>
    <x:row r="126">
      <x:c r="D126" s="330"/>
    </x:row>
    <x:row r="127">
      <x:c r="D127" s="330"/>
    </x:row>
    <x:row r="128">
      <x:c r="D128" s="330"/>
    </x:row>
    <x:row r="129">
      <x:c r="D129" s="330"/>
    </x:row>
    <x:row r="130">
      <x:c r="D130" s="330"/>
    </x:row>
    <x:row r="131">
      <x:c r="D131" s="330"/>
    </x:row>
    <x:row r="132">
      <x:c r="D132" s="330"/>
    </x:row>
    <x:row r="133">
      <x:c r="D133" s="330"/>
    </x:row>
    <x:row r="134">
      <x:c r="D134" s="330"/>
    </x:row>
    <x:row r="135">
      <x:c r="D135" s="330"/>
    </x:row>
    <x:row r="136">
      <x:c r="D136" s="330"/>
    </x:row>
    <x:row r="137">
      <x:c r="D137" s="330"/>
    </x:row>
    <x:row r="138">
      <x:c r="D138" s="330"/>
    </x:row>
    <x:row r="139">
      <x:c r="D139" s="330"/>
    </x:row>
    <x:row r="140">
      <x:c r="D140" s="330"/>
    </x:row>
    <x:row r="141">
      <x:c r="D141" s="330"/>
    </x:row>
    <x:row r="142">
      <x:c r="D142" s="330"/>
    </x:row>
    <x:row r="143">
      <x:c r="D143" s="330"/>
    </x:row>
    <x:row r="144">
      <x:c r="D144" s="330"/>
    </x:row>
    <x:row r="145">
      <x:c r="D145" s="330"/>
    </x:row>
    <x:row r="146">
      <x:c r="D146" s="330"/>
    </x:row>
    <x:row r="147">
      <x:c r="D147" s="330"/>
    </x:row>
    <x:row r="148">
      <x:c r="D148" s="330"/>
    </x:row>
    <x:row r="149">
      <x:c r="D149" s="330"/>
    </x:row>
    <x:row r="150">
      <x:c r="D150" s="330"/>
    </x:row>
    <x:row r="151">
      <x:c r="D151" s="330"/>
    </x:row>
    <x:row r="152">
      <x:c r="D152" s="330"/>
    </x:row>
    <x:row r="153">
      <x:c r="D153" s="330"/>
    </x:row>
    <x:row r="154">
      <x:c r="D154" s="330"/>
    </x:row>
    <x:row r="155">
      <x:c r="D155" s="330"/>
    </x:row>
    <x:row r="156">
      <x:c r="D156" s="330"/>
    </x:row>
    <x:row r="157">
      <x:c r="D157" s="330"/>
    </x:row>
    <x:row r="158">
      <x:c r="D158" s="330"/>
    </x:row>
    <x:row r="159">
      <x:c r="D159" s="330"/>
    </x:row>
    <x:row r="160">
      <x:c r="D160" s="330"/>
    </x:row>
    <x:row r="161">
      <x:c r="D161" s="330"/>
    </x:row>
    <x:row r="162">
      <x:c r="D162" s="330"/>
    </x:row>
    <x:row r="163">
      <x:c r="D163" s="330"/>
    </x:row>
    <x:row r="164">
      <x:c r="D164" s="330"/>
    </x:row>
    <x:row r="165">
      <x:c r="D165" s="330"/>
    </x:row>
    <x:row r="166">
      <x:c r="D166" s="330"/>
    </x:row>
    <x:row r="167">
      <x:c r="D167" s="330"/>
    </x:row>
    <x:row r="168">
      <x:c r="D168" s="330"/>
    </x:row>
    <x:row r="169">
      <x:c r="D169" s="330"/>
    </x:row>
    <x:row r="170">
      <x:c r="D170" s="330"/>
    </x:row>
    <x:row r="171">
      <x:c r="D171" s="330"/>
    </x:row>
    <x:row r="172">
      <x:c r="D172" s="330"/>
    </x:row>
    <x:row r="173">
      <x:c r="D173" s="330"/>
    </x:row>
    <x:row r="174">
      <x:c r="D174" s="330"/>
    </x:row>
    <x:row r="175">
      <x:c r="D175" s="330"/>
    </x:row>
    <x:row r="176">
      <x:c r="D176" s="330"/>
    </x:row>
    <x:row r="177">
      <x:c r="D177" s="330"/>
    </x:row>
    <x:row r="178">
      <x:c r="D178" s="330"/>
    </x:row>
    <x:row r="179">
      <x:c r="D179" s="330"/>
    </x:row>
    <x:row r="180">
      <x:c r="D180" s="330"/>
    </x:row>
    <x:row r="181">
      <x:c r="D181" s="330"/>
    </x:row>
    <x:row r="182">
      <x:c r="D182" s="330"/>
    </x:row>
    <x:row r="183">
      <x:c r="D183" s="330"/>
    </x:row>
    <x:row r="184">
      <x:c r="D184" s="330"/>
    </x:row>
    <x:row r="185">
      <x:c r="D185" s="330"/>
    </x:row>
    <x:row r="186">
      <x:c r="D186" s="330"/>
    </x:row>
    <x:row r="187">
      <x:c r="D187" s="330"/>
    </x:row>
    <x:row r="188">
      <x:c r="D188" s="330"/>
    </x:row>
    <x:row r="189">
      <x:c r="D189" s="330"/>
    </x:row>
    <x:row r="190">
      <x:c r="D190" s="330"/>
    </x:row>
    <x:row r="191">
      <x:c r="D191" s="330"/>
    </x:row>
    <x:row r="192">
      <x:c r="D192" s="330"/>
    </x:row>
    <x:row r="193">
      <x:c r="D193" s="330"/>
    </x:row>
    <x:row r="194">
      <x:c r="D194" s="330"/>
    </x:row>
    <x:row r="195">
      <x:c r="D195" s="330"/>
    </x:row>
    <x:row r="196">
      <x:c r="D196" s="330"/>
    </x:row>
    <x:row r="197">
      <x:c r="D197" s="330"/>
    </x:row>
    <x:row r="198">
      <x:c r="D198" s="330"/>
    </x:row>
    <x:row r="199">
      <x:c r="D199" s="330"/>
    </x:row>
    <x:row r="200">
      <x:c r="D200" s="330"/>
    </x:row>
    <x:row r="201">
      <x:c r="D201" s="330"/>
    </x:row>
    <x:row r="202">
      <x:c r="D202" s="330"/>
    </x:row>
    <x:row r="203">
      <x:c r="D203" s="330"/>
    </x:row>
    <x:row r="204">
      <x:c r="D204" s="330"/>
    </x:row>
    <x:row r="205">
      <x:c r="D205" s="330"/>
    </x:row>
    <x:row r="206">
      <x:c r="D206" s="330"/>
    </x:row>
    <x:row r="207">
      <x:c r="D207" s="330"/>
    </x:row>
    <x:row r="208">
      <x:c r="D208" s="330"/>
    </x:row>
    <x:row r="209">
      <x:c r="D209" s="330"/>
    </x:row>
    <x:row r="210">
      <x:c r="D210" s="330"/>
    </x:row>
    <x:row r="211">
      <x:c r="D211" s="330"/>
    </x:row>
    <x:row r="212">
      <x:c r="D212" s="330"/>
    </x:row>
    <x:row r="213">
      <x:c r="D213" s="330"/>
    </x:row>
    <x:row r="214">
      <x:c r="D214" s="330"/>
    </x:row>
    <x:row r="215">
      <x:c r="D215" s="330"/>
    </x:row>
    <x:row r="216">
      <x:c r="D216" s="330"/>
    </x:row>
    <x:row r="217">
      <x:c r="D217" s="330"/>
    </x:row>
    <x:row r="218">
      <x:c r="D218" s="330"/>
    </x:row>
    <x:row r="219">
      <x:c r="D219" s="330"/>
    </x:row>
    <x:row r="220">
      <x:c r="D220" s="330"/>
    </x:row>
    <x:row r="221">
      <x:c r="D221" s="330"/>
    </x:row>
    <x:row r="222">
      <x:c r="D222" s="330"/>
    </x:row>
    <x:row r="223">
      <x:c r="D223" s="330"/>
    </x:row>
    <x:row r="224">
      <x:c r="D224" s="330"/>
    </x:row>
    <x:row r="225">
      <x:c r="D225" s="330"/>
    </x:row>
    <x:row r="226">
      <x:c r="D226" s="330"/>
    </x:row>
    <x:row r="227">
      <x:c r="D227" s="330"/>
    </x:row>
    <x:row r="228">
      <x:c r="D228" s="330"/>
    </x:row>
    <x:row r="229">
      <x:c r="D229" s="330"/>
    </x:row>
    <x:row r="230">
      <x:c r="D230" s="330"/>
    </x:row>
    <x:row r="231">
      <x:c r="D231" s="330"/>
    </x:row>
    <x:row r="232">
      <x:c r="D232" s="330"/>
    </x:row>
    <x:row r="233">
      <x:c r="D233" s="330"/>
    </x:row>
    <x:row r="234">
      <x:c r="D234" s="330"/>
    </x:row>
    <x:row r="235">
      <x:c r="D235" s="330"/>
    </x:row>
    <x:row r="236">
      <x:c r="D236" s="330"/>
    </x:row>
    <x:row r="237">
      <x:c r="D237" s="330"/>
    </x:row>
    <x:row r="238">
      <x:c r="D238" s="330"/>
    </x:row>
    <x:row r="239">
      <x:c r="D239" s="330"/>
    </x:row>
    <x:row r="240">
      <x:c r="D240" s="330"/>
    </x:row>
    <x:row r="241">
      <x:c r="D241" s="330"/>
    </x:row>
    <x:row r="242">
      <x:c r="D242" s="330"/>
    </x:row>
    <x:row r="243">
      <x:c r="D243" s="330"/>
    </x:row>
    <x:row r="244">
      <x:c r="D244" s="330"/>
    </x:row>
    <x:row r="245">
      <x:c r="D245" s="330"/>
    </x:row>
    <x:row r="246">
      <x:c r="D246" s="330"/>
    </x:row>
    <x:row r="247">
      <x:c r="D247" s="330"/>
    </x:row>
    <x:row r="248">
      <x:c r="D248" s="330"/>
    </x:row>
    <x:row r="249">
      <x:c r="D249" s="330"/>
    </x:row>
    <x:row r="250">
      <x:c r="D250" s="330"/>
    </x:row>
    <x:row r="251">
      <x:c r="D251" s="330"/>
    </x:row>
    <x:row r="252">
      <x:c r="D252" s="330"/>
    </x:row>
    <x:row r="253">
      <x:c r="D253" s="330"/>
    </x:row>
    <x:row r="254">
      <x:c r="D254" s="330"/>
    </x:row>
    <x:row r="255">
      <x:c r="D255" s="330"/>
    </x:row>
    <x:row r="256">
      <x:c r="D256" s="330"/>
    </x:row>
    <x:row r="257">
      <x:c r="D257" s="330"/>
    </x:row>
    <x:row r="258">
      <x:c r="D258" s="330"/>
    </x:row>
    <x:row r="259">
      <x:c r="D259" s="330"/>
    </x:row>
    <x:row r="260">
      <x:c r="D260" s="330"/>
    </x:row>
    <x:row r="261">
      <x:c r="D261" s="330"/>
    </x:row>
    <x:row r="262">
      <x:c r="D262" s="330"/>
    </x:row>
    <x:row r="263">
      <x:c r="D263" s="330"/>
    </x:row>
    <x:row r="264">
      <x:c r="D264" s="330"/>
    </x:row>
    <x:row r="265">
      <x:c r="D265" s="330"/>
    </x:row>
    <x:row r="266">
      <x:c r="D266" s="330"/>
    </x:row>
    <x:row r="267">
      <x:c r="D267" s="330"/>
    </x:row>
    <x:row r="268">
      <x:c r="D268" s="330"/>
    </x:row>
    <x:row r="269">
      <x:c r="D269" s="330"/>
    </x:row>
    <x:row r="270">
      <x:c r="D270" s="330"/>
    </x:row>
    <x:row r="271">
      <x:c r="D271" s="330"/>
    </x:row>
    <x:row r="272">
      <x:c r="D272" s="330"/>
    </x:row>
    <x:row r="273">
      <x:c r="D273" s="330"/>
    </x:row>
    <x:row r="274">
      <x:c r="D274" s="330"/>
    </x:row>
    <x:row r="275">
      <x:c r="D275" s="330"/>
    </x:row>
    <x:row r="276">
      <x:c r="D276" s="330"/>
    </x:row>
    <x:row r="277">
      <x:c r="D277" s="330"/>
    </x:row>
    <x:row r="278">
      <x:c r="D278" s="330"/>
    </x:row>
    <x:row r="279">
      <x:c r="D279" s="330"/>
    </x:row>
    <x:row r="280">
      <x:c r="D280" s="330"/>
    </x:row>
    <x:row r="281">
      <x:c r="D281" s="330"/>
    </x:row>
    <x:row r="282">
      <x:c r="D282" s="330"/>
    </x:row>
    <x:row r="283">
      <x:c r="D283" s="330"/>
    </x:row>
    <x:row r="284">
      <x:c r="D284" s="330"/>
    </x:row>
    <x:row r="285">
      <x:c r="D285" s="330"/>
    </x:row>
    <x:row r="286">
      <x:c r="D286" s="330"/>
    </x:row>
    <x:row r="287">
      <x:c r="D287" s="330"/>
    </x:row>
    <x:row r="288">
      <x:c r="D288" s="330"/>
    </x:row>
    <x:row r="289">
      <x:c r="D289" s="330"/>
    </x:row>
    <x:row r="290">
      <x:c r="D290" s="330"/>
    </x:row>
    <x:row r="291">
      <x:c r="D291" s="330"/>
    </x:row>
    <x:row r="292">
      <x:c r="D292" s="330"/>
    </x:row>
    <x:row r="293">
      <x:c r="D293" s="330"/>
    </x:row>
    <x:row r="294">
      <x:c r="D294" s="330"/>
    </x:row>
    <x:row r="295">
      <x:c r="D295" s="330"/>
    </x:row>
    <x:row r="296">
      <x:c r="D296" s="330"/>
    </x:row>
    <x:row r="297">
      <x:c r="D297" s="330"/>
    </x:row>
    <x:row r="298">
      <x:c r="D298" s="330"/>
    </x:row>
    <x:row r="299">
      <x:c r="D299" s="330"/>
    </x:row>
    <x:row r="300">
      <x:c r="D300" s="330"/>
    </x:row>
    <x:row r="301">
      <x:c r="D301" s="330"/>
    </x:row>
    <x:row r="302">
      <x:c r="D302" s="330"/>
    </x:row>
    <x:row r="303">
      <x:c r="D303" s="330"/>
    </x:row>
    <x:row r="304">
      <x:c r="D304" s="330"/>
    </x:row>
    <x:row r="305">
      <x:c r="D305" s="330"/>
    </x:row>
    <x:row r="306">
      <x:c r="D306" s="330"/>
    </x:row>
    <x:row r="307">
      <x:c r="D307" s="330"/>
    </x:row>
    <x:row r="308">
      <x:c r="D308" s="330"/>
    </x:row>
    <x:row r="309">
      <x:c r="D309" s="330"/>
    </x:row>
    <x:row r="310">
      <x:c r="D310" s="330"/>
    </x:row>
    <x:row r="311">
      <x:c r="D311" s="330"/>
    </x:row>
    <x:row r="312">
      <x:c r="D312" s="330"/>
    </x:row>
    <x:row r="313">
      <x:c r="D313" s="330"/>
    </x:row>
    <x:row r="314">
      <x:c r="D314" s="330"/>
    </x:row>
    <x:row r="315">
      <x:c r="D315" s="330"/>
    </x:row>
    <x:row r="316">
      <x:c r="D316" s="330"/>
    </x:row>
    <x:row r="317">
      <x:c r="D317" s="330"/>
    </x:row>
    <x:row r="318">
      <x:c r="D318" s="330"/>
    </x:row>
    <x:row r="319">
      <x:c r="D319" s="330"/>
    </x:row>
    <x:row r="320">
      <x:c r="D320" s="330"/>
    </x:row>
    <x:row r="321">
      <x:c r="D321" s="330"/>
    </x:row>
    <x:row r="322">
      <x:c r="D322" s="330"/>
    </x:row>
    <x:row r="323">
      <x:c r="D323" s="330"/>
    </x:row>
    <x:row r="324">
      <x:c r="D324" s="330"/>
    </x:row>
    <x:row r="325">
      <x:c r="D325" s="330"/>
    </x:row>
    <x:row r="326">
      <x:c r="D326" s="330"/>
    </x:row>
    <x:row r="327">
      <x:c r="D327" s="330"/>
    </x:row>
    <x:row r="328">
      <x:c r="D328" s="330"/>
    </x:row>
    <x:row r="329">
      <x:c r="D329" s="330"/>
    </x:row>
    <x:row r="330">
      <x:c r="D330" s="330"/>
    </x:row>
    <x:row r="331">
      <x:c r="D331" s="330"/>
    </x:row>
    <x:row r="332">
      <x:c r="D332" s="330"/>
    </x:row>
    <x:row r="333">
      <x:c r="D333" s="330"/>
    </x:row>
    <x:row r="334">
      <x:c r="D334" s="330"/>
    </x:row>
    <x:row r="335">
      <x:c r="D335" s="330"/>
    </x:row>
    <x:row r="336">
      <x:c r="D336" s="330"/>
    </x:row>
    <x:row r="337">
      <x:c r="D337" s="330"/>
    </x:row>
    <x:row r="338">
      <x:c r="D338" s="330"/>
    </x:row>
    <x:row r="339">
      <x:c r="D339" s="330"/>
    </x:row>
    <x:row r="340">
      <x:c r="D340" s="330"/>
    </x:row>
    <x:row r="341">
      <x:c r="D341" s="330"/>
    </x:row>
    <x:row r="342">
      <x:c r="D342" s="330"/>
    </x:row>
    <x:row r="343">
      <x:c r="D343" s="330"/>
    </x:row>
    <x:row r="344">
      <x:c r="D344" s="330"/>
    </x:row>
    <x:row r="345">
      <x:c r="D345" s="330"/>
    </x:row>
    <x:row r="346">
      <x:c r="D346" s="330"/>
    </x:row>
    <x:row r="347">
      <x:c r="D347" s="330"/>
    </x:row>
    <x:row r="348">
      <x:c r="D348" s="330"/>
    </x:row>
    <x:row r="349">
      <x:c r="D349" s="330"/>
    </x:row>
    <x:row r="350">
      <x:c r="D350" s="330"/>
    </x:row>
    <x:row r="351">
      <x:c r="D351" s="330"/>
    </x:row>
    <x:row r="352">
      <x:c r="D352" s="330"/>
    </x:row>
    <x:row r="353">
      <x:c r="D353" s="330"/>
    </x:row>
    <x:row r="354">
      <x:c r="D354" s="330"/>
    </x:row>
    <x:row r="355">
      <x:c r="D355" s="330"/>
    </x:row>
    <x:row r="356">
      <x:c r="D356" s="330"/>
    </x:row>
    <x:row r="357">
      <x:c r="D357" s="330"/>
    </x:row>
    <x:row r="358">
      <x:c r="D358" s="330"/>
    </x:row>
    <x:row r="359">
      <x:c r="D359" s="330"/>
    </x:row>
    <x:row r="360">
      <x:c r="D360" s="330"/>
    </x:row>
    <x:row r="361">
      <x:c r="D361" s="330"/>
    </x:row>
    <x:row r="362">
      <x:c r="D362" s="330"/>
    </x:row>
    <x:row r="363">
      <x:c r="D363" s="330"/>
    </x:row>
    <x:row r="364">
      <x:c r="D364" s="330"/>
    </x:row>
    <x:row r="365">
      <x:c r="D365" s="330"/>
    </x:row>
    <x:row r="366">
      <x:c r="D366" s="330"/>
    </x:row>
    <x:row r="367">
      <x:c r="D367" s="330"/>
    </x:row>
    <x:row r="368">
      <x:c r="D368" s="330"/>
    </x:row>
    <x:row r="369">
      <x:c r="D369" s="330"/>
    </x:row>
    <x:row r="370">
      <x:c r="D370" s="330"/>
    </x:row>
    <x:row r="371">
      <x:c r="D371" s="330"/>
    </x:row>
    <x:row r="372">
      <x:c r="D372" s="330"/>
    </x:row>
    <x:row r="373">
      <x:c r="D373" s="330"/>
    </x:row>
    <x:row r="374">
      <x:c r="D374" s="330"/>
    </x:row>
    <x:row r="375">
      <x:c r="D375" s="330"/>
    </x:row>
    <x:row r="376">
      <x:c r="D376" s="330"/>
    </x:row>
    <x:row r="377">
      <x:c r="D377" s="330"/>
    </x:row>
    <x:row r="378">
      <x:c r="D378" s="330"/>
    </x:row>
    <x:row r="379">
      <x:c r="D379" s="330"/>
    </x:row>
    <x:row r="380">
      <x:c r="D380" s="330"/>
    </x:row>
    <x:row r="381">
      <x:c r="D381" s="330"/>
    </x:row>
    <x:row r="382">
      <x:c r="D382" s="330"/>
    </x:row>
    <x:row r="383">
      <x:c r="D383" s="330"/>
    </x:row>
    <x:row r="384">
      <x:c r="D384" s="330"/>
    </x:row>
    <x:row r="385">
      <x:c r="D385" s="330"/>
    </x:row>
    <x:row r="386">
      <x:c r="D386" s="330"/>
    </x:row>
    <x:row r="387">
      <x:c r="D387" s="330"/>
    </x:row>
    <x:row r="388">
      <x:c r="D388" s="330"/>
    </x:row>
    <x:row r="389">
      <x:c r="D389" s="330"/>
    </x:row>
    <x:row r="390">
      <x:c r="D390" s="330"/>
    </x:row>
    <x:row r="391">
      <x:c r="D391" s="330"/>
    </x:row>
    <x:row r="392">
      <x:c r="D392" s="330"/>
    </x:row>
    <x:row r="393">
      <x:c r="D393" s="330"/>
    </x:row>
    <x:row r="394">
      <x:c r="D394" s="330"/>
    </x:row>
    <x:row r="395">
      <x:c r="D395" s="330"/>
    </x:row>
    <x:row r="396">
      <x:c r="D396" s="330"/>
    </x:row>
    <x:row r="397">
      <x:c r="D397" s="330"/>
    </x:row>
    <x:row r="398">
      <x:c r="D398" s="330"/>
    </x:row>
    <x:row r="399">
      <x:c r="D399" s="330"/>
    </x:row>
    <x:row r="400">
      <x:c r="D400" s="330"/>
    </x:row>
    <x:row r="401">
      <x:c r="D401" s="330"/>
    </x:row>
    <x:row r="402">
      <x:c r="D402" s="330"/>
    </x:row>
    <x:row r="403">
      <x:c r="D403" s="330"/>
    </x:row>
    <x:row r="404">
      <x:c r="D404" s="330"/>
    </x:row>
    <x:row r="405">
      <x:c r="D405" s="330"/>
    </x:row>
    <x:row r="406">
      <x:c r="D406" s="330"/>
    </x:row>
    <x:row r="407">
      <x:c r="D407" s="330"/>
    </x:row>
    <x:row r="408">
      <x:c r="D408" s="330"/>
    </x:row>
    <x:row r="409">
      <x:c r="D409" s="330"/>
    </x:row>
    <x:row r="410">
      <x:c r="D410" s="330"/>
    </x:row>
    <x:row r="411">
      <x:c r="D411" s="330"/>
    </x:row>
    <x:row r="412">
      <x:c r="D412" s="330"/>
    </x:row>
    <x:row r="413">
      <x:c r="D413" s="330"/>
    </x:row>
    <x:row r="414">
      <x:c r="D414" s="330"/>
    </x:row>
    <x:row r="415">
      <x:c r="D415" s="330"/>
    </x:row>
    <x:row r="416">
      <x:c r="D416" s="330"/>
    </x:row>
    <x:row r="417">
      <x:c r="D417" s="330"/>
    </x:row>
    <x:row r="418">
      <x:c r="D418" s="330"/>
    </x:row>
    <x:row r="419">
      <x:c r="D419" s="330"/>
    </x:row>
    <x:row r="420">
      <x:c r="D420" s="330"/>
    </x:row>
    <x:row r="421">
      <x:c r="D421" s="330"/>
    </x:row>
    <x:row r="422">
      <x:c r="D422" s="330"/>
    </x:row>
    <x:row r="423">
      <x:c r="D423" s="330"/>
    </x:row>
    <x:row r="424">
      <x:c r="D424" s="330"/>
    </x:row>
    <x:row r="425">
      <x:c r="D425" s="330"/>
    </x:row>
    <x:row r="426">
      <x:c r="D426" s="330"/>
    </x:row>
    <x:row r="427">
      <x:c r="D427" s="330"/>
    </x:row>
    <x:row r="428">
      <x:c r="D428" s="330"/>
    </x:row>
    <x:row r="429">
      <x:c r="D429" s="330"/>
    </x:row>
    <x:row r="430">
      <x:c r="D430" s="330"/>
    </x:row>
    <x:row r="431">
      <x:c r="D431" s="330"/>
    </x:row>
    <x:row r="432">
      <x:c r="D432" s="330"/>
    </x:row>
    <x:row r="433">
      <x:c r="D433" s="330"/>
    </x:row>
    <x:row r="434">
      <x:c r="D434" s="330"/>
    </x:row>
    <x:row r="435">
      <x:c r="D435" s="330"/>
    </x:row>
    <x:row r="436">
      <x:c r="D436" s="330"/>
    </x:row>
    <x:row r="437">
      <x:c r="D437" s="330"/>
    </x:row>
    <x:row r="438">
      <x:c r="D438" s="330"/>
    </x:row>
    <x:row r="439">
      <x:c r="D439" s="330"/>
    </x:row>
    <x:row r="440">
      <x:c r="D440" s="330"/>
    </x:row>
    <x:row r="441">
      <x:c r="D441" s="330"/>
    </x:row>
    <x:row r="442">
      <x:c r="D442" s="330"/>
    </x:row>
    <x:row r="443">
      <x:c r="D443" s="330"/>
    </x:row>
    <x:row r="444">
      <x:c r="D444" s="330"/>
    </x:row>
    <x:row r="445">
      <x:c r="D445" s="330"/>
    </x:row>
    <x:row r="446">
      <x:c r="D446" s="330"/>
    </x:row>
    <x:row r="447">
      <x:c r="D447" s="330"/>
    </x:row>
    <x:row r="448">
      <x:c r="D448" s="330"/>
    </x:row>
    <x:row r="449">
      <x:c r="D449" s="330"/>
    </x:row>
    <x:row r="450">
      <x:c r="D450" s="330"/>
    </x:row>
    <x:row r="451">
      <x:c r="D451" s="330"/>
    </x:row>
    <x:row r="452">
      <x:c r="D452" s="330"/>
    </x:row>
    <x:row r="453">
      <x:c r="D453" s="330"/>
    </x:row>
    <x:row r="454">
      <x:c r="D454" s="330"/>
    </x:row>
    <x:row r="455">
      <x:c r="D455" s="330"/>
    </x:row>
    <x:row r="456">
      <x:c r="D456" s="330"/>
    </x:row>
    <x:row r="457">
      <x:c r="D457" s="330"/>
    </x:row>
    <x:row r="458">
      <x:c r="D458" s="330"/>
    </x:row>
    <x:row r="459">
      <x:c r="D459" s="330"/>
    </x:row>
    <x:row r="460">
      <x:c r="D460" s="330"/>
    </x:row>
    <x:row r="461">
      <x:c r="D461" s="330"/>
    </x:row>
    <x:row r="462">
      <x:c r="D462" s="330"/>
    </x:row>
    <x:row r="463">
      <x:c r="D463" s="330"/>
    </x:row>
    <x:row r="464">
      <x:c r="D464" s="330"/>
    </x:row>
    <x:row r="465">
      <x:c r="D465" s="330"/>
    </x:row>
    <x:row r="466">
      <x:c r="D466" s="330"/>
    </x:row>
    <x:row r="467">
      <x:c r="D467" s="330"/>
    </x:row>
    <x:row r="468">
      <x:c r="D468" s="330"/>
    </x:row>
    <x:row r="469">
      <x:c r="D469" s="330"/>
    </x:row>
    <x:row r="470">
      <x:c r="D470" s="330"/>
    </x:row>
    <x:row r="471">
      <x:c r="D471" s="330"/>
    </x:row>
    <x:row r="472">
      <x:c r="D472" s="330"/>
    </x:row>
    <x:row r="473">
      <x:c r="D473" s="330"/>
    </x:row>
    <x:row r="474">
      <x:c r="D474" s="330"/>
    </x:row>
    <x:row r="475">
      <x:c r="D475" s="330"/>
    </x:row>
    <x:row r="476">
      <x:c r="D476" s="330"/>
    </x:row>
    <x:row r="477">
      <x:c r="D477" s="330"/>
    </x:row>
    <x:row r="478">
      <x:c r="D478" s="330"/>
    </x:row>
    <x:row r="479">
      <x:c r="D479" s="330"/>
    </x:row>
    <x:row r="480">
      <x:c r="D480" s="330"/>
    </x:row>
    <x:row r="481">
      <x:c r="D481" s="330"/>
    </x:row>
    <x:row r="482">
      <x:c r="D482" s="330"/>
    </x:row>
    <x:row r="483">
      <x:c r="D483" s="330"/>
    </x:row>
    <x:row r="484">
      <x:c r="D484" s="330"/>
    </x:row>
    <x:row r="485">
      <x:c r="D485" s="330"/>
    </x:row>
    <x:row r="486">
      <x:c r="D486" s="330"/>
    </x:row>
    <x:row r="487">
      <x:c r="D487" s="330"/>
    </x:row>
    <x:row r="488">
      <x:c r="D488" s="330"/>
    </x:row>
    <x:row r="489">
      <x:c r="D489" s="330"/>
    </x:row>
    <x:row r="490">
      <x:c r="D490" s="330"/>
    </x:row>
    <x:row r="491">
      <x:c r="D491" s="330"/>
    </x:row>
    <x:row r="492">
      <x:c r="D492" s="330"/>
    </x:row>
    <x:row r="493">
      <x:c r="D493" s="330"/>
    </x:row>
    <x:row r="494">
      <x:c r="D494" s="330"/>
    </x:row>
    <x:row r="495">
      <x:c r="D495" s="330"/>
    </x:row>
    <x:row r="496">
      <x:c r="D496" s="330"/>
    </x:row>
    <x:row r="497">
      <x:c r="D497" s="330"/>
    </x:row>
    <x:row r="498">
      <x:c r="D498" s="330"/>
    </x:row>
    <x:row r="499">
      <x:c r="D499" s="330"/>
    </x:row>
    <x:row r="500">
      <x:c r="D500" s="330"/>
    </x:row>
    <x:row r="501">
      <x:c r="D501" s="330"/>
    </x:row>
    <x:row r="502">
      <x:c r="D502" s="330"/>
    </x:row>
    <x:row r="503">
      <x:c r="D503" s="330"/>
    </x:row>
    <x:row r="504">
      <x:c r="D504" s="330"/>
    </x:row>
    <x:row r="505">
      <x:c r="D505" s="330"/>
    </x:row>
    <x:row r="506">
      <x:c r="D506" s="330"/>
    </x:row>
    <x:row r="507">
      <x:c r="D507" s="330"/>
    </x:row>
    <x:row r="508">
      <x:c r="D508" s="330"/>
    </x:row>
    <x:row r="509">
      <x:c r="D509" s="330"/>
    </x:row>
    <x:row r="510">
      <x:c r="D510" s="330"/>
    </x:row>
    <x:row r="511">
      <x:c r="D511" s="330"/>
    </x:row>
    <x:row r="512">
      <x:c r="D512" s="330"/>
    </x:row>
    <x:row r="513">
      <x:c r="D513" s="330"/>
    </x:row>
    <x:row r="514">
      <x:c r="D514" s="330"/>
    </x:row>
    <x:row r="515">
      <x:c r="D515" s="330"/>
    </x:row>
    <x:row r="516">
      <x:c r="D516" s="330"/>
    </x:row>
    <x:row r="517">
      <x:c r="D517" s="330"/>
    </x:row>
    <x:row r="518">
      <x:c r="D518" s="330"/>
    </x:row>
    <x:row r="519">
      <x:c r="D519" s="330"/>
    </x:row>
    <x:row r="520">
      <x:c r="D520" s="330"/>
    </x:row>
    <x:row r="521">
      <x:c r="D521" s="330"/>
    </x:row>
    <x:row r="522">
      <x:c r="D522" s="330"/>
    </x:row>
    <x:row r="523">
      <x:c r="D523" s="330"/>
    </x:row>
    <x:row r="524">
      <x:c r="D524" s="330"/>
    </x:row>
    <x:row r="525">
      <x:c r="D525" s="330"/>
    </x:row>
    <x:row r="526">
      <x:c r="D526" s="330"/>
    </x:row>
    <x:row r="527">
      <x:c r="D527" s="330"/>
    </x:row>
    <x:row r="528">
      <x:c r="D528" s="330"/>
    </x:row>
    <x:row r="529">
      <x:c r="D529" s="330"/>
    </x:row>
    <x:row r="530">
      <x:c r="D530" s="330"/>
    </x:row>
    <x:row r="531">
      <x:c r="D531" s="330"/>
    </x:row>
    <x:row r="532">
      <x:c r="D532" s="330"/>
    </x:row>
    <x:row r="533">
      <x:c r="D533" s="330"/>
    </x:row>
    <x:row r="534">
      <x:c r="D534" s="330"/>
    </x:row>
    <x:row r="535">
      <x:c r="D535" s="330"/>
    </x:row>
    <x:row r="536">
      <x:c r="D536" s="330"/>
    </x:row>
    <x:row r="537">
      <x:c r="D537" s="330"/>
    </x:row>
    <x:row r="538">
      <x:c r="D538" s="330"/>
    </x:row>
    <x:row r="539">
      <x:c r="D539" s="330"/>
    </x:row>
    <x:row r="540">
      <x:c r="D540" s="330"/>
    </x:row>
    <x:row r="541">
      <x:c r="D541" s="330"/>
    </x:row>
    <x:row r="542">
      <x:c r="D542" s="330"/>
    </x:row>
    <x:row r="543">
      <x:c r="D543" s="330"/>
    </x:row>
    <x:row r="544">
      <x:c r="D544" s="330"/>
    </x:row>
    <x:row r="545">
      <x:c r="D545" s="330"/>
    </x:row>
    <x:row r="546">
      <x:c r="D546" s="330"/>
    </x:row>
    <x:row r="547">
      <x:c r="D547" s="330"/>
    </x:row>
    <x:row r="548">
      <x:c r="D548" s="330"/>
    </x:row>
    <x:row r="549">
      <x:c r="D549" s="330"/>
    </x:row>
    <x:row r="550">
      <x:c r="D550" s="330"/>
    </x:row>
    <x:row r="551">
      <x:c r="D551" s="330"/>
    </x:row>
    <x:row r="552">
      <x:c r="D552" s="330"/>
    </x:row>
    <x:row r="553">
      <x:c r="D553" s="330"/>
    </x:row>
    <x:row r="554">
      <x:c r="D554" s="330"/>
    </x:row>
    <x:row r="555">
      <x:c r="D555" s="330"/>
    </x:row>
    <x:row r="556">
      <x:c r="D556" s="330"/>
    </x:row>
    <x:row r="557">
      <x:c r="D557" s="330"/>
    </x:row>
    <x:row r="558">
      <x:c r="D558" s="330"/>
    </x:row>
    <x:row r="559">
      <x:c r="D559" s="330"/>
    </x:row>
    <x:row r="560">
      <x:c r="D560" s="330"/>
    </x:row>
    <x:row r="561">
      <x:c r="D561" s="330"/>
    </x:row>
    <x:row r="562">
      <x:c r="D562" s="330"/>
    </x:row>
    <x:row r="563">
      <x:c r="D563" s="330"/>
    </x:row>
    <x:row r="564">
      <x:c r="D564" s="330"/>
    </x:row>
    <x:row r="565">
      <x:c r="D565" s="330"/>
    </x:row>
    <x:row r="566">
      <x:c r="D566" s="330"/>
    </x:row>
    <x:row r="567">
      <x:c r="D567" s="330"/>
    </x:row>
    <x:row r="568">
      <x:c r="D568" s="330"/>
    </x:row>
    <x:row r="569">
      <x:c r="D569" s="330"/>
    </x:row>
    <x:row r="570">
      <x:c r="D570" s="330"/>
    </x:row>
    <x:row r="571">
      <x:c r="D571" s="330"/>
    </x:row>
    <x:row r="572">
      <x:c r="D572" s="330"/>
    </x:row>
    <x:row r="573">
      <x:c r="D573" s="330"/>
    </x:row>
    <x:row r="574">
      <x:c r="D574" s="330"/>
    </x:row>
    <x:row r="575">
      <x:c r="D575" s="330"/>
    </x:row>
    <x:row r="576">
      <x:c r="D576" s="330"/>
    </x:row>
    <x:row r="577">
      <x:c r="D577" s="330"/>
    </x:row>
    <x:row r="578">
      <x:c r="D578" s="330"/>
    </x:row>
    <x:row r="579">
      <x:c r="D579" s="330"/>
    </x:row>
    <x:row r="580">
      <x:c r="D580" s="330"/>
    </x:row>
    <x:row r="581">
      <x:c r="D581" s="330"/>
    </x:row>
    <x:row r="582">
      <x:c r="D582" s="330"/>
    </x:row>
    <x:row r="583">
      <x:c r="D583" s="330"/>
    </x:row>
    <x:row r="584">
      <x:c r="D584" s="330"/>
    </x:row>
    <x:row r="585">
      <x:c r="D585" s="330"/>
    </x:row>
    <x:row r="586">
      <x:c r="D586" s="330"/>
    </x:row>
    <x:row r="587">
      <x:c r="D587" s="330"/>
    </x:row>
    <x:row r="588">
      <x:c r="D588" s="330"/>
    </x:row>
    <x:row r="589">
      <x:c r="D589" s="330"/>
    </x:row>
    <x:row r="590">
      <x:c r="D590" s="330"/>
    </x:row>
    <x:row r="591">
      <x:c r="D591" s="330"/>
    </x:row>
    <x:row r="592">
      <x:c r="D592" s="330"/>
    </x:row>
    <x:row r="593">
      <x:c r="D593" s="330"/>
    </x:row>
    <x:row r="594">
      <x:c r="D594" s="330"/>
    </x:row>
    <x:row r="595">
      <x:c r="D595" s="330"/>
    </x:row>
    <x:row r="596">
      <x:c r="D596" s="330"/>
    </x:row>
    <x:row r="597">
      <x:c r="D597" s="330"/>
    </x:row>
    <x:row r="598">
      <x:c r="D598" s="330"/>
    </x:row>
    <x:row r="599">
      <x:c r="D599" s="330"/>
    </x:row>
    <x:row r="600">
      <x:c r="D600" s="330"/>
    </x:row>
    <x:row r="601">
      <x:c r="D601" s="330"/>
    </x:row>
    <x:row r="602">
      <x:c r="D602" s="330"/>
    </x:row>
    <x:row r="603">
      <x:c r="D603" s="330"/>
    </x:row>
    <x:row r="604">
      <x:c r="D604" s="330"/>
    </x:row>
    <x:row r="605">
      <x:c r="D605" s="330"/>
    </x:row>
    <x:row r="606">
      <x:c r="D606" s="330"/>
    </x:row>
    <x:row r="607">
      <x:c r="D607" s="330"/>
    </x:row>
    <x:row r="608">
      <x:c r="D608" s="330"/>
    </x:row>
    <x:row r="609">
      <x:c r="D609" s="330"/>
    </x:row>
    <x:row r="610">
      <x:c r="D610" s="330"/>
    </x:row>
    <x:row r="611">
      <x:c r="D611" s="330"/>
    </x:row>
    <x:row r="612">
      <x:c r="D612" s="330"/>
    </x:row>
    <x:row r="613">
      <x:c r="D613" s="330"/>
    </x:row>
    <x:row r="614">
      <x:c r="D614" s="330"/>
    </x:row>
    <x:row r="615">
      <x:c r="D615" s="330"/>
    </x:row>
    <x:row r="616">
      <x:c r="D616" s="330"/>
    </x:row>
    <x:row r="617">
      <x:c r="D617" s="330"/>
    </x:row>
    <x:row r="618">
      <x:c r="D618" s="330"/>
    </x:row>
    <x:row r="619">
      <x:c r="D619" s="330"/>
    </x:row>
    <x:row r="620">
      <x:c r="D620" s="330"/>
    </x:row>
    <x:row r="621">
      <x:c r="D621" s="330"/>
    </x:row>
    <x:row r="622">
      <x:c r="D622" s="330"/>
    </x:row>
    <x:row r="623">
      <x:c r="D623" s="330"/>
    </x:row>
    <x:row r="624">
      <x:c r="D624" s="330"/>
    </x:row>
    <x:row r="625">
      <x:c r="D625" s="330"/>
    </x:row>
    <x:row r="626">
      <x:c r="D626" s="330"/>
    </x:row>
    <x:row r="627">
      <x:c r="D627" s="330"/>
    </x:row>
    <x:row r="628">
      <x:c r="D628" s="330"/>
    </x:row>
    <x:row r="629">
      <x:c r="D629" s="330"/>
    </x:row>
    <x:row r="630">
      <x:c r="D630" s="330"/>
    </x:row>
    <x:row r="631">
      <x:c r="D631" s="330"/>
    </x:row>
    <x:row r="632">
      <x:c r="D632" s="330"/>
    </x:row>
    <x:row r="633">
      <x:c r="D633" s="330"/>
    </x:row>
    <x:row r="634">
      <x:c r="D634" s="330"/>
    </x:row>
    <x:row r="635">
      <x:c r="D635" s="330"/>
    </x:row>
    <x:row r="636">
      <x:c r="D636" s="330"/>
    </x:row>
    <x:row r="637">
      <x:c r="D637" s="330"/>
    </x:row>
    <x:row r="638">
      <x:c r="D638" s="330"/>
    </x:row>
    <x:row r="639">
      <x:c r="D639" s="330"/>
    </x:row>
    <x:row r="640">
      <x:c r="D640" s="330"/>
    </x:row>
    <x:row r="641">
      <x:c r="D641" s="330"/>
    </x:row>
    <x:row r="642">
      <x:c r="D642" s="330"/>
    </x:row>
    <x:row r="643">
      <x:c r="D643" s="330"/>
    </x:row>
    <x:row r="644">
      <x:c r="D644" s="330"/>
    </x:row>
    <x:row r="645">
      <x:c r="D645" s="330"/>
    </x:row>
    <x:row r="646">
      <x:c r="D646" s="330"/>
    </x:row>
    <x:row r="647">
      <x:c r="D647" s="330"/>
    </x:row>
    <x:row r="648">
      <x:c r="D648" s="330"/>
    </x:row>
    <x:row r="649">
      <x:c r="D649" s="330"/>
    </x:row>
    <x:row r="650">
      <x:c r="D650" s="330"/>
    </x:row>
    <x:row r="651">
      <x:c r="D651" s="330"/>
    </x:row>
    <x:row r="652">
      <x:c r="D652" s="330"/>
    </x:row>
    <x:row r="653">
      <x:c r="D653" s="330"/>
    </x:row>
    <x:row r="654">
      <x:c r="D654" s="330"/>
    </x:row>
    <x:row r="655">
      <x:c r="D655" s="330"/>
    </x:row>
    <x:row r="656">
      <x:c r="D656" s="330"/>
    </x:row>
    <x:row r="657">
      <x:c r="D657" s="330"/>
    </x:row>
    <x:row r="658">
      <x:c r="D658" s="330"/>
    </x:row>
    <x:row r="659">
      <x:c r="D659" s="330"/>
    </x:row>
    <x:row r="660">
      <x:c r="D660" s="330"/>
    </x:row>
    <x:row r="661">
      <x:c r="D661" s="330"/>
    </x:row>
    <x:row r="662">
      <x:c r="D662" s="330"/>
    </x:row>
    <x:row r="663">
      <x:c r="D663" s="330"/>
    </x:row>
    <x:row r="664">
      <x:c r="D664" s="330"/>
    </x:row>
    <x:row r="665">
      <x:c r="D665" s="330"/>
    </x:row>
    <x:row r="666">
      <x:c r="D666" s="330"/>
    </x:row>
    <x:row r="667">
      <x:c r="D667" s="330"/>
    </x:row>
    <x:row r="668">
      <x:c r="D668" s="330"/>
    </x:row>
    <x:row r="669">
      <x:c r="D669" s="330"/>
    </x:row>
    <x:row r="670">
      <x:c r="D670" s="330"/>
    </x:row>
    <x:row r="671">
      <x:c r="D671" s="330"/>
    </x:row>
    <x:row r="672">
      <x:c r="D672" s="330"/>
    </x:row>
    <x:row r="673">
      <x:c r="D673" s="330"/>
    </x:row>
    <x:row r="674">
      <x:c r="D674" s="330"/>
    </x:row>
    <x:row r="675">
      <x:c r="D675" s="330"/>
    </x:row>
    <x:row r="676">
      <x:c r="D676" s="330"/>
    </x:row>
    <x:row r="677">
      <x:c r="D677" s="330"/>
    </x:row>
    <x:row r="678">
      <x:c r="D678" s="330"/>
    </x:row>
    <x:row r="679">
      <x:c r="D679" s="330"/>
    </x:row>
    <x:row r="680">
      <x:c r="D680" s="330"/>
    </x:row>
    <x:row r="681">
      <x:c r="D681" s="330"/>
    </x:row>
    <x:row r="682">
      <x:c r="D682" s="330"/>
    </x:row>
    <x:row r="683">
      <x:c r="D683" s="330"/>
    </x:row>
    <x:row r="684">
      <x:c r="D684" s="330"/>
    </x:row>
    <x:row r="685">
      <x:c r="D685" s="330"/>
    </x:row>
    <x:row r="686">
      <x:c r="D686" s="330"/>
    </x:row>
    <x:row r="687">
      <x:c r="D687" s="330"/>
    </x:row>
    <x:row r="688">
      <x:c r="D688" s="330"/>
    </x:row>
    <x:row r="689">
      <x:c r="D689" s="330"/>
    </x:row>
    <x:row r="690">
      <x:c r="D690" s="330"/>
    </x:row>
    <x:row r="691">
      <x:c r="D691" s="330"/>
    </x:row>
    <x:row r="692">
      <x:c r="D692" s="330"/>
    </x:row>
    <x:row r="693">
      <x:c r="D693" s="330"/>
    </x:row>
    <x:row r="694">
      <x:c r="D694" s="330"/>
    </x:row>
    <x:row r="695">
      <x:c r="D695" s="330"/>
    </x:row>
    <x:row r="696">
      <x:c r="D696" s="330"/>
    </x:row>
    <x:row r="697">
      <x:c r="D697" s="330"/>
    </x:row>
    <x:row r="698">
      <x:c r="D698" s="330"/>
    </x:row>
    <x:row r="699">
      <x:c r="D699" s="330"/>
    </x:row>
    <x:row r="700">
      <x:c r="D700" s="330"/>
    </x:row>
    <x:row r="701">
      <x:c r="D701" s="330"/>
    </x:row>
    <x:row r="702">
      <x:c r="D702" s="330"/>
    </x:row>
    <x:row r="703">
      <x:c r="D703" s="330"/>
    </x:row>
    <x:row r="704">
      <x:c r="D704" s="330"/>
    </x:row>
    <x:row r="705">
      <x:c r="D705" s="330"/>
    </x:row>
    <x:row r="706">
      <x:c r="D706" s="330"/>
    </x:row>
    <x:row r="707">
      <x:c r="D707" s="330"/>
    </x:row>
    <x:row r="708">
      <x:c r="D708" s="330"/>
    </x:row>
    <x:row r="709">
      <x:c r="D709" s="330"/>
    </x:row>
    <x:row r="710">
      <x:c r="D710" s="330"/>
    </x:row>
    <x:row r="711">
      <x:c r="D711" s="330"/>
    </x:row>
    <x:row r="712">
      <x:c r="D712" s="330"/>
    </x:row>
    <x:row r="713">
      <x:c r="D713" s="330"/>
    </x:row>
    <x:row r="714">
      <x:c r="D714" s="330"/>
    </x:row>
    <x:row r="715">
      <x:c r="D715" s="330"/>
    </x:row>
    <x:row r="716">
      <x:c r="D716" s="330"/>
    </x:row>
    <x:row r="717">
      <x:c r="D717" s="330"/>
    </x:row>
    <x:row r="718">
      <x:c r="D718" s="330"/>
    </x:row>
    <x:row r="719">
      <x:c r="D719" s="330"/>
    </x:row>
    <x:row r="720">
      <x:c r="D720" s="330"/>
    </x:row>
    <x:row r="721">
      <x:c r="D721" s="330"/>
    </x:row>
    <x:row r="722">
      <x:c r="D722" s="330"/>
    </x:row>
    <x:row r="723">
      <x:c r="D723" s="330"/>
    </x:row>
    <x:row r="724">
      <x:c r="D724" s="330"/>
    </x:row>
    <x:row r="725">
      <x:c r="D725" s="330"/>
    </x:row>
    <x:row r="726">
      <x:c r="D726" s="330"/>
    </x:row>
    <x:row r="727">
      <x:c r="D727" s="330"/>
    </x:row>
    <x:row r="728">
      <x:c r="D728" s="330"/>
    </x:row>
    <x:row r="729">
      <x:c r="D729" s="330"/>
    </x:row>
    <x:row r="730">
      <x:c r="D730" s="330"/>
    </x:row>
    <x:row r="731">
      <x:c r="D731" s="330"/>
    </x:row>
    <x:row r="732">
      <x:c r="D732" s="330"/>
    </x:row>
    <x:row r="733">
      <x:c r="D733" s="330"/>
    </x:row>
    <x:row r="734">
      <x:c r="D734" s="330"/>
    </x:row>
    <x:row r="735">
      <x:c r="D735" s="330"/>
    </x:row>
    <x:row r="736">
      <x:c r="D736" s="330"/>
    </x:row>
    <x:row r="737">
      <x:c r="D737" s="330"/>
    </x:row>
    <x:row r="738">
      <x:c r="D738" s="330"/>
    </x:row>
    <x:row r="739">
      <x:c r="D739" s="330"/>
    </x:row>
    <x:row r="740">
      <x:c r="D740" s="330"/>
    </x:row>
    <x:row r="741">
      <x:c r="D741" s="330"/>
    </x:row>
    <x:row r="742">
      <x:c r="D742" s="330"/>
    </x:row>
    <x:row r="743">
      <x:c r="D743" s="330"/>
    </x:row>
    <x:row r="744">
      <x:c r="D744" s="330"/>
    </x:row>
    <x:row r="745">
      <x:c r="D745" s="330"/>
    </x:row>
    <x:row r="746">
      <x:c r="D746" s="330"/>
    </x:row>
    <x:row r="747">
      <x:c r="D747" s="330"/>
    </x:row>
    <x:row r="748">
      <x:c r="D748" s="330"/>
    </x:row>
    <x:row r="749">
      <x:c r="D749" s="330"/>
    </x:row>
    <x:row r="750">
      <x:c r="D750" s="330"/>
    </x:row>
    <x:row r="751">
      <x:c r="D751" s="330"/>
    </x:row>
    <x:row r="752">
      <x:c r="D752" s="330"/>
    </x:row>
    <x:row r="753">
      <x:c r="D753" s="330"/>
    </x:row>
    <x:row r="754">
      <x:c r="D754" s="330"/>
    </x:row>
    <x:row r="755">
      <x:c r="D755" s="330"/>
    </x:row>
    <x:row r="756">
      <x:c r="D756" s="330"/>
    </x:row>
    <x:row r="757">
      <x:c r="D757" s="330"/>
    </x:row>
    <x:row r="758">
      <x:c r="D758" s="330"/>
    </x:row>
    <x:row r="759">
      <x:c r="D759" s="330"/>
    </x:row>
    <x:row r="760">
      <x:c r="D760" s="330"/>
    </x:row>
    <x:row r="761">
      <x:c r="D761" s="330"/>
    </x:row>
    <x:row r="762">
      <x:c r="D762" s="330"/>
    </x:row>
    <x:row r="763">
      <x:c r="D763" s="330"/>
    </x:row>
    <x:row r="764">
      <x:c r="D764" s="330"/>
    </x:row>
    <x:row r="765">
      <x:c r="D765" s="330"/>
    </x:row>
    <x:row r="766">
      <x:c r="D766" s="330"/>
    </x:row>
    <x:row r="767">
      <x:c r="D767" s="330"/>
    </x:row>
    <x:row r="768">
      <x:c r="D768" s="330"/>
    </x:row>
    <x:row r="769">
      <x:c r="D769" s="330"/>
    </x:row>
    <x:row r="770">
      <x:c r="D770" s="330"/>
    </x:row>
    <x:row r="771">
      <x:c r="D771" s="330"/>
    </x:row>
    <x:row r="772">
      <x:c r="D772" s="330"/>
    </x:row>
    <x:row r="773">
      <x:c r="D773" s="330"/>
    </x:row>
    <x:row r="774">
      <x:c r="D774" s="330"/>
    </x:row>
    <x:row r="775">
      <x:c r="D775" s="330"/>
    </x:row>
    <x:row r="776">
      <x:c r="D776" s="330"/>
    </x:row>
    <x:row r="777">
      <x:c r="D777" s="330"/>
    </x:row>
    <x:row r="778">
      <x:c r="D778" s="330"/>
    </x:row>
    <x:row r="779">
      <x:c r="D779" s="330"/>
    </x:row>
    <x:row r="780">
      <x:c r="D780" s="330"/>
    </x:row>
    <x:row r="781">
      <x:c r="D781" s="330"/>
    </x:row>
    <x:row r="782">
      <x:c r="D782" s="330"/>
    </x:row>
    <x:row r="783">
      <x:c r="D783" s="330"/>
    </x:row>
    <x:row r="784">
      <x:c r="D784" s="330"/>
    </x:row>
    <x:row r="785">
      <x:c r="D785" s="330"/>
    </x:row>
    <x:row r="786">
      <x:c r="D786" s="330"/>
    </x:row>
    <x:row r="787">
      <x:c r="D787" s="330"/>
    </x:row>
    <x:row r="788">
      <x:c r="D788" s="330"/>
    </x:row>
    <x:row r="789">
      <x:c r="D789" s="330"/>
    </x:row>
    <x:row r="790">
      <x:c r="D790" s="330"/>
    </x:row>
    <x:row r="791">
      <x:c r="D791" s="330"/>
    </x:row>
    <x:row r="792">
      <x:c r="D792" s="330"/>
    </x:row>
    <x:row r="793">
      <x:c r="D793" s="330"/>
    </x:row>
    <x:row r="794">
      <x:c r="D794" s="330"/>
    </x:row>
    <x:row r="795">
      <x:c r="D795" s="330"/>
    </x:row>
    <x:row r="796">
      <x:c r="D796" s="330"/>
    </x:row>
    <x:row r="797">
      <x:c r="D797" s="330"/>
    </x:row>
    <x:row r="798">
      <x:c r="D798" s="330"/>
    </x:row>
    <x:row r="799">
      <x:c r="D799" s="330"/>
    </x:row>
    <x:row r="800">
      <x:c r="D800" s="330"/>
    </x:row>
    <x:row r="801">
      <x:c r="D801" s="330"/>
    </x:row>
    <x:row r="802">
      <x:c r="D802" s="330"/>
    </x:row>
    <x:row r="803">
      <x:c r="D803" s="330"/>
    </x:row>
    <x:row r="804">
      <x:c r="D804" s="330"/>
    </x:row>
    <x:row r="805">
      <x:c r="D805" s="330"/>
    </x:row>
    <x:row r="806">
      <x:c r="D806" s="330"/>
    </x:row>
    <x:row r="807">
      <x:c r="D807" s="330"/>
    </x:row>
    <x:row r="808">
      <x:c r="D808" s="330"/>
    </x:row>
    <x:row r="809">
      <x:c r="D809" s="330"/>
    </x:row>
    <x:row r="810">
      <x:c r="D810" s="330"/>
    </x:row>
    <x:row r="811">
      <x:c r="D811" s="330"/>
    </x:row>
    <x:row r="812">
      <x:c r="D812" s="330"/>
    </x:row>
    <x:row r="813">
      <x:c r="D813" s="330"/>
    </x:row>
    <x:row r="814">
      <x:c r="D814" s="330"/>
    </x:row>
    <x:row r="815">
      <x:c r="D815" s="330"/>
    </x:row>
    <x:row r="816">
      <x:c r="D816" s="330"/>
    </x:row>
    <x:row r="817">
      <x:c r="D817" s="330"/>
    </x:row>
    <x:row r="818">
      <x:c r="D818" s="330"/>
    </x:row>
    <x:row r="819">
      <x:c r="D819" s="330"/>
    </x:row>
    <x:row r="820">
      <x:c r="D820" s="330"/>
    </x:row>
    <x:row r="821">
      <x:c r="D821" s="330"/>
    </x:row>
    <x:row r="822">
      <x:c r="D822" s="330"/>
    </x:row>
    <x:row r="823">
      <x:c r="D823" s="330"/>
    </x:row>
    <x:row r="824">
      <x:c r="D824" s="330"/>
    </x:row>
    <x:row r="825">
      <x:c r="D825" s="330"/>
    </x:row>
    <x:row r="826">
      <x:c r="D826" s="330"/>
    </x:row>
    <x:row r="827">
      <x:c r="D827" s="330"/>
    </x:row>
    <x:row r="828">
      <x:c r="D828" s="330"/>
    </x:row>
    <x:row r="829">
      <x:c r="D829" s="330"/>
    </x:row>
    <x:row r="830">
      <x:c r="D830" s="330"/>
    </x:row>
    <x:row r="831">
      <x:c r="D831" s="330"/>
    </x:row>
    <x:row r="832">
      <x:c r="D832" s="330"/>
    </x:row>
    <x:row r="833">
      <x:c r="D833" s="330"/>
    </x:row>
    <x:row r="834">
      <x:c r="D834" s="330"/>
    </x:row>
    <x:row r="835">
      <x:c r="D835" s="330"/>
    </x:row>
    <x:row r="836">
      <x:c r="D836" s="330"/>
    </x:row>
    <x:row r="837">
      <x:c r="D837" s="330"/>
    </x:row>
    <x:row r="838">
      <x:c r="D838" s="330"/>
    </x:row>
    <x:row r="839">
      <x:c r="D839" s="330"/>
    </x:row>
    <x:row r="840">
      <x:c r="D840" s="330"/>
    </x:row>
    <x:row r="841">
      <x:c r="D841" s="330"/>
    </x:row>
    <x:row r="842">
      <x:c r="D842" s="330"/>
    </x:row>
    <x:row r="843">
      <x:c r="D843" s="330"/>
    </x:row>
    <x:row r="844">
      <x:c r="D844" s="330"/>
    </x:row>
    <x:row r="845">
      <x:c r="D845" s="330"/>
    </x:row>
    <x:row r="846">
      <x:c r="D846" s="330"/>
    </x:row>
    <x:row r="847">
      <x:c r="D847" s="330"/>
    </x:row>
    <x:row r="848">
      <x:c r="D848" s="330"/>
    </x:row>
    <x:row r="849">
      <x:c r="D849" s="330"/>
    </x:row>
    <x:row r="850">
      <x:c r="D850" s="330"/>
    </x:row>
    <x:row r="851">
      <x:c r="D851" s="330"/>
    </x:row>
    <x:row r="852">
      <x:c r="D852" s="330"/>
    </x:row>
    <x:row r="853">
      <x:c r="D853" s="330"/>
    </x:row>
    <x:row r="854">
      <x:c r="D854" s="330"/>
    </x:row>
    <x:row r="855">
      <x:c r="D855" s="330"/>
    </x:row>
    <x:row r="856">
      <x:c r="D856" s="330"/>
    </x:row>
    <x:row r="857">
      <x:c r="D857" s="330"/>
    </x:row>
    <x:row r="858">
      <x:c r="D858" s="330"/>
    </x:row>
    <x:row r="859">
      <x:c r="D859" s="330"/>
    </x:row>
    <x:row r="860">
      <x:c r="D860" s="330"/>
    </x:row>
    <x:row r="861">
      <x:c r="D861" s="330"/>
    </x:row>
    <x:row r="862">
      <x:c r="D862" s="330"/>
    </x:row>
    <x:row r="863">
      <x:c r="D863" s="330"/>
    </x:row>
    <x:row r="864">
      <x:c r="D864" s="330"/>
    </x:row>
    <x:row r="865">
      <x:c r="D865" s="330"/>
    </x:row>
    <x:row r="866">
      <x:c r="D866" s="330"/>
    </x:row>
    <x:row r="867">
      <x:c r="D867" s="330"/>
    </x:row>
    <x:row r="868">
      <x:c r="D868" s="330"/>
    </x:row>
    <x:row r="869">
      <x:c r="D869" s="330"/>
    </x:row>
    <x:row r="870">
      <x:c r="D870" s="330"/>
    </x:row>
    <x:row r="871">
      <x:c r="D871" s="330"/>
    </x:row>
    <x:row r="872">
      <x:c r="D872" s="330"/>
    </x:row>
    <x:row r="873">
      <x:c r="D873" s="330"/>
    </x:row>
    <x:row r="874">
      <x:c r="D874" s="330"/>
    </x:row>
    <x:row r="875">
      <x:c r="D875" s="330"/>
    </x:row>
    <x:row r="876">
      <x:c r="D876" s="330"/>
    </x:row>
    <x:row r="877">
      <x:c r="D877" s="330"/>
    </x:row>
    <x:row r="878">
      <x:c r="D878" s="330"/>
    </x:row>
    <x:row r="879">
      <x:c r="D879" s="330"/>
    </x:row>
    <x:row r="880">
      <x:c r="D880" s="330"/>
    </x:row>
    <x:row r="881">
      <x:c r="D881" s="330"/>
    </x:row>
    <x:row r="882">
      <x:c r="D882" s="330"/>
    </x:row>
    <x:row r="883">
      <x:c r="D883" s="330"/>
    </x:row>
    <x:row r="884">
      <x:c r="D884" s="330"/>
    </x:row>
    <x:row r="885">
      <x:c r="D885" s="330"/>
    </x:row>
    <x:row r="886">
      <x:c r="D886" s="330"/>
    </x:row>
    <x:row r="887">
      <x:c r="D887" s="330"/>
    </x:row>
    <x:row r="888">
      <x:c r="D888" s="330"/>
    </x:row>
    <x:row r="889">
      <x:c r="D889" s="330"/>
    </x:row>
    <x:row r="890">
      <x:c r="D890" s="330"/>
    </x:row>
    <x:row r="891">
      <x:c r="D891" s="330"/>
    </x:row>
    <x:row r="892">
      <x:c r="D892" s="330"/>
    </x:row>
    <x:row r="893">
      <x:c r="D893" s="330"/>
    </x:row>
    <x:row r="894">
      <x:c r="D894" s="330"/>
    </x:row>
    <x:row r="895">
      <x:c r="D895" s="330"/>
    </x:row>
    <x:row r="896">
      <x:c r="D896" s="330"/>
    </x:row>
    <x:row r="897">
      <x:c r="D897" s="330"/>
    </x:row>
    <x:row r="898">
      <x:c r="D898" s="330"/>
    </x:row>
    <x:row r="899">
      <x:c r="D899" s="330"/>
    </x:row>
    <x:row r="900">
      <x:c r="D900" s="330"/>
    </x:row>
    <x:row r="901">
      <x:c r="D901" s="330"/>
    </x:row>
    <x:row r="902">
      <x:c r="D902" s="330"/>
    </x:row>
    <x:row r="903">
      <x:c r="D903" s="330"/>
    </x:row>
    <x:row r="904">
      <x:c r="D904" s="330"/>
    </x:row>
    <x:row r="905">
      <x:c r="D905" s="330"/>
    </x:row>
    <x:row r="906">
      <x:c r="D906" s="330"/>
    </x:row>
    <x:row r="907">
      <x:c r="D907" s="330"/>
    </x:row>
    <x:row r="908">
      <x:c r="D908" s="330"/>
    </x:row>
    <x:row r="909">
      <x:c r="D909" s="330"/>
    </x:row>
    <x:row r="910">
      <x:c r="D910" s="330"/>
    </x:row>
    <x:row r="911">
      <x:c r="D911" s="330"/>
    </x:row>
    <x:row r="912">
      <x:c r="D912" s="330"/>
    </x:row>
    <x:row r="913">
      <x:c r="D913" s="330"/>
    </x:row>
    <x:row r="914">
      <x:c r="D914" s="330"/>
    </x:row>
    <x:row r="915">
      <x:c r="D915" s="330"/>
    </x:row>
    <x:row r="916">
      <x:c r="D916" s="330"/>
    </x:row>
    <x:row r="917">
      <x:c r="D917" s="330"/>
    </x:row>
    <x:row r="918">
      <x:c r="D918" s="330"/>
    </x:row>
    <x:row r="919">
      <x:c r="D919" s="330"/>
    </x:row>
    <x:row r="920">
      <x:c r="D920" s="330"/>
    </x:row>
    <x:row r="921">
      <x:c r="D921" s="330"/>
    </x:row>
    <x:row r="922">
      <x:c r="D922" s="330"/>
    </x:row>
    <x:row r="923">
      <x:c r="D923" s="330"/>
    </x:row>
    <x:row r="924">
      <x:c r="D924" s="330"/>
    </x:row>
    <x:row r="925">
      <x:c r="D925" s="330"/>
    </x:row>
    <x:row r="926">
      <x:c r="D926" s="330"/>
    </x:row>
    <x:row r="927">
      <x:c r="D927" s="330"/>
    </x:row>
    <x:row r="928">
      <x:c r="D928" s="330"/>
    </x:row>
    <x:row r="929">
      <x:c r="D929" s="330"/>
    </x:row>
    <x:row r="930">
      <x:c r="D930" s="330"/>
    </x:row>
    <x:row r="931">
      <x:c r="D931" s="330"/>
    </x:row>
    <x:row r="932">
      <x:c r="D932" s="330"/>
    </x:row>
    <x:row r="933">
      <x:c r="D933" s="330"/>
    </x:row>
    <x:row r="934">
      <x:c r="D934" s="330"/>
    </x:row>
    <x:row r="935">
      <x:c r="D935" s="330"/>
    </x:row>
    <x:row r="936">
      <x:c r="D936" s="330"/>
    </x:row>
    <x:row r="937">
      <x:c r="D937" s="330"/>
    </x:row>
    <x:row r="938">
      <x:c r="D938" s="330"/>
    </x:row>
    <x:row r="939">
      <x:c r="D939" s="330"/>
    </x:row>
    <x:row r="940">
      <x:c r="D940" s="330"/>
    </x:row>
    <x:row r="941">
      <x:c r="D941" s="330"/>
    </x:row>
    <x:row r="942">
      <x:c r="D942" s="330"/>
    </x:row>
    <x:row r="943">
      <x:c r="D943" s="330"/>
    </x:row>
    <x:row r="944">
      <x:c r="D944" s="330"/>
    </x:row>
    <x:row r="945">
      <x:c r="D945" s="330"/>
    </x:row>
    <x:row r="946">
      <x:c r="D946" s="330"/>
    </x:row>
    <x:row r="947">
      <x:c r="D947" s="330"/>
    </x:row>
    <x:row r="948">
      <x:c r="D948" s="330"/>
    </x:row>
    <x:row r="949">
      <x:c r="D949" s="330"/>
    </x:row>
    <x:row r="950">
      <x:c r="D950" s="330"/>
    </x:row>
    <x:row r="951">
      <x:c r="D951" s="330"/>
    </x:row>
    <x:row r="952">
      <x:c r="D952" s="330"/>
    </x:row>
    <x:row r="953">
      <x:c r="D953" s="330"/>
    </x:row>
    <x:row r="954">
      <x:c r="D954" s="330"/>
    </x:row>
    <x:row r="955">
      <x:c r="D955" s="330"/>
    </x:row>
    <x:row r="956">
      <x:c r="D956" s="330"/>
    </x:row>
    <x:row r="957">
      <x:c r="D957" s="330"/>
    </x:row>
    <x:row r="958">
      <x:c r="D958" s="330"/>
    </x:row>
    <x:row r="959">
      <x:c r="D959" s="330"/>
    </x:row>
    <x:row r="960">
      <x:c r="D960" s="330"/>
    </x:row>
    <x:row r="961">
      <x:c r="D961" s="330"/>
    </x:row>
    <x:row r="962">
      <x:c r="D962" s="330"/>
    </x:row>
    <x:row r="963">
      <x:c r="D963" s="330"/>
    </x:row>
    <x:row r="964">
      <x:c r="D964" s="330"/>
    </x:row>
    <x:row r="965">
      <x:c r="D965" s="330"/>
    </x:row>
    <x:row r="966">
      <x:c r="D966" s="330"/>
    </x:row>
    <x:row r="967">
      <x:c r="D967" s="330"/>
    </x:row>
    <x:row r="968">
      <x:c r="D968" s="330"/>
    </x:row>
    <x:row r="969">
      <x:c r="D969" s="330"/>
    </x:row>
    <x:row r="970">
      <x:c r="D970" s="330"/>
    </x:row>
    <x:row r="971">
      <x:c r="D971" s="330"/>
    </x:row>
    <x:row r="972">
      <x:c r="D972" s="330"/>
    </x:row>
    <x:row r="973">
      <x:c r="D973" s="330"/>
    </x:row>
    <x:row r="974">
      <x:c r="D974" s="330"/>
    </x:row>
    <x:row r="975">
      <x:c r="D975" s="330"/>
    </x:row>
    <x:row r="976">
      <x:c r="D976" s="330"/>
    </x:row>
    <x:row r="977">
      <x:c r="D977" s="330"/>
    </x:row>
    <x:row r="978">
      <x:c r="D978" s="330"/>
    </x:row>
    <x:row r="979">
      <x:c r="D979" s="330"/>
    </x:row>
    <x:row r="980">
      <x:c r="D980" s="330"/>
    </x:row>
    <x:row r="981">
      <x:c r="D981" s="330"/>
    </x:row>
    <x:row r="982">
      <x:c r="D982" s="330"/>
    </x:row>
    <x:row r="983">
      <x:c r="D983" s="330"/>
    </x:row>
    <x:row r="984">
      <x:c r="D984" s="330"/>
    </x:row>
    <x:row r="985">
      <x:c r="D985" s="330"/>
    </x:row>
    <x:row r="986">
      <x:c r="D986" s="330"/>
    </x:row>
    <x:row r="987">
      <x:c r="D987" s="330"/>
    </x:row>
    <x:row r="988">
      <x:c r="D988" s="330"/>
    </x:row>
    <x:row r="989">
      <x:c r="D989" s="330"/>
    </x:row>
    <x:row r="990">
      <x:c r="D990" s="330"/>
    </x:row>
    <x:row r="991">
      <x:c r="D991" s="330"/>
    </x:row>
    <x:row r="992">
      <x:c r="D992" s="330"/>
    </x:row>
    <x:row r="993">
      <x:c r="D993" s="330"/>
    </x:row>
    <x:row r="994">
      <x:c r="D994" s="330"/>
    </x:row>
    <x:row r="995">
      <x:c r="D995" s="330"/>
    </x:row>
    <x:row r="996">
      <x:c r="D996" s="330"/>
    </x:row>
    <x:row r="997">
      <x:c r="D997" s="330"/>
    </x:row>
    <x:row r="998">
      <x:c r="D998" s="330"/>
    </x:row>
    <x:row r="999">
      <x:c r="D999" s="330"/>
    </x:row>
    <x:row r="1000">
      <x:c r="D1000" s="330"/>
    </x:row>
  </x:sheetData>
  <x:pageMargins left="0.7" right="0.7" top="0.75" bottom="0.75" header="0.3" footer="0.3"/>
  <x:drawing xmlns:r="http://schemas.openxmlformats.org/officeDocument/2006/relationships" r:id="Ra1c2f43c1c684835"/>
</x:worksheet>
</file>

<file path=xl/worksheets/sheet69.xml><?xml version="1.0" encoding="utf-8"?>
<x:worksheet xmlns:x="http://schemas.openxmlformats.org/spreadsheetml/2006/main">
  <x:sheetFormatPr defaultRowHeight="15"/>
  <x:cols>
    <x:col min="1" max="1" width="10" hidden="0" customWidth="1"/>
    <x:col min="2" max="2" width="16" hidden="0" customWidth="1"/>
    <x:col min="3" max="3" width="52" hidden="0" customWidth="1"/>
    <x:col min="4" max="4" width="90" hidden="0" customWidth="1"/>
    <x:col min="5" max="5" width="28" hidden="0" customWidth="1"/>
    <x:col min="6" max="6" width="26" hidden="0" customWidth="1"/>
    <x:col min="7" max="7" width="60" hidden="0" customWidth="1"/>
    <x:col min="8" max="8" width="18" hidden="0" customWidth="1"/>
    <x:col min="9" max="9" width="62" hidden="0" customWidth="1"/>
    <x:col min="10" max="10" width="54" hidden="0" customWidth="1"/>
  </x:cols>
  <x:sheetData>
    <x:row r="1" ht="48" customHeight="1">
      <x:c r="A1" s="479" t="str">
        <x:v>Priority</x:v>
      </x:c>
      <x:c r="B1" s="479" t="str">
        <x:v>Giai đoạn</x:v>
      </x:c>
      <x:c r="C1" s="479" t="str">
        <x:v>Tên trang / nguồn</x:v>
      </x:c>
      <x:c r="D1" s="479" t="str">
        <x:v>URL</x:v>
      </x:c>
      <x:c r="E1" s="479" t="str">
        <x:v>Loại nguồn</x:v>
      </x:c>
      <x:c r="F1" s="479" t="str">
        <x:v>Tình trạng truy cập</x:v>
      </x:c>
      <x:c r="G1" s="479" t="str">
        <x:v>Giá trị với dự án</x:v>
      </x:c>
      <x:c r="H1" s="479" t="str">
        <x:v>Có nạp MASTER?</x:v>
      </x:c>
      <x:c r="I1" s="479" t="str">
        <x:v>Việc tiếp theo</x:v>
      </x:c>
      <x:c r="J1" s="479" t="str">
        <x:v>Ghi chú</x:v>
      </x:c>
    </x:row>
    <x:row r="2">
      <x:c r="A2" t="str">
        <x:v>A++</x:v>
      </x:c>
      <x:c r="B2" t="str">
        <x:v>25/06/2021</x:v>
      </x:c>
      <x:c r="C2" t="str">
        <x:v>Phiếu công bố sản phẩm mỹ phẩm ngày cập nhật ngày 25/6/2021</x:v>
      </x:c>
      <x:c r="D2" t="str">
        <x:v>https://medinet.gov.vn/chuyen-muc/phieu-cong-bo-san-pham-my-pham-ngay-cap-nhat-ngay-2562021-cmobile4656-65074.aspx</x:v>
      </x:c>
      <x:c r="E2" t="str">
        <x:v>Legacy Medinet – snapshot công khai</x:v>
      </x:c>
      <x:c r="F2" t="str">
        <x:v>CAPTCHA/anti-bot</x:v>
      </x:c>
      <x:c r="G2" t="str">
        <x:v>Dấu vết bulk/archive lịch sử; có thể chứa danh sách/file đính kèm nhiều CBMP-HCM</x:v>
      </x:c>
      <x:c r="H2" t="str">
        <x:v>CHƯA</x:v>
      </x:c>
      <x:c r="I2" t="str">
        <x:v>Tìm attachment/file.medinet/cache/search index hoặc mở thủ công để lấy file gốc</x:v>
      </x:c>
      <x:c r="J2" t="str">
        <x:v>Không nhập record cho đến khi thấy dữ liệu/attachment thật.</x:v>
      </x:c>
    </x:row>
    <x:row r="3">
      <x:c r="A3" t="str">
        <x:v>A</x:v>
      </x:c>
      <x:c r="B3" t="str">
        <x:v>17/05/2021</x:v>
      </x:c>
      <x:c r="C3" t="str">
        <x:v>Phiếu công bố sản phẩm mỹ phẩm ngày cập nhật ngày 17/5/2021</x:v>
      </x:c>
      <x:c r="D3" t="str">
        <x:v>https://medinet.gov.vn/chuyen-muc/phieu-cong-bo-san-pham-my-pham-ngay-cap-nhat-ngay-1752021-cmobile4656-65073.aspx</x:v>
      </x:c>
      <x:c r="E3" t="str">
        <x:v>Legacy Medinet – snapshot công khai</x:v>
      </x:c>
      <x:c r="F3" t="str">
        <x:v>CAPTCHA/anti-bot</x:v>
      </x:c>
      <x:c r="G3" t="str">
        <x:v>Chứng minh trang 25/6/2021 nằm trong chuỗi snapshot cập nhật</x:v>
      </x:c>
      <x:c r="H3" t="str">
        <x:v>CHƯA</x:v>
      </x:c>
      <x:c r="I3" t="str">
        <x:v>So sánh snapshot 17/5 và 25/6 nếu lấy được attachment</x:v>
      </x:c>
      <x:c r="J3" t="str">
        <x:v>Article ID liền kề 65073 → 65074.</x:v>
      </x:c>
    </x:row>
    <x:row r="4">
      <x:c r="A4" t="str">
        <x:v>A</x:v>
      </x:c>
      <x:c r="B4" t="str">
        <x:v>09/12/2020</x:v>
      </x:c>
      <x:c r="C4" t="str">
        <x:v>Phiếu công bố sản phẩm mỹ phẩm ngày cập nhật ngày 09/12/2020</x:v>
      </x:c>
      <x:c r="D4" t="str">
        <x:v>https://medinet.gov.vn/chuyen-muc/phieu-cong-bo-san-pham-my-pham-ngay-cap-nhat-ngay-09122020-cmobile4656-65005.aspx</x:v>
      </x:c>
      <x:c r="E4" t="str">
        <x:v>Legacy Medinet – snapshot công khai</x:v>
      </x:c>
      <x:c r="F4" t="str">
        <x:v>CAPTCHA/anti-bot</x:v>
      </x:c>
      <x:c r="G4" t="str">
        <x:v>Chứng minh Medinet từng duy trì snapshot công khai từ 2020</x:v>
      </x:c>
      <x:c r="H4" t="str">
        <x:v>CHƯA</x:v>
      </x:c>
      <x:c r="I4" t="str">
        <x:v>Archive/reference; không ưu tiên active vì ngoài scope 2022+</x:v>
      </x:c>
      <x:c r="J4" t="str">
        <x:v>Hữu ích cho migration và alias công ty/nhà máy.</x:v>
      </x:c>
    </x:row>
    <x:row r="5">
      <x:c r="A5" t="str">
        <x:v>A++</x:v>
      </x:c>
      <x:c r="B5" t="str">
        <x:v>Hiện hành</x:v>
      </x:c>
      <x:c r="C5" t="str">
        <x:v>Phiếu tiếp nhận Công bố mỹ phẩm – Tra cứu SYT TP.HCM</x:v>
      </x:c>
      <x:c r="D5" t="str">
        <x:v>https://tracuu.medinet.org.vn/category/cosodulieukhac/congbo-mypham</x:v>
      </x:c>
      <x:c r="E5" t="str">
        <x:v>Current structured portal</x:v>
      </x:c>
      <x:c r="F5" t="str">
        <x:v>Truy cập được qua search index</x:v>
      </x:c>
      <x:c r="G5" t="str">
        <x:v>Nguồn lõi; 39.614 kết quả; có product, company, brand, CBMP, ngày cấp/hết hạn, manufacturer, mã hồ sơ</x:v>
      </x:c>
      <x:c r="H5" t="str">
        <x:v>CÓ – sau clean gate</x:v>
      </x:c>
      <x:c r="I5" t="str">
        <x:v>Tiếp tục direct portal + exact number/company/factory</x:v>
      </x:c>
      <x:c r="J5" t="str">
        <x:v>Khả năng cao là lớp kế nhiệm/số hóa tốt hơn so với archive cũ; đây là inference.</x:v>
      </x:c>
    </x:row>
    <x:row r="6">
      <x:c r="A6" t="str">
        <x:v>B</x:v>
      </x:c>
      <x:c r="B6" t="str">
        <x:v>Legacy file host</x:v>
      </x:c>
      <x:c r="C6" t="str">
        <x:v>file.medinet.gov.vn</x:v>
      </x:c>
      <x:c r="D6" t="str">
        <x:v>https://file.medinet.gov.vn/</x:v>
      </x:c>
      <x:c r="E6" t="str">
        <x:v>Kho file đính kèm cũ</x:v>
      </x:c>
      <x:c r="F6" t="str">
        <x:v>Request Rejected/anti-bot</x:v>
      </x:c>
      <x:c r="G6" t="str">
        <x:v>Có khả năng chứa attachment snapshot Medinet cũ</x:v>
      </x:c>
      <x:c r="H6" t="str">
        <x:v>CHƯA</x:v>
      </x:c>
      <x:c r="I6" t="str">
        <x:v>Chỉ dùng khi có URL file cụ thể từ search index/cache/manual browser</x:v>
      </x:c>
      <x:c r="J6" t="str">
        <x:v>Không brute-force filename.</x:v>
      </x:c>
    </x:row>
  </x:sheetData>
  <x:pageMargins left="0.7" right="0.7" top="0.75" bottom="0.75" header="0.3" footer="0.3"/>
  <x:drawing xmlns:r="http://schemas.openxmlformats.org/officeDocument/2006/relationships" r:id="Reeb909077da9402b"/>
</x:worksheet>
</file>

<file path=xl/worksheets/sheet70.xml><?xml version="1.0" encoding="utf-8"?>
<x:worksheet xmlns:x="http://schemas.openxmlformats.org/spreadsheetml/2006/main">
  <x:sheetFormatPr defaultRowHeight="15"/>
  <x:cols>
    <x:col min="1" max="1" width="8" hidden="0" customWidth="1"/>
    <x:col min="2" max="2" width="10" hidden="0" customWidth="1"/>
    <x:col min="3" max="3" width="42" hidden="0" customWidth="1"/>
    <x:col min="4" max="4" width="30" hidden="0" customWidth="1"/>
    <x:col min="5" max="5" width="18" hidden="0" customWidth="1"/>
    <x:col min="6" max="6" width="88" hidden="0" customWidth="1"/>
    <x:col min="7" max="7" width="54" hidden="0" customWidth="1"/>
    <x:col min="8" max="8" width="28" hidden="0" customWidth="1"/>
    <x:col min="9" max="9" width="26" hidden="0" customWidth="1"/>
    <x:col min="10" max="10" width="60" hidden="0" customWidth="1"/>
    <x:col min="11" max="11" width="64" hidden="0" customWidth="1"/>
    <x:col min="12" max="12" width="52" hidden="0" customWidth="1"/>
  </x:cols>
  <x:sheetData>
    <x:row r="1" ht="48" customHeight="1">
      <x:c r="A1" s="485" t="str">
        <x:v>Tầng</x:v>
      </x:c>
      <x:c r="B1" s="485" t="str">
        <x:v>Ưu tiên</x:v>
      </x:c>
      <x:c r="C1" s="485" t="str">
        <x:v>Cơ quan / Hệ thống</x:v>
      </x:c>
      <x:c r="D1" s="485" t="str">
        <x:v>Phạm vi</x:v>
      </x:c>
      <x:c r="E1" s="485" t="str">
        <x:v>Giai đoạn</x:v>
      </x:c>
      <x:c r="F1" s="485" t="str">
        <x:v>URL</x:v>
      </x:c>
      <x:c r="G1" s="485" t="str">
        <x:v>Loại dữ liệu có thể lấy</x:v>
      </x:c>
      <x:c r="H1" s="485" t="str">
        <x:v>Trạng thái truy cập</x:v>
      </x:c>
      <x:c r="I1" s="485" t="str">
        <x:v>Dùng cho MASTER?</x:v>
      </x:c>
      <x:c r="J1" s="485" t="str">
        <x:v>Giá trị chiến lược</x:v>
      </x:c>
      <x:c r="K1" s="485" t="str">
        <x:v>Hành động tiếp</x:v>
      </x:c>
      <x:c r="L1" s="485" t="str">
        <x:v>Ghi chú</x:v>
      </x:c>
    </x:row>
    <x:row r="2">
      <x:c r="A2" t="n">
        <x:v>1</x:v>
      </x:c>
      <x:c r="B2" t="str">
        <x:v>A++</x:v>
      </x:c>
      <x:c r="C2" t="str">
        <x:v>Bộ Y tế – Cổng thông tin</x:v>
      </x:c>
      <x:c r="D2" t="str">
        <x:v>Toàn quốc</x:v>
      </x:c>
      <x:c r="E2" t="str">
        <x:v>Hiện hành</x:v>
      </x:c>
      <x:c r="F2" t="str">
        <x:v>https://moh.gov.vn/</x:v>
      </x:c>
      <x:c r="G2" t="str">
        <x:v>Chính sách, thay đổi quy định, hướng dẫn Phiếu công bố</x:v>
      </x:c>
      <x:c r="H2" t="str">
        <x:v>Truy cập công khai</x:v>
      </x:c>
      <x:c r="I2" t="str">
        <x:v>Không trực tiếp</x:v>
      </x:c>
      <x:c r="J2" t="str">
        <x:v>Xác định chuẩn dữ liệu và thay đổi hệ thống</x:v>
      </x:c>
      <x:c r="K2" t="str">
        <x:v>Theo dõi văn bản/hướng dẫn mỹ phẩm; không dùng tin tức thay declaration</x:v>
      </x:c>
      <x:c r="L2" t="str">
        <x:v>Tầng chính sách.</x:v>
      </x:c>
    </x:row>
    <x:row r="3">
      <x:c r="A3" t="n">
        <x:v>2</x:v>
      </x:c>
      <x:c r="B3" t="str">
        <x:v>A++</x:v>
      </x:c>
      <x:c r="C3" t="str">
        <x:v>Cục Quản lý Dược – Quản lý mỹ phẩm</x:v>
      </x:c>
      <x:c r="D3" t="str">
        <x:v>Toàn quốc / nhập khẩu</x:v>
      </x:c>
      <x:c r="E3" t="str">
        <x:v>2015–2026+</x:v>
      </x:c>
      <x:c r="F3" t="str">
        <x:v>https://dav.gov.vn/quan-ly-my-pham-cn12.html</x:v>
      </x:c>
      <x:c r="G3" t="str">
        <x:v>Quyết định thu hồi số tiếp nhận, cảnh báo, công văn, archive lịch sử</x:v>
      </x:c>
      <x:c r="H3" t="str">
        <x:v>Archive nhiều trang, search-index tốt</x:v>
      </x:c>
      <x:c r="I3" t="str">
        <x:v>Có khi record đủ clean gate</x:v>
      </x:c>
      <x:c r="J3" t="str">
        <x:v>Kho trung ương rất sâu; có trang lịch sử đến 2015–2018 và 2022–2026</x:v>
      </x:c>
      <x:c r="K3" t="str">
        <x:v>Quét page archive 2022–2026 trước; tìm thêm Bình Dương/CBMP-BD/company</x:v>
      </x:c>
      <x:c r="L3" t="str">
        <x:v>Nguồn A++ cho legal recovery.</x:v>
      </x:c>
    </x:row>
    <x:row r="4">
      <x:c r="A4" t="n">
        <x:v>2</x:v>
      </x:c>
      <x:c r="B4" t="str">
        <x:v>A++</x:v>
      </x:c>
      <x:c r="C4" t="str">
        <x:v>Cục Quản lý Dược – Dịch vụ công</x:v>
      </x:c>
      <x:c r="D4" t="str">
        <x:v>Toàn quốc / nhập khẩu</x:v>
      </x:c>
      <x:c r="E4" t="str">
        <x:v>Legacy + current</x:v>
      </x:c>
      <x:c r="F4" t="str">
        <x:v>https://dichvucong.dav.gov.vn/</x:v>
      </x:c>
      <x:c r="G4" t="str">
        <x:v>Tiếp nhận công bố mỹ phẩm; đầu mối hệ thống tra cứu/dịch vụ công</x:v>
      </x:c>
      <x:c r="H4" t="str">
        <x:v>Hiện có lúc bảo trì</x:v>
      </x:c>
      <x:c r="I4" t="str">
        <x:v>Không trực tiếp khi không có kết quả public</x:v>
      </x:c>
      <x:c r="J4" t="str">
        <x:v>Xác định hệ thống cũ/hiện hành và đường tra cứu</x:v>
      </x:c>
      <x:c r="K4" t="str">
        <x:v>Theo dõi khi hệ thống hoạt động lại; tìm endpoint/tra cứu public hợp lệ</x:v>
      </x:c>
      <x:c r="L4" t="str">
        <x:v>Không bypass bảo trì.</x:v>
      </x:c>
    </x:row>
    <x:row r="5">
      <x:c r="A5" t="n">
        <x:v>3</x:v>
      </x:c>
      <x:c r="B5" t="str">
        <x:v>A++</x:v>
      </x:c>
      <x:c r="C5" t="str">
        <x:v>Cổng Dịch vụ công Quốc gia – mỹ phẩm nội địa</x:v>
      </x:c>
      <x:c r="D5" t="str">
        <x:v>Sản xuất trong nước</x:v>
      </x:c>
      <x:c r="E5" t="str">
        <x:v>Hiện hành</x:v>
      </x:c>
      <x:c r="F5" t="str">
        <x:v>https://dichvucong.gov.vn/p/home/dvc-chi-tiet-thu-tuc-hanh-chinh.html?id_tinh_thanh=50&amp;ma_thu_tuc=1.002600</x:v>
      </x:c>
      <x:c r="G5" t="str">
        <x:v>Thẩm quyền, quy trình, mẫu Phiếu, cơ quan thực hiện</x:v>
      </x:c>
      <x:c r="H5" t="str">
        <x:v>Truy cập công khai</x:v>
      </x:c>
      <x:c r="I5" t="str">
        <x:v>Không phải declaration</x:v>
      </x:c>
      <x:c r="J5" t="str">
        <x:v>Khóa logic: hồ sơ nội địa nộp Sở Y tế nơi đặt nhà máy</x:v>
      </x:c>
      <x:c r="K5" t="str">
        <x:v>Dùng để map đúng tỉnh/nhà máy và nguồn cần truy</x:v>
      </x:c>
      <x:c r="L5" t="str">
        <x:v>Cơ quan thực hiện: Sở Y tế.</x:v>
      </x:c>
    </x:row>
    <x:row r="6">
      <x:c r="A6" t="n">
        <x:v>3</x:v>
      </x:c>
      <x:c r="B6" t="str">
        <x:v>A++</x:v>
      </x:c>
      <x:c r="C6" t="str">
        <x:v>Cổng Một cửa Quốc gia / Cục QLD</x:v>
      </x:c>
      <x:c r="D6" t="str">
        <x:v>Mỹ phẩm nhập khẩu</x:v>
      </x:c>
      <x:c r="E6" t="str">
        <x:v>Hiện hành</x:v>
      </x:c>
      <x:c r="F6" t="str">
        <x:v>https://vnsw.gov.vn/</x:v>
      </x:c>
      <x:c r="G6" t="str">
        <x:v>Tuyến tiếp nhận công bố mỹ phẩm nhập khẩu</x:v>
      </x:c>
      <x:c r="H6" t="str">
        <x:v>Cổng công khai; tra cứu phụ thuộc dịch vụ</x:v>
      </x:c>
      <x:c r="I6" t="str">
        <x:v>Có khi có kết quả public đủ trường</x:v>
      </x:c>
      <x:c r="J6" t="str">
        <x:v>Tách đúng CBMP-QLD khỏi CBMP tỉnh</x:v>
      </x:c>
      <x:c r="K6" t="str">
        <x:v>Tiếp tục IMPORT_DECLARATIONS riêng</x:v>
      </x:c>
      <x:c r="L6" t="str">
        <x:v>Không cộng với declaration tỉnh.</x:v>
      </x:c>
    </x:row>
    <x:row r="7">
      <x:c r="A7" t="n">
        <x:v>4</x:v>
      </x:c>
      <x:c r="B7" t="str">
        <x:v>A++</x:v>
      </x:c>
      <x:c r="C7" t="str">
        <x:v>Sở Y tế TP.HCM – Tra cứu công bố mỹ phẩm</x:v>
      </x:c>
      <x:c r="D7" t="str">
        <x:v>TP.HCM hiện hành + dữ liệu liên đới</x:v>
      </x:c>
      <x:c r="E7" t="str">
        <x:v>Hiện hành</x:v>
      </x:c>
      <x:c r="F7" t="str">
        <x:v>https://tracuu.medinet.org.vn/category/cosodulieukhac/congbo-mypham</x:v>
      </x:c>
      <x:c r="G7" t="str">
        <x:v>Product, company, brand, CBMP, ngày cấp/hết hạn, manufacturer, mã hồ sơ</x:v>
      </x:c>
      <x:c r="H7" t="str">
        <x:v>Truy cập/search-index được</x:v>
      </x:c>
      <x:c r="I7" t="str">
        <x:v>Có – sau clean gate</x:v>
      </x:c>
      <x:c r="J7" t="str">
        <x:v>Nguồn lõi TP.HCM; 39.614 kết quả đã biết</x:v>
      </x:c>
      <x:c r="K7" t="str">
        <x:v>Tiếp tục exact-number/company/factory sweep</x:v>
      </x:c>
      <x:c r="L7" t="str">
        <x:v>Nguồn declaration trực tiếp ưu tiên số 1.</x:v>
      </x:c>
    </x:row>
    <x:row r="8">
      <x:c r="A8" t="n">
        <x:v>4</x:v>
      </x:c>
      <x:c r="B8" t="str">
        <x:v>A++</x:v>
      </x:c>
      <x:c r="C8" t="str">
        <x:v>Sở Y tế TP.HCM – Quảng cáo mỹ phẩm</x:v>
      </x:c>
      <x:c r="D8" t="str">
        <x:v>TP.HCM + cross-reference tỉnh cũ/import</x:v>
      </x:c>
      <x:c r="E8" t="str">
        <x:v>Hiện hành</x:v>
      </x:c>
      <x:c r="F8" t="str">
        <x:v>https://tracuu.medinet.org.vn/category/cosodulieukhac/quangcao-mypham</x:v>
      </x:c>
      <x:c r="G8" t="str">
        <x:v>Tên sản phẩm + số CBMP; có CBMP-BD, CBMP-QLD, CBMP-HCM và tỉnh khác</x:v>
      </x:c>
      <x:c r="H8" t="str">
        <x:v>Truy cập/search-index được</x:v>
      </x:c>
      <x:c r="I8" t="str">
        <x:v>Có như cross-check, không thay direct declaration</x:v>
      </x:c>
      <x:c r="J8" t="str">
        <x:v>Cầu nối cực mạnh để khôi phục Bình Dương cũ</x:v>
      </x:c>
      <x:c r="K8" t="str">
        <x:v>Reverse lookup toàn bộ CBMP-BD theo company/brand</x:v>
      </x:c>
      <x:c r="L8" t="str">
        <x:v>Đã thấy Rohto/VSIP mang nhiều số CBMP-BD.</x:v>
      </x:c>
    </x:row>
    <x:row r="9">
      <x:c r="A9" t="n">
        <x:v>4</x:v>
      </x:c>
      <x:c r="B9" t="str">
        <x:v>A++</x:v>
      </x:c>
      <x:c r="C9" t="str">
        <x:v>Sở Y tế TP.HCM – CFS mỹ phẩm</x:v>
      </x:c>
      <x:c r="D9" t="str">
        <x:v>TP.HCM + Bình Dương cũ</x:v>
      </x:c>
      <x:c r="E9" t="str">
        <x:v>2025–2026</x:v>
      </x:c>
      <x:c r="F9" t="str">
        <x:v>https://tracuu.medinet.org.vn/category/cosodulieukhac/gxn-cfs</x:v>
      </x:c>
      <x:c r="G9" t="str">
        <x:v>Cơ sở sản xuất + tên sản phẩm + số đăng ký lưu hành/CBMP</x:v>
      </x:c>
      <x:c r="H9" t="str">
        <x:v>Truy cập/search-index được</x:v>
      </x:c>
      <x:c r="I9" t="str">
        <x:v>Có như cross-check</x:v>
      </x:c>
      <x:c r="J9" t="str">
        <x:v>Khôi phục CBMP-BD của Wipro/Marico và nối factory</x:v>
      </x:c>
      <x:c r="K9" t="str">
        <x:v>Quét các CFS theo factory vùng Bình Dương cũ</x:v>
      </x:c>
      <x:c r="L9" t="str">
        <x:v>Ví dụ đã thấy 387/25/CBMP-BD Wipro; 006/25, 007/25 Marico.</x:v>
      </x:c>
    </x:row>
    <x:row r="10">
      <x:c r="A10" t="n">
        <x:v>4</x:v>
      </x:c>
      <x:c r="B10" t="str">
        <x:v>A++</x:v>
      </x:c>
      <x:c r="C10" t="str">
        <x:v>Sở Y tế TP.HCM – Cơ sở đủ điều kiện SX mỹ phẩm</x:v>
      </x:c>
      <x:c r="D10" t="str">
        <x:v>TP.HCM mới gồm vùng sáp nhập</x:v>
      </x:c>
      <x:c r="E10" t="str">
        <x:v>Hiện hành</x:v>
      </x:c>
      <x:c r="F10" t="str">
        <x:v>https://tracuu.medinet.org.vn/category/cosodulieukhac/gxn-ddksxmp</x:v>
      </x:c>
      <x:c r="G10" t="str">
        <x:v>Tên factory, số ĐKSXMP, địa chỉ, phạm vi SX, trạng thái</x:v>
      </x:c>
      <x:c r="H10" t="str">
        <x:v>Truy cập/search-index được</x:v>
      </x:c>
      <x:c r="I10" t="str">
        <x:v>Không phải declaration</x:v>
      </x:c>
      <x:c r="J10" t="str">
        <x:v>Node factory để truy ngược hàng trăm brand/sản phẩm</x:v>
      </x:c>
      <x:c r="K10" t="str">
        <x:v>Mở rộng 20/250 factory; ưu tiên VSIP/Thuận An/Dĩ An/Tân Uyên</x:v>
      </x:c>
      <x:c r="L10" t="str">
        <x:v>Factory layer riêng.</x:v>
      </x:c>
    </x:row>
    <x:row r="11">
      <x:c r="A11" t="n">
        <x:v>5</x:v>
      </x:c>
      <x:c r="B11" t="str">
        <x:v>A++</x:v>
      </x:c>
      <x:c r="C11" t="str">
        <x:v>Sở Y tế Bình Dương cũ – website SharePoint</x:v>
      </x:c>
      <x:c r="D11" t="str">
        <x:v>Bình Dương cũ</x:v>
      </x:c>
      <x:c r="E11" t="str">
        <x:v>Trước sáp nhập</x:v>
      </x:c>
      <x:c r="F11" t="str">
        <x:v>https://soyte.binhduong.gov.vn/</x:v>
      </x:c>
      <x:c r="G11" t="str">
        <x:v>Kỳ vọng: danh sách công bố, văn bản dược-mỹ phẩm, file/list attachment</x:v>
      </x:c>
      <x:c r="H11" t="str">
        <x:v>Root hiện khó truy cập/không được index tốt</x:v>
      </x:c>
      <x:c r="I11" t="str">
        <x:v>Chỉ khi lấy được record/file thật</x:v>
      </x:c>
      <x:c r="J11" t="str">
        <x:v>Nhánh archive A++ theo ký ức người dùng và cấu trúc site cũ</x:v>
      </x:c>
      <x:c r="K11" t="str">
        <x:v>Tìm tên List/Library mỹ phẩm, attachment, cache/index; không brute-force</x:v>
      </x:c>
      <x:c r="L11" t="str">
        <x:v>Chưa tìm được trang mỹ phẩm cụ thể nên chưa ingest.</x:v>
      </x:c>
    </x:row>
    <x:row r="12">
      <x:c r="A12" t="n">
        <x:v>5</x:v>
      </x:c>
      <x:c r="B12" t="str">
        <x:v>A++</x:v>
      </x:c>
      <x:c r="C12" t="str">
        <x:v>Cổng DVC Bình Dương cũ</x:v>
      </x:c>
      <x:c r="D12" t="str">
        <x:v>Bình Dương cũ</x:v>
      </x:c>
      <x:c r="E12" t="str">
        <x:v>Trước sáp nhập</x:v>
      </x:c>
      <x:c r="F12" t="str">
        <x:v>https://dichvucong.binhduong.gov.vn/vi/</x:v>
      </x:c>
      <x:c r="G12" t="str">
        <x:v>TTHC cấp số CBMP, hồ sơ/kết quả nếu public</x:v>
      </x:c>
      <x:c r="H12" t="str">
        <x:v>Portal còn được index</x:v>
      </x:c>
      <x:c r="I12" t="str">
        <x:v>Chỉ khi kết quả public đủ clean gate</x:v>
      </x:c>
      <x:c r="J12" t="str">
        <x:v>Có thể truy lại mã thủ tục 1.002600 và hồ sơ cũ</x:v>
      </x:c>
      <x:c r="K12" t="str">
        <x:v>Tìm kết quả công khai theo mã thủ tục/company/mã hồ sơ</x:v>
      </x:c>
      <x:c r="L12" t="str">
        <x:v>Ưu tiên cao.</x:v>
      </x:c>
    </x:row>
    <x:row r="13">
      <x:c r="A13" t="n">
        <x:v>5</x:v>
      </x:c>
      <x:c r="B13" t="str">
        <x:v>A+</x:v>
      </x:c>
      <x:c r="C13" t="str">
        <x:v>Cổng dữ liệu mở Bình Dương</x:v>
      </x:c>
      <x:c r="D13" t="str">
        <x:v>Bình Dương cũ</x:v>
      </x:c>
      <x:c r="E13" t="str">
        <x:v>2024–2025 archive</x:v>
      </x:c>
      <x:c r="F13" t="str">
        <x:v>https://data.binhduong.gov.vn/dataset/</x:v>
      </x:c>
      <x:c r="G13" t="str">
        <x:v>Dataset Sở Y tế, XLSX/API/metadata từ kho CSDL dùng chung</x:v>
      </x:c>
      <x:c r="H13" t="str">
        <x:v>Portal công khai; catalog được index</x:v>
      </x:c>
      <x:c r="I13" t="str">
        <x:v>Có nếu tìm đúng dataset mỹ phẩm</x:v>
      </x:c>
      <x:c r="J13" t="str">
        <x:v>Đã xác nhận dataset có tác giả/bảo trì Sở Y tế; khả năng còn nguồn harvest</x:v>
      </x:c>
      <x:c r="K13" t="str">
        <x:v>Search catalog/harvest theo 'mỹ phẩm', 'công bố', 'Sở Y tế', resource XLSX</x:v>
      </x:c>
      <x:c r="L13" t="str">
        <x:v>Chưa thấy dataset mỹ phẩm trực tiếp.</x:v>
      </x:c>
    </x:row>
    <x:row r="14">
      <x:c r="A14" t="n">
        <x:v>5</x:v>
      </x:c>
      <x:c r="B14" t="str">
        <x:v>A++</x:v>
      </x:c>
      <x:c r="C14" t="str">
        <x:v>Cổng thông tin tỉnh Bình Dương – chức năng Sở Y tế</x:v>
      </x:c>
      <x:c r="D14" t="str">
        <x:v>Bình Dương cũ</x:v>
      </x:c>
      <x:c r="E14" t="str">
        <x:v>2022–2025</x:v>
      </x:c>
      <x:c r="F14" t="str">
        <x:v>https://www.binhduong.gov.vn/chinhquyen/lists/bomaytochuc/tongquat.aspx?p_id=69</x:v>
      </x:c>
      <x:c r="G14" t="str">
        <x:v>Chức năng, thẩm quyền về dược và mỹ phẩm</x:v>
      </x:c>
      <x:c r="H14" t="str">
        <x:v>Public/indexed</x:v>
      </x:c>
      <x:c r="I14" t="str">
        <x:v>Không phải declaration</x:v>
      </x:c>
      <x:c r="J14" t="str">
        <x:v>Xác nhận Sở Y tế Bình Dương có thẩm quyền cấp/thu hồi số công bố mỹ phẩm</x:v>
      </x:c>
      <x:c r="K14" t="str">
        <x:v>Dùng khóa source ownership; tiếp tục tìm output của chức năng này</x:v>
      </x:c>
      <x:c r="L14" t="str">
        <x:v>Official provincial governance source.</x:v>
      </x:c>
    </x:row>
    <x:row r="15">
      <x:c r="A15" t="n">
        <x:v>6</x:v>
      </x:c>
      <x:c r="B15" t="str">
        <x:v>A</x:v>
      </x:c>
      <x:c r="C15" t="str">
        <x:v>Medinet legacy snapshots</x:v>
      </x:c>
      <x:c r="D15" t="str">
        <x:v>TP.HCM cũ</x:v>
      </x:c>
      <x:c r="E15" t="str">
        <x:v>2020–2021</x:v>
      </x:c>
      <x:c r="F15" t="str">
        <x:v>https://medinet.gov.vn/chuyen-muc/phieu-cong-bo-san-pham-my-pham-ngay-cap-nhat-ngay-2562021-cmobile4656-65074.aspx</x:v>
      </x:c>
      <x:c r="G15" t="str">
        <x:v>Snapshot/list/file đính kèm công bố mỹ phẩm</x:v>
      </x:c>
      <x:c r="H15" t="str">
        <x:v>CAPTCHA/anti-bot</x:v>
      </x:c>
      <x:c r="I15" t="str">
        <x:v>Chỉ khi lấy được attachment thật</x:v>
      </x:c>
      <x:c r="J15" t="str">
        <x:v>Hiểu mô hình công khai cũ của Sở Y tế</x:v>
      </x:c>
      <x:c r="K15" t="str">
        <x:v>Tìm file attachment/cache/search-index; ngoài priority 2022+</x:v>
      </x:c>
      <x:c r="L15" t="str">
        <x:v>Không ingest chỉ từ tiêu đề trang.</x:v>
      </x:c>
    </x:row>
  </x:sheetData>
  <x:pageMargins left="0.7" right="0.7" top="0.75" bottom="0.75" header="0.3" footer="0.3"/>
  <x:drawing xmlns:r="http://schemas.openxmlformats.org/officeDocument/2006/relationships" r:id="Rd32614870f3b45d8"/>
</x:worksheet>
</file>

<file path=xl/worksheets/sheet71.xml><?xml version="1.0" encoding="utf-8"?>
<x:worksheet xmlns:x="http://schemas.openxmlformats.org/spreadsheetml/2006/main">
  <x:sheetFormatPr defaultRowHeight="15"/>
  <x:cols>
    <x:col min="1" max="1" width="10" hidden="0" customWidth="1"/>
    <x:col min="2" max="2" width="28" hidden="0" customWidth="1"/>
    <x:col min="3" max="3" width="42" hidden="0" customWidth="1"/>
    <x:col min="4" max="4" width="88" hidden="0" customWidth="1"/>
    <x:col min="5" max="5" width="46" hidden="0" customWidth="1"/>
    <x:col min="6" max="6" width="54" hidden="0" customWidth="1"/>
    <x:col min="7" max="7" width="60" hidden="0" customWidth="1"/>
    <x:col min="8" max="8" width="24" hidden="0" customWidth="1"/>
    <x:col min="9" max="9" width="28" hidden="0" customWidth="1"/>
    <x:col min="10" max="10" width="40" hidden="0" customWidth="1"/>
    <x:col min="11" max="11" width="62" hidden="0" customWidth="1"/>
    <x:col min="12" max="12" width="36" hidden="0" customWidth="1"/>
    <x:col min="13" max="13" width="54" hidden="0" customWidth="1"/>
  </x:cols>
  <x:sheetData>
    <x:row r="1" ht="48" customHeight="1">
      <x:c r="A1" s="488" t="str">
        <x:v>Ưu tiên</x:v>
      </x:c>
      <x:c r="B1" s="488" t="str">
        <x:v>Nhánh khôi phục</x:v>
      </x:c>
      <x:c r="C1" s="488" t="str">
        <x:v>Nguồn chính</x:v>
      </x:c>
      <x:c r="D1" s="488" t="str">
        <x:v>URL</x:v>
      </x:c>
      <x:c r="E1" s="488" t="str">
        <x:v>Từ khóa / khóa truy</x:v>
      </x:c>
      <x:c r="F1" s="488" t="str">
        <x:v>Dữ liệu kỳ vọng</x:v>
      </x:c>
      <x:c r="G1" s="488" t="str">
        <x:v>Bằng chứng đã thấy</x:v>
      </x:c>
      <x:c r="H1" s="488" t="str">
        <x:v>Trạng thái</x:v>
      </x:c>
      <x:c r="I1" s="488" t="str">
        <x:v>Có vào MASTER?</x:v>
      </x:c>
      <x:c r="J1" s="488" t="str">
        <x:v>Risk/Gap</x:v>
      </x:c>
      <x:c r="K1" s="488" t="str">
        <x:v>Next action</x:v>
      </x:c>
      <x:c r="L1" s="488" t="str">
        <x:v>Ví dụ mốc</x:v>
      </x:c>
      <x:c r="M1" s="488" t="str">
        <x:v>Ghi chú</x:v>
      </x:c>
    </x:row>
    <x:row r="2">
      <x:c r="A2" t="str">
        <x:v>A++</x:v>
      </x:c>
      <x:c r="B2" t="str">
        <x:v>Sở Y tế Bình Dương cũ</x:v>
      </x:c>
      <x:c r="C2" t="str">
        <x:v>Website Sở Y tế Bình Dương cũ</x:v>
      </x:c>
      <x:c r="D2" t="str">
        <x:v>https://soyte.binhduong.gov.vn/</x:v>
      </x:c>
      <x:c r="E2" t="str">
        <x:v>mỹ phẩm | công bố | CBMP-BD | dược mỹ phẩm | số tiếp nhận</x:v>
      </x:c>
      <x:c r="F2" t="str">
        <x:v>Danh sách CBMP-BD, company, product, manufacturer, ngày cấp/file</x:v>
      </x:c>
      <x:c r="G2" t="str">
        <x:v>UBND tỉnh xác nhận Sở Y tế có thẩm quyền cấp/thu hồi số công bố mỹ phẩm</x:v>
      </x:c>
      <x:c r="H2" t="str">
        <x:v>CHƯA KHÔI PHỤC LIST</x:v>
      </x:c>
      <x:c r="I2" t="str">
        <x:v>CHỈ KHI CÓ FILE/RECORD THẬT</x:v>
      </x:c>
      <x:c r="J2" t="str">
        <x:v>Search index hiện yếu; root cũ khó truy cập</x:v>
      </x:c>
      <x:c r="K2" t="str">
        <x:v>Tìm SharePoint List/Library name qua index/cache/link references</x:v>
      </x:c>
      <x:c r="L2" t="str">
        <x:v>Quy trình 1.002600</x:v>
      </x:c>
      <x:c r="M2" t="str">
        <x:v>Không đoán đường dẫn list.</x:v>
      </x:c>
    </x:row>
    <x:row r="3">
      <x:c r="A3" t="str">
        <x:v>A++</x:v>
      </x:c>
      <x:c r="B3" t="str">
        <x:v>DVC cũ</x:v>
      </x:c>
      <x:c r="C3" t="str">
        <x:v>Cổng DVC Bình Dương</x:v>
      </x:c>
      <x:c r="D3" t="str">
        <x:v>https://dichvucong.binhduong.gov.vn/vi/</x:v>
      </x:c>
      <x:c r="E3" t="str">
        <x:v>1.002600 | mỹ phẩm | công bố | mã hồ sơ</x:v>
      </x:c>
      <x:c r="F3" t="str">
        <x:v>TTHC, hồ sơ/kết quả công khai, mã hồ sơ</x:v>
      </x:c>
      <x:c r="G3" t="str">
        <x:v>Portal chính thức còn được search-index</x:v>
      </x:c>
      <x:c r="H3" t="str">
        <x:v>ĐANG MỞ NGUỒN</x:v>
      </x:c>
      <x:c r="I3" t="str">
        <x:v>NẾU PUBLIC RESULT ĐỦ TRƯỜNG</x:v>
      </x:c>
      <x:c r="J3" t="str">
        <x:v>Parser ít nội dung</x:v>
      </x:c>
      <x:c r="K3" t="str">
        <x:v>Search exact procedure code + company + CBMP-BD + cached result</x:v>
      </x:c>
      <x:c r="L3" t="str">
        <x:v>1.002600</x:v>
      </x:c>
      <x:c r="M3" t="str">
        <x:v>Cầu nối giữa Sở và hồ sơ điện tử.</x:v>
      </x:c>
    </x:row>
    <x:row r="4">
      <x:c r="A4" t="str">
        <x:v>A+</x:v>
      </x:c>
      <x:c r="B4" t="str">
        <x:v>Open data</x:v>
      </x:c>
      <x:c r="C4" t="str">
        <x:v>Cổng dữ liệu mở Bình Dương</x:v>
      </x:c>
      <x:c r="D4" t="str">
        <x:v>https://data.binhduong.gov.vn/dataset/</x:v>
      </x:c>
      <x:c r="E4" t="str">
        <x:v>mỹ phẩm | Sở Y tế | công bố | dược | XLSX | harvest</x:v>
      </x:c>
      <x:c r="F4" t="str">
        <x:v>Dataset bulk XLSX/API hoặc metadata nguồn Sở Y tế</x:v>
      </x:c>
      <x:c r="G4" t="str">
        <x:v>Có dataset công khai ghi tác giả/người bảo trì Sở Y tế và nguồn Kho CSDL dùng chung</x:v>
      </x:c>
      <x:c r="H4" t="str">
        <x:v>CHƯA THẤY DATASET MỸ PHẨM</x:v>
      </x:c>
      <x:c r="I4" t="str">
        <x:v>NẾU TÌM ĐƯỢC RESOURCE THẬT</x:v>
      </x:c>
      <x:c r="J4" t="str">
        <x:v>Catalog hiện chưa trả query mỹ phẩm</x:v>
      </x:c>
      <x:c r="K4" t="str">
        <x:v>Dò catalog + harvest source chain + resource metadata</x:v>
      </x:c>
      <x:c r="L4" t="str">
        <x:v>98 dataset được index ở portal</x:v>
      </x:c>
      <x:c r="M4" t="str">
        <x:v>Không nhầm dữ liệu ATTP với mỹ phẩm.</x:v>
      </x:c>
    </x:row>
    <x:row r="5">
      <x:c r="A5" t="str">
        <x:v>A++</x:v>
      </x:c>
      <x:c r="B5" t="str">
        <x:v>Migration hậu sáp nhập</x:v>
      </x:c>
      <x:c r="C5" t="str">
        <x:v>SYT TP.HCM – Quảng cáo mỹ phẩm</x:v>
      </x:c>
      <x:c r="D5" t="str">
        <x:v>https://tracuu.medinet.org.vn/category/cosodulieukhac/quangcao-mypham</x:v>
      </x:c>
      <x:c r="E5" t="str">
        <x:v>CBMP-BD | Rohto | VSIP | Wipro | Marico | 50 Megumi | Acnes | Hada Labo</x:v>
      </x:c>
      <x:c r="F5" t="str">
        <x:v>Tên SP + số CBMP-BD + company hiện hành</x:v>
      </x:c>
      <x:c r="G5" t="str">
        <x:v>Đã thấy hàng loạt số CBMP-BD của Rohto/VSIP trong cổng TP.HCM mới</x:v>
      </x:c>
      <x:c r="H5" t="str">
        <x:v>ĐANG KHAI THÁC</x:v>
      </x:c>
      <x:c r="I5" t="str">
        <x:v>CROSS-CHECK → MASTER NẾU ĐỦ CLEAN GATE</x:v>
      </x:c>
      <x:c r="J5" t="str">
        <x:v>Không phải direct declaration source</x:v>
      </x:c>
      <x:c r="K5" t="str">
        <x:v>Search company/brand; lấy số rồi truy exact record/source khác</x:v>
      </x:c>
      <x:c r="L5" t="str">
        <x:v>737/24; 740/24; 557/24; 098/23; 099/23; 017/23…</x:v>
      </x:c>
      <x:c r="M5" t="str">
        <x:v>Chứng minh dữ liệu Bình Dương cũ vẫn còn dấu vết trong hệ thống mới.</x:v>
      </x:c>
    </x:row>
    <x:row r="6">
      <x:c r="A6" t="str">
        <x:v>A++</x:v>
      </x:c>
      <x:c r="B6" t="str">
        <x:v>CFS hậu sáp nhập</x:v>
      </x:c>
      <x:c r="C6" t="str">
        <x:v>SYT TP.HCM – CFS</x:v>
      </x:c>
      <x:c r="D6" t="str">
        <x:v>https://tracuu.medinet.org.vn/category/cosodulieukhac/gxn-cfs</x:v>
      </x:c>
      <x:c r="E6" t="str">
        <x:v>CBMP-BD | Wipro | Marico</x:v>
      </x:c>
      <x:c r="F6" t="str">
        <x:v>Tên factory + product + số CBMP-BD</x:v>
      </x:c>
      <x:c r="G6" t="str">
        <x:v>Đã thấy 387/25 Wipro và 006/25, 007/25 Marico</x:v>
      </x:c>
      <x:c r="H6" t="str">
        <x:v>ĐANG KHAI THÁC</x:v>
      </x:c>
      <x:c r="I6" t="str">
        <x:v>CROSS-CHECK</x:v>
      </x:c>
      <x:c r="J6" t="str">
        <x:v>Chỉ 7 CFS result hiện hành</x:v>
      </x:c>
      <x:c r="K6" t="str">
        <x:v>Quét toàn bộ CFS, nối factory → declaration</x:v>
      </x:c>
      <x:c r="L6" t="str">
        <x:v>387/25/CBMP-BD; 006/25; 007/25</x:v>
      </x:c>
      <x:c r="M6" t="str">
        <x:v>Nguồn rất sạch để nối factory.</x:v>
      </x:c>
    </x:row>
    <x:row r="7">
      <x:c r="A7" t="str">
        <x:v>A++</x:v>
      </x:c>
      <x:c r="B7" t="str">
        <x:v>Archive trung ương</x:v>
      </x:c>
      <x:c r="C7" t="str">
        <x:v>Cục Quản lý Dược – Quản lý mỹ phẩm</x:v>
      </x:c>
      <x:c r="D7" t="str">
        <x:v>https://dav.gov.vn/quan-ly-my-pham-cn12.html</x:v>
      </x:c>
      <x:c r="E7" t="str">
        <x:v>Bình Dương | CBMP-BD | Vimedimex Bình Dương | company name</x:v>
      </x:c>
      <x:c r="F7" t="str">
        <x:v>Quyết định/công văn có số CBMP, company, trạng thái pháp lý</x:v>
      </x:c>
      <x:c r="G7" t="str">
        <x:v>Archive Cục QLD có trang 2022 và cũ đến 2015–2020; từng có Vimedimex Bình Dương</x:v>
      </x:c>
      <x:c r="H7" t="str">
        <x:v>ĐANG KHAI THÁC</x:v>
      </x:c>
      <x:c r="I7" t="str">
        <x:v>CÓ KHI ĐỦ CLEAN GATE</x:v>
      </x:c>
      <x:c r="J7" t="str">
        <x:v>Thiên về legal events hơn bulk declarations</x:v>
      </x:c>
      <x:c r="K7" t="str">
        <x:v>Search toàn archive theo Bình Dương/company/CBMP-BD</x:v>
      </x:c>
      <x:c r="L7" t="str">
        <x:v>QĐ 264/QĐ-QLD 11/06/2020</x:v>
      </x:c>
      <x:c r="M7" t="str">
        <x:v>Nguồn A++ để khôi phục lịch sử.</x:v>
      </x:c>
    </x:row>
    <x:row r="8">
      <x:c r="A8" t="str">
        <x:v>A++</x:v>
      </x:c>
      <x:c r="B8" t="str">
        <x:v>Factory anchor</x:v>
      </x:c>
      <x:c r="C8" t="str">
        <x:v>HCM factory registry + legacy address</x:v>
      </x:c>
      <x:c r="D8" t="str">
        <x:v>https://tracuu.medinet.org.vn/category/cosodulieukhac/gxn-ddksxmp</x:v>
      </x:c>
      <x:c r="E8" t="str">
        <x:v>VSIP | Thuận An | Dĩ An | Tân Uyên | Bình Dương</x:v>
      </x:c>
      <x:c r="F8" t="str">
        <x:v>Factory identity, ĐKSXMP, địa chỉ, phạm vi SX</x:v>
      </x:c>
      <x:c r="G8" t="str">
        <x:v>Wipro tại VSIP và các cơ sở vùng Bình Dương cũ nằm trong registry hợp nhất</x:v>
      </x:c>
      <x:c r="H8" t="str">
        <x:v>ĐANG KHAI THÁC</x:v>
      </x:c>
      <x:c r="I8" t="str">
        <x:v>KHÔNG TRỰC TIẾP</x:v>
      </x:c>
      <x:c r="J8" t="str">
        <x:v>Factory count ≠ declaration count</x:v>
      </x:c>
      <x:c r="K8" t="str">
        <x:v>Dùng factory name làm khóa reverse lookup ở ads/CFS/DAV</x:v>
      </x:c>
      <x:c r="L8" t="str">
        <x:v>VSIP/Bình Hòa</x:v>
      </x:c>
      <x:c r="M8" t="str">
        <x:v>Đây là node để mở hàng trăm sản phẩm.</x:v>
      </x:c>
    </x:row>
    <x:row r="9">
      <x:c r="A9" s="340" t="str">
        <x:v>A++</x:v>
      </x:c>
      <x:c r="B9" s="340" t="str">
        <x:v>Legal recovery 2026</x:v>
      </x:c>
      <x:c r="C9" s="340" t="str">
        <x:v>Báo Sức khỏe &amp; Đời sống dẫn văn bản Cục QLD</x:v>
      </x:c>
      <x:c r="D9" s="340" t="str">
        <x:v>https://suckhoedoisong.vn/bo-y-te-thu-hoi-va-yeu-cau-tieu-huy-lo-sua-tam-nuoc-hoa-xmen-for-boss-intense-16926060122105492.htm</x:v>
      </x:c>
      <x:c r="E9" s="340" t="str">
        <x:v>Marico | 695/24/CBMP-BD | 295/25/CBMP-BD</x:v>
      </x:c>
      <x:c r="F9" s="340" t="str">
        <x:v>CBMP + product + responsible company + manufacturer + withdrawal status</x:v>
      </x:c>
      <x:c r="G9" s="340" t="str">
        <x:v>2 số CBMP-BD mới, đều yêu cầu thu hồi số tiếp nhận</x:v>
      </x:c>
      <x:c r="H9" s="340" t="str">
        <x:v>ĐÃ NẠP MASTER</x:v>
      </x:c>
      <x:c r="I9" s="340" t="str">
        <x:v>CÓ</x:v>
      </x:c>
      <x:c r="J9" s="340" t="str">
        <x:v>Không có ngày cấp phiếu trong nguồn</x:v>
      </x:c>
      <x:c r="K9" s="340" t="str">
        <x:v>Tiếp tục truy DAV/SYT TP.HCM để lấy direct document/issue date</x:v>
      </x:c>
      <x:c r="L9" s="340" t="str">
        <x:v>695/24; 295/25</x:v>
      </x:c>
      <x:c r="M9" s="340" t="str">
        <x:v>Company &amp; manufacturer: Marico South East Asia, Sóng Thần 1, Dĩ An.</x:v>
      </x:c>
    </x:row>
    <x:row r="10">
      <x:c r="A10" s="340" t="str">
        <x:v>A++</x:v>
      </x:c>
      <x:c r="B10" s="340" t="str">
        <x:v>Retail reverse-lookup</x:v>
      </x:c>
      <x:c r="C10" s="340" t="str">
        <x:v>Pharmacity/Lotte/retail public pages</x:v>
      </x:c>
      <x:c r="D10" s="340" t="str">
        <x:v>https://www.pharmacity.vn/</x:v>
      </x:c>
      <x:c r="E10" s="340" t="str">
        <x:v>Marico | X-Men | CBMP-BD</x:v>
      </x:c>
      <x:c r="F10" s="340" t="str">
        <x:v>Số CBMP + product + manufacturer/responsible company</x:v>
      </x:c>
      <x:c r="G10" s="340" t="str">
        <x:v>Đã phát hiện thêm 053/25, 011/24, 507/24, 011/25, 052/25, 465/24</x:v>
      </x:c>
      <x:c r="H10" s="340" t="str">
        <x:v>CHỜ OFFICIAL CROSS-CHECK</x:v>
      </x:c>
      <x:c r="I10" s="340" t="str">
        <x:v>KHÔNG</x:v>
      </x:c>
      <x:c r="J10" s="340" t="str">
        <x:v>Retail không thay nguồn công bố chính thức</x:v>
      </x:c>
      <x:c r="K10" s="340" t="str">
        <x:v>Truy exact từng số ở HCM ads/CFS/DAV/Sở BD cũ</x:v>
      </x:c>
      <x:c r="L10" s="340" t="str">
        <x:v>053/25; 011/24; 507/24; 011/25; 052/25; 465/24</x:v>
      </x:c>
      <x:c r="M10" s="340" t="str">
        <x:v>Không đưa MASTER cho đến khi có nguồn nhà nước/cross-check đủ mạnh.</x:v>
      </x:c>
    </x:row>
  </x:sheetData>
  <x:pageMargins left="0.7" right="0.7" top="0.75" bottom="0.75" header="0.3" footer="0.3"/>
  <x:drawing xmlns:r="http://schemas.openxmlformats.org/officeDocument/2006/relationships" r:id="R747a25baa06542f8"/>
</x:worksheet>
</file>

<file path=xl/worksheets/sheet72.xml><?xml version="1.0" encoding="utf-8"?>
<x:worksheet xmlns:x="http://schemas.openxmlformats.org/spreadsheetml/2006/main">
  <x:sheetFormatPr defaultRowHeight="15"/>
  <x:sheetData>
    <x:row r="1" ht="48" customHeight="1">
      <x:c r="A1" s="499" t="str">
        <x:v>Nguồn</x:v>
      </x:c>
      <x:c r="B1" s="499" t="str">
        <x:v>Loại</x:v>
      </x:c>
      <x:c r="C1" s="499" t="str">
        <x:v>Tìm thấy</x:v>
      </x:c>
      <x:c r="D1" s="499" t="str">
        <x:v>Đã nạp</x:v>
      </x:c>
      <x:c r="E1" s="499" t="str">
        <x:v>Trạng thái</x:v>
      </x:c>
      <x:c r="F1" s="499" t="str">
        <x:v>Ưu tiên</x:v>
      </x:c>
      <x:c r="G1" s="499" t="str">
        <x:v>Next action</x:v>
      </x:c>
      <x:c r="H1" s="499" t="str">
        <x:v>Ghi chú</x:v>
      </x:c>
    </x:row>
    <x:row r="2">
      <x:c r="A2" t="str">
        <x:v>3748/SYT-NVD 28/04/2026</x:v>
      </x:c>
      <x:c r="B2" t="str">
        <x:v>Bulk + 3 PDF</x:v>
      </x:c>
      <x:c r="C2" t="n">
        <x:v>3</x:v>
      </x:c>
      <x:c r="D2" t="n">
        <x:v>0</x:v>
      </x:c>
      <x:c r="E2" t="str">
        <x:v>BLOCKED FETCH</x:v>
      </x:c>
      <x:c r="F2" t="str">
        <x:v>A++</x:v>
      </x:c>
      <x:c r="G2" t="str">
        <x:v>Tìm mirror/index/manual download</x:v>
      </x:c>
      <x:c r="H2" t="str">
        <x:v>Nguồn tốt nhất để làm triệt để Hà Nội.</x:v>
      </x:c>
    </x:row>
    <x:row r="3">
      <x:c r="A3" t="str">
        <x:v>VIMAC</x:v>
      </x:c>
      <x:c r="B3" t="str">
        <x:v>Gov recall</x:v>
      </x:c>
      <x:c r="C3" t="n">
        <x:v>3</x:v>
      </x:c>
      <x:c r="D3" t="n">
        <x:v>3</x:v>
      </x:c>
      <x:c r="E3" t="str">
        <x:v>PASS</x:v>
      </x:c>
      <x:c r="F3" t="str">
        <x:v>A++</x:v>
      </x:c>
      <x:c r="G3" t="str">
        <x:v>Cross-check direct HN nếu có</x:v>
      </x:c>
      <x:c r="H3" t="str">
        <x:v>Có ngày cấp.</x:v>
      </x:c>
    </x:row>
    <x:row r="4">
      <x:c r="A4" t="str">
        <x:v>THERAPY 3M</x:v>
      </x:c>
      <x:c r="B4" t="str">
        <x:v>Gov recall</x:v>
      </x:c>
      <x:c r="C4" t="n">
        <x:v>1</x:v>
      </x:c>
      <x:c r="D4" t="n">
        <x:v>1</x:v>
      </x:c>
      <x:c r="E4" t="str">
        <x:v>PASS</x:v>
      </x:c>
      <x:c r="F4" t="str">
        <x:v>A</x:v>
      </x:c>
      <x:c r="G4" t="str">
        <x:v>Exact search tiếp</x:v>
      </x:c>
      <x:c r="H4" t="str">
        <x:v>3M Pharma / IVYPHARMA.</x:v>
      </x:c>
    </x:row>
    <x:row r="5">
      <x:c r="A5" t="str">
        <x:v>Evit + Fobe + Ori + DSK</x:v>
      </x:c>
      <x:c r="B5" t="str">
        <x:v>Gov recall</x:v>
      </x:c>
      <x:c r="C5" t="n">
        <x:v>4</x:v>
      </x:c>
      <x:c r="D5" t="n">
        <x:v>4</x:v>
      </x:c>
      <x:c r="E5" t="str">
        <x:v>PASS</x:v>
      </x:c>
      <x:c r="F5" t="str">
        <x:v>A</x:v>
      </x:c>
      <x:c r="G5" t="str">
        <x:v>Exact search tiếp</x:v>
      </x:c>
      <x:c r="H5" t="str">
        <x:v>Có company + manufacturer.</x:v>
      </x:c>
    </x:row>
    <x:row r="6">
      <x:c r="A6" t="str">
        <x:v>Thu hồi số tiếp nhận – SYT Hà Nội</x:v>
      </x:c>
      <x:c r="B6" t="str">
        <x:v>Special category</x:v>
      </x:c>
      <x:c r="C6"/>
      <x:c r="D6" t="n">
        <x:v>0</x:v>
      </x:c>
      <x:c r="E6" t="str">
        <x:v>TIMEOUT</x:v>
      </x:c>
      <x:c r="F6" t="str">
        <x:v>A++</x:v>
      </x:c>
      <x:c r="G6" t="str">
        <x:v>Query qua index/company</x:v>
      </x:c>
      <x:c r="H6" t="str">
        <x:v>Có thể là source recovery hàng loạt.</x:v>
      </x:c>
    </x:row>
    <x:row r="7">
      <x:c r="A7" t="str">
        <x:v>Bulk 214 CBMP-HN – nguồn tổng hợp nhà nước</x:v>
      </x:c>
      <x:c r="B7" t="str">
        <x:v>Cross-province official notice</x:v>
      </x:c>
      <x:c r="C7" t="n">
        <x:v>214</x:v>
      </x:c>
      <x:c r="D7" t="n">
        <x:v>0</x:v>
      </x:c>
      <x:c r="E7" t="str">
        <x:v>JACKPOT / CHỜ PHỤ LỤC</x:v>
      </x:c>
      <x:c r="F7" t="str">
        <x:v>A+++</x:v>
      </x:c>
      <x:c r="G7" t="str">
        <x:v>Tìm phụ lục hoặc bản đăng lại có bảng chi tiết</x:v>
      </x:c>
      <x:c r="H7" t="str">
        <x:v>Nguồn lớn hơn nhiều so với nhặt từng record.</x:v>
      </x:c>
    </x:row>
    <x:row r="8">
      <x:c r="A8" t="str">
        <x:v>Chuyên mục thu hồi số tiếp nhận SYT Hà Nội</x:v>
      </x:c>
      <x:c r="B8" t="str">
        <x:v>Official category</x:v>
      </x:c>
      <x:c r="C8"/>
      <x:c r="D8" t="n">
        <x:v>0</x:v>
      </x:c>
      <x:c r="E8" t="str">
        <x:v>READY</x:v>
      </x:c>
      <x:c r="F8" t="str">
        <x:v>A++</x:v>
      </x:c>
      <x:c r="G8" t="str">
        <x:v>Quét theo trang/index để khôi phục danh sách</x:v>
      </x:c>
      <x:c r="H8" t="str">
        <x:v>Không hỏi lại; tự chạy exact/bulk.</x:v>
      </x:c>
    </x:row>
  </x:sheetData>
  <x:pageMargins left="0.7" right="0.7" top="0.75" bottom="0.75" header="0.3" footer="0.3"/>
  <x:drawing xmlns:r="http://schemas.openxmlformats.org/officeDocument/2006/relationships" r:id="Re8e8dbbcbfc24637"/>
</x:worksheet>
</file>

<file path=xl/worksheets/sheet73.xml><?xml version="1.0" encoding="utf-8"?>
<x:worksheet xmlns:x="http://schemas.openxmlformats.org/spreadsheetml/2006/main">
  <x:sheetFormatPr defaultRowHeight="15"/>
  <x:sheetData>
    <x:row r="1">
      <x:c r="A1" s="505" t="str">
        <x:v>Tỉnh/TP</x:v>
      </x:c>
      <x:c r="B1" s="505" t="str">
        <x:v>Số CBMP</x:v>
      </x:c>
      <x:c r="C1" s="505" t="str">
        <x:v>Tên sản phẩm</x:v>
      </x:c>
      <x:c r="D1" s="505" t="str">
        <x:v>Tổ chức được nêu</x:v>
      </x:c>
      <x:c r="E1" s="505" t="str">
        <x:v>Nguồn</x:v>
      </x:c>
      <x:c r="F1" s="505" t="str">
        <x:v>Batch</x:v>
      </x:c>
      <x:c r="G1" s="505" t="str">
        <x:v>Trang</x:v>
      </x:c>
      <x:c r="H1" s="505" t="str">
        <x:v>Lý do chưa vào MASTER</x:v>
      </x:c>
      <x:c r="I1" s="505" t="str">
        <x:v>Trạng thái</x:v>
      </x:c>
    </x:row>
    <x:row r="2">
      <x:c r="A2" t="str">
        <x:v>Hà Nội</x:v>
      </x:c>
      <x:c r="B2"/>
      <x:c r="C2"/>
      <x:c r="D2" t="str">
        <x:v>Công ty TNHH Tân Phát Group</x:v>
      </x:c>
      <x:c r="E2" t="str">
        <x:v>https://dav.gov.vn/cong-van-so-1772qld-mp-ve-viec-dinh-chi-luu-hanh-thu-hoi-va-tieu-huy-my-pham-vi-pham-cong-ty-tnhh-my-pham-viet-huong-n5334.html</x:v>
      </x:c>
      <x:c r="F2" t="str">
        <x:v>1772/QLD-MP – 511</x:v>
      </x:c>
      <x:c r="G2" t="n">
        <x:v>11</x:v>
      </x:c>
      <x:c r="H2" t="str">
        <x:v>Không vượt strict clean gate.</x:v>
      </x:c>
      <x:c r="I2" t="str">
        <x:v>CHỜ CROSS-CHECK</x:v>
      </x:c>
    </x:row>
  </x:sheetData>
  <x:pageMargins left="0.7" right="0.7" top="0.75" bottom="0.75" header="0.3" footer="0.3"/>
</x:worksheet>
</file>

<file path=xl/worksheets/sheet74.xml><?xml version="1.0" encoding="utf-8"?>
<x:worksheet xmlns:x="http://schemas.openxmlformats.org/spreadsheetml/2006/main">
  <x:sheetFormatPr defaultRowHeight="15"/>
  <x:cols>
    <x:col min="1" max="1" width="14" hidden="0" customWidth="1"/>
    <x:col min="2" max="2" width="24" hidden="0" customWidth="1"/>
    <x:col min="3" max="3" width="28" hidden="0" customWidth="1"/>
    <x:col min="4" max="4" width="72" hidden="0" customWidth="1"/>
  </x:cols>
  <x:sheetData>
    <x:row r="1">
      <x:c r="A1" s="583" t="str">
        <x:v>Ngày</x:v>
      </x:c>
      <x:c r="B1" s="583" t="str">
        <x:v>Hạng mục</x:v>
      </x:c>
      <x:c r="C1" s="583" t="str">
        <x:v>Kết quả</x:v>
      </x:c>
      <x:c r="D1" s="583" t="str">
        <x:v>Ghi chú</x:v>
      </x:c>
    </x:row>
    <x:row r="2">
      <x:c r="A2" s="506" t="n">
        <x:v>46257</x:v>
      </x:c>
      <x:c r="B2" s="340" t="str">
        <x:v>Hợp nhất MASTER</x:v>
      </x:c>
      <x:c r="C2" s="340" t="str">
        <x:v>965 local</x:v>
      </x:c>
      <x:c r="D2" s="340" t="str">
        <x:v>Base QD940 948 + 17 clean STT153–169</x:v>
      </x:c>
    </x:row>
    <x:row r="3">
      <x:c r="A3" s="506" t="n">
        <x:v>46257</x:v>
      </x:c>
      <x:c r="B3" s="340" t="str">
        <x:v>IMPORT</x:v>
      </x:c>
      <x:c r="C3" s="340" t="str">
        <x:v>316</x:v>
      </x:c>
      <x:c r="D3" s="340" t="str">
        <x:v>Giữ nguyên</x:v>
      </x:c>
    </x:row>
    <x:row r="4">
      <x:c r="A4" s="506" t="n">
        <x:v>46257</x:v>
      </x:c>
      <x:c r="B4" s="340" t="str">
        <x:v>Verified</x:v>
      </x:c>
      <x:c r="C4" s="340" t="str">
        <x:v>1281</x:v>
      </x:c>
      <x:c r="D4" s="340" t="str">
        <x:v>Số tái kiểm chứng từ file đang mount</x:v>
      </x:c>
    </x:row>
    <x:row r="5">
      <x:c r="A5" s="506" t="n">
        <x:v>46257</x:v>
      </x:c>
      <x:c r="B5" s="340" t="str">
        <x:v>Dedupe</x:v>
      </x:c>
      <x:c r="C5" s="340" t="str">
        <x:v>0 exact duplicate</x:v>
      </x:c>
      <x:c r="D5" s="340" t="str">
        <x:v>Khóa theo số CBMP</x:v>
      </x:c>
    </x:row>
    <x:row r="6">
      <x:c r="A6" s="506" t="n">
        <x:v>46257</x:v>
      </x:c>
      <x:c r="B6" s="340" t="str">
        <x:v>File chuẩn</x:v>
      </x:c>
      <x:c r="C6" s="340" t="str">
        <x:v>KGL_Cosmetic_Market_Intelligence_Master.xlsx</x:v>
      </x:c>
      <x:c r="D6" s="340" t="str">
        <x:v>Từ nay cập nhật duy nhất file này</x:v>
      </x:c>
    </x:row>
    <x:row r="7">
      <x:c r="A7" s="506" t="n">
        <x:v>46257</x:v>
      </x:c>
      <x:c r="B7" s="340" t="str">
        <x:v>Checkpoint lịch sử</x:v>
      </x:c>
      <x:c r="C7" s="340" t="str">
        <x:v>1335 verified</x:v>
      </x:c>
      <x:c r="D7" s="340" t="str">
        <x:v>Đã từng báo cáo nhưng các batch cấu thành không còn mount đầy đủ trong phiên hiện tại</x:v>
      </x:c>
    </x:row>
    <x:row r="8">
      <x:c r="A8" s="506" t="n">
        <x:v>46257</x:v>
      </x:c>
      <x:c r="B8" s="340" t="str">
        <x:v>Nguyên tắc</x:v>
      </x:c>
      <x:c r="C8" s="340" t="str">
        <x:v>Không suy đoán</x:v>
      </x:c>
      <x:c r="D8" s="340" t="str">
        <x:v>Chỉ cộng record có dữ liệu thực tế trong workbook/batch truy cập được</x:v>
      </x:c>
    </x:row>
  </x:sheetData>
  <x:pageMargins left="0.7" right="0.7" top="0.75" bottom="0.75" header="0.3" footer="0.3"/>
</x:worksheet>
</file>

<file path=xl/worksheets/sheet75.xml><?xml version="1.0" encoding="utf-8"?>
<x:worksheet xmlns:x="http://schemas.openxmlformats.org/spreadsheetml/2006/main">
  <x:sheetFormatPr defaultRowHeight="15"/>
  <x:cols>
    <x:col min="1" max="1" width="8" hidden="0" customWidth="1"/>
    <x:col min="2" max="2" width="14" hidden="0" customWidth="1"/>
    <x:col min="3" max="3" width="12" hidden="0" customWidth="1"/>
    <x:col min="4" max="4" width="20" hidden="0" customWidth="1"/>
    <x:col min="5" max="5" width="18" hidden="0" customWidth="1"/>
    <x:col min="6" max="6" width="46" hidden="0" customWidth="1"/>
    <x:col min="7" max="7" width="14" hidden="0" customWidth="1"/>
    <x:col min="8" max="8" width="24" hidden="0" customWidth="1"/>
    <x:col min="9" max="9" width="34" hidden="0" customWidth="1"/>
    <x:col min="10" max="10" width="22" hidden="0" customWidth="1"/>
    <x:col min="11" max="11" width="34" hidden="0" customWidth="1"/>
    <x:col min="12" max="12" width="46" hidden="0" customWidth="1"/>
    <x:col min="13" max="13" width="46" hidden="0" customWidth="1"/>
    <x:col min="14" max="14" width="20" hidden="0" customWidth="1"/>
  </x:cols>
  <x:sheetData>
    <x:row r="1">
      <x:c r="A1" s="590" t="str">
        <x:v>ID</x:v>
      </x:c>
      <x:c r="B1" s="590" t="str">
        <x:v>Ngày ghi nhận</x:v>
      </x:c>
      <x:c r="C1" s="590" t="str">
        <x:v>Sàn</x:v>
      </x:c>
      <x:c r="D1" s="590" t="str">
        <x:v>Nhóm</x:v>
      </x:c>
      <x:c r="E1" s="590" t="str">
        <x:v>Nhãn hàng</x:v>
      </x:c>
      <x:c r="F1" s="590" t="str">
        <x:v>Tên sản phẩm</x:v>
      </x:c>
      <x:c r="G1" s="590" t="str">
        <x:v>Quy cách</x:v>
      </x:c>
      <x:c r="H1" s="590" t="str">
        <x:v>Shop/Gian hàng</x:v>
      </x:c>
      <x:c r="I1" s="590" t="str">
        <x:v>Công ty chịu trách nhiệm</x:v>
      </x:c>
      <x:c r="J1" s="590" t="str">
        <x:v>Trạng thái CBMP</x:v>
      </x:c>
      <x:c r="K1" s="590" t="str">
        <x:v>Căn cứ TMĐT 2026</x:v>
      </x:c>
      <x:c r="L1" s="590" t="str">
        <x:v>Nguồn TMĐT</x:v>
      </x:c>
      <x:c r="M1" s="590" t="str">
        <x:v>Nguồn nghiên cứu thị trường</x:v>
      </x:c>
      <x:c r="N1" s="590" t="str">
        <x:v>Ghi chú</x:v>
      </x:c>
    </x:row>
    <x:row r="2">
      <x:c r="A2" s="340" t="n">
        <x:v>1</x:v>
      </x:c>
      <x:c r="B2" s="506" t="n">
        <x:v>46257</x:v>
      </x:c>
      <x:c r="C2" s="340" t="str">
        <x:v>Shopee</x:v>
      </x:c>
      <x:c r="D2" s="340" t="str">
        <x:v>Kem chống nắng</x:v>
      </x:c>
      <x:c r="E2" s="340" t="str">
        <x:v>ANESSA</x:v>
      </x:c>
      <x:c r="F2" s="340" t="str">
        <x:v>Tone Up Brightening UV Sunscreen SPF50+</x:v>
      </x:c>
      <x:c r="G2" s="340" t="str">
        <x:v>90g</x:v>
      </x:c>
      <x:c r="H2" s="340" t="str">
        <x:v>Anessa Official Store</x:v>
      </x:c>
      <x:c r="I2" s="340"/>
      <x:c r="J2" s="340" t="str">
        <x:v>CHƯA XÁC MINH CBMP</x:v>
      </x:c>
      <x:c r="K2" s="340" t="str">
        <x:v>Có listing Shopee hiện hành trong kỳ 02/2026–08/2026</x:v>
      </x:c>
      <x:c r="L2" s="340" t="str">
        <x:v>https://shopee.vn/search?keyword=Kem+ch%E1%BB%91ng+n%E1%BA%AFng+Anessa</x:v>
      </x:c>
      <x:c r="M2" s="340" t="str">
        <x:v>https://metric.vn/resource/blog/thi-truong-kem-chong-nang-tmdt-2026-bung-no-dau-mua-nong</x:v>
      </x:c>
      <x:c r="N2" s="340" t="str">
        <x:v>Market candidate</x:v>
      </x:c>
    </x:row>
    <x:row r="3">
      <x:c r="A3" s="340" t="n">
        <x:v>2</x:v>
      </x:c>
      <x:c r="B3" s="506" t="n">
        <x:v>46257</x:v>
      </x:c>
      <x:c r="C3" s="340" t="str">
        <x:v>Shopee</x:v>
      </x:c>
      <x:c r="D3" s="340" t="str">
        <x:v>Kem chống nắng</x:v>
      </x:c>
      <x:c r="E3" s="340" t="str">
        <x:v>ANESSA</x:v>
      </x:c>
      <x:c r="F3" s="340" t="str">
        <x:v>Perfect UV Sunscreen Skincare Milk SPF50+ PA++++</x:v>
      </x:c>
      <x:c r="G3" s="340" t="str">
        <x:v>60ml</x:v>
      </x:c>
      <x:c r="H3" s="340" t="str">
        <x:v>Anessa Official Store</x:v>
      </x:c>
      <x:c r="I3" s="340"/>
      <x:c r="J3" s="340" t="str">
        <x:v>CHƯA XÁC MINH CBMP</x:v>
      </x:c>
      <x:c r="K3" s="340" t="str">
        <x:v>Có listing Shopee hiện hành</x:v>
      </x:c>
      <x:c r="L3" s="340" t="str">
        <x:v>https://shopee.vn/search?keyword=Kem+ch%E1%BB%91ng+n%E1%BA%AFng+Anessa</x:v>
      </x:c>
      <x:c r="M3" s="340" t="str">
        <x:v>https://metric.vn/resource/blog/thi-truong-kem-chong-nang-tmdt-2026-bung-no-dau-mua-nong</x:v>
      </x:c>
      <x:c r="N3" s="340" t="str">
        <x:v>Market candidate</x:v>
      </x:c>
    </x:row>
    <x:row r="4">
      <x:c r="A4" s="340" t="n">
        <x:v>3</x:v>
      </x:c>
      <x:c r="B4" s="506" t="n">
        <x:v>46257</x:v>
      </x:c>
      <x:c r="C4" s="340" t="str">
        <x:v>Shopee</x:v>
      </x:c>
      <x:c r="D4" s="340" t="str">
        <x:v>Kem chống nắng</x:v>
      </x:c>
      <x:c r="E4" s="340" t="str">
        <x:v>ANESSA</x:v>
      </x:c>
      <x:c r="F4" s="340" t="str">
        <x:v>Mild Gel SPF35 PA+++</x:v>
      </x:c>
      <x:c r="G4" s="340" t="str">
        <x:v>90g</x:v>
      </x:c>
      <x:c r="H4" s="340" t="str">
        <x:v>Anessa Official Store</x:v>
      </x:c>
      <x:c r="I4" s="340"/>
      <x:c r="J4" s="340" t="str">
        <x:v>CHƯA XÁC MINH CBMP</x:v>
      </x:c>
      <x:c r="K4" s="340" t="str">
        <x:v>Có listing Shopee hiện hành</x:v>
      </x:c>
      <x:c r="L4" s="340" t="str">
        <x:v>https://shopee.vn/search?keyword=Kem+ch%E1%BB%91ng+n%E1%BA%AFng+Anessa</x:v>
      </x:c>
      <x:c r="M4" s="340" t="str">
        <x:v>https://metric.vn/resource/blog/thi-truong-kem-chong-nang-tmdt-2026-bung-no-dau-mua-nong</x:v>
      </x:c>
      <x:c r="N4" s="340" t="str">
        <x:v>Market candidate</x:v>
      </x:c>
    </x:row>
    <x:row r="5">
      <x:c r="A5" s="340" t="n">
        <x:v>4</x:v>
      </x:c>
      <x:c r="B5" s="506" t="n">
        <x:v>46257</x:v>
      </x:c>
      <x:c r="C5" s="340" t="str">
        <x:v>Shopee</x:v>
      </x:c>
      <x:c r="D5" s="340" t="str">
        <x:v>Kem chống nắng</x:v>
      </x:c>
      <x:c r="E5" s="340" t="str">
        <x:v>ANESSA</x:v>
      </x:c>
      <x:c r="F5" s="340" t="str">
        <x:v>Mild Milk SPF50+ PA++++</x:v>
      </x:c>
      <x:c r="G5" s="340" t="str">
        <x:v>60ml</x:v>
      </x:c>
      <x:c r="H5" s="340" t="str">
        <x:v>Anessa Official Store</x:v>
      </x:c>
      <x:c r="I5" s="340"/>
      <x:c r="J5" s="340" t="str">
        <x:v>CHƯA XÁC MINH CBMP</x:v>
      </x:c>
      <x:c r="K5" s="340" t="str">
        <x:v>Có listing Shopee hiện hành</x:v>
      </x:c>
      <x:c r="L5" s="340" t="str">
        <x:v>https://shopee.vn/list/kcn/anessa</x:v>
      </x:c>
      <x:c r="M5" s="340" t="str">
        <x:v>https://metric.vn/resource/blog/thi-truong-kem-chong-nang-tmdt-2026-bung-no-dau-mua-nong</x:v>
      </x:c>
      <x:c r="N5" s="340" t="str">
        <x:v>Market candidate</x:v>
      </x:c>
    </x:row>
    <x:row r="6">
      <x:c r="A6" s="340" t="n">
        <x:v>5</x:v>
      </x:c>
      <x:c r="B6" s="506" t="n">
        <x:v>46257</x:v>
      </x:c>
      <x:c r="C6" s="340" t="str">
        <x:v>Shopee</x:v>
      </x:c>
      <x:c r="D6" s="340" t="str">
        <x:v>Xịt chống nắng</x:v>
      </x:c>
      <x:c r="E6" s="340" t="str">
        <x:v>ANESSA</x:v>
      </x:c>
      <x:c r="F6" s="340" t="str">
        <x:v>Perfect UV Sunscreen Spray N SPF50+ PA++++</x:v>
      </x:c>
      <x:c r="G6" s="340" t="str">
        <x:v>60g</x:v>
      </x:c>
      <x:c r="H6" s="340" t="str">
        <x:v>Anessa Official Store</x:v>
      </x:c>
      <x:c r="I6" s="340"/>
      <x:c r="J6" s="340" t="str">
        <x:v>CHƯA XÁC MINH CBMP</x:v>
      </x:c>
      <x:c r="K6" s="340" t="str">
        <x:v>Có listing Shopee hiện hành</x:v>
      </x:c>
      <x:c r="L6" s="340" t="str">
        <x:v>https://shopee.vn/list/kcn/anessa</x:v>
      </x:c>
      <x:c r="M6" s="340" t="str">
        <x:v>https://metric.vn/resource/blog/thi-truong-kem-chong-nang-tmdt-2026-bung-no-dau-mua-nong</x:v>
      </x:c>
      <x:c r="N6" s="340" t="str">
        <x:v>Market candidate</x:v>
      </x:c>
    </x:row>
    <x:row r="7">
      <x:c r="A7" s="340" t="n">
        <x:v>6</x:v>
      </x:c>
      <x:c r="B7" s="506" t="n">
        <x:v>46257</x:v>
      </x:c>
      <x:c r="C7" s="340" t="str">
        <x:v>Shopee</x:v>
      </x:c>
      <x:c r="D7" s="340" t="str">
        <x:v>Kem chống nắng</x:v>
      </x:c>
      <x:c r="E7" s="340" t="str">
        <x:v>ANESSA</x:v>
      </x:c>
      <x:c r="F7" s="340" t="str">
        <x:v>Gold Milk SPF50+ PA++++</x:v>
      </x:c>
      <x:c r="G7" s="340" t="str">
        <x:v>60ml</x:v>
      </x:c>
      <x:c r="H7" s="340" t="str">
        <x:v>Anessa Official Store</x:v>
      </x:c>
      <x:c r="I7" s="340"/>
      <x:c r="J7" s="340" t="str">
        <x:v>CHƯA XÁC MINH CBMP</x:v>
      </x:c>
      <x:c r="K7" s="340" t="str">
        <x:v>Có listing Shopee hiện hành</x:v>
      </x:c>
      <x:c r="L7" s="340" t="str">
        <x:v>https://shopee.vn/list/kcn/anessa</x:v>
      </x:c>
      <x:c r="M7" s="340" t="str">
        <x:v>https://metric.vn/resource/blog/thi-truong-kem-chong-nang-tmdt-2026-bung-no-dau-mua-nong</x:v>
      </x:c>
      <x:c r="N7" s="340" t="str">
        <x:v>Market candidate</x:v>
      </x:c>
    </x:row>
    <x:row r="8">
      <x:c r="A8" s="340" t="n">
        <x:v>7</x:v>
      </x:c>
      <x:c r="B8" s="506" t="n">
        <x:v>46257</x:v>
      </x:c>
      <x:c r="C8" s="340" t="str">
        <x:v>Shopee</x:v>
      </x:c>
      <x:c r="D8" s="340" t="str">
        <x:v>Kem chống nắng</x:v>
      </x:c>
      <x:c r="E8" s="340" t="str">
        <x:v>BEPLAIN</x:v>
      </x:c>
      <x:c r="F8" s="340" t="str">
        <x:v>Sunmuse Tone Up &amp; Correcting Sunscreen SPF50+ PA++++</x:v>
      </x:c>
      <x:c r="G8" s="340" t="str">
        <x:v>50ml</x:v>
      </x:c>
      <x:c r="H8" s="340" t="str">
        <x:v>Beplain Vietnam</x:v>
      </x:c>
      <x:c r="I8" s="340"/>
      <x:c r="J8" s="340" t="str">
        <x:v>CHƯA XÁC MINH CBMP</x:v>
      </x:c>
      <x:c r="K8" s="340" t="str">
        <x:v>Có listing Shopee hiện hành; Beplain dẫn đầu thị phần chống nắng TMĐT 2026</x:v>
      </x:c>
      <x:c r="L8" s="340" t="str">
        <x:v>https://shopee.vn/search?keyword=beplain</x:v>
      </x:c>
      <x:c r="M8" s="340" t="str">
        <x:v>https://metric.vn/resource/blog/thi-truong-kem-chong-nang-tmdt-2026-bung-no-dau-mua-nong</x:v>
      </x:c>
      <x:c r="N8" s="340" t="str">
        <x:v>Market candidate</x:v>
      </x:c>
    </x:row>
    <x:row r="9">
      <x:c r="A9" s="340" t="n">
        <x:v>8</x:v>
      </x:c>
      <x:c r="B9" s="506" t="n">
        <x:v>46257</x:v>
      </x:c>
      <x:c r="C9" s="340" t="str">
        <x:v>Shopee</x:v>
      </x:c>
      <x:c r="D9" s="340" t="str">
        <x:v>Kem chống nắng</x:v>
      </x:c>
      <x:c r="E9" s="340" t="str">
        <x:v>BEPLAIN</x:v>
      </x:c>
      <x:c r="F9" s="340" t="str">
        <x:v>Sunmuse Skin Beige SPF50+ PA++++</x:v>
      </x:c>
      <x:c r="G9" s="340" t="str">
        <x:v>50ml</x:v>
      </x:c>
      <x:c r="H9" s="340" t="str">
        <x:v>Beplain Vietnam</x:v>
      </x:c>
      <x:c r="I9" s="340"/>
      <x:c r="J9" s="340" t="str">
        <x:v>CHƯA XÁC MINH CBMP</x:v>
      </x:c>
      <x:c r="K9" s="340" t="str">
        <x:v>Có listing Shopee hiện hành</x:v>
      </x:c>
      <x:c r="L9" s="340" t="str">
        <x:v>https://shopee.vn/list/kem%20ch%E1%BB%91ng%20n%E1%BA%AFng/beplain</x:v>
      </x:c>
      <x:c r="M9" s="340" t="str">
        <x:v>https://metric.vn/resource/blog/thi-truong-kem-chong-nang-tmdt-2026-bung-no-dau-mua-nong</x:v>
      </x:c>
      <x:c r="N9" s="340" t="str">
        <x:v>Market candidate</x:v>
      </x:c>
    </x:row>
    <x:row r="10">
      <x:c r="A10" s="340" t="n">
        <x:v>9</x:v>
      </x:c>
      <x:c r="B10" s="506" t="n">
        <x:v>46257</x:v>
      </x:c>
      <x:c r="C10" s="340" t="str">
        <x:v>Shopee</x:v>
      </x:c>
      <x:c r="D10" s="340" t="str">
        <x:v>Kem chống nắng</x:v>
      </x:c>
      <x:c r="E10" s="340" t="str">
        <x:v>BEPLAIN</x:v>
      </x:c>
      <x:c r="F10" s="340" t="str">
        <x:v>Sunmuse Tone Up &amp; Correcting Matte Sunscreen</x:v>
      </x:c>
      <x:c r="G10" s="340" t="str">
        <x:v>50ml</x:v>
      </x:c>
      <x:c r="H10" s="340" t="str">
        <x:v>Beplain Vietnam</x:v>
      </x:c>
      <x:c r="I10" s="340"/>
      <x:c r="J10" s="340" t="str">
        <x:v>CHƯA XÁC MINH CBMP</x:v>
      </x:c>
      <x:c r="K10" s="340" t="str">
        <x:v>Có listing Shopee hiện hành</x:v>
      </x:c>
      <x:c r="L10" s="340" t="str">
        <x:v>https://shopee.vn/list/beplain</x:v>
      </x:c>
      <x:c r="M10" s="340" t="str">
        <x:v>https://metric.vn/resource/blog/thi-truong-kem-chong-nang-tmdt-2026-bung-no-dau-mua-nong</x:v>
      </x:c>
      <x:c r="N10" s="340" t="str">
        <x:v>Market candidate</x:v>
      </x:c>
    </x:row>
    <x:row r="11">
      <x:c r="A11" s="340" t="n">
        <x:v>10</x:v>
      </x:c>
      <x:c r="B11" s="506" t="n">
        <x:v>46257</x:v>
      </x:c>
      <x:c r="C11" s="340" t="str">
        <x:v>Shopee</x:v>
      </x:c>
      <x:c r="D11" s="340" t="str">
        <x:v>Kem chống nắng</x:v>
      </x:c>
      <x:c r="E11" s="340" t="str">
        <x:v>BEPLAIN</x:v>
      </x:c>
      <x:c r="F11" s="340" t="str">
        <x:v>Mung Bean Cooling Moisture Sunscreen SPF50+ PA++++</x:v>
      </x:c>
      <x:c r="G11" s="340" t="str">
        <x:v>50ml</x:v>
      </x:c>
      <x:c r="H11" s="340" t="str">
        <x:v>Beplain Vietnam</x:v>
      </x:c>
      <x:c r="I11" s="340"/>
      <x:c r="J11" s="340" t="str">
        <x:v>CHƯA XÁC MINH CBMP</x:v>
      </x:c>
      <x:c r="K11" s="340" t="str">
        <x:v>Có listing Shopee hiện hành</x:v>
      </x:c>
      <x:c r="L11" s="340" t="str">
        <x:v>https://shopee.vn/list/kem%20d%C6%B0%E1%BB%A1ng/beplain</x:v>
      </x:c>
      <x:c r="M11" s="340" t="str">
        <x:v>https://metric.vn/resource/blog/thi-truong-kem-chong-nang-tmdt-2026-bung-no-dau-mua-nong</x:v>
      </x:c>
      <x:c r="N11" s="340" t="str">
        <x:v>Market candidate</x:v>
      </x:c>
    </x:row>
    <x:row r="12">
      <x:c r="A12" s="340" t="n">
        <x:v>11</x:v>
      </x:c>
      <x:c r="B12" s="506" t="n">
        <x:v>46257</x:v>
      </x:c>
      <x:c r="C12" s="340" t="str">
        <x:v>Shopee</x:v>
      </x:c>
      <x:c r="D12" s="340" t="str">
        <x:v>Sữa rửa mặt</x:v>
      </x:c>
      <x:c r="E12" s="340" t="str">
        <x:v>BEPLAIN</x:v>
      </x:c>
      <x:c r="F12" s="340" t="str">
        <x:v>Sữa Rửa Mặt Beplain Làm Sạch Dịu Nhẹ, Cân Bằng Da và Dưỡng Ẩm</x:v>
      </x:c>
      <x:c r="G12" s="340"/>
      <x:c r="H12" s="340" t="str">
        <x:v>Beplain Vietnam</x:v>
      </x:c>
      <x:c r="I12" s="340"/>
      <x:c r="J12" s="340" t="str">
        <x:v>CHƯA XÁC MINH CBMP</x:v>
      </x:c>
      <x:c r="K12" s="340" t="str">
        <x:v>Có listing Shopee hiện hành</x:v>
      </x:c>
      <x:c r="L12" s="340" t="str">
        <x:v>https://shopee.vn/search?keyword=beplain</x:v>
      </x:c>
      <x:c r="M12" s="340" t="str">
        <x:v>https://metric.vn/resource/blog/thi-truong-kem-chong-nang-tmdt-2026-bung-no-dau-mua-nong</x:v>
      </x:c>
      <x:c r="N12" s="340" t="str">
        <x:v>Market candidate</x:v>
      </x:c>
    </x:row>
    <x:row r="13">
      <x:c r="A13" s="340" t="n">
        <x:v>12</x:v>
      </x:c>
      <x:c r="B13" s="506" t="n">
        <x:v>46257</x:v>
      </x:c>
      <x:c r="C13" s="340" t="str">
        <x:v>Shopee</x:v>
      </x:c>
      <x:c r="D13" s="340" t="str">
        <x:v>Mặt nạ</x:v>
      </x:c>
      <x:c r="E13" s="340" t="str">
        <x:v>BEPLAIN</x:v>
      </x:c>
      <x:c r="F13" s="340" t="str">
        <x:v>Mung Bean Pore Clay Mask</x:v>
      </x:c>
      <x:c r="G13" s="340" t="str">
        <x:v>120ml</x:v>
      </x:c>
      <x:c r="H13" s="340" t="str">
        <x:v>Beplain Vietnam</x:v>
      </x:c>
      <x:c r="I13" s="340"/>
      <x:c r="J13" s="340" t="str">
        <x:v>CHƯA XÁC MINH CBMP</x:v>
      </x:c>
      <x:c r="K13" s="340" t="str">
        <x:v>Có listing Shopee hiện hành</x:v>
      </x:c>
      <x:c r="L13" s="340" t="str">
        <x:v>https://shopee.vn/search?keyword=beplain</x:v>
      </x:c>
      <x:c r="M13" s="340" t="str">
        <x:v>https://metric.vn/resource/blog/thi-truong-kem-chong-nang-tmdt-2026-bung-no-dau-mua-nong</x:v>
      </x:c>
      <x:c r="N13" s="340" t="str">
        <x:v>Market candidate</x:v>
      </x:c>
    </x:row>
    <x:row r="14">
      <x:c r="A14" s="340" t="n">
        <x:v>13</x:v>
      </x:c>
      <x:c r="B14" s="506" t="n">
        <x:v>46257</x:v>
      </x:c>
      <x:c r="C14" s="340" t="str">
        <x:v>Shopee</x:v>
      </x:c>
      <x:c r="D14" s="340" t="str">
        <x:v>Kem dưỡng da</x:v>
      </x:c>
      <x:c r="E14" s="340" t="str">
        <x:v>BEPLAIN</x:v>
      </x:c>
      <x:c r="F14" s="340" t="str">
        <x:v>Aqua Pure Hyaluronic Cream</x:v>
      </x:c>
      <x:c r="G14" s="340" t="str">
        <x:v>70ml</x:v>
      </x:c>
      <x:c r="H14" s="340" t="str">
        <x:v>Beplain Vietnam</x:v>
      </x:c>
      <x:c r="I14" s="340"/>
      <x:c r="J14" s="340" t="str">
        <x:v>CHƯA XÁC MINH CBMP</x:v>
      </x:c>
      <x:c r="K14" s="340" t="str">
        <x:v>Có listing Shopee hiện hành</x:v>
      </x:c>
      <x:c r="L14" s="340" t="str">
        <x:v>https://shopee.vn/list/kem%20d%C6%B0%E1%BB%A1ng/beplain</x:v>
      </x:c>
      <x:c r="M14" s="340" t="str">
        <x:v>https://metric.vn/resource/blog/thi-truong-kem-chong-nang-tmdt-2026-bung-no-dau-mua-nong</x:v>
      </x:c>
      <x:c r="N14" s="340" t="str">
        <x:v>Market candidate</x:v>
      </x:c>
    </x:row>
    <x:row r="15">
      <x:c r="A15" s="340" t="n">
        <x:v>14</x:v>
      </x:c>
      <x:c r="B15" s="506" t="n">
        <x:v>46257</x:v>
      </x:c>
      <x:c r="C15" s="340" t="str">
        <x:v>Shopee</x:v>
      </x:c>
      <x:c r="D15" s="340" t="str">
        <x:v>Kem dưỡng da</x:v>
      </x:c>
      <x:c r="E15" s="340" t="str">
        <x:v>BEPLAIN</x:v>
      </x:c>
      <x:c r="F15" s="340" t="str">
        <x:v>Cica PDRN Repair Cream</x:v>
      </x:c>
      <x:c r="G15" s="340" t="str">
        <x:v>50ml</x:v>
      </x:c>
      <x:c r="H15" s="340" t="str">
        <x:v>Beplain Vietnam</x:v>
      </x:c>
      <x:c r="I15" s="340"/>
      <x:c r="J15" s="340" t="str">
        <x:v>CHƯA XÁC MINH CBMP</x:v>
      </x:c>
      <x:c r="K15" s="340" t="str">
        <x:v>Có listing Shopee hiện hành</x:v>
      </x:c>
      <x:c r="L15" s="340" t="str">
        <x:v>https://shopee.vn/list/kem%20d%C6%B0%E1%BB%A1ng/beplain</x:v>
      </x:c>
      <x:c r="M15" s="340" t="str">
        <x:v>https://metric.vn/resource/blog/thi-truong-kem-chong-nang-tmdt-2026-bung-no-dau-mua-nong</x:v>
      </x:c>
      <x:c r="N15" s="340" t="str">
        <x:v>Market candidate</x:v>
      </x:c>
    </x:row>
    <x:row r="16">
      <x:c r="A16" s="340" t="n">
        <x:v>15</x:v>
      </x:c>
      <x:c r="B16" s="506" t="n">
        <x:v>46257</x:v>
      </x:c>
      <x:c r="C16" s="340" t="str">
        <x:v>Shopee</x:v>
      </x:c>
      <x:c r="D16" s="340" t="str">
        <x:v>Kem chống nắng</x:v>
      </x:c>
      <x:c r="E16" s="340" t="str">
        <x:v>d'Alba</x:v>
      </x:c>
      <x:c r="F16" s="340" t="str">
        <x:v>White Truffle Tone Up Sunscreen Purple</x:v>
      </x:c>
      <x:c r="G16" s="340" t="str">
        <x:v>50ml</x:v>
      </x:c>
      <x:c r="H16" s="340" t="str">
        <x:v>d'Alba Vietnam</x:v>
      </x:c>
      <x:c r="I16" s="340"/>
      <x:c r="J16" s="340" t="str">
        <x:v>CHƯA XÁC MINH CBMP</x:v>
      </x:c>
      <x:c r="K16" s="340" t="str">
        <x:v>Có listing Shopee Official hiện hành; d'Alba top 10 thị phần 2026</x:v>
      </x:c>
      <x:c r="L16" s="340" t="str">
        <x:v>https://shopee.vn/vietnam.dalba</x:v>
      </x:c>
      <x:c r="M16" s="340" t="str">
        <x:v>https://metric.vn/resource/blog/thi-truong-kem-chong-nang-tmdt-2026-bung-no-dau-mua-nong</x:v>
      </x:c>
      <x:c r="N16" s="340" t="str">
        <x:v>Market candidate</x:v>
      </x:c>
    </x:row>
    <x:row r="17">
      <x:c r="A17" s="340" t="n">
        <x:v>16</x:v>
      </x:c>
      <x:c r="B17" s="506" t="n">
        <x:v>46257</x:v>
      </x:c>
      <x:c r="C17" s="340" t="str">
        <x:v>Shopee</x:v>
      </x:c>
      <x:c r="D17" s="340" t="str">
        <x:v>Kem chống nắng</x:v>
      </x:c>
      <x:c r="E17" s="340" t="str">
        <x:v>d'Alba</x:v>
      </x:c>
      <x:c r="F17" s="340" t="str">
        <x:v>Waterfull Tone-up Sun Cream SPF50+</x:v>
      </x:c>
      <x:c r="G17" s="340" t="str">
        <x:v>50ml</x:v>
      </x:c>
      <x:c r="H17" s="340" t="str">
        <x:v>d'Alba Vietnam</x:v>
      </x:c>
      <x:c r="I17" s="340"/>
      <x:c r="J17" s="340" t="str">
        <x:v>CHƯA XÁC MINH CBMP</x:v>
      </x:c>
      <x:c r="K17" s="340" t="str">
        <x:v>Có listing Shopee Official hiện hành</x:v>
      </x:c>
      <x:c r="L17" s="340" t="str">
        <x:v>https://shopee.vn/vietnam.dalba</x:v>
      </x:c>
      <x:c r="M17" s="340" t="str">
        <x:v>https://metric.vn/resource/blog/thi-truong-kem-chong-nang-tmdt-2026-bung-no-dau-mua-nong</x:v>
      </x:c>
      <x:c r="N17" s="340" t="str">
        <x:v>Market candidate</x:v>
      </x:c>
    </x:row>
    <x:row r="18">
      <x:c r="A18" s="340" t="n">
        <x:v>17</x:v>
      </x:c>
      <x:c r="B18" s="506" t="n">
        <x:v>46257</x:v>
      </x:c>
      <x:c r="C18" s="340" t="str">
        <x:v>Shopee</x:v>
      </x:c>
      <x:c r="D18" s="340" t="str">
        <x:v>Xịt chống nắng</x:v>
      </x:c>
      <x:c r="E18" s="340" t="str">
        <x:v>d'Alba</x:v>
      </x:c>
      <x:c r="F18" s="340" t="str">
        <x:v>Xịt chống nắng SPF50+ PA++++</x:v>
      </x:c>
      <x:c r="G18" s="340" t="str">
        <x:v>50ml</x:v>
      </x:c>
      <x:c r="H18" s="340" t="str">
        <x:v>d'Alba Vietnam</x:v>
      </x:c>
      <x:c r="I18" s="340"/>
      <x:c r="J18" s="340" t="str">
        <x:v>CHƯA XÁC MINH CBMP</x:v>
      </x:c>
      <x:c r="K18" s="340" t="str">
        <x:v>Có listing Shopee Official hiện hành</x:v>
      </x:c>
      <x:c r="L18" s="340" t="str">
        <x:v>https://shopee.vn/list/d%27alba</x:v>
      </x:c>
      <x:c r="M18" s="340" t="str">
        <x:v>https://metric.vn/resource/blog/thi-truong-kem-chong-nang-tmdt-2026-bung-no-dau-mua-nong</x:v>
      </x:c>
      <x:c r="N18" s="340" t="str">
        <x:v>Market candidate</x:v>
      </x:c>
    </x:row>
    <x:row r="19">
      <x:c r="A19" s="340" t="n">
        <x:v>18</x:v>
      </x:c>
      <x:c r="B19" s="506" t="n">
        <x:v>46257</x:v>
      </x:c>
      <x:c r="C19" s="340" t="str">
        <x:v>Shopee</x:v>
      </x:c>
      <x:c r="D19" s="340" t="str">
        <x:v>Serum xịt</x:v>
      </x:c>
      <x:c r="E19" s="340" t="str">
        <x:v>d'Alba</x:v>
      </x:c>
      <x:c r="F19" s="340" t="str">
        <x:v>First Spray Serum</x:v>
      </x:c>
      <x:c r="G19" s="340" t="str">
        <x:v>50ml/100ml</x:v>
      </x:c>
      <x:c r="H19" s="340" t="str">
        <x:v>d'Alba Vietnam</x:v>
      </x:c>
      <x:c r="I19" s="340"/>
      <x:c r="J19" s="340" t="str">
        <x:v>CHƯA XÁC MINH CBMP</x:v>
      </x:c>
      <x:c r="K19" s="340" t="str">
        <x:v>Có listing Shopee Official hiện hành</x:v>
      </x:c>
      <x:c r="L19" s="340" t="str">
        <x:v>https://shopee.vn/vietnam.dalba</x:v>
      </x:c>
      <x:c r="M19" s="340" t="str">
        <x:v>https://metric.vn/resource/blog/thi-truong-kem-chong-nang-tmdt-2026-bung-no-dau-mua-nong</x:v>
      </x:c>
      <x:c r="N19" s="340" t="str">
        <x:v>Market candidate</x:v>
      </x:c>
    </x:row>
    <x:row r="20">
      <x:c r="A20" s="340" t="n">
        <x:v>19</x:v>
      </x:c>
      <x:c r="B20" s="506" t="n">
        <x:v>46257</x:v>
      </x:c>
      <x:c r="C20" s="340" t="str">
        <x:v>Shopee</x:v>
      </x:c>
      <x:c r="D20" s="340" t="str">
        <x:v>Serum xịt</x:v>
      </x:c>
      <x:c r="E20" s="340" t="str">
        <x:v>d'Alba</x:v>
      </x:c>
      <x:c r="F20" s="340" t="str">
        <x:v>Vital Spray Serum</x:v>
      </x:c>
      <x:c r="G20" s="340" t="str">
        <x:v>100ml</x:v>
      </x:c>
      <x:c r="H20" s="340" t="str">
        <x:v>d'Alba Vietnam</x:v>
      </x:c>
      <x:c r="I20" s="340"/>
      <x:c r="J20" s="340" t="str">
        <x:v>CHƯA XÁC MINH CBMP</x:v>
      </x:c>
      <x:c r="K20" s="340" t="str">
        <x:v>Có listing Shopee Official hiện hành</x:v>
      </x:c>
      <x:c r="L20" s="340" t="str">
        <x:v>https://shopee.vn/vietnam.dalba</x:v>
      </x:c>
      <x:c r="M20" s="340" t="str">
        <x:v>https://metric.vn/resource/blog/thi-truong-kem-chong-nang-tmdt-2026-bung-no-dau-mua-nong</x:v>
      </x:c>
      <x:c r="N20" s="340" t="str">
        <x:v>Market candidate</x:v>
      </x:c>
    </x:row>
    <x:row r="21">
      <x:c r="A21" s="340" t="n">
        <x:v>20</x:v>
      </x:c>
      <x:c r="B21" s="506" t="n">
        <x:v>46257</x:v>
      </x:c>
      <x:c r="C21" s="340" t="str">
        <x:v>Shopee</x:v>
      </x:c>
      <x:c r="D21" s="340" t="str">
        <x:v>Serum xịt</x:v>
      </x:c>
      <x:c r="E21" s="340" t="str">
        <x:v>d'Alba</x:v>
      </x:c>
      <x:c r="F21" s="340" t="str">
        <x:v>Refresh Aqua Serum</x:v>
      </x:c>
      <x:c r="G21" s="340" t="str">
        <x:v>100ml</x:v>
      </x:c>
      <x:c r="H21" s="340" t="str">
        <x:v>d'Alba Vietnam</x:v>
      </x:c>
      <x:c r="I21" s="340"/>
      <x:c r="J21" s="340" t="str">
        <x:v>CHƯA XÁC MINH CBMP</x:v>
      </x:c>
      <x:c r="K21" s="340" t="str">
        <x:v>Có listing Shopee Official hiện hành</x:v>
      </x:c>
      <x:c r="L21" s="340" t="str">
        <x:v>https://shopee.vn/vietnam.dalba</x:v>
      </x:c>
      <x:c r="M21" s="340" t="str">
        <x:v>https://metric.vn/resource/blog/thi-truong-kem-chong-nang-tmdt-2026-bung-no-dau-mua-nong</x:v>
      </x:c>
      <x:c r="N21" s="340" t="str">
        <x:v>Market candidate</x:v>
      </x:c>
    </x:row>
  </x:sheetData>
  <x:pageMargins left="0.7" right="0.7" top="0.75" bottom="0.75" header="0.3" footer="0.3"/>
</x:worksheet>
</file>